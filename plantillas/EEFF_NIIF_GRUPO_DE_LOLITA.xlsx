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ARCHIVOS BASES\CONTABILIDADES\2.EMPRESAS LUZ AIDA HERNANDEZ\066 GRUPO DE LOLITA SAS\06. ESTADOS FINANCIEROS\AÑO 2026\06. JUNIO\"/>
    </mc:Choice>
  </mc:AlternateContent>
  <xr:revisionPtr revIDLastSave="0" documentId="13_ncr:1_{51DB0A67-098F-4B4D-8A97-7F22FD5413FB}" xr6:coauthVersionLast="47" xr6:coauthVersionMax="47" xr10:uidLastSave="{00000000-0000-0000-0000-000000000000}"/>
  <bookViews>
    <workbookView xWindow="-120" yWindow="-120" windowWidth="29040" windowHeight="15840" tabRatio="783" activeTab="7" xr2:uid="{00000000-000D-0000-FFFF-FFFF00000000}"/>
  </bookViews>
  <sheets>
    <sheet name="DATOS" sheetId="1" r:id="rId1"/>
    <sheet name="E.R.I.MES" sheetId="2" state="hidden" r:id="rId2"/>
    <sheet name="E.R.I.ACUMULADO" sheetId="3" r:id="rId3"/>
    <sheet name="ESF=BALANCE" sheetId="4" r:id="rId4"/>
    <sheet name="EFE" sheetId="11" r:id="rId5"/>
    <sheet name="ECP" sheetId="10" r:id="rId6"/>
    <sheet name="INDICADORES" sheetId="5" r:id="rId7"/>
    <sheet name="BCE 2026" sheetId="6" r:id="rId8"/>
    <sheet name="BCE 2025" sheetId="7" r:id="rId9"/>
    <sheet name="PROVISION RENTA" sheetId="8" r:id="rId10"/>
    <sheet name="NOTAS" sheetId="9" r:id="rId11"/>
  </sheets>
  <externalReferences>
    <externalReference r:id="rId12"/>
  </externalReferences>
  <definedNames>
    <definedName name="_xlnm._FilterDatabase" localSheetId="8" hidden="1">'BCE 2025'!$A$3:$J$1780</definedName>
    <definedName name="_xlnm._FilterDatabase" localSheetId="7" hidden="1">'BCE 2026'!$A$3:$K$2113</definedName>
    <definedName name="_xlnm.Print_Area" localSheetId="2">'E.R.I.ACUMULADO'!$A$1:$J$117</definedName>
    <definedName name="_xlnm.Print_Area" localSheetId="5">ECP!$A$1:$S$43</definedName>
    <definedName name="_xlnm.Print_Area" localSheetId="4">EFE!$A$1:$C$63</definedName>
    <definedName name="_xlnm.Print_Area" localSheetId="3">'ESF=BALANCE'!$A$1:$P$79</definedName>
    <definedName name="DCAC" localSheetId="2">#REF!</definedName>
    <definedName name="DCAC" localSheetId="3">#REF!</definedName>
    <definedName name="DCAC">#REF!</definedName>
    <definedName name="DD" localSheetId="2">#REF!</definedName>
    <definedName name="DD" localSheetId="3">#REF!</definedName>
    <definedName name="DD">#REF!</definedName>
    <definedName name="DDD" localSheetId="2">#REF!</definedName>
    <definedName name="DDD" localSheetId="3">#REF!</definedName>
    <definedName name="DDD">#REF!</definedName>
    <definedName name="DDDA" localSheetId="2">#REF!</definedName>
    <definedName name="DDDA" localSheetId="3">#REF!</definedName>
    <definedName name="DDDA">#REF!</definedName>
    <definedName name="DDDD" localSheetId="2">#REF!</definedName>
    <definedName name="DDDD" localSheetId="3">#REF!</definedName>
    <definedName name="DDDD">#REF!</definedName>
    <definedName name="Declaraciones" localSheetId="2">#REF!</definedName>
    <definedName name="Declaraciones" localSheetId="3">#REF!</definedName>
    <definedName name="Declaraciones">#REF!</definedName>
    <definedName name="ded" localSheetId="2">#REF!</definedName>
    <definedName name="ded" localSheetId="3">#REF!</definedName>
    <definedName name="ded">#REF!</definedName>
    <definedName name="Diarios" localSheetId="2">#REF!</definedName>
    <definedName name="Diarios" localSheetId="3">#REF!</definedName>
    <definedName name="Diarios">#REF!</definedName>
    <definedName name="EE" localSheetId="2">#REF!</definedName>
    <definedName name="EE" localSheetId="3">#REF!</definedName>
    <definedName name="EE">#REF!</definedName>
    <definedName name="EEE" localSheetId="2">#REF!</definedName>
    <definedName name="EEE" localSheetId="3">#REF!</definedName>
    <definedName name="EEE">#REF!</definedName>
    <definedName name="Excel_BuiltIn__FilterDatabase_2" localSheetId="2">#REF!</definedName>
    <definedName name="Excel_BuiltIn__FilterDatabase_2" localSheetId="3">#REF!</definedName>
    <definedName name="Excel_BuiltIn__FilterDatabase_2">#REF!</definedName>
    <definedName name="HDSADUA" localSheetId="2">#REF!</definedName>
    <definedName name="HDSADUA" localSheetId="3">#REF!</definedName>
    <definedName name="HDSADUA">#REF!</definedName>
    <definedName name="HI" localSheetId="2">#REF!</definedName>
    <definedName name="HI" localSheetId="3">#REF!</definedName>
    <definedName name="HI">#REF!</definedName>
    <definedName name="HOJA" localSheetId="2">#REF!</definedName>
    <definedName name="HOJA" localSheetId="3">#REF!</definedName>
    <definedName name="HOJA">#REF!</definedName>
    <definedName name="INVERSIONES" localSheetId="2">#REF!</definedName>
    <definedName name="INVERSIONES" localSheetId="3">#REF!</definedName>
    <definedName name="INVERSIONES">#REF!</definedName>
    <definedName name="JFJ" localSheetId="2">#REF!</definedName>
    <definedName name="JFJ" localSheetId="3">#REF!</definedName>
    <definedName name="JFJ">#REF!</definedName>
    <definedName name="JJJ" localSheetId="2">#REF!</definedName>
    <definedName name="JJJ" localSheetId="3">#REF!</definedName>
    <definedName name="JJJ">#REF!</definedName>
    <definedName name="NIIF1" localSheetId="2">#REF!</definedName>
    <definedName name="NIIF1">#REF!</definedName>
    <definedName name="QQ" localSheetId="2">#REF!</definedName>
    <definedName name="QQ" localSheetId="3">#REF!</definedName>
    <definedName name="QQ">#REF!</definedName>
    <definedName name="sggs" localSheetId="2">#REF!</definedName>
    <definedName name="sggs" localSheetId="3">#REF!</definedName>
    <definedName name="sggs">#REF!</definedName>
    <definedName name="SSS" localSheetId="2">#REF!</definedName>
    <definedName name="SSS" localSheetId="3">#REF!</definedName>
    <definedName name="SSS">#REF!</definedName>
    <definedName name="TAB" localSheetId="2">#REF!</definedName>
    <definedName name="TAB" localSheetId="3">#REF!</definedName>
    <definedName name="TAB">#REF!</definedName>
    <definedName name="TABLA" localSheetId="2">#REF!</definedName>
    <definedName name="TABLA" localSheetId="3">#REF!</definedName>
    <definedName name="TABLA">#REF!</definedName>
    <definedName name="TABLAOPER18" localSheetId="2">#REF!</definedName>
    <definedName name="TABLAOPER18" localSheetId="3">#REF!</definedName>
    <definedName name="TABLAOPER18">#REF!</definedName>
    <definedName name="TABLAOPER24" localSheetId="2">#REF!</definedName>
    <definedName name="TABLAOPER24" localSheetId="3">#REF!</definedName>
    <definedName name="TABLAOPER24">#REF!</definedName>
    <definedName name="TABLAOPER36" localSheetId="2">#REF!</definedName>
    <definedName name="TABLAOPER36" localSheetId="3">#REF!</definedName>
    <definedName name="TABLAOPER36">#REF!</definedName>
    <definedName name="TABLAOPER48" localSheetId="2">#REF!</definedName>
    <definedName name="TABLAOPER48" localSheetId="3">#REF!</definedName>
    <definedName name="TABLAOPER48">#REF!</definedName>
    <definedName name="TABLAOPER60" localSheetId="2">#REF!</definedName>
    <definedName name="TABLAOPER60" localSheetId="3">#REF!</definedName>
    <definedName name="TABLAOPER60">#REF!</definedName>
    <definedName name="TABLE" localSheetId="2">#REF!</definedName>
    <definedName name="TABLE" localSheetId="3">#REF!</definedName>
    <definedName name="TABLE">#REF!</definedName>
    <definedName name="TABLOPER" localSheetId="2">#REF!</definedName>
    <definedName name="TABLOPER" localSheetId="3">#REF!</definedName>
    <definedName name="TABLOPER">#REF!</definedName>
    <definedName name="X" localSheetId="2">#REF!</definedName>
    <definedName name="X" localSheetId="3">#REF!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7" i="1" l="1"/>
  <c r="C57" i="1"/>
  <c r="O28" i="9"/>
  <c r="P29" i="9" s="1"/>
  <c r="J10" i="4"/>
  <c r="G165" i="1"/>
  <c r="G152" i="1"/>
  <c r="G150" i="1"/>
  <c r="G153" i="1"/>
  <c r="G149" i="1"/>
  <c r="E62" i="1"/>
  <c r="E63" i="1"/>
  <c r="E33" i="1"/>
  <c r="E34" i="1"/>
  <c r="E31" i="1"/>
  <c r="E28" i="1"/>
  <c r="E30" i="1"/>
  <c r="E27" i="1"/>
  <c r="E26" i="1"/>
  <c r="E22" i="1"/>
  <c r="C91" i="1"/>
  <c r="C92" i="1"/>
  <c r="D91" i="1"/>
  <c r="D92" i="1"/>
  <c r="D154" i="1"/>
  <c r="D153" i="1"/>
  <c r="D152" i="1"/>
  <c r="D150" i="1"/>
  <c r="D149" i="1"/>
  <c r="C149" i="1"/>
  <c r="D165" i="1"/>
  <c r="D16" i="3" s="1"/>
  <c r="C76" i="1"/>
  <c r="C63" i="1"/>
  <c r="C33" i="1"/>
  <c r="C31" i="1"/>
  <c r="C28" i="1"/>
  <c r="C30" i="1"/>
  <c r="C26" i="1"/>
  <c r="C27" i="1"/>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337" i="7"/>
  <c r="J2338" i="7"/>
  <c r="J2339" i="7"/>
  <c r="J2340" i="7"/>
  <c r="J2341" i="7"/>
  <c r="J2342" i="7"/>
  <c r="J2343" i="7"/>
  <c r="J2344" i="7"/>
  <c r="J2345" i="7"/>
  <c r="J2346" i="7"/>
  <c r="J2347" i="7"/>
  <c r="J2348" i="7"/>
  <c r="J2349" i="7"/>
  <c r="J2350" i="7"/>
  <c r="J2351" i="7"/>
  <c r="J2352" i="7"/>
  <c r="J2353" i="7"/>
  <c r="J2354" i="7"/>
  <c r="J2355" i="7"/>
  <c r="J2356" i="7"/>
  <c r="J2357" i="7"/>
  <c r="J2358" i="7"/>
  <c r="J2359" i="7"/>
  <c r="J2360" i="7"/>
  <c r="J2361" i="7"/>
  <c r="J2362" i="7"/>
  <c r="J2363" i="7"/>
  <c r="J2364" i="7"/>
  <c r="J2365" i="7"/>
  <c r="J2366" i="7"/>
  <c r="J2367" i="7"/>
  <c r="J2368" i="7"/>
  <c r="J2369" i="7"/>
  <c r="J2370" i="7"/>
  <c r="J2371" i="7"/>
  <c r="J2372" i="7"/>
  <c r="J2373" i="7"/>
  <c r="J2374" i="7"/>
  <c r="J2375" i="7"/>
  <c r="J2376" i="7"/>
  <c r="J2377" i="7"/>
  <c r="J2378" i="7"/>
  <c r="J2379" i="7"/>
  <c r="J2380" i="7"/>
  <c r="J2381" i="7"/>
  <c r="J2382" i="7"/>
  <c r="J2383" i="7"/>
  <c r="J2384" i="7"/>
  <c r="J2385" i="7"/>
  <c r="J2386" i="7"/>
  <c r="J2387" i="7"/>
  <c r="J2388" i="7"/>
  <c r="J2389" i="7"/>
  <c r="J2390" i="7"/>
  <c r="J2391" i="7"/>
  <c r="J2392" i="7"/>
  <c r="J2393" i="7"/>
  <c r="J2394" i="7"/>
  <c r="J2395" i="7"/>
  <c r="J2396" i="7"/>
  <c r="J2397" i="7"/>
  <c r="J2398" i="7"/>
  <c r="J2399" i="7"/>
  <c r="J2400" i="7"/>
  <c r="J2401" i="7"/>
  <c r="J2402" i="7"/>
  <c r="J2403" i="7"/>
  <c r="J2404" i="7"/>
  <c r="J2405" i="7"/>
  <c r="J2406" i="7"/>
  <c r="J2407" i="7"/>
  <c r="J2408" i="7"/>
  <c r="J2409" i="7"/>
  <c r="J2410" i="7"/>
  <c r="J2411" i="7"/>
  <c r="J2412" i="7"/>
  <c r="J2413" i="7"/>
  <c r="J2414" i="7"/>
  <c r="J2415" i="7"/>
  <c r="J2416" i="7"/>
  <c r="J2417" i="7"/>
  <c r="J2418" i="7"/>
  <c r="J2419" i="7"/>
  <c r="J2420" i="7"/>
  <c r="J2421" i="7"/>
  <c r="J2422" i="7"/>
  <c r="J2423" i="7"/>
  <c r="J2424" i="7"/>
  <c r="J2425" i="7"/>
  <c r="J2426" i="7"/>
  <c r="J2427" i="7"/>
  <c r="J2428" i="7"/>
  <c r="J2429" i="7"/>
  <c r="J2430" i="7"/>
  <c r="J2431" i="7"/>
  <c r="J2432" i="7"/>
  <c r="J2433" i="7"/>
  <c r="J2434" i="7"/>
  <c r="J2435" i="7"/>
  <c r="J2436" i="7"/>
  <c r="J2437" i="7"/>
  <c r="J2438" i="7"/>
  <c r="J2439" i="7"/>
  <c r="J2440" i="7"/>
  <c r="J2441" i="7"/>
  <c r="J2442" i="7"/>
  <c r="J2443" i="7"/>
  <c r="J2444" i="7"/>
  <c r="J2445" i="7"/>
  <c r="J2446" i="7"/>
  <c r="J2447" i="7"/>
  <c r="J2448" i="7"/>
  <c r="J2449" i="7"/>
  <c r="J2450" i="7"/>
  <c r="J2451" i="7"/>
  <c r="J2452" i="7"/>
  <c r="J2453" i="7"/>
  <c r="J2454" i="7"/>
  <c r="J2455" i="7"/>
  <c r="J2456" i="7"/>
  <c r="J2457" i="7"/>
  <c r="J2458" i="7"/>
  <c r="J2459" i="7"/>
  <c r="J2460" i="7"/>
  <c r="J2461" i="7"/>
  <c r="J2462" i="7"/>
  <c r="J2463" i="7"/>
  <c r="J2464" i="7"/>
  <c r="J2465" i="7"/>
  <c r="J2466" i="7"/>
  <c r="J2467" i="7"/>
  <c r="J2468" i="7"/>
  <c r="J2469" i="7"/>
  <c r="J2470" i="7"/>
  <c r="J2471" i="7"/>
  <c r="J2472" i="7"/>
  <c r="J2473" i="7"/>
  <c r="J2474" i="7"/>
  <c r="J2475" i="7"/>
  <c r="J2476" i="7"/>
  <c r="J2477" i="7"/>
  <c r="J2478" i="7"/>
  <c r="J2479" i="7"/>
  <c r="J2480" i="7"/>
  <c r="J2481" i="7"/>
  <c r="J2482" i="7"/>
  <c r="J2483" i="7"/>
  <c r="J2484" i="7"/>
  <c r="J2485" i="7"/>
  <c r="J2486" i="7"/>
  <c r="J2487" i="7"/>
  <c r="J2488" i="7"/>
  <c r="J2489" i="7"/>
  <c r="J2490" i="7"/>
  <c r="J2491" i="7"/>
  <c r="J2492" i="7"/>
  <c r="J2493" i="7"/>
  <c r="J2494" i="7"/>
  <c r="J2495" i="7"/>
  <c r="J2496" i="7"/>
  <c r="J2497" i="7"/>
  <c r="J2498" i="7"/>
  <c r="J2499" i="7"/>
  <c r="J2500" i="7"/>
  <c r="J2501" i="7"/>
  <c r="J2502" i="7"/>
  <c r="J2503" i="7"/>
  <c r="J2504" i="7"/>
  <c r="J2505" i="7"/>
  <c r="J2506" i="7"/>
  <c r="J2507" i="7"/>
  <c r="J2508" i="7"/>
  <c r="J2509" i="7"/>
  <c r="J2510" i="7"/>
  <c r="J2511" i="7"/>
  <c r="J2512" i="7"/>
  <c r="J2513" i="7"/>
  <c r="J2514" i="7"/>
  <c r="J2515" i="7"/>
  <c r="J2516" i="7"/>
  <c r="J2517" i="7"/>
  <c r="J2518" i="7"/>
  <c r="J2519" i="7"/>
  <c r="J2520" i="7"/>
  <c r="J2521" i="7"/>
  <c r="J2522" i="7"/>
  <c r="J2523" i="7"/>
  <c r="J2524" i="7"/>
  <c r="J2525" i="7"/>
  <c r="J2526" i="7"/>
  <c r="J2527" i="7"/>
  <c r="J2528" i="7"/>
  <c r="J2529" i="7"/>
  <c r="J2530" i="7"/>
  <c r="J2531" i="7"/>
  <c r="J2532" i="7"/>
  <c r="J2533" i="7"/>
  <c r="J2534" i="7"/>
  <c r="J2535" i="7"/>
  <c r="J2536" i="7"/>
  <c r="J2537" i="7"/>
  <c r="J2538" i="7"/>
  <c r="J2539" i="7"/>
  <c r="J2540" i="7"/>
  <c r="J2541" i="7"/>
  <c r="J2542" i="7"/>
  <c r="J2543" i="7"/>
  <c r="J2544" i="7"/>
  <c r="J2545" i="7"/>
  <c r="J2546" i="7"/>
  <c r="J2547" i="7"/>
  <c r="J2548" i="7"/>
  <c r="J2549" i="7"/>
  <c r="J2550" i="7"/>
  <c r="J2551" i="7"/>
  <c r="J2552" i="7"/>
  <c r="J2553" i="7"/>
  <c r="J2554" i="7"/>
  <c r="J2555" i="7"/>
  <c r="J2556" i="7"/>
  <c r="J2557" i="7"/>
  <c r="J2558" i="7"/>
  <c r="J2559" i="7"/>
  <c r="J2560" i="7"/>
  <c r="J2561" i="7"/>
  <c r="J2562" i="7"/>
  <c r="J2563" i="7"/>
  <c r="J2564" i="7"/>
  <c r="J2565" i="7"/>
  <c r="J2566" i="7"/>
  <c r="J2567" i="7"/>
  <c r="J2568" i="7"/>
  <c r="J2569" i="7"/>
  <c r="J2570" i="7"/>
  <c r="J2571" i="7"/>
  <c r="J2572" i="7"/>
  <c r="J2573" i="7"/>
  <c r="J2574" i="7"/>
  <c r="J2575" i="7"/>
  <c r="J2576" i="7"/>
  <c r="J2577" i="7"/>
  <c r="J2578" i="7"/>
  <c r="J2579" i="7"/>
  <c r="J2580" i="7"/>
  <c r="J2581" i="7"/>
  <c r="J2582" i="7"/>
  <c r="J2583" i="7"/>
  <c r="J2584" i="7"/>
  <c r="J2585" i="7"/>
  <c r="J2586" i="7"/>
  <c r="J2587" i="7"/>
  <c r="J2588" i="7"/>
  <c r="J2589" i="7"/>
  <c r="J2590" i="7"/>
  <c r="J2591" i="7"/>
  <c r="J2592" i="7"/>
  <c r="J2593" i="7"/>
  <c r="J2594" i="7"/>
  <c r="J2595" i="7"/>
  <c r="J2596" i="7"/>
  <c r="J2597" i="7"/>
  <c r="J2598" i="7"/>
  <c r="J2599" i="7"/>
  <c r="J2600" i="7"/>
  <c r="J2601" i="7"/>
  <c r="J2602" i="7"/>
  <c r="J2603" i="7"/>
  <c r="J2604" i="7"/>
  <c r="J2605" i="7"/>
  <c r="J2606" i="7"/>
  <c r="J2607" i="7"/>
  <c r="J2608" i="7"/>
  <c r="J2609" i="7"/>
  <c r="J2610" i="7"/>
  <c r="J2611" i="7"/>
  <c r="J2612" i="7"/>
  <c r="J2613" i="7"/>
  <c r="J2614" i="7"/>
  <c r="J2615" i="7"/>
  <c r="J2616" i="7"/>
  <c r="J2617" i="7"/>
  <c r="J2618" i="7"/>
  <c r="J2619" i="7"/>
  <c r="J2620" i="7"/>
  <c r="J2621" i="7"/>
  <c r="J2622" i="7"/>
  <c r="J2623" i="7"/>
  <c r="J2624" i="7"/>
  <c r="J2625" i="7"/>
  <c r="J2626" i="7"/>
  <c r="J2627" i="7"/>
  <c r="J2628" i="7"/>
  <c r="J2629" i="7"/>
  <c r="J2630" i="7"/>
  <c r="J2631" i="7"/>
  <c r="J2632" i="7"/>
  <c r="J2633" i="7"/>
  <c r="J2634" i="7"/>
  <c r="J2635" i="7"/>
  <c r="J2636" i="7"/>
  <c r="J2637" i="7"/>
  <c r="J2638" i="7"/>
  <c r="J2639" i="7"/>
  <c r="J2640" i="7"/>
  <c r="J2641" i="7"/>
  <c r="J2642" i="7"/>
  <c r="J2643" i="7"/>
  <c r="J2644" i="7"/>
  <c r="J2645" i="7"/>
  <c r="J2646" i="7"/>
  <c r="J2647" i="7"/>
  <c r="J2648" i="7"/>
  <c r="J2649" i="7"/>
  <c r="J2650" i="7"/>
  <c r="J2651" i="7"/>
  <c r="J2652" i="7"/>
  <c r="J2653" i="7"/>
  <c r="J2654" i="7"/>
  <c r="J2655" i="7"/>
  <c r="J2656" i="7"/>
  <c r="J2657" i="7"/>
  <c r="J2658" i="7"/>
  <c r="J2659" i="7"/>
  <c r="J2660" i="7"/>
  <c r="J2661" i="7"/>
  <c r="J2662" i="7"/>
  <c r="J2663" i="7"/>
  <c r="J2664" i="7"/>
  <c r="J2665" i="7"/>
  <c r="J2666" i="7"/>
  <c r="J2667" i="7"/>
  <c r="J2668" i="7"/>
  <c r="J2669" i="7"/>
  <c r="J2670" i="7"/>
  <c r="J2671" i="7"/>
  <c r="J2672" i="7"/>
  <c r="J2673" i="7"/>
  <c r="J2674" i="7"/>
  <c r="J2675" i="7"/>
  <c r="J2676" i="7"/>
  <c r="J2677" i="7"/>
  <c r="J2678" i="7"/>
  <c r="J2679" i="7"/>
  <c r="J2680" i="7"/>
  <c r="J2681" i="7"/>
  <c r="J2682" i="7"/>
  <c r="J2683" i="7"/>
  <c r="J2684" i="7"/>
  <c r="J2685" i="7"/>
  <c r="J2686" i="7"/>
  <c r="J2687" i="7"/>
  <c r="J2688" i="7"/>
  <c r="J2689" i="7"/>
  <c r="J2690" i="7"/>
  <c r="J2691" i="7"/>
  <c r="J2692" i="7"/>
  <c r="J2693" i="7"/>
  <c r="J2694" i="7"/>
  <c r="J2695" i="7"/>
  <c r="J2696" i="7"/>
  <c r="J2697" i="7"/>
  <c r="J2698" i="7"/>
  <c r="J2699" i="7"/>
  <c r="J2700" i="7"/>
  <c r="J2701" i="7"/>
  <c r="J2702" i="7"/>
  <c r="J2703" i="7"/>
  <c r="J2704" i="7"/>
  <c r="J2705" i="7"/>
  <c r="J2706" i="7"/>
  <c r="J2707" i="7"/>
  <c r="J2708" i="7"/>
  <c r="J2709" i="7"/>
  <c r="J2710" i="7"/>
  <c r="J2711" i="7"/>
  <c r="J2712" i="7"/>
  <c r="J2713" i="7"/>
  <c r="J2714" i="7"/>
  <c r="J2715" i="7"/>
  <c r="J2716" i="7"/>
  <c r="J2717" i="7"/>
  <c r="J2718" i="7"/>
  <c r="J2719" i="7"/>
  <c r="J2720" i="7"/>
  <c r="J2721" i="7"/>
  <c r="J2722" i="7"/>
  <c r="J2723" i="7"/>
  <c r="J2724" i="7"/>
  <c r="J2725" i="7"/>
  <c r="J2726" i="7"/>
  <c r="J2727" i="7"/>
  <c r="J2728" i="7"/>
  <c r="J2729" i="7"/>
  <c r="J2730" i="7"/>
  <c r="J2731" i="7"/>
  <c r="J2732" i="7"/>
  <c r="J2733" i="7"/>
  <c r="J2734" i="7"/>
  <c r="J2735" i="7"/>
  <c r="J2736" i="7"/>
  <c r="J2737" i="7"/>
  <c r="J2738" i="7"/>
  <c r="J2739" i="7"/>
  <c r="J2740" i="7"/>
  <c r="J2741" i="7"/>
  <c r="J2742" i="7"/>
  <c r="J2743" i="7"/>
  <c r="J2744" i="7"/>
  <c r="J2745" i="7"/>
  <c r="J2746" i="7"/>
  <c r="J2747" i="7"/>
  <c r="J2748" i="7"/>
  <c r="J2749" i="7"/>
  <c r="J2750" i="7"/>
  <c r="J2751" i="7"/>
  <c r="J2752" i="7"/>
  <c r="J2753" i="7"/>
  <c r="J2754" i="7"/>
  <c r="J2755" i="7"/>
  <c r="J2756" i="7"/>
  <c r="J2757" i="7"/>
  <c r="J2758" i="7"/>
  <c r="J2759" i="7"/>
  <c r="J2760" i="7"/>
  <c r="J2761" i="7"/>
  <c r="J2762" i="7"/>
  <c r="J2763" i="7"/>
  <c r="J2764" i="7"/>
  <c r="J2765" i="7"/>
  <c r="J2766" i="7"/>
  <c r="J2767" i="7"/>
  <c r="J2768" i="7"/>
  <c r="J2769" i="7"/>
  <c r="J2770" i="7"/>
  <c r="J2771" i="7"/>
  <c r="J2772" i="7"/>
  <c r="J2773" i="7"/>
  <c r="J2774" i="7"/>
  <c r="J2775" i="7"/>
  <c r="J2776" i="7"/>
  <c r="J2777" i="7"/>
  <c r="J2778" i="7"/>
  <c r="J2779" i="7"/>
  <c r="J2780" i="7"/>
  <c r="J2781" i="7"/>
  <c r="J2782" i="7"/>
  <c r="J2783" i="7"/>
  <c r="J2784" i="7"/>
  <c r="J2785" i="7"/>
  <c r="J2786" i="7"/>
  <c r="J2787" i="7"/>
  <c r="J2788" i="7"/>
  <c r="J2789" i="7"/>
  <c r="J2790" i="7"/>
  <c r="J2791" i="7"/>
  <c r="J2792" i="7"/>
  <c r="J2793" i="7"/>
  <c r="J2794" i="7"/>
  <c r="J2795" i="7"/>
  <c r="J2796" i="7"/>
  <c r="J2797" i="7"/>
  <c r="J2798" i="7"/>
  <c r="J2799" i="7"/>
  <c r="C29" i="1"/>
  <c r="L555" i="6"/>
  <c r="Q28" i="9" l="1"/>
  <c r="B27" i="9"/>
  <c r="B20" i="9"/>
  <c r="F41" i="9"/>
  <c r="F36" i="9"/>
  <c r="C1" i="9"/>
  <c r="C11" i="9"/>
  <c r="C20" i="9"/>
  <c r="C27" i="9"/>
  <c r="C35" i="9"/>
  <c r="C60" i="9"/>
  <c r="G1" i="9"/>
  <c r="G10" i="9"/>
  <c r="G21" i="9"/>
  <c r="G28" i="9"/>
  <c r="G36" i="9"/>
  <c r="G41" i="9"/>
  <c r="G58" i="9"/>
  <c r="K1" i="9"/>
  <c r="K9" i="9"/>
  <c r="K19" i="9"/>
  <c r="K26" i="9"/>
  <c r="K34" i="9"/>
  <c r="K56" i="9"/>
  <c r="K62" i="9"/>
  <c r="J1951" i="6" l="1"/>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I98" i="3" l="1"/>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646" i="7" l="1"/>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634" i="7" l="1"/>
  <c r="J1635" i="7"/>
  <c r="J1636" i="7"/>
  <c r="J1637" i="7"/>
  <c r="J1638" i="7"/>
  <c r="J1639" i="7"/>
  <c r="J1640" i="7"/>
  <c r="J1641" i="7"/>
  <c r="J1642" i="7"/>
  <c r="J1643" i="7"/>
  <c r="J1644" i="7"/>
  <c r="J1645"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6" i="7"/>
  <c r="J7" i="7"/>
  <c r="J8" i="7"/>
  <c r="J9" i="7"/>
  <c r="J10" i="7"/>
  <c r="J11" i="7"/>
  <c r="J12" i="7"/>
  <c r="A60" i="11" l="1"/>
  <c r="A59" i="11"/>
  <c r="A4" i="11"/>
  <c r="A50" i="11"/>
  <c r="A49" i="11"/>
  <c r="O19" i="10"/>
  <c r="M39" i="10"/>
  <c r="M38" i="10"/>
  <c r="A3" i="10"/>
  <c r="A2" i="10"/>
  <c r="A1" i="10"/>
  <c r="A39" i="10"/>
  <c r="A38" i="10"/>
  <c r="Q27" i="10"/>
  <c r="Q22" i="10"/>
  <c r="S21" i="10"/>
  <c r="S19" i="10"/>
  <c r="S15" i="10"/>
  <c r="E82" i="1"/>
  <c r="E83" i="1"/>
  <c r="C82" i="1"/>
  <c r="C83" i="1"/>
  <c r="L67" i="4" l="1"/>
  <c r="B49" i="9"/>
  <c r="O67" i="4"/>
  <c r="J62" i="9"/>
  <c r="J56" i="9"/>
  <c r="J34" i="9"/>
  <c r="J26" i="9"/>
  <c r="J19" i="9"/>
  <c r="J9" i="9"/>
  <c r="J1" i="9"/>
  <c r="F1" i="9"/>
  <c r="F10" i="9"/>
  <c r="F21" i="9"/>
  <c r="F28" i="9"/>
  <c r="F45" i="9"/>
  <c r="F58" i="9"/>
  <c r="B60" i="9"/>
  <c r="B35" i="9"/>
  <c r="B11" i="9"/>
  <c r="B1" i="9"/>
  <c r="O13" i="10" l="1"/>
  <c r="C49" i="9"/>
  <c r="A3" i="8" l="1"/>
  <c r="F87" i="1" l="1"/>
  <c r="C87" i="1"/>
  <c r="J4" i="7" l="1"/>
  <c r="J5" i="7"/>
  <c r="J4" i="6" l="1"/>
  <c r="J5" i="6"/>
  <c r="J6" i="6"/>
  <c r="J7" i="6"/>
  <c r="J8" i="6"/>
  <c r="J9" i="6"/>
  <c r="J10" i="6"/>
  <c r="J11" i="6"/>
  <c r="L25" i="8" l="1"/>
  <c r="B25" i="8" l="1"/>
  <c r="B26" i="8" s="1"/>
  <c r="E68" i="1"/>
  <c r="C68" i="1"/>
  <c r="B29" i="9" s="1"/>
  <c r="J98" i="3"/>
  <c r="E66" i="1"/>
  <c r="E29" i="1"/>
  <c r="C74" i="1"/>
  <c r="E67" i="1" l="1"/>
  <c r="E69" i="1"/>
  <c r="E70" i="1"/>
  <c r="G106" i="1" l="1"/>
  <c r="F105" i="1"/>
  <c r="F106" i="1"/>
  <c r="F107" i="1"/>
  <c r="G105" i="1"/>
  <c r="G107" i="1"/>
  <c r="C105" i="1"/>
  <c r="C106" i="1"/>
  <c r="C107" i="1"/>
  <c r="D106" i="1"/>
  <c r="D107" i="1"/>
  <c r="C152" i="1" l="1"/>
  <c r="H147" i="1"/>
  <c r="D85" i="3" l="1"/>
  <c r="J66" i="9" s="1"/>
  <c r="D87" i="3"/>
  <c r="J68" i="9" s="1"/>
  <c r="C80" i="1"/>
  <c r="C7" i="5"/>
  <c r="C15" i="5" s="1"/>
  <c r="B7" i="5"/>
  <c r="B15" i="5" s="1"/>
  <c r="A5" i="5"/>
  <c r="A4" i="5"/>
  <c r="A2" i="5"/>
  <c r="A1" i="5"/>
  <c r="B79" i="4"/>
  <c r="B77" i="4"/>
  <c r="G51" i="4"/>
  <c r="G12" i="9" s="1"/>
  <c r="D51" i="4"/>
  <c r="F12" i="9" s="1"/>
  <c r="G47" i="4"/>
  <c r="D47" i="4"/>
  <c r="O35" i="4"/>
  <c r="L35" i="4"/>
  <c r="G26" i="4"/>
  <c r="D26" i="4"/>
  <c r="G9" i="4"/>
  <c r="O9" i="4" s="1"/>
  <c r="D9" i="4"/>
  <c r="L9" i="4" s="1"/>
  <c r="B5" i="4"/>
  <c r="B3" i="4"/>
  <c r="B2" i="4"/>
  <c r="A116" i="3"/>
  <c r="A114" i="3"/>
  <c r="I106" i="3"/>
  <c r="J106" i="3" s="1"/>
  <c r="I103" i="3"/>
  <c r="J103" i="3" s="1"/>
  <c r="I101" i="3"/>
  <c r="J101" i="3" s="1"/>
  <c r="L76" i="3"/>
  <c r="G17" i="3"/>
  <c r="D17" i="3"/>
  <c r="G10" i="3"/>
  <c r="D10" i="3"/>
  <c r="G9" i="3"/>
  <c r="D9" i="3"/>
  <c r="A5" i="3"/>
  <c r="A3" i="3"/>
  <c r="A2" i="11" s="1"/>
  <c r="A2" i="3"/>
  <c r="G116" i="2"/>
  <c r="G116" i="3" s="1"/>
  <c r="L79" i="4" s="1"/>
  <c r="C116" i="2"/>
  <c r="C116" i="3" s="1"/>
  <c r="H79" i="4" s="1"/>
  <c r="A116" i="2"/>
  <c r="G115" i="2"/>
  <c r="G115" i="3" s="1"/>
  <c r="L78" i="4" s="1"/>
  <c r="C115" i="2"/>
  <c r="C115" i="3" s="1"/>
  <c r="H78" i="4" s="1"/>
  <c r="G114" i="2"/>
  <c r="G114" i="3" s="1"/>
  <c r="L77" i="4" s="1"/>
  <c r="C114" i="2"/>
  <c r="C114" i="3" s="1"/>
  <c r="H77" i="4" s="1"/>
  <c r="A114" i="2"/>
  <c r="I106" i="2"/>
  <c r="J106" i="2" s="1"/>
  <c r="I103" i="2"/>
  <c r="J103" i="2" s="1"/>
  <c r="I101" i="2"/>
  <c r="J101" i="2" s="1"/>
  <c r="M76" i="2"/>
  <c r="G17" i="2"/>
  <c r="D17" i="2"/>
  <c r="G10" i="2"/>
  <c r="D10" i="2"/>
  <c r="G9" i="2"/>
  <c r="D9" i="2"/>
  <c r="A5" i="2"/>
  <c r="A3" i="2"/>
  <c r="A2" i="2"/>
  <c r="G168" i="1"/>
  <c r="F168" i="1"/>
  <c r="D168" i="1"/>
  <c r="C168" i="1"/>
  <c r="G16" i="3"/>
  <c r="F165" i="1"/>
  <c r="G16" i="2" s="1"/>
  <c r="D164" i="1"/>
  <c r="C165" i="1"/>
  <c r="D16" i="2" s="1"/>
  <c r="G163" i="1"/>
  <c r="G72" i="3" s="1"/>
  <c r="G59" i="9" s="1"/>
  <c r="G60" i="9" s="1"/>
  <c r="F163" i="1"/>
  <c r="G72" i="2" s="1"/>
  <c r="D163" i="1"/>
  <c r="D72" i="3" s="1"/>
  <c r="F59" i="9" s="1"/>
  <c r="F60" i="9" s="1"/>
  <c r="C163" i="1"/>
  <c r="D72" i="2" s="1"/>
  <c r="G162" i="1"/>
  <c r="G71" i="3" s="1"/>
  <c r="F162" i="1"/>
  <c r="G71" i="2" s="1"/>
  <c r="D162" i="1"/>
  <c r="D71" i="3" s="1"/>
  <c r="C162" i="1"/>
  <c r="D71" i="2" s="1"/>
  <c r="G161" i="1"/>
  <c r="G70" i="3" s="1"/>
  <c r="F161" i="1"/>
  <c r="G70" i="2" s="1"/>
  <c r="D161" i="1"/>
  <c r="D70" i="3" s="1"/>
  <c r="C161" i="1"/>
  <c r="D70" i="2" s="1"/>
  <c r="G160" i="1"/>
  <c r="G69" i="3" s="1"/>
  <c r="F160" i="1"/>
  <c r="G69" i="2" s="1"/>
  <c r="D160" i="1"/>
  <c r="D69" i="3" s="1"/>
  <c r="C160" i="1"/>
  <c r="D69" i="2" s="1"/>
  <c r="G158" i="1"/>
  <c r="G94" i="3" s="1"/>
  <c r="F158" i="1"/>
  <c r="G94" i="2" s="1"/>
  <c r="D158" i="1"/>
  <c r="D94" i="3" s="1"/>
  <c r="C158" i="1"/>
  <c r="D94" i="2" s="1"/>
  <c r="G157" i="1"/>
  <c r="G93" i="3" s="1"/>
  <c r="F157" i="1"/>
  <c r="G93" i="2" s="1"/>
  <c r="D157" i="1"/>
  <c r="D93" i="3" s="1"/>
  <c r="C157" i="1"/>
  <c r="D93" i="2" s="1"/>
  <c r="G156" i="1"/>
  <c r="G92" i="3" s="1"/>
  <c r="F156" i="1"/>
  <c r="G92" i="2" s="1"/>
  <c r="D156" i="1"/>
  <c r="D92" i="3" s="1"/>
  <c r="C156" i="1"/>
  <c r="D92" i="2" s="1"/>
  <c r="G154" i="1"/>
  <c r="G87" i="3" s="1"/>
  <c r="K68" i="9" s="1"/>
  <c r="F154" i="1"/>
  <c r="G87" i="2" s="1"/>
  <c r="C154" i="1"/>
  <c r="D87" i="2" s="1"/>
  <c r="G86" i="3"/>
  <c r="K67" i="9" s="1"/>
  <c r="F153" i="1"/>
  <c r="G86" i="2" s="1"/>
  <c r="D86" i="3"/>
  <c r="J67" i="9" s="1"/>
  <c r="C153" i="1"/>
  <c r="D86" i="2" s="1"/>
  <c r="G85" i="3"/>
  <c r="K66" i="9" s="1"/>
  <c r="F152" i="1"/>
  <c r="G85" i="2" s="1"/>
  <c r="D85" i="2"/>
  <c r="G151" i="1"/>
  <c r="G84" i="3" s="1"/>
  <c r="F151" i="1"/>
  <c r="G84" i="2" s="1"/>
  <c r="D151" i="1"/>
  <c r="D84" i="3" s="1"/>
  <c r="C151" i="1"/>
  <c r="D84" i="2" s="1"/>
  <c r="G83" i="3"/>
  <c r="K65" i="9" s="1"/>
  <c r="F150" i="1"/>
  <c r="G83" i="2" s="1"/>
  <c r="D83" i="3"/>
  <c r="J65" i="9" s="1"/>
  <c r="C150" i="1"/>
  <c r="D83" i="2" s="1"/>
  <c r="G82" i="3"/>
  <c r="K64" i="9" s="1"/>
  <c r="F149" i="1"/>
  <c r="G82" i="2" s="1"/>
  <c r="D82" i="3"/>
  <c r="J64" i="9" s="1"/>
  <c r="D82" i="2"/>
  <c r="G148" i="1"/>
  <c r="G81" i="3" s="1"/>
  <c r="K63" i="9" s="1"/>
  <c r="F148" i="1"/>
  <c r="G81" i="2" s="1"/>
  <c r="D148" i="1"/>
  <c r="D81" i="3" s="1"/>
  <c r="J63" i="9" s="1"/>
  <c r="C148" i="1"/>
  <c r="D81" i="2" s="1"/>
  <c r="G146" i="1"/>
  <c r="G51" i="3" s="1"/>
  <c r="K49" i="9" s="1"/>
  <c r="F146" i="1"/>
  <c r="G51" i="2" s="1"/>
  <c r="D146" i="1"/>
  <c r="D51" i="3" s="1"/>
  <c r="J49" i="9" s="1"/>
  <c r="C146" i="1"/>
  <c r="D51" i="2" s="1"/>
  <c r="G145" i="1"/>
  <c r="G50" i="3" s="1"/>
  <c r="F145" i="1"/>
  <c r="G50" i="2" s="1"/>
  <c r="D145" i="1"/>
  <c r="D50" i="3" s="1"/>
  <c r="C145" i="1"/>
  <c r="D50" i="2" s="1"/>
  <c r="G144" i="1"/>
  <c r="G49" i="3" s="1"/>
  <c r="F144" i="1"/>
  <c r="G49" i="2" s="1"/>
  <c r="D144" i="1"/>
  <c r="D49" i="3" s="1"/>
  <c r="C144" i="1"/>
  <c r="D49" i="2" s="1"/>
  <c r="G143" i="1"/>
  <c r="G48" i="3" s="1"/>
  <c r="F143" i="1"/>
  <c r="G48" i="2" s="1"/>
  <c r="D143" i="1"/>
  <c r="D48" i="3" s="1"/>
  <c r="C143" i="1"/>
  <c r="D48" i="2" s="1"/>
  <c r="G141" i="1"/>
  <c r="G46" i="3" s="1"/>
  <c r="F141" i="1"/>
  <c r="G46" i="2" s="1"/>
  <c r="D141" i="1"/>
  <c r="D46" i="3" s="1"/>
  <c r="C141" i="1"/>
  <c r="D46" i="2" s="1"/>
  <c r="G140" i="1"/>
  <c r="G45" i="3" s="1"/>
  <c r="K47" i="9" s="1"/>
  <c r="F140" i="1"/>
  <c r="G45" i="2" s="1"/>
  <c r="D140" i="1"/>
  <c r="D45" i="3" s="1"/>
  <c r="J47" i="9" s="1"/>
  <c r="C140" i="1"/>
  <c r="D45" i="2" s="1"/>
  <c r="G139" i="1"/>
  <c r="G44" i="3" s="1"/>
  <c r="K46" i="9" s="1"/>
  <c r="F139" i="1"/>
  <c r="G44" i="2" s="1"/>
  <c r="D139" i="1"/>
  <c r="D44" i="3" s="1"/>
  <c r="J46" i="9" s="1"/>
  <c r="C139" i="1"/>
  <c r="D44" i="2" s="1"/>
  <c r="G138" i="1"/>
  <c r="G43" i="3" s="1"/>
  <c r="K45" i="9" s="1"/>
  <c r="F138" i="1"/>
  <c r="G43" i="2" s="1"/>
  <c r="D138" i="1"/>
  <c r="D43" i="3" s="1"/>
  <c r="J45" i="9" s="1"/>
  <c r="C138" i="1"/>
  <c r="D43" i="2" s="1"/>
  <c r="G137" i="1"/>
  <c r="G42" i="3" s="1"/>
  <c r="K44" i="9" s="1"/>
  <c r="F137" i="1"/>
  <c r="G42" i="2" s="1"/>
  <c r="D137" i="1"/>
  <c r="D42" i="3" s="1"/>
  <c r="J44" i="9" s="1"/>
  <c r="C137" i="1"/>
  <c r="D42" i="2" s="1"/>
  <c r="G136" i="1"/>
  <c r="G41" i="3" s="1"/>
  <c r="K43" i="9" s="1"/>
  <c r="F136" i="1"/>
  <c r="G41" i="2" s="1"/>
  <c r="D136" i="1"/>
  <c r="D41" i="3" s="1"/>
  <c r="J43" i="9" s="1"/>
  <c r="C136" i="1"/>
  <c r="D41" i="2" s="1"/>
  <c r="G135" i="1"/>
  <c r="G40" i="3" s="1"/>
  <c r="F135" i="1"/>
  <c r="G40" i="2" s="1"/>
  <c r="D135" i="1"/>
  <c r="D40" i="3" s="1"/>
  <c r="C135" i="1"/>
  <c r="D40" i="2" s="1"/>
  <c r="G134" i="1"/>
  <c r="G39" i="3" s="1"/>
  <c r="F134" i="1"/>
  <c r="G39" i="2" s="1"/>
  <c r="D134" i="1"/>
  <c r="D39" i="3" s="1"/>
  <c r="C134" i="1"/>
  <c r="D39" i="2" s="1"/>
  <c r="G132" i="1"/>
  <c r="G37" i="3" s="1"/>
  <c r="K41" i="9" s="1"/>
  <c r="F132" i="1"/>
  <c r="G37" i="2" s="1"/>
  <c r="D132" i="1"/>
  <c r="D37" i="3" s="1"/>
  <c r="J41" i="9" s="1"/>
  <c r="C132" i="1"/>
  <c r="D37" i="2" s="1"/>
  <c r="G131" i="1"/>
  <c r="G36" i="3" s="1"/>
  <c r="K40" i="9" s="1"/>
  <c r="F131" i="1"/>
  <c r="G36" i="2" s="1"/>
  <c r="D131" i="1"/>
  <c r="D36" i="3" s="1"/>
  <c r="J40" i="9" s="1"/>
  <c r="C131" i="1"/>
  <c r="D36" i="2" s="1"/>
  <c r="G130" i="1"/>
  <c r="G35" i="3" s="1"/>
  <c r="K39" i="9" s="1"/>
  <c r="F130" i="1"/>
  <c r="G35" i="2" s="1"/>
  <c r="D130" i="1"/>
  <c r="D35" i="3" s="1"/>
  <c r="J39" i="9" s="1"/>
  <c r="C130" i="1"/>
  <c r="D35" i="2" s="1"/>
  <c r="G129" i="1"/>
  <c r="G34" i="3" s="1"/>
  <c r="K38" i="9" s="1"/>
  <c r="F129" i="1"/>
  <c r="G34" i="2" s="1"/>
  <c r="D129" i="1"/>
  <c r="D34" i="3" s="1"/>
  <c r="J38" i="9" s="1"/>
  <c r="C129" i="1"/>
  <c r="D34" i="2" s="1"/>
  <c r="G128" i="1"/>
  <c r="G33" i="3" s="1"/>
  <c r="K37" i="9" s="1"/>
  <c r="F128" i="1"/>
  <c r="G33" i="2" s="1"/>
  <c r="D128" i="1"/>
  <c r="D33" i="3" s="1"/>
  <c r="J37" i="9" s="1"/>
  <c r="C128" i="1"/>
  <c r="D33" i="2" s="1"/>
  <c r="G127" i="1"/>
  <c r="G32" i="3" s="1"/>
  <c r="K36" i="9" s="1"/>
  <c r="F127" i="1"/>
  <c r="G32" i="2" s="1"/>
  <c r="D127" i="1"/>
  <c r="D32" i="3" s="1"/>
  <c r="J36" i="9" s="1"/>
  <c r="C127" i="1"/>
  <c r="D32" i="2" s="1"/>
  <c r="G126" i="1"/>
  <c r="G31" i="3" s="1"/>
  <c r="K35" i="9" s="1"/>
  <c r="F126" i="1"/>
  <c r="D126" i="1"/>
  <c r="D31" i="3" s="1"/>
  <c r="J35" i="9" s="1"/>
  <c r="C126" i="1"/>
  <c r="D31" i="2" s="1"/>
  <c r="G124" i="1"/>
  <c r="G67" i="3" s="1"/>
  <c r="F124" i="1"/>
  <c r="G67" i="2" s="1"/>
  <c r="D124" i="1"/>
  <c r="D67" i="3" s="1"/>
  <c r="C124" i="1"/>
  <c r="D67" i="2" s="1"/>
  <c r="G123" i="1"/>
  <c r="G66" i="3" s="1"/>
  <c r="F123" i="1"/>
  <c r="G66" i="2" s="1"/>
  <c r="D123" i="1"/>
  <c r="D66" i="3" s="1"/>
  <c r="C123" i="1"/>
  <c r="D66" i="2" s="1"/>
  <c r="G122" i="1"/>
  <c r="G65" i="3" s="1"/>
  <c r="F122" i="1"/>
  <c r="G65" i="2" s="1"/>
  <c r="D122" i="1"/>
  <c r="D65" i="3" s="1"/>
  <c r="C122" i="1"/>
  <c r="D65" i="2" s="1"/>
  <c r="G121" i="1"/>
  <c r="G64" i="3" s="1"/>
  <c r="F121" i="1"/>
  <c r="G64" i="2" s="1"/>
  <c r="D121" i="1"/>
  <c r="D64" i="3" s="1"/>
  <c r="C121" i="1"/>
  <c r="D64" i="2" s="1"/>
  <c r="G120" i="1"/>
  <c r="G63" i="3" s="1"/>
  <c r="F120" i="1"/>
  <c r="G63" i="2" s="1"/>
  <c r="D120" i="1"/>
  <c r="D63" i="3" s="1"/>
  <c r="C120" i="1"/>
  <c r="D63" i="2" s="1"/>
  <c r="G119" i="1"/>
  <c r="G62" i="3" s="1"/>
  <c r="F119" i="1"/>
  <c r="G62" i="2" s="1"/>
  <c r="D119" i="1"/>
  <c r="D62" i="3" s="1"/>
  <c r="C119" i="1"/>
  <c r="D62" i="2" s="1"/>
  <c r="G118" i="1"/>
  <c r="G61" i="3" s="1"/>
  <c r="F118" i="1"/>
  <c r="G61" i="2" s="1"/>
  <c r="D118" i="1"/>
  <c r="D61" i="3" s="1"/>
  <c r="C118" i="1"/>
  <c r="D61" i="2" s="1"/>
  <c r="G117" i="1"/>
  <c r="G60" i="3" s="1"/>
  <c r="F117" i="1"/>
  <c r="G60" i="2" s="1"/>
  <c r="D117" i="1"/>
  <c r="D60" i="3" s="1"/>
  <c r="C117" i="1"/>
  <c r="D60" i="2" s="1"/>
  <c r="G116" i="1"/>
  <c r="G59" i="3" s="1"/>
  <c r="F116" i="1"/>
  <c r="G59" i="2" s="1"/>
  <c r="D116" i="1"/>
  <c r="D59" i="3" s="1"/>
  <c r="C116" i="1"/>
  <c r="D59" i="2" s="1"/>
  <c r="G115" i="1"/>
  <c r="G58" i="3" s="1"/>
  <c r="F115" i="1"/>
  <c r="G58" i="2" s="1"/>
  <c r="D115" i="1"/>
  <c r="D58" i="3" s="1"/>
  <c r="C115" i="1"/>
  <c r="D58" i="2" s="1"/>
  <c r="G114" i="1"/>
  <c r="G57" i="3" s="1"/>
  <c r="F114" i="1"/>
  <c r="G57" i="2" s="1"/>
  <c r="D114" i="1"/>
  <c r="D57" i="3" s="1"/>
  <c r="C114" i="1"/>
  <c r="D57" i="2" s="1"/>
  <c r="G113" i="1"/>
  <c r="G56" i="3" s="1"/>
  <c r="C62" i="9" s="1"/>
  <c r="F113" i="1"/>
  <c r="G56" i="2" s="1"/>
  <c r="D113" i="1"/>
  <c r="D56" i="3" s="1"/>
  <c r="B62" i="9" s="1"/>
  <c r="C113" i="1"/>
  <c r="D56" i="2" s="1"/>
  <c r="G112" i="1"/>
  <c r="G55" i="3" s="1"/>
  <c r="C61" i="9" s="1"/>
  <c r="F112" i="1"/>
  <c r="G55" i="2" s="1"/>
  <c r="D112" i="1"/>
  <c r="D55" i="3" s="1"/>
  <c r="B61" i="9" s="1"/>
  <c r="C112" i="1"/>
  <c r="D55" i="2" s="1"/>
  <c r="G111" i="1"/>
  <c r="G54" i="3" s="1"/>
  <c r="F111" i="1"/>
  <c r="G54" i="2" s="1"/>
  <c r="D111" i="1"/>
  <c r="D54" i="3" s="1"/>
  <c r="C111" i="1"/>
  <c r="D54" i="2" s="1"/>
  <c r="G110" i="1"/>
  <c r="G53" i="3" s="1"/>
  <c r="F110" i="1"/>
  <c r="G53" i="2" s="1"/>
  <c r="D110" i="1"/>
  <c r="C110" i="1"/>
  <c r="D53" i="2" s="1"/>
  <c r="G79" i="3"/>
  <c r="K59" i="9" s="1"/>
  <c r="G79" i="2"/>
  <c r="D79" i="3"/>
  <c r="J59" i="9" s="1"/>
  <c r="G78" i="3"/>
  <c r="K58" i="9" s="1"/>
  <c r="G78" i="2"/>
  <c r="D78" i="3"/>
  <c r="J58" i="9" s="1"/>
  <c r="D78" i="2"/>
  <c r="G77" i="3"/>
  <c r="K57" i="9" s="1"/>
  <c r="G77" i="2"/>
  <c r="D105" i="1"/>
  <c r="D77" i="3" s="1"/>
  <c r="J57" i="9" s="1"/>
  <c r="D77" i="2"/>
  <c r="G103" i="1"/>
  <c r="G29" i="3" s="1"/>
  <c r="G50" i="9" s="1"/>
  <c r="F103" i="1"/>
  <c r="G29" i="2" s="1"/>
  <c r="D103" i="1"/>
  <c r="D29" i="3" s="1"/>
  <c r="F50" i="9" s="1"/>
  <c r="C103" i="1"/>
  <c r="D29" i="2" s="1"/>
  <c r="G102" i="1"/>
  <c r="G28" i="3" s="1"/>
  <c r="G49" i="9" s="1"/>
  <c r="F102" i="1"/>
  <c r="G28" i="2" s="1"/>
  <c r="D102" i="1"/>
  <c r="D28" i="3" s="1"/>
  <c r="F49" i="9" s="1"/>
  <c r="C102" i="1"/>
  <c r="D28" i="2" s="1"/>
  <c r="G101" i="1"/>
  <c r="G27" i="3" s="1"/>
  <c r="G48" i="9" s="1"/>
  <c r="F101" i="1"/>
  <c r="G27" i="2" s="1"/>
  <c r="D101" i="1"/>
  <c r="D27" i="3" s="1"/>
  <c r="F48" i="9" s="1"/>
  <c r="C101" i="1"/>
  <c r="D27" i="2" s="1"/>
  <c r="G100" i="1"/>
  <c r="G26" i="3" s="1"/>
  <c r="G47" i="9" s="1"/>
  <c r="F100" i="1"/>
  <c r="G26" i="2" s="1"/>
  <c r="D100" i="1"/>
  <c r="D26" i="3" s="1"/>
  <c r="F47" i="9" s="1"/>
  <c r="C100" i="1"/>
  <c r="D26" i="2" s="1"/>
  <c r="G99" i="1"/>
  <c r="G25" i="3" s="1"/>
  <c r="F99" i="1"/>
  <c r="G25" i="2" s="1"/>
  <c r="D99" i="1"/>
  <c r="D25" i="3" s="1"/>
  <c r="C99" i="1"/>
  <c r="D25" i="2" s="1"/>
  <c r="G98" i="1"/>
  <c r="G24" i="3" s="1"/>
  <c r="F98" i="1"/>
  <c r="G24" i="2" s="1"/>
  <c r="D98" i="1"/>
  <c r="D24" i="3" s="1"/>
  <c r="C98" i="1"/>
  <c r="D24" i="2" s="1"/>
  <c r="G97" i="1"/>
  <c r="G23" i="3" s="1"/>
  <c r="F97" i="1"/>
  <c r="G23" i="2" s="1"/>
  <c r="D97" i="1"/>
  <c r="D23" i="3" s="1"/>
  <c r="C97" i="1"/>
  <c r="D23" i="2" s="1"/>
  <c r="G96" i="1"/>
  <c r="G22" i="3" s="1"/>
  <c r="G46" i="9" s="1"/>
  <c r="F96" i="1"/>
  <c r="G22" i="2" s="1"/>
  <c r="D96" i="1"/>
  <c r="D22" i="3" s="1"/>
  <c r="F46" i="9" s="1"/>
  <c r="C96" i="1"/>
  <c r="D22" i="2" s="1"/>
  <c r="G94" i="1"/>
  <c r="G12" i="3" s="1"/>
  <c r="G38" i="9" s="1"/>
  <c r="F94" i="1"/>
  <c r="G12" i="2" s="1"/>
  <c r="D94" i="1"/>
  <c r="D12" i="3" s="1"/>
  <c r="F38" i="9" s="1"/>
  <c r="C94" i="1"/>
  <c r="D12" i="2" s="1"/>
  <c r="G92" i="1"/>
  <c r="G11" i="3" s="1"/>
  <c r="G37" i="9" s="1"/>
  <c r="F92" i="1"/>
  <c r="G11" i="2" s="1"/>
  <c r="D11" i="3"/>
  <c r="F37" i="9" s="1"/>
  <c r="D11" i="2"/>
  <c r="E84" i="1"/>
  <c r="O68" i="4" s="1"/>
  <c r="C50" i="9" s="1"/>
  <c r="C48" i="9" s="1"/>
  <c r="C84" i="1"/>
  <c r="L68" i="4" s="1"/>
  <c r="E80" i="1"/>
  <c r="E79" i="1"/>
  <c r="O58" i="4" s="1"/>
  <c r="C40" i="9" s="1"/>
  <c r="C39" i="9" s="1"/>
  <c r="C79" i="1"/>
  <c r="L58" i="4" s="1"/>
  <c r="B40" i="9" s="1"/>
  <c r="B39" i="9" s="1"/>
  <c r="E78" i="1"/>
  <c r="O55" i="4" s="1"/>
  <c r="C78" i="1"/>
  <c r="E76" i="1"/>
  <c r="O36" i="4" s="1"/>
  <c r="L36" i="4"/>
  <c r="E74" i="1"/>
  <c r="L34" i="4"/>
  <c r="E72" i="1"/>
  <c r="O31" i="4" s="1"/>
  <c r="C32" i="9" s="1"/>
  <c r="C72" i="1"/>
  <c r="E71" i="1"/>
  <c r="O29" i="4" s="1"/>
  <c r="C71" i="1"/>
  <c r="L29" i="4" s="1"/>
  <c r="C70" i="1"/>
  <c r="O28" i="4"/>
  <c r="C30" i="9" s="1"/>
  <c r="C69" i="1"/>
  <c r="O27" i="4"/>
  <c r="C29" i="9" s="1"/>
  <c r="L27" i="4"/>
  <c r="C67" i="1"/>
  <c r="B31" i="9" s="1"/>
  <c r="C66" i="1"/>
  <c r="L26" i="4" s="1"/>
  <c r="E64" i="1"/>
  <c r="O22" i="4" s="1"/>
  <c r="C64" i="1"/>
  <c r="L22" i="4" s="1"/>
  <c r="O20" i="4"/>
  <c r="K21" i="9" s="1"/>
  <c r="L20" i="4"/>
  <c r="J21" i="9" s="1"/>
  <c r="O21" i="4"/>
  <c r="K22" i="9" s="1"/>
  <c r="C62" i="1"/>
  <c r="L21" i="4" s="1"/>
  <c r="J22" i="9" s="1"/>
  <c r="E61" i="1"/>
  <c r="O47" i="4" s="1"/>
  <c r="K28" i="9" s="1"/>
  <c r="K27" i="9" s="1"/>
  <c r="C61" i="1"/>
  <c r="L47" i="4" s="1"/>
  <c r="J28" i="9" s="1"/>
  <c r="J27" i="9" s="1"/>
  <c r="E60" i="1"/>
  <c r="C60" i="1"/>
  <c r="L23" i="4" s="1"/>
  <c r="J23" i="9" s="1"/>
  <c r="E58" i="1"/>
  <c r="C58" i="1"/>
  <c r="E56" i="1"/>
  <c r="C56" i="1"/>
  <c r="E55" i="1"/>
  <c r="C55" i="1"/>
  <c r="E53" i="1"/>
  <c r="C53" i="1"/>
  <c r="E52" i="1"/>
  <c r="C52" i="1"/>
  <c r="E50" i="1"/>
  <c r="O44" i="4" s="1"/>
  <c r="G32" i="9" s="1"/>
  <c r="C50" i="1"/>
  <c r="L44" i="4" s="1"/>
  <c r="E49" i="1"/>
  <c r="O43" i="4" s="1"/>
  <c r="G31" i="9" s="1"/>
  <c r="C49" i="1"/>
  <c r="L43" i="4" s="1"/>
  <c r="F31" i="9" s="1"/>
  <c r="E48" i="1"/>
  <c r="O42" i="4" s="1"/>
  <c r="G30" i="9" s="1"/>
  <c r="C48" i="1"/>
  <c r="L42" i="4" s="1"/>
  <c r="F30" i="9" s="1"/>
  <c r="E47" i="1"/>
  <c r="C47" i="1"/>
  <c r="L13" i="4" s="1"/>
  <c r="L12" i="4" s="1"/>
  <c r="E43" i="1"/>
  <c r="G19" i="4" s="1"/>
  <c r="G3" i="9" s="1"/>
  <c r="G2" i="9" s="1"/>
  <c r="C43" i="1"/>
  <c r="D19" i="4" s="1"/>
  <c r="F3" i="9" s="1"/>
  <c r="F2" i="9" s="1"/>
  <c r="E42" i="1"/>
  <c r="C42" i="1"/>
  <c r="E40" i="1"/>
  <c r="E39" i="1" s="1"/>
  <c r="G63" i="4" s="1"/>
  <c r="C40" i="1"/>
  <c r="D63" i="4" s="1"/>
  <c r="E38" i="1"/>
  <c r="E37" i="1" s="1"/>
  <c r="G60" i="4" s="1"/>
  <c r="C38" i="1"/>
  <c r="C37" i="1" s="1"/>
  <c r="D60" i="4" s="1"/>
  <c r="E36" i="1"/>
  <c r="C36" i="1"/>
  <c r="E35" i="1"/>
  <c r="G56" i="4" s="1"/>
  <c r="G17" i="9" s="1"/>
  <c r="C35" i="1"/>
  <c r="D56" i="4" s="1"/>
  <c r="F17" i="9" s="1"/>
  <c r="C34" i="1"/>
  <c r="G55" i="4"/>
  <c r="G16" i="9" s="1"/>
  <c r="D55" i="4"/>
  <c r="F16" i="9" s="1"/>
  <c r="E32" i="1"/>
  <c r="C32" i="1"/>
  <c r="G54" i="4"/>
  <c r="G15" i="9" s="1"/>
  <c r="D54" i="4"/>
  <c r="F15" i="9" s="1"/>
  <c r="G53" i="4"/>
  <c r="G14" i="9" s="1"/>
  <c r="D53" i="4"/>
  <c r="F14" i="9" s="1"/>
  <c r="D52" i="4"/>
  <c r="F13" i="9" s="1"/>
  <c r="E24" i="1"/>
  <c r="G36" i="4" s="1"/>
  <c r="C24" i="1"/>
  <c r="D36" i="4" s="1"/>
  <c r="E23" i="1"/>
  <c r="G35" i="4" s="1"/>
  <c r="C23" i="1"/>
  <c r="D35" i="4" s="1"/>
  <c r="G34" i="4"/>
  <c r="C13" i="9" s="1"/>
  <c r="C12" i="9" s="1"/>
  <c r="C22" i="1"/>
  <c r="D34" i="4" s="1"/>
  <c r="E21" i="1"/>
  <c r="G33" i="4" s="1"/>
  <c r="C21" i="1"/>
  <c r="D33" i="4" s="1"/>
  <c r="E20" i="1"/>
  <c r="G32" i="4" s="1"/>
  <c r="C20" i="1"/>
  <c r="D32" i="4" s="1"/>
  <c r="E19" i="1"/>
  <c r="G31" i="4" s="1"/>
  <c r="C19" i="1"/>
  <c r="E17" i="1"/>
  <c r="G27" i="4" s="1"/>
  <c r="C17" i="1"/>
  <c r="D27" i="4" s="1"/>
  <c r="E16" i="1"/>
  <c r="G28" i="4" s="1"/>
  <c r="C16" i="1"/>
  <c r="D28" i="4" s="1"/>
  <c r="E14" i="1"/>
  <c r="G25" i="4" s="1"/>
  <c r="K6" i="9" s="1"/>
  <c r="C14" i="1"/>
  <c r="D25" i="4" s="1"/>
  <c r="J6" i="9" s="1"/>
  <c r="E13" i="1"/>
  <c r="G24" i="4" s="1"/>
  <c r="K5" i="9" s="1"/>
  <c r="C13" i="1"/>
  <c r="D24" i="4" s="1"/>
  <c r="J5" i="9" s="1"/>
  <c r="E12" i="1"/>
  <c r="G23" i="4" s="1"/>
  <c r="K4" i="9" s="1"/>
  <c r="C12" i="1"/>
  <c r="D23" i="4" s="1"/>
  <c r="J4" i="9" s="1"/>
  <c r="E11" i="1"/>
  <c r="C11" i="1"/>
  <c r="E9" i="1"/>
  <c r="G16" i="4" s="1"/>
  <c r="C9" i="1"/>
  <c r="D16" i="4" s="1"/>
  <c r="B6" i="9" s="1"/>
  <c r="E8" i="1"/>
  <c r="G15" i="4" s="1"/>
  <c r="C5" i="9" s="1"/>
  <c r="C8" i="1"/>
  <c r="D15" i="4" s="1"/>
  <c r="B5" i="9" s="1"/>
  <c r="E7" i="1"/>
  <c r="G14" i="4" s="1"/>
  <c r="C4" i="9" s="1"/>
  <c r="C7" i="1"/>
  <c r="E6" i="1"/>
  <c r="G13" i="4" s="1"/>
  <c r="C3" i="9" s="1"/>
  <c r="C6" i="1"/>
  <c r="K69" i="9" l="1"/>
  <c r="O61" i="4"/>
  <c r="C43" i="9" s="1"/>
  <c r="C42" i="9" s="1"/>
  <c r="G57" i="4"/>
  <c r="J69" i="9"/>
  <c r="F51" i="9"/>
  <c r="G51" i="9"/>
  <c r="D57" i="4"/>
  <c r="L61" i="4"/>
  <c r="L60" i="4" s="1"/>
  <c r="F32" i="9"/>
  <c r="F29" i="9" s="1"/>
  <c r="J11" i="9"/>
  <c r="J10" i="9" s="1"/>
  <c r="G39" i="9"/>
  <c r="G29" i="9"/>
  <c r="C13" i="10"/>
  <c r="C27" i="10" s="1"/>
  <c r="C37" i="9"/>
  <c r="C36" i="9" s="1"/>
  <c r="C40" i="11"/>
  <c r="C6" i="9"/>
  <c r="C2" i="9" s="1"/>
  <c r="K60" i="9"/>
  <c r="K11" i="9"/>
  <c r="K10" i="9" s="1"/>
  <c r="C63" i="9"/>
  <c r="J20" i="9"/>
  <c r="F39" i="9"/>
  <c r="G15" i="2"/>
  <c r="A2" i="8"/>
  <c r="A1" i="11"/>
  <c r="K13" i="10"/>
  <c r="K27" i="10" s="1"/>
  <c r="B50" i="9"/>
  <c r="C39" i="11"/>
  <c r="J60" i="9"/>
  <c r="B63" i="9"/>
  <c r="L31" i="4"/>
  <c r="B32" i="9"/>
  <c r="D66" i="4"/>
  <c r="D65" i="4" s="1"/>
  <c r="B22" i="9"/>
  <c r="B21" i="9" s="1"/>
  <c r="L28" i="4"/>
  <c r="B30" i="9"/>
  <c r="H16" i="3"/>
  <c r="C54" i="1"/>
  <c r="L17" i="4" s="1"/>
  <c r="F24" i="9" s="1"/>
  <c r="I17" i="2"/>
  <c r="J17" i="2" s="1"/>
  <c r="C142" i="1"/>
  <c r="D47" i="2" s="1"/>
  <c r="I10" i="2"/>
  <c r="J10" i="2" s="1"/>
  <c r="I10" i="3"/>
  <c r="J10" i="3" s="1"/>
  <c r="G155" i="1"/>
  <c r="G164" i="1"/>
  <c r="I94" i="3"/>
  <c r="J94" i="3" s="1"/>
  <c r="G90" i="1"/>
  <c r="E51" i="1"/>
  <c r="O16" i="4" s="1"/>
  <c r="G23" i="9" s="1"/>
  <c r="I54" i="2"/>
  <c r="J54" i="2" s="1"/>
  <c r="I62" i="2"/>
  <c r="J62" i="2" s="1"/>
  <c r="I46" i="2"/>
  <c r="J46" i="2" s="1"/>
  <c r="G104" i="1"/>
  <c r="H17" i="3"/>
  <c r="C104" i="1"/>
  <c r="C133" i="1"/>
  <c r="D38" i="2" s="1"/>
  <c r="I16" i="3"/>
  <c r="J16" i="3" s="1"/>
  <c r="L30" i="4"/>
  <c r="C51" i="1"/>
  <c r="L16" i="4" s="1"/>
  <c r="F23" i="9" s="1"/>
  <c r="D133" i="1"/>
  <c r="D38" i="3" s="1"/>
  <c r="J42" i="9" s="1"/>
  <c r="B23" i="5"/>
  <c r="B32" i="5" s="1"/>
  <c r="B19" i="5"/>
  <c r="C164" i="1"/>
  <c r="F164" i="1"/>
  <c r="D159" i="1"/>
  <c r="G159" i="1"/>
  <c r="F159" i="1"/>
  <c r="C159" i="1"/>
  <c r="C155" i="1"/>
  <c r="D155" i="1"/>
  <c r="F155" i="1"/>
  <c r="D147" i="1"/>
  <c r="D80" i="2"/>
  <c r="F147" i="1"/>
  <c r="G147" i="1"/>
  <c r="C147" i="1"/>
  <c r="D142" i="1"/>
  <c r="D47" i="3" s="1"/>
  <c r="J48" i="9" s="1"/>
  <c r="F142" i="1"/>
  <c r="G47" i="2" s="1"/>
  <c r="G142" i="1"/>
  <c r="G47" i="3" s="1"/>
  <c r="K48" i="9" s="1"/>
  <c r="G133" i="1"/>
  <c r="G38" i="3" s="1"/>
  <c r="K42" i="9" s="1"/>
  <c r="G109" i="1"/>
  <c r="C109" i="1"/>
  <c r="D79" i="2"/>
  <c r="D76" i="2" s="1"/>
  <c r="D104" i="1"/>
  <c r="D95" i="1"/>
  <c r="G95" i="1"/>
  <c r="C95" i="1"/>
  <c r="C90" i="1"/>
  <c r="D90" i="1"/>
  <c r="C73" i="1"/>
  <c r="E54" i="1"/>
  <c r="O17" i="4" s="1"/>
  <c r="G24" i="9" s="1"/>
  <c r="C41" i="1"/>
  <c r="C39" i="1"/>
  <c r="C10" i="1"/>
  <c r="D22" i="4"/>
  <c r="C5" i="1"/>
  <c r="D14" i="4"/>
  <c r="B4" i="9" s="1"/>
  <c r="E5" i="1"/>
  <c r="D13" i="4"/>
  <c r="B3" i="9" s="1"/>
  <c r="L41" i="4"/>
  <c r="O23" i="4"/>
  <c r="K23" i="9" s="1"/>
  <c r="K20" i="9" s="1"/>
  <c r="E59" i="1"/>
  <c r="F90" i="1"/>
  <c r="F95" i="1"/>
  <c r="F104" i="1"/>
  <c r="I32" i="3"/>
  <c r="J32" i="3" s="1"/>
  <c r="I33" i="3"/>
  <c r="J33" i="3" s="1"/>
  <c r="I36" i="3"/>
  <c r="J36" i="3" s="1"/>
  <c r="I37" i="3"/>
  <c r="J37" i="3" s="1"/>
  <c r="H16" i="2"/>
  <c r="E18" i="1"/>
  <c r="G59" i="4"/>
  <c r="O13" i="4"/>
  <c r="E46" i="1"/>
  <c r="O26" i="4"/>
  <c r="E65" i="1"/>
  <c r="O54" i="4"/>
  <c r="D13" i="3"/>
  <c r="D122" i="3" s="1"/>
  <c r="I11" i="3"/>
  <c r="J11" i="3" s="1"/>
  <c r="I12" i="3"/>
  <c r="I22" i="3"/>
  <c r="J22" i="3" s="1"/>
  <c r="D21" i="3"/>
  <c r="I23" i="3"/>
  <c r="J23" i="3" s="1"/>
  <c r="I24" i="3"/>
  <c r="J24" i="3" s="1"/>
  <c r="I25" i="3"/>
  <c r="J25" i="3" s="1"/>
  <c r="I26" i="3"/>
  <c r="J26" i="3" s="1"/>
  <c r="I27" i="3"/>
  <c r="J27" i="3" s="1"/>
  <c r="I28" i="3"/>
  <c r="J28" i="3" s="1"/>
  <c r="I29" i="3"/>
  <c r="J29" i="3" s="1"/>
  <c r="I77" i="3"/>
  <c r="D76" i="3"/>
  <c r="I78" i="3"/>
  <c r="J78" i="3" s="1"/>
  <c r="I79" i="3"/>
  <c r="J79" i="3" s="1"/>
  <c r="I34" i="2"/>
  <c r="J34" i="2" s="1"/>
  <c r="I39" i="3"/>
  <c r="J39" i="3" s="1"/>
  <c r="I40" i="3"/>
  <c r="J40" i="3" s="1"/>
  <c r="I41" i="3"/>
  <c r="J41" i="3" s="1"/>
  <c r="I42" i="3"/>
  <c r="J42" i="3" s="1"/>
  <c r="I43" i="3"/>
  <c r="J43" i="3" s="1"/>
  <c r="I44" i="3"/>
  <c r="J44" i="3" s="1"/>
  <c r="I45" i="3"/>
  <c r="J45" i="3" s="1"/>
  <c r="I46" i="3"/>
  <c r="J46" i="3" s="1"/>
  <c r="I48" i="3"/>
  <c r="J48" i="3" s="1"/>
  <c r="I49" i="3"/>
  <c r="J49" i="3" s="1"/>
  <c r="I50" i="3"/>
  <c r="J50" i="3" s="1"/>
  <c r="I51" i="3"/>
  <c r="J51" i="3" s="1"/>
  <c r="D80" i="3"/>
  <c r="I81" i="3"/>
  <c r="J81" i="3" s="1"/>
  <c r="I82" i="3"/>
  <c r="J82" i="3" s="1"/>
  <c r="I83" i="3"/>
  <c r="I84" i="3"/>
  <c r="J84" i="3" s="1"/>
  <c r="I85" i="3"/>
  <c r="I86" i="3"/>
  <c r="J86" i="3" s="1"/>
  <c r="I87" i="3"/>
  <c r="J87" i="3" s="1"/>
  <c r="H17" i="2"/>
  <c r="G76" i="2"/>
  <c r="I60" i="2"/>
  <c r="J60" i="2" s="1"/>
  <c r="D52" i="2"/>
  <c r="I66" i="2"/>
  <c r="J66" i="2" s="1"/>
  <c r="I34" i="3"/>
  <c r="J34" i="3" s="1"/>
  <c r="D59" i="4"/>
  <c r="L46" i="4"/>
  <c r="O57" i="4"/>
  <c r="E13" i="10" s="1"/>
  <c r="E27" i="10" s="1"/>
  <c r="D53" i="3"/>
  <c r="I55" i="3"/>
  <c r="J55" i="3" s="1"/>
  <c r="I57" i="3"/>
  <c r="J57" i="3" s="1"/>
  <c r="E25" i="1"/>
  <c r="G52" i="4"/>
  <c r="G21" i="2"/>
  <c r="I31" i="3"/>
  <c r="J31" i="3" s="1"/>
  <c r="I35" i="3"/>
  <c r="J35" i="3" s="1"/>
  <c r="G66" i="4"/>
  <c r="E41" i="1"/>
  <c r="C46" i="1"/>
  <c r="L19" i="4"/>
  <c r="C65" i="1"/>
  <c r="E77" i="1"/>
  <c r="O66" i="4"/>
  <c r="G13" i="3"/>
  <c r="H27" i="3" s="1"/>
  <c r="I54" i="3"/>
  <c r="J54" i="3" s="1"/>
  <c r="I56" i="3"/>
  <c r="J56" i="3" s="1"/>
  <c r="I58" i="3"/>
  <c r="J58" i="3" s="1"/>
  <c r="I59" i="3"/>
  <c r="J59" i="3" s="1"/>
  <c r="I60" i="3"/>
  <c r="J60" i="3" s="1"/>
  <c r="I61" i="3"/>
  <c r="J61" i="3" s="1"/>
  <c r="I62" i="3"/>
  <c r="J62" i="3" s="1"/>
  <c r="I63" i="3"/>
  <c r="J63" i="3" s="1"/>
  <c r="I64" i="3"/>
  <c r="J64" i="3" s="1"/>
  <c r="I65" i="3"/>
  <c r="J65" i="3" s="1"/>
  <c r="I66" i="3"/>
  <c r="J66" i="3" s="1"/>
  <c r="I67" i="3"/>
  <c r="J67" i="3" s="1"/>
  <c r="G15" i="3"/>
  <c r="G42" i="9" s="1"/>
  <c r="G43" i="9" s="1"/>
  <c r="G22" i="4"/>
  <c r="K3" i="9" s="1"/>
  <c r="K2" i="9" s="1"/>
  <c r="E10" i="1"/>
  <c r="D31" i="4"/>
  <c r="C18" i="1"/>
  <c r="C25" i="1"/>
  <c r="G62" i="4"/>
  <c r="D18" i="4"/>
  <c r="C59" i="1"/>
  <c r="O34" i="4"/>
  <c r="E73" i="1"/>
  <c r="L55" i="4"/>
  <c r="B37" i="9" s="1"/>
  <c r="B36" i="9" s="1"/>
  <c r="C77" i="1"/>
  <c r="D13" i="2"/>
  <c r="E60" i="2" s="1"/>
  <c r="E17" i="2"/>
  <c r="D21" i="2"/>
  <c r="I22" i="2"/>
  <c r="J22" i="2" s="1"/>
  <c r="I24" i="2"/>
  <c r="J24" i="2" s="1"/>
  <c r="I26" i="2"/>
  <c r="J26" i="2" s="1"/>
  <c r="I78" i="2"/>
  <c r="J78" i="2" s="1"/>
  <c r="D109" i="1"/>
  <c r="I44" i="2"/>
  <c r="J44" i="2" s="1"/>
  <c r="I50" i="2"/>
  <c r="J50" i="2" s="1"/>
  <c r="I82" i="2"/>
  <c r="J82" i="2" s="1"/>
  <c r="I84" i="2"/>
  <c r="J84" i="2" s="1"/>
  <c r="I93" i="2"/>
  <c r="J93" i="2" s="1"/>
  <c r="D91" i="2"/>
  <c r="I72" i="2"/>
  <c r="J72" i="2" s="1"/>
  <c r="D68" i="2"/>
  <c r="D15" i="2"/>
  <c r="I16" i="2"/>
  <c r="J16" i="2" s="1"/>
  <c r="E16" i="2"/>
  <c r="I11" i="2"/>
  <c r="J11" i="2" s="1"/>
  <c r="I69" i="3"/>
  <c r="J69" i="3" s="1"/>
  <c r="D68" i="3"/>
  <c r="O46" i="4"/>
  <c r="C19" i="5"/>
  <c r="C23" i="5"/>
  <c r="C32" i="5" s="1"/>
  <c r="F109" i="1"/>
  <c r="F133" i="1"/>
  <c r="G38" i="2" s="1"/>
  <c r="G80" i="2"/>
  <c r="G91" i="2"/>
  <c r="G68" i="2"/>
  <c r="G31" i="2"/>
  <c r="I31" i="2" s="1"/>
  <c r="J31" i="2" s="1"/>
  <c r="I36" i="2"/>
  <c r="J36" i="2" s="1"/>
  <c r="I42" i="2"/>
  <c r="J42" i="2" s="1"/>
  <c r="I58" i="2"/>
  <c r="J58" i="2" s="1"/>
  <c r="G12" i="4"/>
  <c r="G30" i="4"/>
  <c r="G18" i="4"/>
  <c r="O41" i="4"/>
  <c r="O30" i="4"/>
  <c r="C31" i="9" s="1"/>
  <c r="C28" i="9" s="1"/>
  <c r="G21" i="3"/>
  <c r="G76" i="3"/>
  <c r="G80" i="3"/>
  <c r="G91" i="3"/>
  <c r="I72" i="3"/>
  <c r="J72" i="3" s="1"/>
  <c r="G13" i="2"/>
  <c r="H23" i="2" s="1"/>
  <c r="I28" i="2"/>
  <c r="J28" i="2" s="1"/>
  <c r="G52" i="3"/>
  <c r="I70" i="3"/>
  <c r="J70" i="3" s="1"/>
  <c r="G52" i="2"/>
  <c r="D62" i="4"/>
  <c r="L33" i="4"/>
  <c r="L57" i="4"/>
  <c r="L66" i="4"/>
  <c r="I12" i="2"/>
  <c r="J12" i="2" s="1"/>
  <c r="I23" i="2"/>
  <c r="J23" i="2" s="1"/>
  <c r="I25" i="2"/>
  <c r="J25" i="2" s="1"/>
  <c r="I27" i="2"/>
  <c r="J27" i="2" s="1"/>
  <c r="I29" i="2"/>
  <c r="J29" i="2" s="1"/>
  <c r="I77" i="2"/>
  <c r="J77" i="2" s="1"/>
  <c r="I53" i="2"/>
  <c r="J53" i="2" s="1"/>
  <c r="I55" i="2"/>
  <c r="J55" i="2" s="1"/>
  <c r="I56" i="2"/>
  <c r="J56" i="2" s="1"/>
  <c r="I57" i="2"/>
  <c r="J57" i="2" s="1"/>
  <c r="I59" i="2"/>
  <c r="J59" i="2" s="1"/>
  <c r="I61" i="2"/>
  <c r="J61" i="2" s="1"/>
  <c r="I63" i="2"/>
  <c r="J63" i="2" s="1"/>
  <c r="I64" i="2"/>
  <c r="J64" i="2" s="1"/>
  <c r="I65" i="2"/>
  <c r="J65" i="2" s="1"/>
  <c r="I67" i="2"/>
  <c r="J67" i="2" s="1"/>
  <c r="I32" i="2"/>
  <c r="J32" i="2" s="1"/>
  <c r="I33" i="2"/>
  <c r="J33" i="2" s="1"/>
  <c r="I35" i="2"/>
  <c r="J35" i="2" s="1"/>
  <c r="I37" i="2"/>
  <c r="J37" i="2" s="1"/>
  <c r="I39" i="2"/>
  <c r="J39" i="2" s="1"/>
  <c r="I40" i="2"/>
  <c r="J40" i="2" s="1"/>
  <c r="I41" i="2"/>
  <c r="J41" i="2" s="1"/>
  <c r="I43" i="2"/>
  <c r="J43" i="2" s="1"/>
  <c r="I45" i="2"/>
  <c r="J45" i="2" s="1"/>
  <c r="I48" i="2"/>
  <c r="J48" i="2" s="1"/>
  <c r="I49" i="2"/>
  <c r="J49" i="2" s="1"/>
  <c r="I51" i="2"/>
  <c r="J51" i="2" s="1"/>
  <c r="I81" i="2"/>
  <c r="J81" i="2" s="1"/>
  <c r="I83" i="2"/>
  <c r="I86" i="2"/>
  <c r="J86" i="2" s="1"/>
  <c r="I92" i="2"/>
  <c r="J92" i="2" s="1"/>
  <c r="I94" i="2"/>
  <c r="J94" i="2" s="1"/>
  <c r="I69" i="2"/>
  <c r="J69" i="2" s="1"/>
  <c r="I71" i="2"/>
  <c r="J71" i="2" s="1"/>
  <c r="I85" i="2"/>
  <c r="I87" i="2"/>
  <c r="J87" i="2" s="1"/>
  <c r="E17" i="3"/>
  <c r="I17" i="3"/>
  <c r="J17" i="3" s="1"/>
  <c r="G68" i="3"/>
  <c r="O60" i="4"/>
  <c r="I71" i="3"/>
  <c r="J71" i="3" s="1"/>
  <c r="I92" i="3"/>
  <c r="J92" i="3" s="1"/>
  <c r="I93" i="3"/>
  <c r="J93" i="3" s="1"/>
  <c r="D91" i="3"/>
  <c r="C28" i="11" l="1"/>
  <c r="C29" i="11" s="1"/>
  <c r="G13" i="9"/>
  <c r="C32" i="11"/>
  <c r="B43" i="9"/>
  <c r="B42" i="9" s="1"/>
  <c r="F22" i="9"/>
  <c r="G22" i="9"/>
  <c r="J50" i="9"/>
  <c r="K50" i="9"/>
  <c r="C19" i="11"/>
  <c r="C22" i="9"/>
  <c r="C21" i="9" s="1"/>
  <c r="B2" i="9"/>
  <c r="H15" i="3"/>
  <c r="C18" i="11"/>
  <c r="B48" i="9"/>
  <c r="C20" i="11"/>
  <c r="G17" i="10"/>
  <c r="G13" i="10"/>
  <c r="G18" i="9"/>
  <c r="G11" i="9" s="1"/>
  <c r="C11" i="11"/>
  <c r="B28" i="9"/>
  <c r="B24" i="5"/>
  <c r="B25" i="5" s="1"/>
  <c r="B26" i="5" s="1"/>
  <c r="J3" i="9"/>
  <c r="J2" i="9" s="1"/>
  <c r="L25" i="4"/>
  <c r="D50" i="4"/>
  <c r="D69" i="4" s="1"/>
  <c r="F18" i="9"/>
  <c r="F11" i="9" s="1"/>
  <c r="E37" i="3"/>
  <c r="E36" i="2"/>
  <c r="L15" i="4"/>
  <c r="D30" i="2"/>
  <c r="E30" i="2" s="1"/>
  <c r="E86" i="2"/>
  <c r="E55" i="2"/>
  <c r="E42" i="2"/>
  <c r="I47" i="2"/>
  <c r="J47" i="2" s="1"/>
  <c r="I80" i="2"/>
  <c r="J80" i="2" s="1"/>
  <c r="E64" i="3"/>
  <c r="E22" i="3"/>
  <c r="D30" i="3"/>
  <c r="E30" i="3" s="1"/>
  <c r="E23" i="2"/>
  <c r="E45" i="2"/>
  <c r="D21" i="4"/>
  <c r="E16" i="3"/>
  <c r="H76" i="3"/>
  <c r="E72" i="3"/>
  <c r="E29" i="2"/>
  <c r="E66" i="3"/>
  <c r="E64" i="2"/>
  <c r="E31" i="2"/>
  <c r="E63" i="2"/>
  <c r="E54" i="2"/>
  <c r="D89" i="1"/>
  <c r="G89" i="1"/>
  <c r="H34" i="2"/>
  <c r="H80" i="3"/>
  <c r="H67" i="3"/>
  <c r="O15" i="4"/>
  <c r="H53" i="2"/>
  <c r="H70" i="3"/>
  <c r="H44" i="3"/>
  <c r="H55" i="3"/>
  <c r="H58" i="2"/>
  <c r="H52" i="3"/>
  <c r="H50" i="3"/>
  <c r="H63" i="3"/>
  <c r="H21" i="3"/>
  <c r="H34" i="3"/>
  <c r="H41" i="3"/>
  <c r="H93" i="3"/>
  <c r="H91" i="3"/>
  <c r="H37" i="3"/>
  <c r="H79" i="3"/>
  <c r="H54" i="3"/>
  <c r="H53" i="3"/>
  <c r="E41" i="2"/>
  <c r="E85" i="2"/>
  <c r="E37" i="2"/>
  <c r="E62" i="2"/>
  <c r="E22" i="2"/>
  <c r="D125" i="1"/>
  <c r="D108" i="1" s="1"/>
  <c r="E47" i="3"/>
  <c r="C125" i="1"/>
  <c r="C108" i="1" s="1"/>
  <c r="H86" i="3"/>
  <c r="H39" i="3"/>
  <c r="H57" i="3"/>
  <c r="H29" i="3"/>
  <c r="H25" i="3"/>
  <c r="E70" i="3"/>
  <c r="B11" i="5"/>
  <c r="E58" i="3"/>
  <c r="E54" i="3"/>
  <c r="E57" i="3"/>
  <c r="B14" i="5"/>
  <c r="E38" i="3"/>
  <c r="E84" i="3"/>
  <c r="E81" i="3"/>
  <c r="E39" i="3"/>
  <c r="E79" i="3"/>
  <c r="E26" i="3"/>
  <c r="D15" i="3"/>
  <c r="E15" i="3" s="1"/>
  <c r="E69" i="3"/>
  <c r="E65" i="3"/>
  <c r="E60" i="3"/>
  <c r="E45" i="3"/>
  <c r="E28" i="3"/>
  <c r="E92" i="3"/>
  <c r="I79" i="2"/>
  <c r="J79" i="2" s="1"/>
  <c r="E62" i="3"/>
  <c r="E56" i="3"/>
  <c r="E55" i="3"/>
  <c r="E34" i="3"/>
  <c r="E51" i="3"/>
  <c r="E76" i="3"/>
  <c r="I47" i="3"/>
  <c r="J47" i="3" s="1"/>
  <c r="G30" i="3"/>
  <c r="C10" i="5" s="1"/>
  <c r="C13" i="5" s="1"/>
  <c r="H47" i="3"/>
  <c r="I38" i="3"/>
  <c r="J38" i="3" s="1"/>
  <c r="G125" i="1"/>
  <c r="G108" i="1" s="1"/>
  <c r="C89" i="1"/>
  <c r="F89" i="1"/>
  <c r="H47" i="2"/>
  <c r="H79" i="2"/>
  <c r="E94" i="3"/>
  <c r="E71" i="3"/>
  <c r="H69" i="2"/>
  <c r="E48" i="2"/>
  <c r="H10" i="2"/>
  <c r="E47" i="2"/>
  <c r="E39" i="2"/>
  <c r="E61" i="2"/>
  <c r="E53" i="2"/>
  <c r="H59" i="2"/>
  <c r="H71" i="3"/>
  <c r="H92" i="3"/>
  <c r="H51" i="3"/>
  <c r="H45" i="3"/>
  <c r="H38" i="3"/>
  <c r="H31" i="3"/>
  <c r="H62" i="3"/>
  <c r="C14" i="5"/>
  <c r="H77" i="3"/>
  <c r="H22" i="3"/>
  <c r="H61" i="3"/>
  <c r="H94" i="2"/>
  <c r="H50" i="2"/>
  <c r="H58" i="3"/>
  <c r="E93" i="2"/>
  <c r="E84" i="2"/>
  <c r="E25" i="2"/>
  <c r="H48" i="3"/>
  <c r="E67" i="3"/>
  <c r="E63" i="3"/>
  <c r="E61" i="3"/>
  <c r="E59" i="3"/>
  <c r="H24" i="3"/>
  <c r="E31" i="3"/>
  <c r="E86" i="3"/>
  <c r="E82" i="3"/>
  <c r="E50" i="3"/>
  <c r="E48" i="3"/>
  <c r="E46" i="3"/>
  <c r="E44" i="3"/>
  <c r="E42" i="3"/>
  <c r="E40" i="3"/>
  <c r="E77" i="3"/>
  <c r="E29" i="3"/>
  <c r="E27" i="3"/>
  <c r="E25" i="3"/>
  <c r="E23" i="3"/>
  <c r="H68" i="3"/>
  <c r="E57" i="2"/>
  <c r="E32" i="2"/>
  <c r="E69" i="2"/>
  <c r="E87" i="2"/>
  <c r="E83" i="2"/>
  <c r="E46" i="2"/>
  <c r="E38" i="2"/>
  <c r="H36" i="2"/>
  <c r="H52" i="2"/>
  <c r="E58" i="2"/>
  <c r="H72" i="3"/>
  <c r="H69" i="3"/>
  <c r="H81" i="3"/>
  <c r="H49" i="3"/>
  <c r="H43" i="3"/>
  <c r="H32" i="3"/>
  <c r="H64" i="3"/>
  <c r="H56" i="3"/>
  <c r="H78" i="3"/>
  <c r="H28" i="3"/>
  <c r="H84" i="3"/>
  <c r="H35" i="3"/>
  <c r="H82" i="2"/>
  <c r="H46" i="3"/>
  <c r="E80" i="2"/>
  <c r="H33" i="3"/>
  <c r="E27" i="2"/>
  <c r="E11" i="2"/>
  <c r="H40" i="3"/>
  <c r="E35" i="3"/>
  <c r="H26" i="2"/>
  <c r="E87" i="3"/>
  <c r="E85" i="3"/>
  <c r="E83" i="3"/>
  <c r="E49" i="3"/>
  <c r="E43" i="3"/>
  <c r="E41" i="3"/>
  <c r="E78" i="3"/>
  <c r="E24" i="3"/>
  <c r="E32" i="3"/>
  <c r="H62" i="2"/>
  <c r="H83" i="2"/>
  <c r="E36" i="3"/>
  <c r="H38" i="2"/>
  <c r="H87" i="3"/>
  <c r="H65" i="3"/>
  <c r="H26" i="3"/>
  <c r="E28" i="2"/>
  <c r="H36" i="3"/>
  <c r="H54" i="2"/>
  <c r="E78" i="2"/>
  <c r="E24" i="2"/>
  <c r="H85" i="3"/>
  <c r="H33" i="2"/>
  <c r="H12" i="3"/>
  <c r="H24" i="2"/>
  <c r="H60" i="3"/>
  <c r="H39" i="2"/>
  <c r="H25" i="2"/>
  <c r="E4" i="1"/>
  <c r="I53" i="3"/>
  <c r="J53" i="3" s="1"/>
  <c r="E53" i="3"/>
  <c r="D52" i="3"/>
  <c r="H67" i="2"/>
  <c r="O19" i="4"/>
  <c r="C22" i="11" s="1"/>
  <c r="C12" i="5"/>
  <c r="H68" i="2"/>
  <c r="H84" i="2"/>
  <c r="H51" i="2"/>
  <c r="H42" i="2"/>
  <c r="H60" i="2"/>
  <c r="H41" i="2"/>
  <c r="E72" i="2"/>
  <c r="E82" i="2"/>
  <c r="E50" i="2"/>
  <c r="H63" i="2"/>
  <c r="H55" i="2"/>
  <c r="H15" i="2"/>
  <c r="H82" i="3"/>
  <c r="H37" i="2"/>
  <c r="G65" i="4"/>
  <c r="H28" i="2"/>
  <c r="H87" i="2"/>
  <c r="E66" i="2"/>
  <c r="H77" i="2"/>
  <c r="E21" i="3"/>
  <c r="I21" i="3"/>
  <c r="J21" i="3" s="1"/>
  <c r="E12" i="3"/>
  <c r="E11" i="3"/>
  <c r="O12" i="4"/>
  <c r="H85" i="2"/>
  <c r="H45" i="2"/>
  <c r="H27" i="2"/>
  <c r="I38" i="2"/>
  <c r="J38" i="2" s="1"/>
  <c r="C4" i="1"/>
  <c r="I91" i="3"/>
  <c r="J91" i="3" s="1"/>
  <c r="E91" i="3"/>
  <c r="G30" i="2"/>
  <c r="H30" i="2" s="1"/>
  <c r="H31" i="2"/>
  <c r="H93" i="2"/>
  <c r="H81" i="2"/>
  <c r="H44" i="2"/>
  <c r="H35" i="2"/>
  <c r="E68" i="3"/>
  <c r="I68" i="3"/>
  <c r="J68" i="3" s="1"/>
  <c r="I15" i="2"/>
  <c r="J15" i="2" s="1"/>
  <c r="E15" i="2"/>
  <c r="H61" i="2"/>
  <c r="I21" i="2"/>
  <c r="J21" i="2" s="1"/>
  <c r="E21" i="2"/>
  <c r="E106" i="2"/>
  <c r="E103" i="2"/>
  <c r="E101" i="2"/>
  <c r="E13" i="2"/>
  <c r="E94" i="2"/>
  <c r="E81" i="2"/>
  <c r="E71" i="2"/>
  <c r="E65" i="2"/>
  <c r="E56" i="2"/>
  <c r="E49" i="2"/>
  <c r="E40" i="2"/>
  <c r="E33" i="2"/>
  <c r="D19" i="2"/>
  <c r="I13" i="2"/>
  <c r="J13" i="2" s="1"/>
  <c r="E10" i="2"/>
  <c r="E92" i="2"/>
  <c r="E77" i="2"/>
  <c r="E59" i="2"/>
  <c r="E43" i="2"/>
  <c r="D30" i="4"/>
  <c r="B13" i="9" s="1"/>
  <c r="B12" i="9" s="1"/>
  <c r="C24" i="5"/>
  <c r="C25" i="5" s="1"/>
  <c r="C26" i="5" s="1"/>
  <c r="G21" i="4"/>
  <c r="C11" i="5"/>
  <c r="F125" i="1"/>
  <c r="F108" i="1" s="1"/>
  <c r="H13" i="3"/>
  <c r="H103" i="3"/>
  <c r="H106" i="3"/>
  <c r="G19" i="3"/>
  <c r="H101" i="3"/>
  <c r="H10" i="3"/>
  <c r="H66" i="3"/>
  <c r="H42" i="3"/>
  <c r="H23" i="3"/>
  <c r="H94" i="3"/>
  <c r="H83" i="3"/>
  <c r="H11" i="3"/>
  <c r="C45" i="1"/>
  <c r="H22" i="2"/>
  <c r="H40" i="2"/>
  <c r="E52" i="2"/>
  <c r="I52" i="2"/>
  <c r="J52" i="2" s="1"/>
  <c r="H78" i="2"/>
  <c r="H11" i="2"/>
  <c r="I80" i="3"/>
  <c r="J80" i="3" s="1"/>
  <c r="E80" i="3"/>
  <c r="E35" i="2"/>
  <c r="H59" i="3"/>
  <c r="H49" i="2"/>
  <c r="D12" i="4"/>
  <c r="O49" i="4"/>
  <c r="O33" i="4"/>
  <c r="C24" i="11" s="1"/>
  <c r="I76" i="3"/>
  <c r="J76" i="3" s="1"/>
  <c r="J77" i="3"/>
  <c r="O25" i="4"/>
  <c r="G19" i="2"/>
  <c r="H101" i="2"/>
  <c r="H106" i="2"/>
  <c r="H103" i="2"/>
  <c r="H86" i="2"/>
  <c r="H64" i="2"/>
  <c r="H48" i="2"/>
  <c r="H32" i="2"/>
  <c r="H13" i="2"/>
  <c r="H72" i="2"/>
  <c r="H91" i="2"/>
  <c r="H80" i="2"/>
  <c r="H43" i="2"/>
  <c r="H66" i="2"/>
  <c r="H57" i="2"/>
  <c r="E68" i="2"/>
  <c r="I68" i="2"/>
  <c r="J68" i="2" s="1"/>
  <c r="I91" i="2"/>
  <c r="J91" i="2" s="1"/>
  <c r="E91" i="2"/>
  <c r="E51" i="2"/>
  <c r="E44" i="2"/>
  <c r="H65" i="2"/>
  <c r="H56" i="2"/>
  <c r="E76" i="2"/>
  <c r="I76" i="2"/>
  <c r="J76" i="2" s="1"/>
  <c r="E26" i="2"/>
  <c r="E12" i="2"/>
  <c r="L54" i="4"/>
  <c r="H21" i="2"/>
  <c r="G50" i="4"/>
  <c r="H71" i="2"/>
  <c r="E67" i="2"/>
  <c r="H76" i="2"/>
  <c r="E34" i="2"/>
  <c r="E106" i="3"/>
  <c r="E103" i="3"/>
  <c r="E101" i="3"/>
  <c r="E93" i="3"/>
  <c r="E13" i="3"/>
  <c r="E10" i="3"/>
  <c r="I13" i="3"/>
  <c r="J13" i="3" s="1"/>
  <c r="E45" i="1"/>
  <c r="H92" i="2"/>
  <c r="H46" i="2"/>
  <c r="E33" i="3"/>
  <c r="H29" i="2"/>
  <c r="L49" i="4"/>
  <c r="H12" i="2"/>
  <c r="C23" i="11" l="1"/>
  <c r="C17" i="11"/>
  <c r="C16" i="11"/>
  <c r="C28" i="5"/>
  <c r="C29" i="5" s="1"/>
  <c r="C21" i="11"/>
  <c r="G27" i="10"/>
  <c r="S17" i="10"/>
  <c r="O23" i="10"/>
  <c r="L38" i="4"/>
  <c r="L51" i="4" s="1"/>
  <c r="B21" i="5" s="1"/>
  <c r="F42" i="9"/>
  <c r="F43" i="9" s="1"/>
  <c r="D124" i="3"/>
  <c r="I15" i="3"/>
  <c r="J15" i="3" s="1"/>
  <c r="B28" i="5"/>
  <c r="B29" i="5" s="1"/>
  <c r="B30" i="5" s="1"/>
  <c r="E85" i="1"/>
  <c r="E86" i="1" s="1"/>
  <c r="C85" i="1"/>
  <c r="I30" i="3"/>
  <c r="J30" i="3" s="1"/>
  <c r="H30" i="3"/>
  <c r="D19" i="3"/>
  <c r="I19" i="3" s="1"/>
  <c r="J19" i="3" s="1"/>
  <c r="D118" i="2"/>
  <c r="G118" i="3"/>
  <c r="D118" i="3"/>
  <c r="G118" i="2"/>
  <c r="G69" i="4"/>
  <c r="H19" i="3"/>
  <c r="C33" i="5" s="1"/>
  <c r="G74" i="3"/>
  <c r="E52" i="3"/>
  <c r="B10" i="5"/>
  <c r="B13" i="5" s="1"/>
  <c r="I52" i="3"/>
  <c r="J52" i="3" s="1"/>
  <c r="D38" i="4"/>
  <c r="S38" i="4" s="1"/>
  <c r="B12" i="5"/>
  <c r="I30" i="2"/>
  <c r="J30" i="2" s="1"/>
  <c r="G38" i="4"/>
  <c r="G74" i="2"/>
  <c r="H19" i="2"/>
  <c r="O38" i="4"/>
  <c r="D74" i="2"/>
  <c r="E19" i="2"/>
  <c r="I19" i="2"/>
  <c r="J19" i="2" s="1"/>
  <c r="C86" i="1" l="1"/>
  <c r="D74" i="3"/>
  <c r="I74" i="3" s="1"/>
  <c r="J74" i="3" s="1"/>
  <c r="C30" i="5"/>
  <c r="E19" i="3"/>
  <c r="B33" i="5" s="1"/>
  <c r="D89" i="2"/>
  <c r="I74" i="2"/>
  <c r="J74" i="2" s="1"/>
  <c r="E74" i="2"/>
  <c r="C16" i="5"/>
  <c r="C17" i="5"/>
  <c r="G89" i="3"/>
  <c r="H74" i="3"/>
  <c r="C34" i="5" s="1"/>
  <c r="G71" i="4"/>
  <c r="H38" i="4" s="1"/>
  <c r="B16" i="5"/>
  <c r="B17" i="5"/>
  <c r="H74" i="2"/>
  <c r="G89" i="2"/>
  <c r="D71" i="4"/>
  <c r="E38" i="4" s="1"/>
  <c r="O51" i="4"/>
  <c r="E74" i="3" l="1"/>
  <c r="B34" i="5" s="1"/>
  <c r="D89" i="3"/>
  <c r="H69" i="4"/>
  <c r="B20" i="5"/>
  <c r="C20" i="5"/>
  <c r="E71" i="4"/>
  <c r="E48" i="4"/>
  <c r="E27" i="4"/>
  <c r="E65" i="4"/>
  <c r="E54" i="4"/>
  <c r="E14" i="4"/>
  <c r="E28" i="4"/>
  <c r="E63" i="4"/>
  <c r="E23" i="4"/>
  <c r="E34" i="4"/>
  <c r="E52" i="4"/>
  <c r="E15" i="4"/>
  <c r="E56" i="4"/>
  <c r="E53" i="4"/>
  <c r="E26" i="4"/>
  <c r="E32" i="4"/>
  <c r="E25" i="4"/>
  <c r="E36" i="4"/>
  <c r="E33" i="4"/>
  <c r="E19" i="4"/>
  <c r="E22" i="4"/>
  <c r="E47" i="4"/>
  <c r="E24" i="4"/>
  <c r="E57" i="4"/>
  <c r="E51" i="4"/>
  <c r="E60" i="4"/>
  <c r="E55" i="4"/>
  <c r="E16" i="4"/>
  <c r="E66" i="4"/>
  <c r="E31" i="4"/>
  <c r="E50" i="4"/>
  <c r="E21" i="4"/>
  <c r="E59" i="4"/>
  <c r="E13" i="4"/>
  <c r="E18" i="4"/>
  <c r="E62" i="4"/>
  <c r="E69" i="4"/>
  <c r="E30" i="4"/>
  <c r="E12" i="4"/>
  <c r="H48" i="4"/>
  <c r="H71" i="4"/>
  <c r="H51" i="4"/>
  <c r="H53" i="4"/>
  <c r="H33" i="4"/>
  <c r="H14" i="4"/>
  <c r="H28" i="4"/>
  <c r="H25" i="4"/>
  <c r="H54" i="4"/>
  <c r="H34" i="4"/>
  <c r="H16" i="4"/>
  <c r="H60" i="4"/>
  <c r="H32" i="4"/>
  <c r="H63" i="4"/>
  <c r="H13" i="4"/>
  <c r="H27" i="4"/>
  <c r="H55" i="4"/>
  <c r="H57" i="4"/>
  <c r="H36" i="4"/>
  <c r="H24" i="4"/>
  <c r="H23" i="4"/>
  <c r="H19" i="4"/>
  <c r="H47" i="4"/>
  <c r="H15" i="4"/>
  <c r="H31" i="4"/>
  <c r="H56" i="4"/>
  <c r="H62" i="4"/>
  <c r="H66" i="4"/>
  <c r="H22" i="4"/>
  <c r="H18" i="4"/>
  <c r="H52" i="4"/>
  <c r="H30" i="4"/>
  <c r="H59" i="4"/>
  <c r="H12" i="4"/>
  <c r="H21" i="4"/>
  <c r="H50" i="4"/>
  <c r="H65" i="4"/>
  <c r="C21" i="5"/>
  <c r="G96" i="2"/>
  <c r="H89" i="2"/>
  <c r="H89" i="3"/>
  <c r="G96" i="3"/>
  <c r="I89" i="2"/>
  <c r="J89" i="2" s="1"/>
  <c r="E89" i="2"/>
  <c r="D96" i="2"/>
  <c r="D96" i="3" l="1"/>
  <c r="B8" i="8"/>
  <c r="E89" i="3"/>
  <c r="I89" i="3"/>
  <c r="J89" i="3" s="1"/>
  <c r="H96" i="2"/>
  <c r="G109" i="2"/>
  <c r="G109" i="3"/>
  <c r="H96" i="3"/>
  <c r="D109" i="2"/>
  <c r="E109" i="2" s="1"/>
  <c r="E96" i="2"/>
  <c r="I96" i="2"/>
  <c r="J96" i="2" s="1"/>
  <c r="I96" i="3" l="1"/>
  <c r="J96" i="3" s="1"/>
  <c r="D109" i="3"/>
  <c r="B8" i="5" s="1"/>
  <c r="E96" i="3"/>
  <c r="B17" i="8"/>
  <c r="B22" i="8" s="1"/>
  <c r="C8" i="5"/>
  <c r="O64" i="4"/>
  <c r="C9" i="5"/>
  <c r="H109" i="3"/>
  <c r="C35" i="5" s="1"/>
  <c r="J109" i="2"/>
  <c r="H109" i="2"/>
  <c r="I23" i="10" l="1"/>
  <c r="S23" i="10" s="1"/>
  <c r="C46" i="9"/>
  <c r="C45" i="9" s="1"/>
  <c r="C51" i="9" s="1"/>
  <c r="B9" i="5"/>
  <c r="C8" i="11"/>
  <c r="C14" i="11" s="1"/>
  <c r="C25" i="11" s="1"/>
  <c r="I109" i="3"/>
  <c r="J109" i="3" s="1"/>
  <c r="E109" i="3"/>
  <c r="B35" i="5" s="1"/>
  <c r="L64" i="4"/>
  <c r="B23" i="8"/>
  <c r="B28" i="8" s="1"/>
  <c r="B31" i="8" s="1"/>
  <c r="B33" i="8"/>
  <c r="O63" i="4"/>
  <c r="C33" i="11" s="1"/>
  <c r="L63" i="4" l="1"/>
  <c r="I25" i="10" s="1"/>
  <c r="B46" i="9"/>
  <c r="B45" i="9" s="1"/>
  <c r="B51" i="9" s="1"/>
  <c r="C36" i="11"/>
  <c r="C37" i="11" s="1"/>
  <c r="C41" i="11" s="1"/>
  <c r="I13" i="10"/>
  <c r="B36" i="8"/>
  <c r="O69" i="4"/>
  <c r="L69" i="4" l="1"/>
  <c r="L71" i="4" s="1"/>
  <c r="G41" i="11"/>
  <c r="I41" i="11"/>
  <c r="O25" i="10"/>
  <c r="I27" i="10"/>
  <c r="S13" i="10"/>
  <c r="C38" i="8"/>
  <c r="C36" i="8"/>
  <c r="O71" i="4"/>
  <c r="C36" i="5"/>
  <c r="M29" i="4" l="1"/>
  <c r="M30" i="4"/>
  <c r="M31" i="4"/>
  <c r="M34" i="4"/>
  <c r="M35" i="4"/>
  <c r="M36" i="4"/>
  <c r="B36" i="5"/>
  <c r="S25" i="10"/>
  <c r="S27" i="10" s="1"/>
  <c r="O27" i="10"/>
  <c r="P71" i="4"/>
  <c r="P22" i="4"/>
  <c r="P27" i="4"/>
  <c r="P55" i="4"/>
  <c r="P17" i="4"/>
  <c r="P58" i="4"/>
  <c r="P20" i="4"/>
  <c r="P68" i="4"/>
  <c r="P36" i="4"/>
  <c r="P21" i="4"/>
  <c r="P43" i="4"/>
  <c r="P31" i="4"/>
  <c r="P42" i="4"/>
  <c r="P47" i="4"/>
  <c r="P67" i="4"/>
  <c r="P44" i="4"/>
  <c r="P61" i="4"/>
  <c r="P16" i="4"/>
  <c r="P29" i="4"/>
  <c r="P28" i="4"/>
  <c r="P35" i="4"/>
  <c r="P34" i="4"/>
  <c r="P30" i="4"/>
  <c r="P41" i="4"/>
  <c r="P66" i="4"/>
  <c r="P23" i="4"/>
  <c r="P54" i="4"/>
  <c r="P13" i="4"/>
  <c r="P26" i="4"/>
  <c r="P60" i="4"/>
  <c r="P46" i="4"/>
  <c r="P15" i="4"/>
  <c r="P57" i="4"/>
  <c r="P25" i="4"/>
  <c r="P19" i="4"/>
  <c r="P49" i="4"/>
  <c r="P33" i="4"/>
  <c r="P12" i="4"/>
  <c r="P38" i="4"/>
  <c r="P51" i="4"/>
  <c r="O80" i="4"/>
  <c r="P64" i="4"/>
  <c r="P63" i="4"/>
  <c r="M71" i="4"/>
  <c r="M17" i="4"/>
  <c r="M68" i="4"/>
  <c r="M43" i="4"/>
  <c r="M26" i="4"/>
  <c r="M58" i="4"/>
  <c r="M16" i="4"/>
  <c r="M42" i="4"/>
  <c r="M23" i="4"/>
  <c r="M47" i="4"/>
  <c r="M44" i="4"/>
  <c r="M12" i="4"/>
  <c r="M27" i="4"/>
  <c r="M21" i="4"/>
  <c r="M61" i="4"/>
  <c r="M28" i="4"/>
  <c r="M13" i="4"/>
  <c r="M20" i="4"/>
  <c r="M22" i="4"/>
  <c r="M67" i="4"/>
  <c r="M66" i="4"/>
  <c r="M60" i="4"/>
  <c r="M57" i="4"/>
  <c r="M46" i="4"/>
  <c r="M15" i="4"/>
  <c r="M33" i="4"/>
  <c r="M55" i="4"/>
  <c r="M25" i="4"/>
  <c r="M19" i="4"/>
  <c r="M41" i="4"/>
  <c r="M49" i="4"/>
  <c r="M38" i="4"/>
  <c r="M54" i="4"/>
  <c r="M51" i="4"/>
  <c r="L80" i="4"/>
  <c r="M64" i="4"/>
  <c r="M63" i="4"/>
  <c r="P69" i="4"/>
  <c r="M6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6" authorId="0" shapeId="0" xr:uid="{00000000-0006-0000-0000-000001000000}">
      <text>
        <r>
          <rPr>
            <sz val="11"/>
            <color rgb="FF000000"/>
            <rFont val="Calibri"/>
            <family val="2"/>
          </rPr>
          <t xml:space="preserve">XYZ S.A.S
</t>
        </r>
      </text>
    </comment>
    <comment ref="H7" authorId="0" shapeId="0" xr:uid="{00000000-0006-0000-0000-000002000000}">
      <text>
        <r>
          <rPr>
            <sz val="11"/>
            <color rgb="FF000000"/>
            <rFont val="Calibri"/>
            <family val="2"/>
          </rPr>
          <t xml:space="preserve">NIT: 900
</t>
        </r>
      </text>
    </comment>
    <comment ref="H8" authorId="0" shapeId="0" xr:uid="{00000000-0006-0000-0000-000003000000}">
      <text>
        <r>
          <rPr>
            <sz val="11"/>
            <color rgb="FF000000"/>
            <rFont val="Calibri"/>
            <family val="2"/>
          </rPr>
          <t xml:space="preserve">A 30 de noviembre de 2017  y 2016
</t>
        </r>
      </text>
    </comment>
    <comment ref="H9" authorId="0" shapeId="0" xr:uid="{00000000-0006-0000-0000-000004000000}">
      <text>
        <r>
          <rPr>
            <sz val="11"/>
            <color rgb="FF000000"/>
            <rFont val="Calibri"/>
            <family val="2"/>
          </rPr>
          <t xml:space="preserve">11
</t>
        </r>
      </text>
    </comment>
    <comment ref="H10" authorId="0" shapeId="0" xr:uid="{00000000-0006-0000-0000-000005000000}">
      <text>
        <r>
          <rPr>
            <sz val="11"/>
            <color rgb="FF000000"/>
            <rFont val="Calibri"/>
            <family val="2"/>
          </rPr>
          <t xml:space="preserve">2017-11:
</t>
        </r>
      </text>
    </comment>
    <comment ref="H11" authorId="0" shapeId="0" xr:uid="{00000000-0006-0000-0000-000006000000}">
      <text>
        <r>
          <rPr>
            <sz val="11"/>
            <color rgb="FF000000"/>
            <rFont val="Calibri"/>
            <family val="2"/>
          </rPr>
          <t xml:space="preserve">2016-11
</t>
        </r>
      </text>
    </comment>
    <comment ref="H13" authorId="0" shapeId="0" xr:uid="{00000000-0006-0000-0000-000007000000}">
      <text>
        <r>
          <rPr>
            <sz val="11"/>
            <color rgb="FF000000"/>
            <rFont val="Calibri"/>
            <family val="2"/>
          </rPr>
          <t xml:space="preserve">C.C 123
</t>
        </r>
      </text>
    </comment>
    <comment ref="H15" authorId="0" shapeId="0" xr:uid="{1B61F184-F326-46C4-A556-33DBEBA3EF4A}">
      <text>
        <r>
          <rPr>
            <sz val="11"/>
            <color rgb="FF000000"/>
            <rFont val="Calibri"/>
            <family val="2"/>
          </rPr>
          <t>USUARIO:
456-T</t>
        </r>
      </text>
    </comment>
    <comment ref="H17" authorId="0" shapeId="0" xr:uid="{00000000-0006-0000-0000-000009000000}">
      <text>
        <r>
          <rPr>
            <sz val="11"/>
            <color rgb="FF000000"/>
            <rFont val="Calibri"/>
            <family val="2"/>
          </rPr>
          <t>USUARIO:
456-T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600-000001000000}">
      <text>
        <r>
          <rPr>
            <sz val="11"/>
            <color rgb="FF000000"/>
            <rFont val="Calibri"/>
            <family val="2"/>
          </rPr>
          <t xml:space="preserve">Determina las ganancias o la utilidad
obtenida por una empresa o proyecto,
sin tener en cuenta los gastos financieros,
los impuestos y demás gastos
contables que no implican salida de
dinero en efectivo, como las depreciaciones
y las amortizaciones. En otras
palabras, determina la capacidad de
generar caja en la empresa.
</t>
        </r>
      </text>
    </comment>
    <comment ref="C9" authorId="0" shapeId="0" xr:uid="{00000000-0006-0000-0600-000002000000}">
      <text>
        <r>
          <rPr>
            <sz val="11"/>
            <color rgb="FF000000"/>
            <rFont val="Calibri"/>
            <family val="2"/>
          </rPr>
          <t xml:space="preserve">Determina las ganancias o la utilidad
obtenida por una empresa o proyecto,
sin tener en cuenta depreciaciones
</t>
        </r>
      </text>
    </comment>
    <comment ref="C16" authorId="0" shapeId="0" xr:uid="{00000000-0006-0000-0600-000003000000}">
      <text>
        <r>
          <rPr>
            <sz val="11"/>
            <color rgb="FF000000"/>
            <rFont val="Calibri"/>
            <family val="2"/>
          </rPr>
          <t>Recursos que tiene la compañía despues de cubrir sus pasivos corrientes</t>
        </r>
      </text>
    </comment>
    <comment ref="C17" authorId="0" shapeId="0" xr:uid="{00000000-0006-0000-0600-000004000000}">
      <text>
        <r>
          <rPr>
            <sz val="11"/>
            <color rgb="FF000000"/>
            <rFont val="Calibri"/>
            <family val="2"/>
          </rPr>
          <t>Capacidad que tiene la compañía para cubrir sus obligaciones a corto plazo.</t>
        </r>
      </text>
    </comment>
    <comment ref="C20" authorId="0" shapeId="0" xr:uid="{00000000-0006-0000-0600-000005000000}">
      <text>
        <r>
          <rPr>
            <sz val="11"/>
            <color rgb="FF000000"/>
            <rFont val="Calibri"/>
            <family val="2"/>
          </rPr>
          <t>Por cada peso invertido en activos,
cuánto está financiado por terceros y
qué garantía está presentando la empresa
a los acreedores.</t>
        </r>
      </text>
    </comment>
    <comment ref="C21" authorId="0" shapeId="0" xr:uid="{00000000-0006-0000-0600-000006000000}">
      <text>
        <r>
          <rPr>
            <sz val="11"/>
            <color rgb="FF000000"/>
            <rFont val="Calibri"/>
            <family val="2"/>
          </rPr>
          <t xml:space="preserve">Indica el porcentaje de los pasivos que deben ser asumidos a corto plazo.
</t>
        </r>
      </text>
    </comment>
    <comment ref="C25" authorId="0" shapeId="0" xr:uid="{00000000-0006-0000-0600-000007000000}">
      <text>
        <r>
          <rPr>
            <sz val="11"/>
            <color rgb="FF000000"/>
            <rFont val="Calibri"/>
            <family val="2"/>
          </rPr>
          <t xml:space="preserve">Numero de veces que las cuentas por cobrar giran en promedio en un periodo de tiempo
</t>
        </r>
      </text>
    </comment>
    <comment ref="B26" authorId="0" shapeId="0" xr:uid="{00000000-0006-0000-0600-000008000000}">
      <text>
        <r>
          <rPr>
            <sz val="11"/>
            <color rgb="FF000000"/>
            <rFont val="Calibri"/>
            <family val="2"/>
          </rPr>
          <t>MIDE CUANTOS DIAS EN PROMEDIO TARDA LA EMPRESA EN RECUPERAR SU CARTERA</t>
        </r>
      </text>
    </comment>
    <comment ref="C26" authorId="0" shapeId="0" xr:uid="{00000000-0006-0000-0600-000009000000}">
      <text>
        <r>
          <rPr>
            <sz val="11"/>
            <color rgb="FF000000"/>
            <rFont val="Calibri"/>
            <family val="2"/>
          </rPr>
          <t>MIDE CUANTOS DIAS EN PROMEDIO TARDA LA EMPRESA EN RECUPERAR SU CARTERA</t>
        </r>
      </text>
    </comment>
    <comment ref="C30" authorId="0" shapeId="0" xr:uid="{00000000-0006-0000-0600-00000A000000}">
      <text>
        <r>
          <rPr>
            <sz val="11"/>
            <color rgb="FF000000"/>
            <rFont val="Calibri"/>
            <family val="2"/>
          </rPr>
          <t xml:space="preserve">EN CUANTOS DIAS LA COMPAÑÍA PAGA LAS CUENTAS DE SUS PROVEEDORES
</t>
        </r>
      </text>
    </comment>
    <comment ref="C36" authorId="0" shapeId="0" xr:uid="{00000000-0006-0000-0600-00000B000000}">
      <text>
        <r>
          <rPr>
            <sz val="11"/>
            <color rgb="FF000000"/>
            <rFont val="Calibri"/>
            <family val="2"/>
          </rPr>
          <t>Muestra la rentabilidad de la inversion de los socios o accionistas.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CYT-AC1</author>
    <author>Windows User</author>
  </authors>
  <commentList>
    <comment ref="B21" authorId="0" shapeId="0" xr:uid="{00000000-0006-0000-0900-000001000000}">
      <text>
        <r>
          <rPr>
            <b/>
            <sz val="9"/>
            <color indexed="81"/>
            <rFont val="Tahoma"/>
            <family val="2"/>
          </rPr>
          <t>CYT-AC1:</t>
        </r>
        <r>
          <rPr>
            <sz val="9"/>
            <color indexed="81"/>
            <rFont val="Tahoma"/>
            <family val="2"/>
          </rPr>
          <t xml:space="preserve">
casilla 86 renta</t>
        </r>
      </text>
    </comment>
    <comment ref="K25" authorId="0" shapeId="0" xr:uid="{00000000-0006-0000-0900-000002000000}">
      <text>
        <r>
          <rPr>
            <b/>
            <sz val="9"/>
            <color indexed="81"/>
            <rFont val="Tahoma"/>
            <family val="2"/>
          </rPr>
          <t>CYT-AC1:</t>
        </r>
        <r>
          <rPr>
            <sz val="9"/>
            <color indexed="81"/>
            <rFont val="Tahoma"/>
            <family val="2"/>
          </rPr>
          <t xml:space="preserve">
LAS PRIMERAS 19.000 UVT</t>
        </r>
      </text>
    </comment>
    <comment ref="B30" authorId="1" shapeId="0" xr:uid="{00000000-0006-0000-0900-000003000000}">
      <text>
        <r>
          <rPr>
            <b/>
            <sz val="9"/>
            <color indexed="81"/>
            <rFont val="Tahoma"/>
            <family val="2"/>
          </rPr>
          <t>Windows User:</t>
        </r>
        <r>
          <rPr>
            <sz val="9"/>
            <color indexed="81"/>
            <rFont val="Tahoma"/>
            <family val="2"/>
          </rPr>
          <t xml:space="preserve">
Se saca de la conciliacion de impuestos, el valor real pagado.</t>
        </r>
      </text>
    </comment>
  </commentList>
</comments>
</file>

<file path=xl/sharedStrings.xml><?xml version="1.0" encoding="utf-8"?>
<sst xmlns="http://schemas.openxmlformats.org/spreadsheetml/2006/main" count="19869" uniqueCount="1741">
  <si>
    <t>TODOS LOS VALORES SE DIGITAN POSITIVOS EXEPTO DEPRECIACIONES</t>
  </si>
  <si>
    <t>PUC SOLO UNA GUIA NO ES IGUAL EN TODOS</t>
  </si>
  <si>
    <t>ESTADO DE RESULTADOS INTEGRAL ACUMULADO</t>
  </si>
  <si>
    <t xml:space="preserve">ESTADO DE RESULTADOS INTEGRAL MENSUAL </t>
  </si>
  <si>
    <t xml:space="preserve">ACTIVO                        </t>
  </si>
  <si>
    <t>(Cifras Expresadas en Miles de Pesos Colombianos)</t>
  </si>
  <si>
    <t xml:space="preserve">EFECTIVO Y EQUIV. AL EFECTIVO </t>
  </si>
  <si>
    <t xml:space="preserve">CAJA                          </t>
  </si>
  <si>
    <t>NOTAS</t>
  </si>
  <si>
    <t>EMPRESA</t>
  </si>
  <si>
    <t xml:space="preserve">BANCOS                        </t>
  </si>
  <si>
    <t>NIT</t>
  </si>
  <si>
    <t xml:space="preserve">CUENTAS DE AHORROS            </t>
  </si>
  <si>
    <t>FECHA DE CORTE</t>
  </si>
  <si>
    <t>INVERSIONES A LA VISTA</t>
  </si>
  <si>
    <t>MES</t>
  </si>
  <si>
    <t>CUENTAS POR COBRAR</t>
  </si>
  <si>
    <t>FECHA E.F</t>
  </si>
  <si>
    <t xml:space="preserve">CLIENTES                      </t>
  </si>
  <si>
    <t>FECHA E.F COMP</t>
  </si>
  <si>
    <t xml:space="preserve">ANTICIPOS Y AVANCES           </t>
  </si>
  <si>
    <t>Rep Legal</t>
  </si>
  <si>
    <t>CUENTAS POR COBRAR A TRABAJADORES</t>
  </si>
  <si>
    <t>Cedula Rep Legal</t>
  </si>
  <si>
    <t xml:space="preserve">DEUDORES VARIOS               </t>
  </si>
  <si>
    <t>Contador</t>
  </si>
  <si>
    <t>OTRAS</t>
  </si>
  <si>
    <t>T.P:</t>
  </si>
  <si>
    <t>DETERIORO</t>
  </si>
  <si>
    <t>Revisor Fiscal</t>
  </si>
  <si>
    <t>PROVISIONES CADENAS</t>
  </si>
  <si>
    <t xml:space="preserve">INVENTARIOS                   </t>
  </si>
  <si>
    <t>TASA DE MERCADO</t>
  </si>
  <si>
    <t xml:space="preserve">MATERIAS PRIMAS               </t>
  </si>
  <si>
    <t xml:space="preserve">PRODUCTOS EN PROCESO          </t>
  </si>
  <si>
    <t xml:space="preserve">PRODUCTO TERMINADO            </t>
  </si>
  <si>
    <t>MERCANCIA NO FABRICADA</t>
  </si>
  <si>
    <t>ANTICIPOS INVENTARIOS</t>
  </si>
  <si>
    <t xml:space="preserve">PROPIEDAD PLANTA Y EQUIPO     </t>
  </si>
  <si>
    <t>CONSTRUCCIONES</t>
  </si>
  <si>
    <t>DEPRECIACION CONSTRUCCIONES</t>
  </si>
  <si>
    <t xml:space="preserve">MAQUINARIA Y EQUIPO           </t>
  </si>
  <si>
    <t xml:space="preserve">DEPRECIACION MAQUINARIA Y EQUIPO           </t>
  </si>
  <si>
    <t xml:space="preserve">EQUIPO DE OFICINA             </t>
  </si>
  <si>
    <t xml:space="preserve">DEPRECIACION EQUIPO DE OFICINA             </t>
  </si>
  <si>
    <t xml:space="preserve">EQUIPO COMPUTAC.Y COMUNICAC.  </t>
  </si>
  <si>
    <t>DEPRECIACION EQUIPO COMPUTAC.</t>
  </si>
  <si>
    <t>EQUIPO DE TRANSPORTE</t>
  </si>
  <si>
    <t>DEPRECIACION EQUIPO DE TRANSPORTE</t>
  </si>
  <si>
    <t>A.V</t>
  </si>
  <si>
    <t>INTANGIBLES</t>
  </si>
  <si>
    <t>VARIACION</t>
  </si>
  <si>
    <t>A.H</t>
  </si>
  <si>
    <t>Ingresos de Manufactura</t>
  </si>
  <si>
    <t>LICENCIAS</t>
  </si>
  <si>
    <t>OTROS ACTIVOS</t>
  </si>
  <si>
    <t>Ingresos de Comercializacion</t>
  </si>
  <si>
    <t>GASTOS PAGADOS POR ANTICIPADO</t>
  </si>
  <si>
    <t>Devoluciones en ventas</t>
  </si>
  <si>
    <t xml:space="preserve">ACTIVOS POR IMPUESTOS         </t>
  </si>
  <si>
    <t>IMPUESTO DIFERIDO</t>
  </si>
  <si>
    <t>Ingresos netos</t>
  </si>
  <si>
    <t>ANTICIPO DE IMPUESTO  Y SALDOS A FAVOR</t>
  </si>
  <si>
    <t xml:space="preserve">PASIVO                        </t>
  </si>
  <si>
    <t xml:space="preserve">Costo de ventas </t>
  </si>
  <si>
    <t>OBLIGACIONES FINANCIERAS</t>
  </si>
  <si>
    <t>SOBREGIRO</t>
  </si>
  <si>
    <t>Costo de Manufactura</t>
  </si>
  <si>
    <t xml:space="preserve">BANCOS NACIONALES             </t>
  </si>
  <si>
    <t>CONTRATOS LEASING</t>
  </si>
  <si>
    <t>Costo de Comercializacion</t>
  </si>
  <si>
    <t>PARTICULARES</t>
  </si>
  <si>
    <t xml:space="preserve">PROVEEDORES                   </t>
  </si>
  <si>
    <t xml:space="preserve">PROVEEDORES NACIONALES        </t>
  </si>
  <si>
    <t>PROVEEDORES EXTERIOR</t>
  </si>
  <si>
    <t>GANANCIA  BRUTA</t>
  </si>
  <si>
    <t xml:space="preserve">CUENTAS POR PAGAR             </t>
  </si>
  <si>
    <t xml:space="preserve">COSTOS Y GASTOS POR PAGAR     </t>
  </si>
  <si>
    <t>Otros Ingresos</t>
  </si>
  <si>
    <t xml:space="preserve">DEUDAS CON ACCIONIST.O SOCIOS </t>
  </si>
  <si>
    <t>Otras Ventas</t>
  </si>
  <si>
    <t>PASIVO POR IMPUESTOS</t>
  </si>
  <si>
    <t>Arriendos</t>
  </si>
  <si>
    <t>IMPUESTO A LAS GANANCIAS= F110</t>
  </si>
  <si>
    <t>Comisiones</t>
  </si>
  <si>
    <t>Honorarios</t>
  </si>
  <si>
    <t>RETEFTE POR PAGAR= F350</t>
  </si>
  <si>
    <t>Servicios</t>
  </si>
  <si>
    <t>Recuperacion de costos y gastos</t>
  </si>
  <si>
    <t>IMPTO SOBRE LAS VTAS POR PAGAR= F300</t>
  </si>
  <si>
    <t>Indemnizaciones</t>
  </si>
  <si>
    <t>OTRO</t>
  </si>
  <si>
    <t>Diversos</t>
  </si>
  <si>
    <t xml:space="preserve">Gastos de Ventas </t>
  </si>
  <si>
    <t>BENEFICIOS A EMPLEADOS</t>
  </si>
  <si>
    <t xml:space="preserve">SALARIOS POR PAGAR            </t>
  </si>
  <si>
    <t>Aportes sobre la nomina</t>
  </si>
  <si>
    <t>VACACIONES CONSOLIDADAS</t>
  </si>
  <si>
    <t xml:space="preserve">Gastos de personal </t>
  </si>
  <si>
    <t xml:space="preserve">CESANTIAS                     </t>
  </si>
  <si>
    <t>Impuestos</t>
  </si>
  <si>
    <t xml:space="preserve">INTERESES DE CESANTIAS        </t>
  </si>
  <si>
    <t>Arrendamientos</t>
  </si>
  <si>
    <t>Contribuciones</t>
  </si>
  <si>
    <t xml:space="preserve">VACACIONES                    </t>
  </si>
  <si>
    <t>Seguros</t>
  </si>
  <si>
    <t xml:space="preserve">PRIMA DE SERVICIOS            </t>
  </si>
  <si>
    <t>Fletes</t>
  </si>
  <si>
    <t xml:space="preserve">APORTES DE  NOMINA   A SEG SOCIAL DE TRABAJADORES  </t>
  </si>
  <si>
    <t>Otro</t>
  </si>
  <si>
    <t>OTROS PASIVOS</t>
  </si>
  <si>
    <t>Gastos Legales</t>
  </si>
  <si>
    <t xml:space="preserve">ANTICIPOS Y AVANCES RECIBIDOS </t>
  </si>
  <si>
    <t>Mantenimientos</t>
  </si>
  <si>
    <t>Adecuaciones</t>
  </si>
  <si>
    <t>Gastos de Viaje</t>
  </si>
  <si>
    <t>Depreciacion</t>
  </si>
  <si>
    <t xml:space="preserve">PATRIMONIO                    </t>
  </si>
  <si>
    <t>Amortizacion</t>
  </si>
  <si>
    <t xml:space="preserve">CAPITAL SOCIAL                </t>
  </si>
  <si>
    <t>Comisiones vendedores</t>
  </si>
  <si>
    <t>Comisiones cadenas</t>
  </si>
  <si>
    <t>Otros</t>
  </si>
  <si>
    <t xml:space="preserve">SUPERAVIT DE CAPITAL          </t>
  </si>
  <si>
    <t>Deterioro</t>
  </si>
  <si>
    <t xml:space="preserve">RESERVAS                      </t>
  </si>
  <si>
    <t>Gastos de Administracion</t>
  </si>
  <si>
    <t>RESULTADOS DE EJERC. ANTERIORE</t>
  </si>
  <si>
    <t>UTILIDADES O EXCED. ACUMULADOS</t>
  </si>
  <si>
    <t xml:space="preserve">IMPACTOS POR TRANSICION       </t>
  </si>
  <si>
    <t>RESULTADO ACUMULADO</t>
  </si>
  <si>
    <t>ECUACION CONTABLE</t>
  </si>
  <si>
    <t>Afiliaciones y sostenimiento</t>
  </si>
  <si>
    <t>RESULTADOS</t>
  </si>
  <si>
    <t>Gastos legales</t>
  </si>
  <si>
    <t>ACUMULADO</t>
  </si>
  <si>
    <t>Mantenimiento y reparaciones</t>
  </si>
  <si>
    <t xml:space="preserve">INGRESOS                      </t>
  </si>
  <si>
    <t>Reparaciones locativas</t>
  </si>
  <si>
    <t>Amortizaciones</t>
  </si>
  <si>
    <t xml:space="preserve">INGRESOS OPERACIONALES        </t>
  </si>
  <si>
    <t>Otros gastos</t>
  </si>
  <si>
    <t>Descuentos</t>
  </si>
  <si>
    <t xml:space="preserve">INDUSTRIAS MANUFACTURERAS     </t>
  </si>
  <si>
    <t>Gastos extraordinarios</t>
  </si>
  <si>
    <t xml:space="preserve">INDUSTRIAS COMERCIALIZACION   </t>
  </si>
  <si>
    <t>Gastos diversos</t>
  </si>
  <si>
    <t>GANANCIA (PERDIDA) POR ACTIVIDAD DE OPERACIÓN</t>
  </si>
  <si>
    <t xml:space="preserve">DEVOL REBAJAS DSCTOS EN VTAS  </t>
  </si>
  <si>
    <t>Ingresos  Financieros</t>
  </si>
  <si>
    <t xml:space="preserve">INGRESOS NO OPERACIONALES     </t>
  </si>
  <si>
    <t>Intereses</t>
  </si>
  <si>
    <t>OTRAS VENTAS</t>
  </si>
  <si>
    <t>Diferencia en cambio</t>
  </si>
  <si>
    <t>ARRIENDOS</t>
  </si>
  <si>
    <t>Costos Financieros</t>
  </si>
  <si>
    <t>Gastos bancarios</t>
  </si>
  <si>
    <t>COMISIONES</t>
  </si>
  <si>
    <t xml:space="preserve">Descuentos comerciales </t>
  </si>
  <si>
    <t>HONORARIOS</t>
  </si>
  <si>
    <t>Gravamen 4 x 1000</t>
  </si>
  <si>
    <t xml:space="preserve">Otros </t>
  </si>
  <si>
    <t>SERVICIOS</t>
  </si>
  <si>
    <t xml:space="preserve">GANANCIA (PERDIDA), ANTES DE IMPUESTO </t>
  </si>
  <si>
    <t xml:space="preserve">RECUPERACIONES                </t>
  </si>
  <si>
    <t>Impuesto a las ganancias</t>
  </si>
  <si>
    <t>Diferido</t>
  </si>
  <si>
    <t xml:space="preserve"> </t>
  </si>
  <si>
    <t xml:space="preserve">INDEMNIZACIONES               </t>
  </si>
  <si>
    <t xml:space="preserve">Corriente </t>
  </si>
  <si>
    <t>A la Riqueza</t>
  </si>
  <si>
    <t xml:space="preserve">GANANCIA (PERDIDA), NETA </t>
  </si>
  <si>
    <t xml:space="preserve">DIVERSOS                      </t>
  </si>
  <si>
    <t>OTRO RESULTADO INTEGRAL</t>
  </si>
  <si>
    <t>Diferencia en cambio al proceder a la conversion por negocios en el extranjero, neto de impuestos</t>
  </si>
  <si>
    <t xml:space="preserve">INGRESOS FINANCIEROS          </t>
  </si>
  <si>
    <t xml:space="preserve">INTERESES                     </t>
  </si>
  <si>
    <t>Perdidas actuariales sobre planes de pension por beneficios</t>
  </si>
  <si>
    <t>Cambio en el valor razonable de instrumentos de cobertura, neto de impuestos</t>
  </si>
  <si>
    <t>DIFERENCIA EN CAMBIO</t>
  </si>
  <si>
    <t xml:space="preserve">RESULTADO INTEGRAL TOTAL </t>
  </si>
  <si>
    <t>DESCUENTOS</t>
  </si>
  <si>
    <t xml:space="preserve">GASTOS                        </t>
  </si>
  <si>
    <t>OPERACIONALES DE ADMINISTRACION</t>
  </si>
  <si>
    <t>Representante legal</t>
  </si>
  <si>
    <t xml:space="preserve">APORTES SOBRE LA NOMINA       </t>
  </si>
  <si>
    <t>PRUEBA</t>
  </si>
  <si>
    <t xml:space="preserve">GASTOS DEL PERSONAL           </t>
  </si>
  <si>
    <t xml:space="preserve">HONORARIOS                    </t>
  </si>
  <si>
    <t xml:space="preserve">IMPUESTOS                     </t>
  </si>
  <si>
    <t xml:space="preserve">ARRENDAMIENTOS                </t>
  </si>
  <si>
    <t xml:space="preserve">CONTRIBUCIONES Y AFILIACIONES </t>
  </si>
  <si>
    <t xml:space="preserve">SEGUROS                       </t>
  </si>
  <si>
    <t xml:space="preserve">SERVICIOS                     </t>
  </si>
  <si>
    <t xml:space="preserve">GASTOS LEGALES                </t>
  </si>
  <si>
    <t xml:space="preserve">MANTENIMIENTO Y REPARACION    </t>
  </si>
  <si>
    <t xml:space="preserve">ADECUACION E INSTALACION      </t>
  </si>
  <si>
    <t>DEPRECIACION</t>
  </si>
  <si>
    <t>AMORTIZACION</t>
  </si>
  <si>
    <t xml:space="preserve">GASTOS DIVERSOS               </t>
  </si>
  <si>
    <t xml:space="preserve">OPERACIONALES DE VENTA        </t>
  </si>
  <si>
    <t>SERVICIOS    SIN FLETES</t>
  </si>
  <si>
    <t>FLETES</t>
  </si>
  <si>
    <t>OTRO-</t>
  </si>
  <si>
    <t>GASTOS DE VIAJE</t>
  </si>
  <si>
    <t>GASTOS DIVERSOS      SIN COMSIONES</t>
  </si>
  <si>
    <t>COMISIONES VENDEDORES</t>
  </si>
  <si>
    <t>COMISIONES  CADENAS</t>
  </si>
  <si>
    <t>OTROS-</t>
  </si>
  <si>
    <t xml:space="preserve">COSTOS FINANCIEROS </t>
  </si>
  <si>
    <t xml:space="preserve">GASTOS BANCARIOS              </t>
  </si>
  <si>
    <t xml:space="preserve">COMISIONES FINANCIERAS        </t>
  </si>
  <si>
    <t xml:space="preserve">GMF 4*1000                    </t>
  </si>
  <si>
    <t>OTROS</t>
  </si>
  <si>
    <t>IMPUESTO A LAS GANANCIAS</t>
  </si>
  <si>
    <t>IMPUESTO CORRIENTE</t>
  </si>
  <si>
    <t>IMPUESTO A LA RIQUEZA</t>
  </si>
  <si>
    <t xml:space="preserve">OTROS GASTOS                  </t>
  </si>
  <si>
    <t xml:space="preserve">GASTOS EXTRAORDINARIOS        </t>
  </si>
  <si>
    <t xml:space="preserve">COSTOS DE VENTAS              </t>
  </si>
  <si>
    <t>COSTO DE  1</t>
  </si>
  <si>
    <t xml:space="preserve">ESTADO DE SITUACIÒN FINANCIERA  </t>
  </si>
  <si>
    <t>(Cifras expresadas en Miles de pesos colombianos)</t>
  </si>
  <si>
    <t>COSTO DE  2</t>
  </si>
  <si>
    <t>ACTIVOS</t>
  </si>
  <si>
    <t>MOD</t>
  </si>
  <si>
    <t>PASIVOS</t>
  </si>
  <si>
    <t xml:space="preserve">COSTOS INDIRECTOS             </t>
  </si>
  <si>
    <t>Activos Corrientes</t>
  </si>
  <si>
    <t>Pasivos Corrientes</t>
  </si>
  <si>
    <t>Efectivo y Equivalentes de Efectivo</t>
  </si>
  <si>
    <t xml:space="preserve">MANO DE OBRA                  </t>
  </si>
  <si>
    <t>IMPUESTOS</t>
  </si>
  <si>
    <t>AFILIACIONES</t>
  </si>
  <si>
    <t>SEGUROS</t>
  </si>
  <si>
    <t xml:space="preserve">MANTENIMIENTO Y REPARACIONES  </t>
  </si>
  <si>
    <t>ADECUACIONES</t>
  </si>
  <si>
    <t xml:space="preserve">DEPRECIACIONES                </t>
  </si>
  <si>
    <t xml:space="preserve">OTROS                         </t>
  </si>
  <si>
    <t xml:space="preserve">CONTRATOS DE SERVICIOS        </t>
  </si>
  <si>
    <t>Obligaciones Financieras</t>
  </si>
  <si>
    <t xml:space="preserve">Caja </t>
  </si>
  <si>
    <t>ANALISIS  GERENCIAL</t>
  </si>
  <si>
    <t>Sobregiro</t>
  </si>
  <si>
    <t>EBITDA</t>
  </si>
  <si>
    <t>Bancos</t>
  </si>
  <si>
    <t>Cuentas de ahorros</t>
  </si>
  <si>
    <t>Cuentas Por Pagar</t>
  </si>
  <si>
    <t>CASH FLOW</t>
  </si>
  <si>
    <t>GASTOS  TOTALES (SIN PROVISION IMPUESTOS)</t>
  </si>
  <si>
    <t>Inversiones a la vista</t>
  </si>
  <si>
    <t>COSTO DE LA CARTERA</t>
  </si>
  <si>
    <t>Proveedores</t>
  </si>
  <si>
    <t>COSTO DEL INVENTARIO</t>
  </si>
  <si>
    <t>PARTICIPACION DE GASTOS TOTALES EN LAS VENTAS</t>
  </si>
  <si>
    <t>Costos y gastos por pagar</t>
  </si>
  <si>
    <t>COSTO DE LA NOMINA EN LAS VENTAS</t>
  </si>
  <si>
    <t>Activos por Impuesto</t>
  </si>
  <si>
    <t>INDICADORES DE LIQUIDEZ</t>
  </si>
  <si>
    <t>CAPITAL DE TRABAJO</t>
  </si>
  <si>
    <t>Anticipo de Impuestos</t>
  </si>
  <si>
    <t>Pasivo Por Impuestos</t>
  </si>
  <si>
    <t>RAZON CORRIENTE</t>
  </si>
  <si>
    <t>Impuesto sobre las ventas</t>
  </si>
  <si>
    <t>Cuentas Por Cobrar</t>
  </si>
  <si>
    <t>INDICADORES DE ENDEUDAMIENTO</t>
  </si>
  <si>
    <t>ENDEUDAMIENTO</t>
  </si>
  <si>
    <t>Retenciòn en la fuente</t>
  </si>
  <si>
    <t>ENDEUDAMIENTO A CORTO PLAZO</t>
  </si>
  <si>
    <t>Clientes</t>
  </si>
  <si>
    <t>INDICADORES DE ACTIVIDAD</t>
  </si>
  <si>
    <t>PROMEDIO CXC</t>
  </si>
  <si>
    <t>Anticipos y avances</t>
  </si>
  <si>
    <t xml:space="preserve">ROTACIÒN C X C </t>
  </si>
  <si>
    <t xml:space="preserve">Impuesto a las ganancias </t>
  </si>
  <si>
    <t xml:space="preserve">A empleados </t>
  </si>
  <si>
    <t>ROTACIÒN DE CARTERA EN DIAS</t>
  </si>
  <si>
    <t>Deudores varios</t>
  </si>
  <si>
    <t>Beneficios a Empleados</t>
  </si>
  <si>
    <t xml:space="preserve">PROMEDIO DE  C X P </t>
  </si>
  <si>
    <t xml:space="preserve">ROTACIÒN C X P </t>
  </si>
  <si>
    <t>Salarios por pagar</t>
  </si>
  <si>
    <t>ROTACIÒN DE PROVEEDORES EN DIAS</t>
  </si>
  <si>
    <t>Provisiones</t>
  </si>
  <si>
    <t>INDICADORES DE RENTABILIDAD AÑO</t>
  </si>
  <si>
    <t xml:space="preserve">Cesantias </t>
  </si>
  <si>
    <t>MARGEN BRUTO</t>
  </si>
  <si>
    <t>MARGEN OPERACIONAL</t>
  </si>
  <si>
    <t>MARGEN NETO</t>
  </si>
  <si>
    <t>RENDIMIENTO DEL PATRIMONIO</t>
  </si>
  <si>
    <t>Intereses sobre cesantias</t>
  </si>
  <si>
    <t>Prima de servicios</t>
  </si>
  <si>
    <t>Inventarios</t>
  </si>
  <si>
    <t>Vacaciones consolidadas</t>
  </si>
  <si>
    <t>Materias primas</t>
  </si>
  <si>
    <t>Retenciones y aportes de nomina</t>
  </si>
  <si>
    <t>Productos en proceso</t>
  </si>
  <si>
    <t>Producto terminado</t>
  </si>
  <si>
    <t>Otros Pasivos</t>
  </si>
  <si>
    <t>Mercancia no fabricada por la empresa</t>
  </si>
  <si>
    <t>Anticipos</t>
  </si>
  <si>
    <t>Ingresos para terceros</t>
  </si>
  <si>
    <t>Total Activos Corrientes</t>
  </si>
  <si>
    <t>Total Pasivos Corrientes</t>
  </si>
  <si>
    <t>Pasivos No Corrientes</t>
  </si>
  <si>
    <t>Bancos Nacionales</t>
  </si>
  <si>
    <t>Cuenta</t>
  </si>
  <si>
    <t>Equivalencia</t>
  </si>
  <si>
    <t>Nombre</t>
  </si>
  <si>
    <t>Saldo Anterior</t>
  </si>
  <si>
    <t>Débitos</t>
  </si>
  <si>
    <t>Créditos</t>
  </si>
  <si>
    <t>Nuevo Saldo</t>
  </si>
  <si>
    <t>NIVEL</t>
  </si>
  <si>
    <t>Contratos de arrendamiento Leasing</t>
  </si>
  <si>
    <t/>
  </si>
  <si>
    <t>Otras obligaciones</t>
  </si>
  <si>
    <t>Activos No Corrientes</t>
  </si>
  <si>
    <t xml:space="preserve">CAJA GENERAL                  </t>
  </si>
  <si>
    <t>Inversiones</t>
  </si>
  <si>
    <t>Impuesto  diferido</t>
  </si>
  <si>
    <t xml:space="preserve">                    </t>
  </si>
  <si>
    <t>Instrumentos fros al costo amortizado</t>
  </si>
  <si>
    <t xml:space="preserve">MONEDA NACIONAL               </t>
  </si>
  <si>
    <t>Total Pasivo No Corriente</t>
  </si>
  <si>
    <t xml:space="preserve">CUENTAS DE AHORRO             </t>
  </si>
  <si>
    <t>Propiedad Planta y Equipo</t>
  </si>
  <si>
    <t>Total Pasivos</t>
  </si>
  <si>
    <t xml:space="preserve">   800.180.687-2</t>
  </si>
  <si>
    <t xml:space="preserve">   890.903.938-8</t>
  </si>
  <si>
    <t xml:space="preserve">BANCOLOMBIA S.A               </t>
  </si>
  <si>
    <t xml:space="preserve">CUENTAS POR COBRAR            </t>
  </si>
  <si>
    <t xml:space="preserve">NACIONALES                    </t>
  </si>
  <si>
    <t>Construcciones y edificaciones</t>
  </si>
  <si>
    <t xml:space="preserve">CLIENTES NACIONALES           </t>
  </si>
  <si>
    <t>Maquinaria y equipo</t>
  </si>
  <si>
    <t>Patrimonio</t>
  </si>
  <si>
    <t>Equipo de oficina</t>
  </si>
  <si>
    <t>Capital Social</t>
  </si>
  <si>
    <t xml:space="preserve">Equipo de computo </t>
  </si>
  <si>
    <t xml:space="preserve">   890.904.996-1</t>
  </si>
  <si>
    <t xml:space="preserve">EMPRESAS PUBLICAS DE MEDELLIN </t>
  </si>
  <si>
    <t>Capital suscrito y pagado</t>
  </si>
  <si>
    <t>Flota y equipo de transporte</t>
  </si>
  <si>
    <t xml:space="preserve">   900.889.237-9</t>
  </si>
  <si>
    <t>Depreciacion acumulada</t>
  </si>
  <si>
    <t xml:space="preserve">A PROVEEDORES                 </t>
  </si>
  <si>
    <t xml:space="preserve">   900.206.485-9</t>
  </si>
  <si>
    <t xml:space="preserve">DE LOLITA RESTO CAFE S.A.S    </t>
  </si>
  <si>
    <t>Superavit de capital</t>
  </si>
  <si>
    <t>Prima en colocacion de Acciones</t>
  </si>
  <si>
    <t>Intangibles</t>
  </si>
  <si>
    <t>Licencias</t>
  </si>
  <si>
    <t xml:space="preserve">   900.336.004-7</t>
  </si>
  <si>
    <t>Reservas</t>
  </si>
  <si>
    <t>Reserva legal</t>
  </si>
  <si>
    <t xml:space="preserve">            99-9</t>
  </si>
  <si>
    <t xml:space="preserve">CIERRE ANUAL                  </t>
  </si>
  <si>
    <t>Otros activos</t>
  </si>
  <si>
    <t xml:space="preserve">COMPRAS                       </t>
  </si>
  <si>
    <t xml:space="preserve">MERCANCIA NO GRAVADA          </t>
  </si>
  <si>
    <t xml:space="preserve">   800.242.106-2</t>
  </si>
  <si>
    <t>Gastos pagados por anticipado</t>
  </si>
  <si>
    <t>Resultado del Ejercicio</t>
  </si>
  <si>
    <t>Utilidad del ejercicio</t>
  </si>
  <si>
    <t xml:space="preserve">   890.900.608-9</t>
  </si>
  <si>
    <t xml:space="preserve">ALMACENES EXITO S.A.          </t>
  </si>
  <si>
    <t xml:space="preserve">   890.903.939-5</t>
  </si>
  <si>
    <t>Activo por impuesto</t>
  </si>
  <si>
    <t xml:space="preserve">   890.904.478-6</t>
  </si>
  <si>
    <t>Impuesto diferido</t>
  </si>
  <si>
    <t xml:space="preserve">   900.155.107-1</t>
  </si>
  <si>
    <t>Resultados Acumulados</t>
  </si>
  <si>
    <t xml:space="preserve">   900.213.759-0</t>
  </si>
  <si>
    <t>RECETTA SOLUCIONES GASTRONOMIC</t>
  </si>
  <si>
    <t xml:space="preserve">   900.276.962-1</t>
  </si>
  <si>
    <t>Utilidades acumuladas</t>
  </si>
  <si>
    <t xml:space="preserve">   900.380.500-5</t>
  </si>
  <si>
    <t xml:space="preserve">GRUPO ATOCHA S.A.S            </t>
  </si>
  <si>
    <t>Impactos por transicion a NIIF</t>
  </si>
  <si>
    <t>Total Activos No Corrientes</t>
  </si>
  <si>
    <t xml:space="preserve">MERCANCIA GRAVADA 5%          </t>
  </si>
  <si>
    <t>Total Patrimonio</t>
  </si>
  <si>
    <t xml:space="preserve">   811.006.789-1</t>
  </si>
  <si>
    <t>JUAN D. HOYOS DISTRIBUCIONES S</t>
  </si>
  <si>
    <t>Total Activos</t>
  </si>
  <si>
    <t>Total Pasivos y Patrimonio</t>
  </si>
  <si>
    <t>_________________________________</t>
  </si>
  <si>
    <t>Representante Legal</t>
  </si>
  <si>
    <t xml:space="preserve">   900.943.243-4</t>
  </si>
  <si>
    <t xml:space="preserve">DEVOLUCIONES                  </t>
  </si>
  <si>
    <t xml:space="preserve">   900.092.385-9</t>
  </si>
  <si>
    <t>UNE EPM TELECOMUNICACIONES S.A</t>
  </si>
  <si>
    <t xml:space="preserve">TRASLADO DE INVENTARIO        </t>
  </si>
  <si>
    <t xml:space="preserve">           120-6</t>
  </si>
  <si>
    <t xml:space="preserve">   800.027.374-9</t>
  </si>
  <si>
    <t xml:space="preserve">   900.252.083-7</t>
  </si>
  <si>
    <t xml:space="preserve">    98.554.474-1</t>
  </si>
  <si>
    <t xml:space="preserve">JOSE JOAQUIN CEBALLOS OSORIO  </t>
  </si>
  <si>
    <t xml:space="preserve">   890.317.339-2</t>
  </si>
  <si>
    <t xml:space="preserve">   901.042.029-1</t>
  </si>
  <si>
    <t xml:space="preserve">MULTINOX S.A.S.               </t>
  </si>
  <si>
    <t xml:space="preserve">   890.323.667-8</t>
  </si>
  <si>
    <t xml:space="preserve">   222.222.222-7</t>
  </si>
  <si>
    <t xml:space="preserve"> 1.007.110.909-8</t>
  </si>
  <si>
    <t xml:space="preserve">DEPRECIACION                  </t>
  </si>
  <si>
    <t xml:space="preserve">MUEBLES Y ENSERES             </t>
  </si>
  <si>
    <t xml:space="preserve">JOHN JAIRO ALVAREZ ZAPATA     </t>
  </si>
  <si>
    <t xml:space="preserve">    71.587.892-0</t>
  </si>
  <si>
    <t xml:space="preserve">     6.788.636-8</t>
  </si>
  <si>
    <t>EQUIPO DE COMPUTACION Y COMUNI</t>
  </si>
  <si>
    <t>EQUIPOS DE PROCESAMIENTO DE DA</t>
  </si>
  <si>
    <t xml:space="preserve">   900.814.567-2</t>
  </si>
  <si>
    <t xml:space="preserve">   900.616.678-2</t>
  </si>
  <si>
    <t xml:space="preserve">INTANGIBLES                   </t>
  </si>
  <si>
    <t xml:space="preserve">CONCESIONES Y FRANQUICIAS     </t>
  </si>
  <si>
    <t xml:space="preserve">FRANQUICIAS                   </t>
  </si>
  <si>
    <t xml:space="preserve">ACTIVO POR IMPUESTOS          </t>
  </si>
  <si>
    <t xml:space="preserve">RETENCION EN LA FUENTE        </t>
  </si>
  <si>
    <t xml:space="preserve">   860.034.313-7</t>
  </si>
  <si>
    <t xml:space="preserve">BANCO DAVIVIENDA S.A          </t>
  </si>
  <si>
    <t xml:space="preserve">AUTORRETENCION                </t>
  </si>
  <si>
    <t xml:space="preserve">   800.197.268-4</t>
  </si>
  <si>
    <t xml:space="preserve">OBLIGACIONES FINANCIERAS      </t>
  </si>
  <si>
    <t xml:space="preserve">OTRAS OBLIGACIONES            </t>
  </si>
  <si>
    <t xml:space="preserve">       274.113-1</t>
  </si>
  <si>
    <t xml:space="preserve">MARIO FERNANDO FILEVICH LEIVA </t>
  </si>
  <si>
    <t xml:space="preserve">   890.900.841-9</t>
  </si>
  <si>
    <t>COMFAMA CAJA DE COMPENSACION F</t>
  </si>
  <si>
    <t xml:space="preserve">   890.928.647-8</t>
  </si>
  <si>
    <t xml:space="preserve">CONFECCIONES EFEJOTA S.A.S.   </t>
  </si>
  <si>
    <t xml:space="preserve">   900.410.852-2</t>
  </si>
  <si>
    <t xml:space="preserve">ECOLIMPIADORES S.A.S          </t>
  </si>
  <si>
    <t xml:space="preserve">SERVICIOS DEL 4%              </t>
  </si>
  <si>
    <t xml:space="preserve">FLETES                        </t>
  </si>
  <si>
    <t xml:space="preserve">TRASLADOS                     </t>
  </si>
  <si>
    <t xml:space="preserve">PASIVO POR IMPUESTOS          </t>
  </si>
  <si>
    <t xml:space="preserve">IMPUESTO SOBRE LAS VENTAS POR </t>
  </si>
  <si>
    <t xml:space="preserve">IVA GENERADO                  </t>
  </si>
  <si>
    <t xml:space="preserve">   890.301.463-8</t>
  </si>
  <si>
    <t xml:space="preserve">   890.300.279-4</t>
  </si>
  <si>
    <t xml:space="preserve">BANCO DE OCCIDENTE            </t>
  </si>
  <si>
    <t xml:space="preserve">IVA DESCONTABLE               </t>
  </si>
  <si>
    <t xml:space="preserve">   811.011.779-8</t>
  </si>
  <si>
    <t xml:space="preserve">   890.900.099-1</t>
  </si>
  <si>
    <t xml:space="preserve">   890.981.683-8</t>
  </si>
  <si>
    <t xml:space="preserve">BENEFICIOS A LOS TRABAJADORES </t>
  </si>
  <si>
    <t xml:space="preserve">CESANTIAS CONSOLIDADAS        </t>
  </si>
  <si>
    <t xml:space="preserve">VACACIONES CONSOLIDADAS       </t>
  </si>
  <si>
    <t xml:space="preserve">RETEIVA                       </t>
  </si>
  <si>
    <t xml:space="preserve">   800.229.739-0</t>
  </si>
  <si>
    <t xml:space="preserve">INTERESES SOBRE CESANTIAS     </t>
  </si>
  <si>
    <t xml:space="preserve">   800.088.702-2</t>
  </si>
  <si>
    <t xml:space="preserve">EPS SURA                      </t>
  </si>
  <si>
    <t xml:space="preserve">   800.130.907-4</t>
  </si>
  <si>
    <t xml:space="preserve">SALUD TOTAL S.A               </t>
  </si>
  <si>
    <t xml:space="preserve">   900.156.264-2</t>
  </si>
  <si>
    <t xml:space="preserve">   800.224.808-8</t>
  </si>
  <si>
    <t xml:space="preserve">   800.251.440-6</t>
  </si>
  <si>
    <t>ENTIDAD PROMOTORA DE SALUD SAN</t>
  </si>
  <si>
    <t xml:space="preserve">   800.227.940-6</t>
  </si>
  <si>
    <t xml:space="preserve">CAPITAL SUSCRITO Y PAGADO     </t>
  </si>
  <si>
    <t xml:space="preserve">CAPITAL AUTORIZADO            </t>
  </si>
  <si>
    <t xml:space="preserve">RESERVAS OBLIGATORIAS         </t>
  </si>
  <si>
    <t xml:space="preserve">RESERVA LEGAL                 </t>
  </si>
  <si>
    <t>RESULTADOS DE EJERCICIOS ANTER</t>
  </si>
  <si>
    <t xml:space="preserve">UTILIDADES ACUMULADAS         </t>
  </si>
  <si>
    <t xml:space="preserve">OPERACIONALES                 </t>
  </si>
  <si>
    <t xml:space="preserve">COMERCIO AL POR MAYOR Y MENOR </t>
  </si>
  <si>
    <t xml:space="preserve">VENTAS DE OTROS PRODUCTOS     </t>
  </si>
  <si>
    <t xml:space="preserve">NO OPERACIONALES              </t>
  </si>
  <si>
    <t>DESCUENTOS COMERCIALES CONDICI</t>
  </si>
  <si>
    <t xml:space="preserve">   890.905.080-3</t>
  </si>
  <si>
    <t>CAMARA DE COMERCIO DE MEDELLIN</t>
  </si>
  <si>
    <t xml:space="preserve">OPERACIONALES DE VENTAS       </t>
  </si>
  <si>
    <t xml:space="preserve">DEVOLUCIONES EN VENTAS        </t>
  </si>
  <si>
    <t xml:space="preserve">GASTOS DE PERSONAL            </t>
  </si>
  <si>
    <t xml:space="preserve">APROVECHAMIENTOS              </t>
  </si>
  <si>
    <t xml:space="preserve">HORAS EXTRAS                  </t>
  </si>
  <si>
    <t xml:space="preserve">INCAPACIDADES                 </t>
  </si>
  <si>
    <t xml:space="preserve">AUXILIO DE TRANSPORTE         </t>
  </si>
  <si>
    <t xml:space="preserve">INDUSTRIA Y COMERCIO          </t>
  </si>
  <si>
    <t>CONSTRUCCIONES Y EDIFICACIONES</t>
  </si>
  <si>
    <t xml:space="preserve">AFILIACIONES Y SOSTENIMIENTO  </t>
  </si>
  <si>
    <t>PROCESAMIENTO ELECTRONICO DE D</t>
  </si>
  <si>
    <t xml:space="preserve">ACUEDUCTO Y ALCANTARILLADO    </t>
  </si>
  <si>
    <t xml:space="preserve">ENERGIA ELECTRICA             </t>
  </si>
  <si>
    <t xml:space="preserve">TELEFONO                      </t>
  </si>
  <si>
    <t xml:space="preserve">INTERNET                      </t>
  </si>
  <si>
    <t xml:space="preserve">COMISIONES                    </t>
  </si>
  <si>
    <t xml:space="preserve">FINANCIEROS                   </t>
  </si>
  <si>
    <t xml:space="preserve">   800.226.175-3</t>
  </si>
  <si>
    <t>PERDIDA EN VENTA Y RETIRO DE BIENES</t>
  </si>
  <si>
    <t xml:space="preserve">   800.219.876-9</t>
  </si>
  <si>
    <t xml:space="preserve">SODEXO SERVICIO DE BENEFICIOS </t>
  </si>
  <si>
    <t xml:space="preserve">   900.378.652-1</t>
  </si>
  <si>
    <t xml:space="preserve">    43.610.539-1</t>
  </si>
  <si>
    <t xml:space="preserve">PAULA ANDREA ROJAS ARROYAVE   </t>
  </si>
  <si>
    <t xml:space="preserve">   830.048.145-8</t>
  </si>
  <si>
    <t xml:space="preserve">OTROS PASIVOS                 </t>
  </si>
  <si>
    <t xml:space="preserve">DE CLIENTES                   </t>
  </si>
  <si>
    <t>2020-12</t>
  </si>
  <si>
    <t>CALCULO DE IMPUESTO CORRIENTE AÑO 2020</t>
  </si>
  <si>
    <t>DILIGENCIAR LOS VALORES EN GRIS</t>
  </si>
  <si>
    <t>UTILIDAD CONTABLE ACUMULADA</t>
  </si>
  <si>
    <t>Arrastrar del acumulado a la fecha</t>
  </si>
  <si>
    <t>Gastos No Deducibles</t>
  </si>
  <si>
    <t>A</t>
  </si>
  <si>
    <t>Intereses Por Mora Fiscal</t>
  </si>
  <si>
    <t>C</t>
  </si>
  <si>
    <t>Costos y Gastos de Ejercicios Ant</t>
  </si>
  <si>
    <t>D</t>
  </si>
  <si>
    <t>Impuestos Asumidos</t>
  </si>
  <si>
    <t>E</t>
  </si>
  <si>
    <t>GMF 50%</t>
  </si>
  <si>
    <t>F</t>
  </si>
  <si>
    <t>Multas y Sanciones</t>
  </si>
  <si>
    <t>Donaciones</t>
  </si>
  <si>
    <t>UTILIDAD FISCAL</t>
  </si>
  <si>
    <t>calculo de Anticipo</t>
  </si>
  <si>
    <t>Impuesto de Renta Aprox</t>
  </si>
  <si>
    <t>Promedio o Menor impùesto</t>
  </si>
  <si>
    <t>Renta Presuntiva</t>
  </si>
  <si>
    <t>ACTIVOS NO PROD</t>
  </si>
  <si>
    <t>Impuesto de Renta Presuntiva</t>
  </si>
  <si>
    <t>Anticipo 75%-50%-25%</t>
  </si>
  <si>
    <t>Autorretencion Especial</t>
  </si>
  <si>
    <t>G</t>
  </si>
  <si>
    <t>valor de Anticipo</t>
  </si>
  <si>
    <t>Impuesto de Renta</t>
  </si>
  <si>
    <t>PROVISIONAR</t>
  </si>
  <si>
    <t>Saldo a Favor Renta año anterior</t>
  </si>
  <si>
    <t>Anticipo de Renta año anterior</t>
  </si>
  <si>
    <t>Saldo  a Favor/ Pagar Aprox Renta</t>
  </si>
  <si>
    <t>REQUIERE PLANEACIÓN</t>
  </si>
  <si>
    <t>Concesiones y Franquicias</t>
  </si>
  <si>
    <t>Descripcion</t>
  </si>
  <si>
    <t>Ingresos Brutos por Actividades Ordinarias</t>
  </si>
  <si>
    <t>Aporte sobre la nomina</t>
  </si>
  <si>
    <t>Devoluciones en venta</t>
  </si>
  <si>
    <t>Beneficios a los empleados</t>
  </si>
  <si>
    <t>Total</t>
  </si>
  <si>
    <t xml:space="preserve">Impuestos </t>
  </si>
  <si>
    <t xml:space="preserve">Arrendamientos </t>
  </si>
  <si>
    <t>Costo de Ventas</t>
  </si>
  <si>
    <t xml:space="preserve">Contribuiciones y afiliaciones </t>
  </si>
  <si>
    <t xml:space="preserve">Seguros </t>
  </si>
  <si>
    <t xml:space="preserve">Servicios </t>
  </si>
  <si>
    <t xml:space="preserve">Mantenimiento y reparaciones </t>
  </si>
  <si>
    <t>Adecuacion e instalaciones</t>
  </si>
  <si>
    <t xml:space="preserve">Recuperaciones de costos y gastos </t>
  </si>
  <si>
    <t>Gastos de viaje</t>
  </si>
  <si>
    <t xml:space="preserve">Depreciacion </t>
  </si>
  <si>
    <t xml:space="preserve">Gastos diversos </t>
  </si>
  <si>
    <t xml:space="preserve">Ingresos financieros </t>
  </si>
  <si>
    <t xml:space="preserve">Descuentos </t>
  </si>
  <si>
    <t>Costos financieros</t>
  </si>
  <si>
    <t xml:space="preserve">Gastos Bancarios </t>
  </si>
  <si>
    <t>Gravamen 4x1000</t>
  </si>
  <si>
    <t xml:space="preserve">   860.002.134-8</t>
  </si>
  <si>
    <t>ABBOTT LABORATORIES DE COLOMBI</t>
  </si>
  <si>
    <t xml:space="preserve">IVA DEV EN SERVICIOS 19%      </t>
  </si>
  <si>
    <t xml:space="preserve">   800.133.807-1</t>
  </si>
  <si>
    <t>Venta:</t>
  </si>
  <si>
    <t>Administracion:</t>
  </si>
  <si>
    <t xml:space="preserve">IMPUESTO DIFERIDO             </t>
  </si>
  <si>
    <t>PERDIDA ACUMULADA</t>
  </si>
  <si>
    <t>Capital</t>
  </si>
  <si>
    <t>Superavit de</t>
  </si>
  <si>
    <t>Utilidades/ Perdida</t>
  </si>
  <si>
    <t>Ajustes por Adopción</t>
  </si>
  <si>
    <t>Ajustes por corrección</t>
  </si>
  <si>
    <t>Ganancias Acumuladas</t>
  </si>
  <si>
    <t>Perdidas Acumuladas</t>
  </si>
  <si>
    <t xml:space="preserve">Total </t>
  </si>
  <si>
    <t>social</t>
  </si>
  <si>
    <t>Ejercicio</t>
  </si>
  <si>
    <t>NIIF</t>
  </si>
  <si>
    <t>Anteriores</t>
  </si>
  <si>
    <t>Aumento Capital</t>
  </si>
  <si>
    <t>Apropiacion Reserva Legal</t>
  </si>
  <si>
    <t>Participaciones Decretadas</t>
  </si>
  <si>
    <t>Para Capital de Trabajo</t>
  </si>
  <si>
    <t>Reclasificacion de Utilidades</t>
  </si>
  <si>
    <t>Utilidad/Perdida  del Ejercicio</t>
  </si>
  <si>
    <t>Saldo a Diciembre 31 de 2020</t>
  </si>
  <si>
    <t>________________________________</t>
  </si>
  <si>
    <t>____________________________</t>
  </si>
  <si>
    <t>LUZ AIDA HERNANDEZ GARCIA</t>
  </si>
  <si>
    <t>CC: 32.297.029</t>
  </si>
  <si>
    <t xml:space="preserve">Revisora Fiscal </t>
  </si>
  <si>
    <t>TP: 159803-T</t>
  </si>
  <si>
    <t>Saldo a Diciembre 31 de 2021</t>
  </si>
  <si>
    <t>ESTADO DE FLUJOS DE EFECTIVO</t>
  </si>
  <si>
    <t>FLUJOS DE FONDOS PROVENIENTES DE LAS ACTIVIDADES DE OPERACIÓN</t>
  </si>
  <si>
    <t>Utilidad neta del Ejercicio</t>
  </si>
  <si>
    <t>Mas o (Menos) Partidas que no afectaron el Efectivo</t>
  </si>
  <si>
    <t>Depreciación de Activos Fijos</t>
  </si>
  <si>
    <t xml:space="preserve">Amortización </t>
  </si>
  <si>
    <t>Subtotal Efectivo Generado por la Operación</t>
  </si>
  <si>
    <t>CAMBIOS EN ACTIVO Y PASIVO OPERACIONAL</t>
  </si>
  <si>
    <t>(Aumento)  Disminución en Deudores</t>
  </si>
  <si>
    <t>(Aumento)  Disminución en Inventarios</t>
  </si>
  <si>
    <t>(Aumento)  Disminución en Activo por Impuestos</t>
  </si>
  <si>
    <t>(Aumento)  Disminución en Activo por Impuestos Diferidos</t>
  </si>
  <si>
    <t>Aumento (Disminucion) Obligac. Financieras</t>
  </si>
  <si>
    <t>Aumento (Disminución) de Cuentas por Pagar</t>
  </si>
  <si>
    <t>Aumento (Disminución) de Pasivos por Impuestos ctes</t>
  </si>
  <si>
    <t>Aumento (Disminución) de Beneficios a Empleados</t>
  </si>
  <si>
    <t>Aumento (Disminución) de otros pasivos</t>
  </si>
  <si>
    <t>TOTAL EFECTIVO PROVISTO POR LAS ACTIVIDADES DE OPERACIÓN</t>
  </si>
  <si>
    <t>FLUJOS DE EFECTIVO PROVENIENTE DE LAS ACTIVIDADES DE INVERSION</t>
  </si>
  <si>
    <t>(Aumento) Disminución de Plantaciones Agricolas (activo Biologico)</t>
  </si>
  <si>
    <t>(Aumento) Disminución  Prop. Planta y Equipo</t>
  </si>
  <si>
    <t>TOTAL EFECTIVO USADO EN INVERSION</t>
  </si>
  <si>
    <t>FLUJOS DE EFECTIVO PROVENIENTE DE LAS ACTIVIDADES DE FINANCIACION</t>
  </si>
  <si>
    <t>Aumento (Disminución) de Reservas</t>
  </si>
  <si>
    <t>Aumento (Disminución) de Utilidades Ejercicios Anteriores</t>
  </si>
  <si>
    <t>TOTAL EFECTIVO PREVISTO POR LAS ACTIVIDADES DE FINANCIACION</t>
  </si>
  <si>
    <t>VARIACION DEL EFECTIVO</t>
  </si>
  <si>
    <t>EFECTIVO NETO AL INICIO DEL PERIODO</t>
  </si>
  <si>
    <t>Disponible</t>
  </si>
  <si>
    <t>Inversiones Temporales</t>
  </si>
  <si>
    <t>SALDO FINAL DE EFECTIVO E INVERSIONES TEMPORALES</t>
  </si>
  <si>
    <t>_____________________________</t>
  </si>
  <si>
    <t>32.297.029</t>
  </si>
  <si>
    <t>__________________________</t>
  </si>
  <si>
    <t>_________________________________________</t>
  </si>
  <si>
    <t>A DICIEMBRE 31 DE 2021</t>
  </si>
  <si>
    <t xml:space="preserve">IVA POR PAGAR                 </t>
  </si>
  <si>
    <t xml:space="preserve">   811.033.374-3</t>
  </si>
  <si>
    <t xml:space="preserve">   900.569.874-8</t>
  </si>
  <si>
    <t xml:space="preserve">SEVEN PHARMA COLOMBIA S A S   </t>
  </si>
  <si>
    <t xml:space="preserve">ASISTENCIA TECNICA            </t>
  </si>
  <si>
    <t>Retenciones Practicadas</t>
  </si>
  <si>
    <t xml:space="preserve">   811.029.525-3</t>
  </si>
  <si>
    <t xml:space="preserve">   900.212.550-4</t>
  </si>
  <si>
    <t xml:space="preserve">   900.089.104-5</t>
  </si>
  <si>
    <t>22.222.222.222-3</t>
  </si>
  <si>
    <t xml:space="preserve">ARREGLOS ORNAMENTALES         </t>
  </si>
  <si>
    <t xml:space="preserve">    70.559.764-3</t>
  </si>
  <si>
    <t xml:space="preserve">   800.182.281-5</t>
  </si>
  <si>
    <t xml:space="preserve">   860.032.909-7</t>
  </si>
  <si>
    <t xml:space="preserve">CREDIBANCO S A                </t>
  </si>
  <si>
    <t xml:space="preserve">AJUSTE AL PESO                </t>
  </si>
  <si>
    <t>Nombre NIT</t>
  </si>
  <si>
    <t xml:space="preserve">   800.153.993-7</t>
  </si>
  <si>
    <t>COMUNICACION CELULAR S A COMCE</t>
  </si>
  <si>
    <t xml:space="preserve">   900.059.238-5</t>
  </si>
  <si>
    <t xml:space="preserve">MAKRO SUPERMAYORISTA S.A.S    </t>
  </si>
  <si>
    <t xml:space="preserve">   900.512.935-3</t>
  </si>
  <si>
    <t xml:space="preserve">    70.546.533-2</t>
  </si>
  <si>
    <t xml:space="preserve">   900.604.350-0</t>
  </si>
  <si>
    <t>ALIANZA MEDELLIN ANTIOQUIA EPS</t>
  </si>
  <si>
    <t>Impuesto renta 2023</t>
  </si>
  <si>
    <t>PATRIMONIO LIQUIDO AÑO ANTERIOR</t>
  </si>
  <si>
    <t xml:space="preserve">RENTA </t>
  </si>
  <si>
    <t>menos 30,000,000,</t>
  </si>
  <si>
    <t>LLEVAR 100,000,000 A PRVEEODRES</t>
  </si>
  <si>
    <t>QUITAR</t>
  </si>
  <si>
    <t>nit 22222</t>
  </si>
  <si>
    <t xml:space="preserve">     8.028.389-0</t>
  </si>
  <si>
    <t xml:space="preserve">SANTIAGO ARANGO RESTREPO      </t>
  </si>
  <si>
    <t xml:space="preserve">   901.094.506-6</t>
  </si>
  <si>
    <t xml:space="preserve">TECNIFRIO SOLUCIONES S.A.S    </t>
  </si>
  <si>
    <t xml:space="preserve">   901.883.231-1</t>
  </si>
  <si>
    <t xml:space="preserve">   800.157.427-8</t>
  </si>
  <si>
    <t xml:space="preserve">CAMARA DE COMERCIO ABURRA SUR </t>
  </si>
  <si>
    <t xml:space="preserve">   901.846.729-1</t>
  </si>
  <si>
    <t xml:space="preserve">   890.941.663-1</t>
  </si>
  <si>
    <t xml:space="preserve">TEMPORALES                    </t>
  </si>
  <si>
    <t xml:space="preserve">TRAMITES Y LICENCIAS          </t>
  </si>
  <si>
    <t xml:space="preserve">   890.900.307-7</t>
  </si>
  <si>
    <t xml:space="preserve">AUTORRETENCION ESPECIAL 3.5%  </t>
  </si>
  <si>
    <t xml:space="preserve">SERVICIOS DEL 6%              </t>
  </si>
  <si>
    <t xml:space="preserve">   901.846.513-6</t>
  </si>
  <si>
    <t xml:space="preserve">   900.226.715-3</t>
  </si>
  <si>
    <t xml:space="preserve">PAPELERIA                     </t>
  </si>
  <si>
    <t xml:space="preserve">   890.905.211-1</t>
  </si>
  <si>
    <t xml:space="preserve">MUNICIPIO DE MEDELLIN         </t>
  </si>
  <si>
    <t xml:space="preserve">   890.907.106-5</t>
  </si>
  <si>
    <t xml:space="preserve">MUNICIPIO DE ENVIGADO         </t>
  </si>
  <si>
    <t xml:space="preserve">INSTALACIONES ELECTRICAS      </t>
  </si>
  <si>
    <t xml:space="preserve">REPARACIONES LOCATIVAS        </t>
  </si>
  <si>
    <t xml:space="preserve">   811.045.607-6</t>
  </si>
  <si>
    <t xml:space="preserve">   900.178.348-7</t>
  </si>
  <si>
    <t xml:space="preserve">   900.449.084-1</t>
  </si>
  <si>
    <t xml:space="preserve">    21.895.633-9</t>
  </si>
  <si>
    <t xml:space="preserve">   899.999.034-1</t>
  </si>
  <si>
    <t xml:space="preserve">SENA                          </t>
  </si>
  <si>
    <t>NIT: 900.307.969-5</t>
  </si>
  <si>
    <t>C.E 274.113</t>
  </si>
  <si>
    <t>GRUPO DE LOLITA S.A.S - 900.307.969-5</t>
  </si>
  <si>
    <t xml:space="preserve">CAJA PUNTO CLAVE              </t>
  </si>
  <si>
    <t xml:space="preserve">CAJA LIBERTAD                 </t>
  </si>
  <si>
    <t xml:space="preserve">CAJA PLAZA FABRICATO          </t>
  </si>
  <si>
    <t xml:space="preserve">CAJA MONTERREY                </t>
  </si>
  <si>
    <t xml:space="preserve">CAJA CLINICA PRADO            </t>
  </si>
  <si>
    <t xml:space="preserve">CAJA TORRE MEDICA             </t>
  </si>
  <si>
    <t xml:space="preserve">CAJA TRANSITORIA              </t>
  </si>
  <si>
    <t xml:space="preserve">CAJA UNICENTRO                </t>
  </si>
  <si>
    <t xml:space="preserve">CAJAS MENORES                 </t>
  </si>
  <si>
    <t xml:space="preserve">CTA  B.OCCIDENTE 9426         </t>
  </si>
  <si>
    <t xml:space="preserve">HELM BANK - ITAU 1190         </t>
  </si>
  <si>
    <t xml:space="preserve">CTA B.BOGOTA 3199             </t>
  </si>
  <si>
    <t xml:space="preserve">HELMBANK - ITAU 2545          </t>
  </si>
  <si>
    <t xml:space="preserve">HELMBANK - ITAU 2624          </t>
  </si>
  <si>
    <t xml:space="preserve">BANCO COLPATRIA 3358          </t>
  </si>
  <si>
    <t xml:space="preserve">CUENTA PUENTE 4451 BBIA       </t>
  </si>
  <si>
    <t xml:space="preserve">CTA AH BANCOL 8271 MOLINOS    </t>
  </si>
  <si>
    <t xml:space="preserve">BANCO DAVIVIENDA 7872         </t>
  </si>
  <si>
    <t xml:space="preserve">EQUIVALENTES AL EFECTIVO      </t>
  </si>
  <si>
    <t xml:space="preserve">FONDOS DE INVERSION           </t>
  </si>
  <si>
    <t xml:space="preserve">DAVIVIENDA 3122               </t>
  </si>
  <si>
    <t xml:space="preserve">BANCOLOMBIA                   </t>
  </si>
  <si>
    <t xml:space="preserve">   890.901.389-5</t>
  </si>
  <si>
    <t xml:space="preserve">UNIVERSIDAD EAFIT             </t>
  </si>
  <si>
    <t xml:space="preserve">   900.843.898-9</t>
  </si>
  <si>
    <t xml:space="preserve">RAPPI S.A.S                   </t>
  </si>
  <si>
    <t xml:space="preserve">   900.956.336-7</t>
  </si>
  <si>
    <t>SOY TU PEDIATRA INSTITUCION PR</t>
  </si>
  <si>
    <t xml:space="preserve">   901.461.076-5</t>
  </si>
  <si>
    <t xml:space="preserve">ASESORIAS DF S.A.S            </t>
  </si>
  <si>
    <t xml:space="preserve">   901.477.071-9</t>
  </si>
  <si>
    <t xml:space="preserve">NUTRIENDO ALMAS S.A.S         </t>
  </si>
  <si>
    <t xml:space="preserve">   901.630.218-1</t>
  </si>
  <si>
    <t xml:space="preserve">OASIS URBANOS S.A.S.          </t>
  </si>
  <si>
    <t xml:space="preserve">DESCUENTOS EMPLEADOS VB       </t>
  </si>
  <si>
    <t xml:space="preserve">    21.853.973-8</t>
  </si>
  <si>
    <t xml:space="preserve">VERONICA JOHANA MORENO LOPERA </t>
  </si>
  <si>
    <t xml:space="preserve">C X C A SOCIOS Y ACCIONISTAS  </t>
  </si>
  <si>
    <t xml:space="preserve">A ACCIONISTAS                 </t>
  </si>
  <si>
    <t xml:space="preserve">    71.388.822-1</t>
  </si>
  <si>
    <t xml:space="preserve">RODAS CORREA WILSON ALEXIS    </t>
  </si>
  <si>
    <t xml:space="preserve">   800.142.245-9</t>
  </si>
  <si>
    <t xml:space="preserve">CIUDADELA COMERCIAL UNICENTRO </t>
  </si>
  <si>
    <t xml:space="preserve">INGEMAN SOLUCIONES SAS        </t>
  </si>
  <si>
    <t xml:space="preserve">CRUCE CUADRES DE CAJA         </t>
  </si>
  <si>
    <t xml:space="preserve">     8.106.627-3</t>
  </si>
  <si>
    <t xml:space="preserve">JORGE ELIECER CANO MUÑOZ      </t>
  </si>
  <si>
    <t xml:space="preserve">     8.358.689-0</t>
  </si>
  <si>
    <t xml:space="preserve">ORLANDO CIRO VALENCIA         </t>
  </si>
  <si>
    <t xml:space="preserve">    32.109.722-6</t>
  </si>
  <si>
    <t>YESIKA MARIA PIEDRAHITA URUBUR</t>
  </si>
  <si>
    <t xml:space="preserve">    32.227.644-5</t>
  </si>
  <si>
    <t xml:space="preserve">LENIS ROLDAN CLAUDIA YANETH   </t>
  </si>
  <si>
    <t xml:space="preserve">   890.905.730-2</t>
  </si>
  <si>
    <t xml:space="preserve">   890.923.668-1</t>
  </si>
  <si>
    <t>EMPRESA DE TRANSPORTE MASIVO D</t>
  </si>
  <si>
    <t xml:space="preserve">ANTICIPOS UTS                 </t>
  </si>
  <si>
    <t xml:space="preserve">MARIO FERNANDO FILEVICH       </t>
  </si>
  <si>
    <t xml:space="preserve">    32.297.147-5</t>
  </si>
  <si>
    <t xml:space="preserve">ANDREA VELASQUEZ              </t>
  </si>
  <si>
    <t xml:space="preserve">    43.275.709-1</t>
  </si>
  <si>
    <t xml:space="preserve">CATALINA MARIA MEJIA AGUDELO  </t>
  </si>
  <si>
    <t xml:space="preserve">    71.741.619-6</t>
  </si>
  <si>
    <t xml:space="preserve">JOSE RICARDO LOPERA           </t>
  </si>
  <si>
    <t xml:space="preserve">    71.776.741-8</t>
  </si>
  <si>
    <t xml:space="preserve">ANDRES FELIPE MONTOYA VELEZ   </t>
  </si>
  <si>
    <t xml:space="preserve">    98.669.924-9</t>
  </si>
  <si>
    <t xml:space="preserve">SERGIO BARTH                  </t>
  </si>
  <si>
    <t xml:space="preserve">   901.156.140-1</t>
  </si>
  <si>
    <t xml:space="preserve">RAZEM S.A.S                   </t>
  </si>
  <si>
    <t xml:space="preserve"> 1.034.991.747-9</t>
  </si>
  <si>
    <t xml:space="preserve">JULIETA FILEVICH GIRALDO      </t>
  </si>
  <si>
    <t xml:space="preserve"> 1.034.997.467-9</t>
  </si>
  <si>
    <t xml:space="preserve">MARTIN LOPERA VELASQUEZ       </t>
  </si>
  <si>
    <t xml:space="preserve"> 1.034.997.497-1</t>
  </si>
  <si>
    <t xml:space="preserve">SAMUEL FILEVICH GIRALDO       </t>
  </si>
  <si>
    <t xml:space="preserve"> 1.035.007.126-1</t>
  </si>
  <si>
    <t xml:space="preserve">CRISTOBAL LOPERA VELAZQUEZ    </t>
  </si>
  <si>
    <t xml:space="preserve">PRESTAMOS A EMPLEADOS         </t>
  </si>
  <si>
    <t xml:space="preserve">CALAMIDAD DOMESTICA           </t>
  </si>
  <si>
    <t xml:space="preserve">EMPLEADOS                     </t>
  </si>
  <si>
    <t xml:space="preserve">     6.154.284-8</t>
  </si>
  <si>
    <t>VEGAS MIERES MARIA DE LOS ANGE</t>
  </si>
  <si>
    <t xml:space="preserve"> 1.017.182.402-0</t>
  </si>
  <si>
    <t xml:space="preserve">AGUILAR PEREZ ANA MILENA      </t>
  </si>
  <si>
    <t xml:space="preserve">DEUDORES DE CAJA              </t>
  </si>
  <si>
    <t xml:space="preserve">     5.740.264-0</t>
  </si>
  <si>
    <t>CASTILLO YEPEZ YAMILETH COROMO</t>
  </si>
  <si>
    <t xml:space="preserve">    21.431.770-9</t>
  </si>
  <si>
    <t xml:space="preserve">PAULA ANDREA SERNA SERNA      </t>
  </si>
  <si>
    <t xml:space="preserve">    23.178.987-2</t>
  </si>
  <si>
    <t xml:space="preserve">MEZA DIAZ MARIA MERCEDES      </t>
  </si>
  <si>
    <t xml:space="preserve">    43.562.011-9</t>
  </si>
  <si>
    <t xml:space="preserve">    43.686.015-0</t>
  </si>
  <si>
    <t xml:space="preserve">MARIA EUGENIA VASQUEZ PALACIO </t>
  </si>
  <si>
    <t xml:space="preserve"> 1.013.368.890-7</t>
  </si>
  <si>
    <t xml:space="preserve">SUAREZ BERMON SOLENNYS RUTH   </t>
  </si>
  <si>
    <t xml:space="preserve"> 1.017.253.839-0</t>
  </si>
  <si>
    <t xml:space="preserve">IBARRA MUÑOZ MARIA ISABEL     </t>
  </si>
  <si>
    <t xml:space="preserve"> 1.044.101.147-9</t>
  </si>
  <si>
    <t xml:space="preserve">GOMEZ RIOS LEIDY YULIANA      </t>
  </si>
  <si>
    <t xml:space="preserve"> 1.063.293.428-5</t>
  </si>
  <si>
    <t xml:space="preserve">ERIKA YULIETH BORJA ZAPATA    </t>
  </si>
  <si>
    <t xml:space="preserve">OTROS PRESTAMOS EMPLEADOS     </t>
  </si>
  <si>
    <t xml:space="preserve">    25.776.442-3</t>
  </si>
  <si>
    <t xml:space="preserve">SARA ESTHER CALDERON TAVERA   </t>
  </si>
  <si>
    <t xml:space="preserve">OTROS (AJES)                  </t>
  </si>
  <si>
    <t xml:space="preserve">CXC ENTRE COMPAÑIAS           </t>
  </si>
  <si>
    <t xml:space="preserve">   901.550.284-2</t>
  </si>
  <si>
    <t>CONVOCAMOS SERES DE AMOR S.A.S</t>
  </si>
  <si>
    <t xml:space="preserve">CXC INSPIRAMOS EL MAÑANA      </t>
  </si>
  <si>
    <t xml:space="preserve">   901.549.804-0</t>
  </si>
  <si>
    <t xml:space="preserve">INSPIRAMOS EL MAÑANA S.A.S    </t>
  </si>
  <si>
    <t xml:space="preserve">CXC NUTRIENDO ALMAS           </t>
  </si>
  <si>
    <t xml:space="preserve">A TERCEROS                    </t>
  </si>
  <si>
    <t xml:space="preserve">BONOS SODEXO                  </t>
  </si>
  <si>
    <t>MERCANCIAS NO FABRICADAS POR L</t>
  </si>
  <si>
    <t xml:space="preserve">INVENTARIO AÑO ANTERIOR CC    </t>
  </si>
  <si>
    <t xml:space="preserve">MERCANCIA NO FAB X LA EMPRESA </t>
  </si>
  <si>
    <t xml:space="preserve">PRODUCTOS LACTEOS AURA S.A.S. </t>
  </si>
  <si>
    <t xml:space="preserve">LEGUMBRES HERIBERTO           </t>
  </si>
  <si>
    <t xml:space="preserve">GASEOSAS POSADA TOBON S.A.    </t>
  </si>
  <si>
    <t xml:space="preserve">COOPERATIVA COLANTA LTDA      </t>
  </si>
  <si>
    <t xml:space="preserve">CENCOSUD COLOMBIA S.A         </t>
  </si>
  <si>
    <t xml:space="preserve">KOBA COLOMBIA S.A.S.          </t>
  </si>
  <si>
    <t xml:space="preserve">   900.742.925-6</t>
  </si>
  <si>
    <t xml:space="preserve">INVERSIONES ZONAZUL S.A.S     </t>
  </si>
  <si>
    <t xml:space="preserve">TECNIGO.CO S.A.S              </t>
  </si>
  <si>
    <t xml:space="preserve">SURAMERICA COMERCIAL S.A.S    </t>
  </si>
  <si>
    <t xml:space="preserve">   901.420.204-6</t>
  </si>
  <si>
    <t xml:space="preserve">LA CARETA SAS                 </t>
  </si>
  <si>
    <t xml:space="preserve">INVERSIONES CANDANAS S.A.S    </t>
  </si>
  <si>
    <t xml:space="preserve">   900.856.080-8</t>
  </si>
  <si>
    <t>SUPERMERCADOS MERCA AHORRO S.A</t>
  </si>
  <si>
    <t xml:space="preserve"> 1.001.227.269-4</t>
  </si>
  <si>
    <t xml:space="preserve">NOREÑA GIL ISABELA            </t>
  </si>
  <si>
    <t xml:space="preserve">COMP. DE MERC. NO DEDUCIBLE   </t>
  </si>
  <si>
    <t xml:space="preserve">MERCANCIA NO GRAVADA E        </t>
  </si>
  <si>
    <t xml:space="preserve">IMPUESTO SALUDABLE            </t>
  </si>
  <si>
    <t xml:space="preserve">IMPUESTO SALUDABLE 20%        </t>
  </si>
  <si>
    <t xml:space="preserve">ANTICIPOS A PROVEEDORES       </t>
  </si>
  <si>
    <t xml:space="preserve">DEVOLUCIONES 19%              </t>
  </si>
  <si>
    <t xml:space="preserve">DEVOLUCION PRODUCTOS EXENTOS  </t>
  </si>
  <si>
    <t xml:space="preserve">VARIOS                        </t>
  </si>
  <si>
    <t xml:space="preserve">   900.307.969-5</t>
  </si>
  <si>
    <t xml:space="preserve">GRUPO DE LOLITA S.A.S.        </t>
  </si>
  <si>
    <t xml:space="preserve">MEJORAS A PROPIEDADES AJENAS  </t>
  </si>
  <si>
    <t xml:space="preserve">    71.313.205-5</t>
  </si>
  <si>
    <t xml:space="preserve">ANDRES FELIPE BONILLA ARANGO  </t>
  </si>
  <si>
    <t xml:space="preserve">    71.382.726-5</t>
  </si>
  <si>
    <t xml:space="preserve">ERLIN RAMIRO RUDA ROMAN       </t>
  </si>
  <si>
    <t xml:space="preserve">    71.685.543-5</t>
  </si>
  <si>
    <t xml:space="preserve">JHON EDISON BARRERA GOMEZ     </t>
  </si>
  <si>
    <t xml:space="preserve">    98.563.387-7</t>
  </si>
  <si>
    <t xml:space="preserve">JUAN CARLOS SERNA YEPES       </t>
  </si>
  <si>
    <t xml:space="preserve">   900.711.891-1</t>
  </si>
  <si>
    <t xml:space="preserve">PINTEHOGAR S.A.S              </t>
  </si>
  <si>
    <t xml:space="preserve">   900.984.385-7</t>
  </si>
  <si>
    <t xml:space="preserve">7 CM ARQUITECTURA S.A.S       </t>
  </si>
  <si>
    <t xml:space="preserve"> 1.007.334.438-2</t>
  </si>
  <si>
    <t xml:space="preserve">RENDON RENDON JUANITA         </t>
  </si>
  <si>
    <t xml:space="preserve">IVA AL COSTO DEL ACTIVO       </t>
  </si>
  <si>
    <t xml:space="preserve">CONST Y EDIF EN LEASING       </t>
  </si>
  <si>
    <t xml:space="preserve">   860.034.594-1</t>
  </si>
  <si>
    <t xml:space="preserve">BANCO COLPATRIA MULTIBANCA C  </t>
  </si>
  <si>
    <t xml:space="preserve">LOCAL FABRICATO               </t>
  </si>
  <si>
    <t xml:space="preserve">OSCAR OSWALDO SANCHEZ PALACIO </t>
  </si>
  <si>
    <t>C.I. TECNOLOGIA ALIMENTARIA S.</t>
  </si>
  <si>
    <t xml:space="preserve">   860.017.005-1</t>
  </si>
  <si>
    <t xml:space="preserve">CHALLENGER S.A.S.             </t>
  </si>
  <si>
    <t xml:space="preserve">PALLOMARO S.A                 </t>
  </si>
  <si>
    <t xml:space="preserve">   900.104.550-1</t>
  </si>
  <si>
    <t xml:space="preserve">CAFE DEVOTION S.A.S.          </t>
  </si>
  <si>
    <t xml:space="preserve">   900.178.238-5</t>
  </si>
  <si>
    <t xml:space="preserve">A	REFCOM LTDA                 </t>
  </si>
  <si>
    <t xml:space="preserve">REFRIARTIC SAS                </t>
  </si>
  <si>
    <t xml:space="preserve">   900.476.145-7</t>
  </si>
  <si>
    <t>CORREA OCHOA INVERSIONES S.A.S</t>
  </si>
  <si>
    <t xml:space="preserve">   900.535.061-0</t>
  </si>
  <si>
    <t xml:space="preserve">INVERSIONES EL CIELO S.A.S.   </t>
  </si>
  <si>
    <t xml:space="preserve">   900.562.903-1</t>
  </si>
  <si>
    <t xml:space="preserve">COFFEE SOLUTIONS SAS          </t>
  </si>
  <si>
    <t xml:space="preserve">   900.685.813-5</t>
  </si>
  <si>
    <t xml:space="preserve">187 IDEAS S.A.S               </t>
  </si>
  <si>
    <t xml:space="preserve">   900.796.195-8</t>
  </si>
  <si>
    <t xml:space="preserve">GRUPO DYA S.A.S               </t>
  </si>
  <si>
    <t xml:space="preserve">   901.398.150-3</t>
  </si>
  <si>
    <t xml:space="preserve">SOLUCIONES HVAC S.A.S         </t>
  </si>
  <si>
    <t xml:space="preserve">IVA MAQUINARIA Y EQUIPO       </t>
  </si>
  <si>
    <t xml:space="preserve">     8.346.928-4</t>
  </si>
  <si>
    <t xml:space="preserve">ADAN GARCIA                   </t>
  </si>
  <si>
    <t xml:space="preserve">    92.525.410-5</t>
  </si>
  <si>
    <t xml:space="preserve">WILSON RAFAEL ROMERO MENDOZA  </t>
  </si>
  <si>
    <t xml:space="preserve">   800.006.332-1</t>
  </si>
  <si>
    <t xml:space="preserve">ARQUIMUEBLES S.A              </t>
  </si>
  <si>
    <t xml:space="preserve">   830.087.848-3</t>
  </si>
  <si>
    <t xml:space="preserve">TUGO S A S                    </t>
  </si>
  <si>
    <t xml:space="preserve">METALICAS JEP S.A.S           </t>
  </si>
  <si>
    <t xml:space="preserve">   900.334.064-1</t>
  </si>
  <si>
    <t xml:space="preserve">NUEVECERODOS S.A.S            </t>
  </si>
  <si>
    <t xml:space="preserve">   900.489.408-5</t>
  </si>
  <si>
    <t>COMPU ADVANCE MONTERREY DLL S.</t>
  </si>
  <si>
    <t xml:space="preserve">SITEC SUMINISTROS S.A.S       </t>
  </si>
  <si>
    <t xml:space="preserve">IVA MUEBLES Y ENSERES         </t>
  </si>
  <si>
    <t xml:space="preserve">    43.870.502-4</t>
  </si>
  <si>
    <t>DIANA NATALIA ECHEVERRI PALACI</t>
  </si>
  <si>
    <t xml:space="preserve">   900.427.546-8</t>
  </si>
  <si>
    <t xml:space="preserve">TECNO SOLUCIONES LJ S.A.S.    </t>
  </si>
  <si>
    <t xml:space="preserve">NSIT S.A.S.                   </t>
  </si>
  <si>
    <t xml:space="preserve">   901.248.086-7</t>
  </si>
  <si>
    <t xml:space="preserve">UNO A TECNOLOGIA S.A.S        </t>
  </si>
  <si>
    <t xml:space="preserve">   901.336.361-5</t>
  </si>
  <si>
    <t>SOLUSOFT TECNOLOGIA CREATIVA S</t>
  </si>
  <si>
    <t xml:space="preserve">   901.375.281-0</t>
  </si>
  <si>
    <t>TECNOLOGIA E INFORMATICA MAKRO</t>
  </si>
  <si>
    <t xml:space="preserve">IVA EQUIPOS DE COMPUTO        </t>
  </si>
  <si>
    <t xml:space="preserve">EQUIPOS DE TELECOMUNICACIONES </t>
  </si>
  <si>
    <t xml:space="preserve">   890.900.229-0</t>
  </si>
  <si>
    <t xml:space="preserve">CODISCOS S.A.S                </t>
  </si>
  <si>
    <t xml:space="preserve">   890.900.943-1</t>
  </si>
  <si>
    <t xml:space="preserve">COLOMBIANA DE COMERCIO S.A.   </t>
  </si>
  <si>
    <t xml:space="preserve">   900.534.317-6</t>
  </si>
  <si>
    <t xml:space="preserve">THRIVE S.A.S.                 </t>
  </si>
  <si>
    <t>ANTICIPO DE IMPTO DE IND Y CCI</t>
  </si>
  <si>
    <t xml:space="preserve">RETEICA SABANETA              </t>
  </si>
  <si>
    <t xml:space="preserve">   901.038.452-9</t>
  </si>
  <si>
    <t>CONJUNTO INMOBILIARIO CALLE 50</t>
  </si>
  <si>
    <t xml:space="preserve">RETEICA MEDELLIN              </t>
  </si>
  <si>
    <t xml:space="preserve">VENTAS 3.5%                   </t>
  </si>
  <si>
    <t xml:space="preserve">VENTAS 2.5%                   </t>
  </si>
  <si>
    <t xml:space="preserve">   800.021.620-9</t>
  </si>
  <si>
    <t xml:space="preserve">CENTRO COMERCIAL MONTERREY    </t>
  </si>
  <si>
    <t xml:space="preserve">JAL TECH SOLUCIONES S.A.S     </t>
  </si>
  <si>
    <t xml:space="preserve">SERVICIOS 4%                  </t>
  </si>
  <si>
    <t xml:space="preserve">   901.448.316-4</t>
  </si>
  <si>
    <t xml:space="preserve">SOMOS UNO RESTO CAFE SAS      </t>
  </si>
  <si>
    <t xml:space="preserve">RETEFTE AL 1.5%               </t>
  </si>
  <si>
    <t>FONDO DE INVERSIÓN COLECTIVA A</t>
  </si>
  <si>
    <t xml:space="preserve">RENDIMIENTO FINANCIEROS 7%    </t>
  </si>
  <si>
    <t xml:space="preserve">AUTORRETENCION ESPECIAL       </t>
  </si>
  <si>
    <t xml:space="preserve">AUTORRETENCION ESPECIAL 1.1   </t>
  </si>
  <si>
    <t xml:space="preserve">AUTORRETENCION ESPECIAL 3.5 % </t>
  </si>
  <si>
    <t>SOBRANTE EN LIQUIDACION PRIVAD</t>
  </si>
  <si>
    <t xml:space="preserve">RETENCIONES AÑO ANTERIOR      </t>
  </si>
  <si>
    <t xml:space="preserve">PAGARES                       </t>
  </si>
  <si>
    <t xml:space="preserve">OCCIDENTE CREDITO***2468      </t>
  </si>
  <si>
    <t xml:space="preserve">CRED COLPATRIA LIBERT***0472  </t>
  </si>
  <si>
    <t xml:space="preserve">CREDIPAGOS BANCOLOMBIA 2238   </t>
  </si>
  <si>
    <t xml:space="preserve">BANCO DE BOGOTA **0794        </t>
  </si>
  <si>
    <t xml:space="preserve">   860.002.964-4</t>
  </si>
  <si>
    <t xml:space="preserve">BANCO DE BOGOTA               </t>
  </si>
  <si>
    <t xml:space="preserve">BANCO BOG *****4412           </t>
  </si>
  <si>
    <t xml:space="preserve">BANCO BOGOTA **5407           </t>
  </si>
  <si>
    <t xml:space="preserve">CREDIPAGOS DAVIVIENDA 5261    </t>
  </si>
  <si>
    <t xml:space="preserve">CREDITO OCCIDENTE***1933      </t>
  </si>
  <si>
    <t>COMPAÑIAS DE FINANCIAMIENTO CO</t>
  </si>
  <si>
    <t>CONTRATOS DE ARRENDAMIENTO FIN</t>
  </si>
  <si>
    <t xml:space="preserve">LEASING COLPATRIA             </t>
  </si>
  <si>
    <t xml:space="preserve">PARTICULARES                  </t>
  </si>
  <si>
    <t xml:space="preserve">PRESTAMO CESANTIAS            </t>
  </si>
  <si>
    <t xml:space="preserve">    21.343.711-7</t>
  </si>
  <si>
    <t xml:space="preserve">MARIA EDILMA ARANGO ESCOBAR   </t>
  </si>
  <si>
    <t xml:space="preserve">    21.378.762-3</t>
  </si>
  <si>
    <t>ROCIO  DE JESUS ARANGO ESCOBAR</t>
  </si>
  <si>
    <t xml:space="preserve">    42.890.751-3</t>
  </si>
  <si>
    <t>ROSA VERONICA MARIA PIEDRAHITA</t>
  </si>
  <si>
    <t xml:space="preserve">    42.993.113-7</t>
  </si>
  <si>
    <t xml:space="preserve">LUZ MIRIAN TIRADO CARDENAS    </t>
  </si>
  <si>
    <t xml:space="preserve">    43.928.655-4</t>
  </si>
  <si>
    <t xml:space="preserve">LILLYANA MARIA MORENO ARANGO  </t>
  </si>
  <si>
    <t xml:space="preserve">    52.805.361-9</t>
  </si>
  <si>
    <t>MENDIVERLSO FONSECA JAZMIN JUL</t>
  </si>
  <si>
    <t xml:space="preserve">    70.326.298-2</t>
  </si>
  <si>
    <t xml:space="preserve">EDGAR ALONSO BEDOYA GARCIA    </t>
  </si>
  <si>
    <t xml:space="preserve">RAMON EMILIO MONTES OCAMPO    </t>
  </si>
  <si>
    <t xml:space="preserve">    70.565.831-3</t>
  </si>
  <si>
    <t xml:space="preserve">SANTIAGO GUTIERREZ MORENO     </t>
  </si>
  <si>
    <t xml:space="preserve">    75.085.214-7</t>
  </si>
  <si>
    <t xml:space="preserve">JOSE LUIS MEJIA VARGAS        </t>
  </si>
  <si>
    <t xml:space="preserve">   800.148.845-5</t>
  </si>
  <si>
    <t xml:space="preserve">UNIDAD MEDICA LAS VEGAS P.H.  </t>
  </si>
  <si>
    <t xml:space="preserve">   811.003.948-2</t>
  </si>
  <si>
    <t>COMERCIALIZADORA DE FRUTAS Y L</t>
  </si>
  <si>
    <t xml:space="preserve">   817.001.892-1</t>
  </si>
  <si>
    <t xml:space="preserve">VATIA S.A. E.S.P.             </t>
  </si>
  <si>
    <t xml:space="preserve">   830.501.504-1</t>
  </si>
  <si>
    <t xml:space="preserve">SERVICOMPLEMENTOS S.A.        </t>
  </si>
  <si>
    <t xml:space="preserve">   860.026.182-5</t>
  </si>
  <si>
    <t xml:space="preserve">ALLIANZ SEGUROS SA            </t>
  </si>
  <si>
    <t xml:space="preserve">   890.900.286-0</t>
  </si>
  <si>
    <t xml:space="preserve">   890.907.824-5</t>
  </si>
  <si>
    <t xml:space="preserve">MAYORCA INVERSIONES S.A       </t>
  </si>
  <si>
    <t xml:space="preserve">   890.911.431-1</t>
  </si>
  <si>
    <t xml:space="preserve">CONINSA RAMON H S.A           </t>
  </si>
  <si>
    <t xml:space="preserve">   890.930.022-1</t>
  </si>
  <si>
    <t xml:space="preserve">COMPLEMENTOS HUMANOS S.A.     </t>
  </si>
  <si>
    <t xml:space="preserve">   890.980.112-1</t>
  </si>
  <si>
    <t xml:space="preserve">ALCALDIA DE BELLO             </t>
  </si>
  <si>
    <t xml:space="preserve">   890.980.331-6</t>
  </si>
  <si>
    <t xml:space="preserve">MUNICIPIO DE SABANETA         </t>
  </si>
  <si>
    <t xml:space="preserve">   900.004.830-1</t>
  </si>
  <si>
    <t>CENTRO COMERCIAL PUNTO CLAVE H</t>
  </si>
  <si>
    <t xml:space="preserve">   900.191.090-6</t>
  </si>
  <si>
    <t xml:space="preserve">ARRENDAMIENTOS LONDOÑO GOMEZ  </t>
  </si>
  <si>
    <t xml:space="preserve">   900.323.338-5</t>
  </si>
  <si>
    <t xml:space="preserve">IDEXT S.A.S.                  </t>
  </si>
  <si>
    <t>SANAM SANEAMIENTO AMBIENTAL S.</t>
  </si>
  <si>
    <t xml:space="preserve">   900.585.869-8</t>
  </si>
  <si>
    <t xml:space="preserve">   900.606.963-4</t>
  </si>
  <si>
    <t>SAPHETY - TRANSACCIONES ELECTR</t>
  </si>
  <si>
    <t xml:space="preserve">CINCO E S.A.S                 </t>
  </si>
  <si>
    <t xml:space="preserve">   900.957.350-5</t>
  </si>
  <si>
    <t xml:space="preserve">INVERSIONES CARIS S.A.S       </t>
  </si>
  <si>
    <t xml:space="preserve">   901.038.182-5</t>
  </si>
  <si>
    <t xml:space="preserve">FUNDAMENTOS ALIMENTOS SAS     </t>
  </si>
  <si>
    <t xml:space="preserve">   901.304.654-0</t>
  </si>
  <si>
    <t xml:space="preserve">   901.326.929-5</t>
  </si>
  <si>
    <t>SERVICIOS EMPRESARIALES CYA S.</t>
  </si>
  <si>
    <t xml:space="preserve">   901.328.395-1</t>
  </si>
  <si>
    <t xml:space="preserve">FIWEEX S.A.S                  </t>
  </si>
  <si>
    <t xml:space="preserve">   901.344.877-7</t>
  </si>
  <si>
    <t xml:space="preserve">ADMINISTRACION MAYORCA S.A.S  </t>
  </si>
  <si>
    <t xml:space="preserve">   901.475.794-6</t>
  </si>
  <si>
    <t xml:space="preserve">AMG TECHNOLOGY                </t>
  </si>
  <si>
    <t xml:space="preserve">   901.623.198-1</t>
  </si>
  <si>
    <t>PARQUE FABRICATO CENTRO COMERC</t>
  </si>
  <si>
    <t xml:space="preserve">   901.641.550-8</t>
  </si>
  <si>
    <t xml:space="preserve">CREATOR ACRILICOS S.A.S       </t>
  </si>
  <si>
    <t xml:space="preserve"> 1.036.625.574-0</t>
  </si>
  <si>
    <t xml:space="preserve">MARIN QUINTERO YOHANY ALEXIS  </t>
  </si>
  <si>
    <t xml:space="preserve"> 1.036.664.748-1</t>
  </si>
  <si>
    <t xml:space="preserve">LEIDY JULIANA GIRALDO GIRALDO </t>
  </si>
  <si>
    <t xml:space="preserve"> 1.037.596.357-7</t>
  </si>
  <si>
    <t>LUCAS ALEJANDRO PALACIO MONTOY</t>
  </si>
  <si>
    <t xml:space="preserve">HONORARIOS DEL 11%            </t>
  </si>
  <si>
    <t>S.C CONSCIENCIA HUMANA Y ORGAN</t>
  </si>
  <si>
    <t xml:space="preserve">COMISIONES 11%                </t>
  </si>
  <si>
    <t xml:space="preserve"> 1.036.928.017-0</t>
  </si>
  <si>
    <t xml:space="preserve">KAREN ELISA GIL FRANCO        </t>
  </si>
  <si>
    <t xml:space="preserve">     8.280.895-4</t>
  </si>
  <si>
    <t xml:space="preserve">VASQUEZ ESTRADA PABLO EMILIO  </t>
  </si>
  <si>
    <t xml:space="preserve">    15.505.702-5</t>
  </si>
  <si>
    <t xml:space="preserve">ALVAREZ MESA HECTOR MARIO     </t>
  </si>
  <si>
    <t xml:space="preserve"> 1.037.623.161-7</t>
  </si>
  <si>
    <t xml:space="preserve">VELASQUEZ ECHEVERRI SIMON     </t>
  </si>
  <si>
    <t xml:space="preserve">    43.869.549-8</t>
  </si>
  <si>
    <t xml:space="preserve">ANA MARIA GIRALDO ARANGO      </t>
  </si>
  <si>
    <t xml:space="preserve">   611.000.686-9</t>
  </si>
  <si>
    <t xml:space="preserve">   900.384.295-8</t>
  </si>
  <si>
    <t xml:space="preserve">COMPUNETWORK RENTING S.A.S    </t>
  </si>
  <si>
    <t xml:space="preserve"> 1.140.844.254-5</t>
  </si>
  <si>
    <t xml:space="preserve">ROMERO CARVAL ENITH JOHANA    </t>
  </si>
  <si>
    <t xml:space="preserve">FLETES Y AIU 1%               </t>
  </si>
  <si>
    <t xml:space="preserve">    44.001.485-3</t>
  </si>
  <si>
    <t xml:space="preserve">SUAREZ GARCIA YENNY TATIANA   </t>
  </si>
  <si>
    <t xml:space="preserve">LICENCIAMIENTO Y USO SOFTWARE </t>
  </si>
  <si>
    <t xml:space="preserve">   901.066.046-0</t>
  </si>
  <si>
    <t xml:space="preserve">CONTROL DE VARIABLES S.A.S    </t>
  </si>
  <si>
    <t xml:space="preserve">CONTRATOS DE CONSTRUCC 2%     </t>
  </si>
  <si>
    <t xml:space="preserve">SERVICIOS 2%                  </t>
  </si>
  <si>
    <t xml:space="preserve">ARRENDAMIENTOS 3.5%           </t>
  </si>
  <si>
    <t xml:space="preserve">   890.905.699-1</t>
  </si>
  <si>
    <t xml:space="preserve">INVERSIONES LOS DOCE S.A.S    </t>
  </si>
  <si>
    <t xml:space="preserve">   900.306.740-1</t>
  </si>
  <si>
    <t xml:space="preserve">PERSPECTIVA URBANA S.A.S      </t>
  </si>
  <si>
    <t xml:space="preserve">   900.335.406-1</t>
  </si>
  <si>
    <t xml:space="preserve">CASAS Y COSAS S.A.S           </t>
  </si>
  <si>
    <t xml:space="preserve">RENDIMIENTOS FINANCIEROS      </t>
  </si>
  <si>
    <t xml:space="preserve">RENDIMIENTOS FROS PN4%        </t>
  </si>
  <si>
    <t xml:space="preserve">COMPRAS 3.5%                  </t>
  </si>
  <si>
    <t xml:space="preserve">RETENCION COMPRAS 2.5%        </t>
  </si>
  <si>
    <t xml:space="preserve">PAGOS Y TRASLADOS             </t>
  </si>
  <si>
    <t xml:space="preserve">RETENCIONES  EN EL IVA        </t>
  </si>
  <si>
    <t>RETENCION DE IVA A REGIMEN SIM</t>
  </si>
  <si>
    <t xml:space="preserve">AUTORRETENCION ESPECIAL 1.1%  </t>
  </si>
  <si>
    <t xml:space="preserve">ACREEDORES VARIOS             </t>
  </si>
  <si>
    <t xml:space="preserve">DESCUADRES EMPLEADOS          </t>
  </si>
  <si>
    <t xml:space="preserve">CUENTA PUENTE IMPUESTOS       </t>
  </si>
  <si>
    <t xml:space="preserve">DEDUCCION FECOMPLE            </t>
  </si>
  <si>
    <t xml:space="preserve">IMPUESTOS, GRAVAMENES Y TAS   </t>
  </si>
  <si>
    <t>DIRECCION DE IMPUESTOS Y ADUAN</t>
  </si>
  <si>
    <t xml:space="preserve">DE RENTA Y COMPLEMNETARIOS    </t>
  </si>
  <si>
    <t xml:space="preserve">VIGENCIA FISCAL CORRIENTE     </t>
  </si>
  <si>
    <t>RETENCION EN LA FUENTE POR PAG</t>
  </si>
  <si>
    <t xml:space="preserve">IVA EN VENTAS 19%             </t>
  </si>
  <si>
    <t xml:space="preserve">    15.518.713-2</t>
  </si>
  <si>
    <t>DAVID FERNANDO MEJIA ECHEVERRI</t>
  </si>
  <si>
    <t xml:space="preserve">CUANTIAS MENORES              </t>
  </si>
  <si>
    <t xml:space="preserve">MEGALABS COLOMBIA SAS         </t>
  </si>
  <si>
    <t xml:space="preserve">LABORATORIO FRANCO COLOMBIANO </t>
  </si>
  <si>
    <t xml:space="preserve">ENLACE OPERATIVO SA           </t>
  </si>
  <si>
    <t xml:space="preserve">   900.110.569-5</t>
  </si>
  <si>
    <t xml:space="preserve">RED AGROVETERINARIA S.A.      </t>
  </si>
  <si>
    <t xml:space="preserve"> 1.001.473.925-1</t>
  </si>
  <si>
    <t xml:space="preserve">TORO PEREZ JOHANNA ALEXANDRA  </t>
  </si>
  <si>
    <t xml:space="preserve"> 1.015.278.379-5</t>
  </si>
  <si>
    <t xml:space="preserve">MARLLURY CARDONA ORTIZ        </t>
  </si>
  <si>
    <t xml:space="preserve"> 1.036.644.200-2</t>
  </si>
  <si>
    <t xml:space="preserve">MARIA FERNANDA ARAQUE RAMIREZ </t>
  </si>
  <si>
    <t xml:space="preserve"> 1.070.591.915-4</t>
  </si>
  <si>
    <t xml:space="preserve">EDER JOHAN BAUTISTA           </t>
  </si>
  <si>
    <t xml:space="preserve"> 1.152.189.436-2</t>
  </si>
  <si>
    <t xml:space="preserve">TORO GOMEZ PAULA ANDREA       </t>
  </si>
  <si>
    <t xml:space="preserve">DEVOLUCIONES EN COMPRA 19%    </t>
  </si>
  <si>
    <t xml:space="preserve">   811.027.052-2</t>
  </si>
  <si>
    <t xml:space="preserve">DIPARCO S.A.S                 </t>
  </si>
  <si>
    <t xml:space="preserve">IVA GENERADO (AJU)            </t>
  </si>
  <si>
    <t xml:space="preserve">IVA DESCONTABLE SERVICIOS 19% </t>
  </si>
  <si>
    <t>CUERPO DE BOMBEROS VOLUNTARIOS</t>
  </si>
  <si>
    <t xml:space="preserve">SIIGO S.A.S                   </t>
  </si>
  <si>
    <t xml:space="preserve">   830.053.812-2</t>
  </si>
  <si>
    <t>ALIANZA FIDUCIARIA S.A. FIDEIC</t>
  </si>
  <si>
    <t xml:space="preserve">   860.037.013-6</t>
  </si>
  <si>
    <t xml:space="preserve">COMPAÑIA MUNDIAL DE SEGUROS S </t>
  </si>
  <si>
    <t xml:space="preserve">   900.345.255-7</t>
  </si>
  <si>
    <t xml:space="preserve">GENTE CONFIABLE MEDELIN S.A.S </t>
  </si>
  <si>
    <t xml:space="preserve">   901.813.274-9</t>
  </si>
  <si>
    <t>CEB CONSTELACIONES EN BIOCONSC</t>
  </si>
  <si>
    <t xml:space="preserve">IVA DESCONTABLE GASTOS 19%    </t>
  </si>
  <si>
    <t xml:space="preserve">     8.403.972-3</t>
  </si>
  <si>
    <t xml:space="preserve">     9.911.946-4</t>
  </si>
  <si>
    <t xml:space="preserve">RENZO DARIO BERMUDEZ TAPASCO  </t>
  </si>
  <si>
    <t xml:space="preserve">CLAUDIA ELENA CARDONA LOPEZ   </t>
  </si>
  <si>
    <t xml:space="preserve">    71.142.569-6</t>
  </si>
  <si>
    <t xml:space="preserve">SANTIAGO IGNACIO CIRO VILLADA </t>
  </si>
  <si>
    <t xml:space="preserve">    79.232.434-6</t>
  </si>
  <si>
    <t xml:space="preserve">JOSE FERNANDO RAMIREZ RAMIREZ </t>
  </si>
  <si>
    <t xml:space="preserve">   800.154.954-4</t>
  </si>
  <si>
    <t xml:space="preserve">   800.194.997-1</t>
  </si>
  <si>
    <t xml:space="preserve">DOCUPRINT SAS                 </t>
  </si>
  <si>
    <t xml:space="preserve">SODIMAC COLOMBIA S.A.         </t>
  </si>
  <si>
    <t xml:space="preserve">   811.009.952-1</t>
  </si>
  <si>
    <t xml:space="preserve">   811.037.682-5</t>
  </si>
  <si>
    <t xml:space="preserve">DISTRIBUIDORA MATEC S.A.      </t>
  </si>
  <si>
    <t xml:space="preserve">   811.044.852-1</t>
  </si>
  <si>
    <t>COMPAÑIA DE INVERSIONES Y SERV</t>
  </si>
  <si>
    <t xml:space="preserve">INVERSIONES EURO S.A.         </t>
  </si>
  <si>
    <t xml:space="preserve">   830.087.099-3</t>
  </si>
  <si>
    <t xml:space="preserve">   830.129.327-1</t>
  </si>
  <si>
    <t xml:space="preserve">FARMATODO COLOMBIA S.A        </t>
  </si>
  <si>
    <t xml:space="preserve">   860.001.584-4</t>
  </si>
  <si>
    <t xml:space="preserve">MECANELECTRO S.A.S            </t>
  </si>
  <si>
    <t xml:space="preserve">   860.007.336-1</t>
  </si>
  <si>
    <t xml:space="preserve">COLSUBSIDIO                   </t>
  </si>
  <si>
    <t xml:space="preserve">   860.062.084-4</t>
  </si>
  <si>
    <t xml:space="preserve">MESAS Y SILLAS S.A.S          </t>
  </si>
  <si>
    <t xml:space="preserve">INDUSTRIAS ESTRA S.A          </t>
  </si>
  <si>
    <t>INDUSTRIAS METALURGICAS UNIDAS</t>
  </si>
  <si>
    <t xml:space="preserve">   890.922.113-1</t>
  </si>
  <si>
    <t xml:space="preserve">DROPOPULAR S.A                </t>
  </si>
  <si>
    <t xml:space="preserve">DISTRIBUIDORA PASTEUR S.A     </t>
  </si>
  <si>
    <t xml:space="preserve">FRANCORP S.A.S                </t>
  </si>
  <si>
    <t xml:space="preserve">ALMACENES LA 13 S.A.S         </t>
  </si>
  <si>
    <t xml:space="preserve">   900.252.156-6</t>
  </si>
  <si>
    <t xml:space="preserve">TODO EN ARTES S.A.S.          </t>
  </si>
  <si>
    <t xml:space="preserve">   900.333.743-8</t>
  </si>
  <si>
    <t>TORRE MEDICA CIUDAD DEL RIO PH</t>
  </si>
  <si>
    <t xml:space="preserve">   900.334.110-0</t>
  </si>
  <si>
    <t xml:space="preserve">DAYPARKING SAS                </t>
  </si>
  <si>
    <t xml:space="preserve">   900.338.748-7</t>
  </si>
  <si>
    <t>PAPELERIA BOLIVARIANA BELLO S.</t>
  </si>
  <si>
    <t xml:space="preserve">   900.439.301-2</t>
  </si>
  <si>
    <t>INVERSIONES INT COLOMBIA SOCIE</t>
  </si>
  <si>
    <t xml:space="preserve">   900.698.570-7</t>
  </si>
  <si>
    <t xml:space="preserve">THE PARKING S.A.S             </t>
  </si>
  <si>
    <t xml:space="preserve">   900.839.469-7</t>
  </si>
  <si>
    <t>EDIFICIO SALUD Y SERVICIOS PRO</t>
  </si>
  <si>
    <t xml:space="preserve">   900.903.544-5</t>
  </si>
  <si>
    <t xml:space="preserve">DISTRIBUIDOR ESPECIALIZADO DE </t>
  </si>
  <si>
    <t xml:space="preserve">   900.954.634-8</t>
  </si>
  <si>
    <t xml:space="preserve">SOLUCIONES TESLA S.A.S.       </t>
  </si>
  <si>
    <t xml:space="preserve">   901.083.448-1</t>
  </si>
  <si>
    <t xml:space="preserve">BLUE SALUD Y MOVIMIENTO S.A.S </t>
  </si>
  <si>
    <t xml:space="preserve">   901.137.699-5</t>
  </si>
  <si>
    <t xml:space="preserve">MINISO COLOMBIA S.A.S         </t>
  </si>
  <si>
    <t xml:space="preserve">   901.276.004-2</t>
  </si>
  <si>
    <t>MATRIZ SEGURIDAD INDUSTRIAL S.</t>
  </si>
  <si>
    <t xml:space="preserve">   901.524.378-6</t>
  </si>
  <si>
    <t>FERRO AVENIDA EL POBLADO S.A.S</t>
  </si>
  <si>
    <t xml:space="preserve">   901.609.525-9</t>
  </si>
  <si>
    <t xml:space="preserve">BOLSAS Y PLASTICOS MR S.A.S   </t>
  </si>
  <si>
    <t xml:space="preserve">   901.708.030-1</t>
  </si>
  <si>
    <t xml:space="preserve">INDUGLOBALES S.A.S.           </t>
  </si>
  <si>
    <t xml:space="preserve">   901.803.632-1</t>
  </si>
  <si>
    <t xml:space="preserve">BLAU TECHNOLOGY SAS           </t>
  </si>
  <si>
    <t xml:space="preserve">   901.811.516-7</t>
  </si>
  <si>
    <t xml:space="preserve">ESISCO S.A.S                  </t>
  </si>
  <si>
    <t xml:space="preserve">   901.881.713-0</t>
  </si>
  <si>
    <t>INVERSIONES AGUILAR CARDONA S.</t>
  </si>
  <si>
    <t xml:space="preserve"> 1.017.146.687-1</t>
  </si>
  <si>
    <t>BLANDON ARISTIZABAL LEIDY JOHA</t>
  </si>
  <si>
    <t xml:space="preserve"> 1.026.153.715-1</t>
  </si>
  <si>
    <t xml:space="preserve">JUAN PABLO GOMEZ MONTOYA      </t>
  </si>
  <si>
    <t xml:space="preserve"> 1.036.607.349-3</t>
  </si>
  <si>
    <t xml:space="preserve"> 1.152.434.954-7</t>
  </si>
  <si>
    <t xml:space="preserve">CAROLINA CANO QUINCHIA        </t>
  </si>
  <si>
    <t xml:space="preserve">IVA DESC. EN COMPRAS 5%       </t>
  </si>
  <si>
    <t xml:space="preserve">IVA DESCONTABLE COMPRA 19%    </t>
  </si>
  <si>
    <t xml:space="preserve">IVA DEV VENTAS (AJU)          </t>
  </si>
  <si>
    <t>IVA EN DEVOLUCIONES EN COMPRAS</t>
  </si>
  <si>
    <t xml:space="preserve">IVA DEV GASTOS 19%            </t>
  </si>
  <si>
    <t xml:space="preserve">     5.062.846-8</t>
  </si>
  <si>
    <t xml:space="preserve">CIRA ALCALA VELASQUEZ         </t>
  </si>
  <si>
    <t xml:space="preserve">     6.176.039-4</t>
  </si>
  <si>
    <t>CAROLAY ALEXANDRA PONCE LOZADA</t>
  </si>
  <si>
    <t xml:space="preserve">    43.252.066-3</t>
  </si>
  <si>
    <t xml:space="preserve">TAMAYO TABORDA PAOLA ANDREA   </t>
  </si>
  <si>
    <t xml:space="preserve">    43.610.378-2</t>
  </si>
  <si>
    <t xml:space="preserve">OTERO MEJIA MARTA CECILIA     </t>
  </si>
  <si>
    <t xml:space="preserve">    46.647.885-6</t>
  </si>
  <si>
    <t xml:space="preserve">IVON MARITZA VELASQUEZ MORENO </t>
  </si>
  <si>
    <t xml:space="preserve"> 1.007.422.615-7</t>
  </si>
  <si>
    <t xml:space="preserve">OSORIO PADILLA DIANA CAROLINA </t>
  </si>
  <si>
    <t xml:space="preserve"> 1.015.186.551-0</t>
  </si>
  <si>
    <t xml:space="preserve">YURI MARITZA MOYA PIEDRAHITA  </t>
  </si>
  <si>
    <t xml:space="preserve"> 1.020.464.007-6</t>
  </si>
  <si>
    <t>CARTAGENA ESTRADA ANLLY CAROLI</t>
  </si>
  <si>
    <t xml:space="preserve"> 1.035.443.261-5</t>
  </si>
  <si>
    <t xml:space="preserve">BETANCUR VANEGAS VALENTINA    </t>
  </si>
  <si>
    <t xml:space="preserve"> 1.064.106.283-8</t>
  </si>
  <si>
    <t xml:space="preserve">CARILYS OSNELA NAVARRO ARIAS  </t>
  </si>
  <si>
    <t xml:space="preserve"> 1.082.853.680-8</t>
  </si>
  <si>
    <t xml:space="preserve">LEY 50                        </t>
  </si>
  <si>
    <t>PAGO INTERESES SOBRE CESANTIAS</t>
  </si>
  <si>
    <t xml:space="preserve">BENEFICIOS A EMPLEADOS        </t>
  </si>
  <si>
    <t xml:space="preserve">PROVISION DE CESANTIAS        </t>
  </si>
  <si>
    <t xml:space="preserve">     5.906.886-6</t>
  </si>
  <si>
    <t>ANGIEMAR ANTONELLA PARRA GUERR</t>
  </si>
  <si>
    <t xml:space="preserve">    31.417.856-1</t>
  </si>
  <si>
    <t xml:space="preserve">    42.799.905-2</t>
  </si>
  <si>
    <t xml:space="preserve">MARITZABEL VELASQUEZ          </t>
  </si>
  <si>
    <t xml:space="preserve">    43.848.428-5</t>
  </si>
  <si>
    <t xml:space="preserve">MONICA MARCELA ORTIZ ORTIZ    </t>
  </si>
  <si>
    <t xml:space="preserve">    43.903.771-2</t>
  </si>
  <si>
    <t xml:space="preserve">MARLENY GONZALEZ RIOS         </t>
  </si>
  <si>
    <t xml:space="preserve"> 1.001.362.700-5</t>
  </si>
  <si>
    <t>LAURA CAROLINA ESPINOZA TAMAYO</t>
  </si>
  <si>
    <t xml:space="preserve">GRACIANO ANDREA               </t>
  </si>
  <si>
    <t xml:space="preserve"> 1.007.757.158-0</t>
  </si>
  <si>
    <t>LOAIZA MONSALVE MAIRA ALEJANDR</t>
  </si>
  <si>
    <t xml:space="preserve"> 1.020.423.647-4</t>
  </si>
  <si>
    <t>RESTREPO OCAMPO WENDY CAROLINA</t>
  </si>
  <si>
    <t xml:space="preserve"> 1.020.443.060-7</t>
  </si>
  <si>
    <t>HINESTROZA SEPULVEDA YESSICA A</t>
  </si>
  <si>
    <t xml:space="preserve"> 1.021.806.386-5</t>
  </si>
  <si>
    <t xml:space="preserve">OSPINA MONTOYA LIZ MANUELA    </t>
  </si>
  <si>
    <t xml:space="preserve"> 1.023.800.255-9</t>
  </si>
  <si>
    <t xml:space="preserve">LOPERA ORTIZ KAREN            </t>
  </si>
  <si>
    <t xml:space="preserve"> 1.038.771.346-1</t>
  </si>
  <si>
    <t>CASTAÑEDA CASTAÑEDA ANGIE DANI</t>
  </si>
  <si>
    <t xml:space="preserve"> 1.074.005.314-0</t>
  </si>
  <si>
    <t xml:space="preserve">YULIETH ANDREA TABARES ARIAS  </t>
  </si>
  <si>
    <t xml:space="preserve">PAGOS DE CESANTIAS            </t>
  </si>
  <si>
    <t xml:space="preserve">     1.542.734-7</t>
  </si>
  <si>
    <t>LEON LOPEZ ELIZABETH MARGARITA</t>
  </si>
  <si>
    <t xml:space="preserve"> 1.033.180.240-3</t>
  </si>
  <si>
    <t xml:space="preserve">CASTAÑEDA URREGO SUSANA       </t>
  </si>
  <si>
    <t>PROVISION INTERESES A LAS CESA</t>
  </si>
  <si>
    <t>PAGOS DE INTERESES A LAS CESAN</t>
  </si>
  <si>
    <t xml:space="preserve">PROVISION PARA VACACIONES     </t>
  </si>
  <si>
    <t xml:space="preserve">    43.462.828-1</t>
  </si>
  <si>
    <t>MARTA CECILIA OTALVARO MANRRIQ</t>
  </si>
  <si>
    <t xml:space="preserve">PAGOS DE VACACIONES           </t>
  </si>
  <si>
    <t xml:space="preserve">PAGOS VACACIONES LIQUIDADAS   </t>
  </si>
  <si>
    <t xml:space="preserve">PROVISION DE PRIMA SERVICIOS  </t>
  </si>
  <si>
    <t xml:space="preserve">PAGOS DE PRIMA DE SERVICIOS   </t>
  </si>
  <si>
    <t>RETENCIONES Y APORTES DE NOMIN</t>
  </si>
  <si>
    <t>APORTES A ENTIDADES PROMOTORAS</t>
  </si>
  <si>
    <t xml:space="preserve">APORTES A EPS                 </t>
  </si>
  <si>
    <t>NUEVA EMPRESA PROMOTORA DE SAL</t>
  </si>
  <si>
    <t xml:space="preserve">COOSALUD ENTIDAD PROMOTORA DE </t>
  </si>
  <si>
    <t xml:space="preserve">PAGOS APORTES EPS             </t>
  </si>
  <si>
    <t xml:space="preserve">APORTES A E.P.S EMPLEADOS     </t>
  </si>
  <si>
    <t>APORTES A ADMINISTRADORAS DE R</t>
  </si>
  <si>
    <t>COMPAÑIA DE SEGUROS DE VIDA CO</t>
  </si>
  <si>
    <t xml:space="preserve">PAGOS ARL                     </t>
  </si>
  <si>
    <t xml:space="preserve">APORTES AL I.C.B.F., SENA Y   </t>
  </si>
  <si>
    <t xml:space="preserve">PAGOS CAJAS                   </t>
  </si>
  <si>
    <t>FONDOS DE CESANTIAS Y PENSIONE</t>
  </si>
  <si>
    <t xml:space="preserve">APORTES A FONDOS DE PENSIONES </t>
  </si>
  <si>
    <t xml:space="preserve">PAGOS AFP                     </t>
  </si>
  <si>
    <t>PORVENIR PENSIONES Y CESANTIAS</t>
  </si>
  <si>
    <t>FONDO DE PENSIONES OBLIGATORIA</t>
  </si>
  <si>
    <t xml:space="preserve">ADMINISTRADORA COLOMBIANA DE  </t>
  </si>
  <si>
    <t xml:space="preserve">FONDO SOLIDARIDAD             </t>
  </si>
  <si>
    <t xml:space="preserve">DEDUCCION PENSION EMPLEADOS   </t>
  </si>
  <si>
    <t xml:space="preserve">COOPERATIVAS                  </t>
  </si>
  <si>
    <t xml:space="preserve">LIBRANZAS BANCO DAVIVIENDA    </t>
  </si>
  <si>
    <t xml:space="preserve">CREDITOS COMFAMA              </t>
  </si>
  <si>
    <t xml:space="preserve">DEDUCCION OPTICA              </t>
  </si>
  <si>
    <t xml:space="preserve">SEGURO DE VIDA SURA           </t>
  </si>
  <si>
    <t xml:space="preserve">    43.927.573-4</t>
  </si>
  <si>
    <t>BLANCA EDILMA ECHAVARRIA MOREN</t>
  </si>
  <si>
    <t xml:space="preserve">    71.265.003-8</t>
  </si>
  <si>
    <t xml:space="preserve">JOHN VILMAR JIMENEZ TABARES   </t>
  </si>
  <si>
    <t>PASIVOS ESTIMADOS Y PROVISIONE</t>
  </si>
  <si>
    <t xml:space="preserve">OBLIGACIONES FISCALES         </t>
  </si>
  <si>
    <t xml:space="preserve">DE INDUSTRIA Y COMERCIO       </t>
  </si>
  <si>
    <t xml:space="preserve">INDUSTRIA Y COMERCIO AÑO ANT  </t>
  </si>
  <si>
    <t>INDUSTRIA Y COMERCIO AÑO ACTUA</t>
  </si>
  <si>
    <t xml:space="preserve">RAPPI                         </t>
  </si>
  <si>
    <t xml:space="preserve">ASESORIAS DF                  </t>
  </si>
  <si>
    <t xml:space="preserve">RESULTADOS DEL EJERCICIO      </t>
  </si>
  <si>
    <t xml:space="preserve">UTILIDAD DEL EJERCICIO        </t>
  </si>
  <si>
    <t xml:space="preserve">UTILIDADES ACUMULADAS A 2016  </t>
  </si>
  <si>
    <t xml:space="preserve">UTILIDAD 2018                 </t>
  </si>
  <si>
    <t xml:space="preserve">UTILIDADES AÑO 2020           </t>
  </si>
  <si>
    <t xml:space="preserve">UTILIDADES AÑO 2021           </t>
  </si>
  <si>
    <t xml:space="preserve">UTILIDADES AÑO 2023           </t>
  </si>
  <si>
    <t xml:space="preserve">UTILIDADES AÑO 2024           </t>
  </si>
  <si>
    <t xml:space="preserve">PERDIDAS ACUMULADAS           </t>
  </si>
  <si>
    <t xml:space="preserve">PERDIDAS ACUMULADAS 2022      </t>
  </si>
  <si>
    <t xml:space="preserve">PROPIEDAD PLAQNTA Y EQUIPO    </t>
  </si>
  <si>
    <t xml:space="preserve">DIFERIDOS                     </t>
  </si>
  <si>
    <t xml:space="preserve">VENTAS RESTAURANTES GRAV19%   </t>
  </si>
  <si>
    <t xml:space="preserve">VENTAS DE BODEGA              </t>
  </si>
  <si>
    <t xml:space="preserve">VENTAS (AJU)                  </t>
  </si>
  <si>
    <t xml:space="preserve">DEV VENTAS (AJU)              </t>
  </si>
  <si>
    <t xml:space="preserve">SERVICIOS GRAVADOS 19%        </t>
  </si>
  <si>
    <t xml:space="preserve">OTROS (PRESTAMO DE PERSONAL)  </t>
  </si>
  <si>
    <t xml:space="preserve">PRESTAMO DE PERSONAL          </t>
  </si>
  <si>
    <t xml:space="preserve">RECUPERACION                  </t>
  </si>
  <si>
    <t>RECUPERACION DE COSTOS Y GASTO</t>
  </si>
  <si>
    <t xml:space="preserve">DED.ALIMENTACION EMPLEADOS    </t>
  </si>
  <si>
    <t xml:space="preserve">Consumidor Final              </t>
  </si>
  <si>
    <t xml:space="preserve">SOBRANTES DE CAJA             </t>
  </si>
  <si>
    <t xml:space="preserve">APORTES A.R.P                 </t>
  </si>
  <si>
    <t xml:space="preserve">APORTES A E.P.S               </t>
  </si>
  <si>
    <t xml:space="preserve">APORTES CAJAS DE COMPENSACION </t>
  </si>
  <si>
    <t xml:space="preserve">SUELDOS                       </t>
  </si>
  <si>
    <t xml:space="preserve">AUXILIOS                      </t>
  </si>
  <si>
    <t xml:space="preserve">AUXILIO CONECTIVIDAD          </t>
  </si>
  <si>
    <t xml:space="preserve">BONIFICACIONES                </t>
  </si>
  <si>
    <t xml:space="preserve">BONIFICACIONES NO SALARIALES  </t>
  </si>
  <si>
    <t>DOTACION Y SUMINISTROS AL TRAB</t>
  </si>
  <si>
    <t xml:space="preserve">CAPACITACION AL PERSONAL      </t>
  </si>
  <si>
    <t xml:space="preserve">GASTOS MEDICOS Y DROGAS       </t>
  </si>
  <si>
    <t xml:space="preserve">REFRIGERIOS                   </t>
  </si>
  <si>
    <t xml:space="preserve">MONETIZACION SENA             </t>
  </si>
  <si>
    <t xml:space="preserve">ASESORIA EMPRESARIAL          </t>
  </si>
  <si>
    <t xml:space="preserve">SELECCION DE PERSONAL         </t>
  </si>
  <si>
    <t xml:space="preserve">ASESORIA LABORAL              </t>
  </si>
  <si>
    <t>RETENCIONES POR INDUSTRIA Y CO</t>
  </si>
  <si>
    <t>PROVISION INDUSTRIA Y COMERCIO</t>
  </si>
  <si>
    <t>AVISIS Y TABLEROS Y TASA BOMBE</t>
  </si>
  <si>
    <t xml:space="preserve">A LA PROPIEDAD RAIZ           </t>
  </si>
  <si>
    <t xml:space="preserve">IMPUESTO PREDIAL              </t>
  </si>
  <si>
    <t xml:space="preserve">   860.002.445-3</t>
  </si>
  <si>
    <t xml:space="preserve">COLPATRIA                     </t>
  </si>
  <si>
    <t xml:space="preserve">IMPTO TELEFONICO              </t>
  </si>
  <si>
    <t xml:space="preserve">CUMPLIMIENTO                  </t>
  </si>
  <si>
    <t xml:space="preserve">ASEO Y VIGILANCIA             </t>
  </si>
  <si>
    <t xml:space="preserve">ADMINISTRACION NOMINA         </t>
  </si>
  <si>
    <t xml:space="preserve">    43.250.280-4</t>
  </si>
  <si>
    <t xml:space="preserve">OSPINA OSPINA LUZ EDITH       </t>
  </si>
  <si>
    <t xml:space="preserve">PUBLICIDAD, PROPAGANDA Y PR   </t>
  </si>
  <si>
    <t>"""PUBLICIDAD, PROPAGANDA Y PR</t>
  </si>
  <si>
    <t>SERVICIOS ADMINISTRATIVO P.TVA</t>
  </si>
  <si>
    <t xml:space="preserve">SERVICIO PLATAFORMA RAPPI     </t>
  </si>
  <si>
    <t xml:space="preserve">RECARGA EXTINTORES            </t>
  </si>
  <si>
    <t xml:space="preserve">OTROS SERVICIOS               </t>
  </si>
  <si>
    <t xml:space="preserve">    71.333.495-1</t>
  </si>
  <si>
    <t xml:space="preserve">YEYSON ORLEY BLANDON VALENCIA </t>
  </si>
  <si>
    <t xml:space="preserve">    25.191.705-3</t>
  </si>
  <si>
    <t xml:space="preserve">MARIA NOHELIA GIRALDO ANGEL   </t>
  </si>
  <si>
    <t xml:space="preserve">ADECUACION E INSTALACIONES    </t>
  </si>
  <si>
    <t xml:space="preserve">    15.484.847-2</t>
  </si>
  <si>
    <t>JOSE ARISTIDES SEPULVEDA VARGA</t>
  </si>
  <si>
    <t xml:space="preserve">    43.676.246-2</t>
  </si>
  <si>
    <t>GLORIA CECILIA BETANCUR LLANOS</t>
  </si>
  <si>
    <t xml:space="preserve"> 1.019.100.442-1</t>
  </si>
  <si>
    <t xml:space="preserve">DURAN ARIAS WILLIAM DANIEL    </t>
  </si>
  <si>
    <t>11.408.442.545-7</t>
  </si>
  <si>
    <t xml:space="preserve">Enith Romero                  </t>
  </si>
  <si>
    <t xml:space="preserve">OTRAS ADECUACIONES            </t>
  </si>
  <si>
    <t xml:space="preserve">PLOMERIA                      </t>
  </si>
  <si>
    <t xml:space="preserve">EQUIPO DE COMPUTACION         </t>
  </si>
  <si>
    <t xml:space="preserve">UTILES DE ASEO Y CAFETERIA    </t>
  </si>
  <si>
    <t xml:space="preserve">UTILES DE ASEO                </t>
  </si>
  <si>
    <t xml:space="preserve">UTILES PAPELERIA Y FOTOCOPIAS </t>
  </si>
  <si>
    <t xml:space="preserve">    21.509.109-7</t>
  </si>
  <si>
    <t xml:space="preserve">SANCHEZ MARIN NILSA INES      </t>
  </si>
  <si>
    <t xml:space="preserve">WILFER PEREZ G.               </t>
  </si>
  <si>
    <t xml:space="preserve">    71.719.228-8</t>
  </si>
  <si>
    <t xml:space="preserve">LUIS ALBERTO CORREA LONDOÑO   </t>
  </si>
  <si>
    <t xml:space="preserve">ENVASES Y EMPAQUES            </t>
  </si>
  <si>
    <t xml:space="preserve">TAXIS Y BUSES                 </t>
  </si>
  <si>
    <t xml:space="preserve">   890.910.984-6</t>
  </si>
  <si>
    <t>SOCIEDAD TRANSPORTADORA MEDELL</t>
  </si>
  <si>
    <t xml:space="preserve">PARQUEADEROS                  </t>
  </si>
  <si>
    <t xml:space="preserve">ATENCION A EMPLEADOS          </t>
  </si>
  <si>
    <t xml:space="preserve">   800.180.330-9</t>
  </si>
  <si>
    <t xml:space="preserve">   901.761.827-7</t>
  </si>
  <si>
    <t xml:space="preserve">FRUTHELA TROPIJUGO S.A.S.     </t>
  </si>
  <si>
    <t xml:space="preserve">ACTIVOS DE CUANTIA MENOR      </t>
  </si>
  <si>
    <t xml:space="preserve">CAMBIO DE MENUDA              </t>
  </si>
  <si>
    <t xml:space="preserve">MENAJE                        </t>
  </si>
  <si>
    <t xml:space="preserve">HERRAMIENTAS MENORES          </t>
  </si>
  <si>
    <t xml:space="preserve">GASTOS NO DEDUCIBLES          </t>
  </si>
  <si>
    <t xml:space="preserve">CANCELACION PEDIDOS           </t>
  </si>
  <si>
    <t xml:space="preserve">    43.632.308-1</t>
  </si>
  <si>
    <t xml:space="preserve">PATIÑO CARDONA JUDY ANDREA    </t>
  </si>
  <si>
    <t xml:space="preserve">    71.683.920-1</t>
  </si>
  <si>
    <t xml:space="preserve">GOMEZ CASTAÑO JOSE JAIME      </t>
  </si>
  <si>
    <t xml:space="preserve">NO DEDUCIBLE                  </t>
  </si>
  <si>
    <t xml:space="preserve">   835.000.779-8</t>
  </si>
  <si>
    <t xml:space="preserve">DARSALUD Y BIENESTAR S.A.S    </t>
  </si>
  <si>
    <t xml:space="preserve">   899.999.007-0</t>
  </si>
  <si>
    <t>OFICINA DE REGISTRO DE INSTRUM</t>
  </si>
  <si>
    <t xml:space="preserve">   900.319.753-3</t>
  </si>
  <si>
    <t xml:space="preserve">PRICESMART                    </t>
  </si>
  <si>
    <t xml:space="preserve">   900.860.284-9</t>
  </si>
  <si>
    <t xml:space="preserve">BBI COLOMBIA S.A.S            </t>
  </si>
  <si>
    <t xml:space="preserve">   901.696.840-5</t>
  </si>
  <si>
    <t>DEPOSITO Y FERRETERIA MALIBU S</t>
  </si>
  <si>
    <t xml:space="preserve"> 1.036.616.292-0</t>
  </si>
  <si>
    <t xml:space="preserve">JENNIFER CHAVARRIAGA QUIROS   </t>
  </si>
  <si>
    <t xml:space="preserve"> 1.042.770.241-5</t>
  </si>
  <si>
    <t xml:space="preserve">OSPINA CORREA ERICA DILANIS   </t>
  </si>
  <si>
    <t xml:space="preserve"> 1.046.914.021-6</t>
  </si>
  <si>
    <t xml:space="preserve">VILLA GALLEGO ESTEFANIA       </t>
  </si>
  <si>
    <t xml:space="preserve">PUBLICIDAD                    </t>
  </si>
  <si>
    <t xml:space="preserve">ACTIVOS MENOR CUANTIA         </t>
  </si>
  <si>
    <t xml:space="preserve">ACTIVOS DE MENOR CUANTIA      </t>
  </si>
  <si>
    <t xml:space="preserve">GRAVAMEN 4X1000               </t>
  </si>
  <si>
    <t xml:space="preserve">COMISIONES FONDO DE GARANTIAS </t>
  </si>
  <si>
    <t xml:space="preserve">INTERESES POR MORA            </t>
  </si>
  <si>
    <t xml:space="preserve">IMPUESTO DE RENTA             </t>
  </si>
  <si>
    <t xml:space="preserve">COSTOS Y GASTOS DE EJERCICIOS </t>
  </si>
  <si>
    <t xml:space="preserve">IMPUESTOS ASUMIDOS            </t>
  </si>
  <si>
    <t xml:space="preserve">MULTAS SANCIONES Y LITIGIOS   </t>
  </si>
  <si>
    <t xml:space="preserve">COSTOS DE VENTAS Y PRESTACION </t>
  </si>
  <si>
    <t>COMERCIO AL POR MAYOR Y AL POR</t>
  </si>
  <si>
    <t>MEJORAS A PROPIEDADES AJENAS</t>
  </si>
  <si>
    <t>Mejoras a propiedades Ajenas</t>
  </si>
  <si>
    <t>Provision impuestos muniipales</t>
  </si>
  <si>
    <t>4120</t>
  </si>
  <si>
    <t xml:space="preserve"> 1.151.477.226-4</t>
  </si>
  <si>
    <t>SEVERICHE BLANCO INGRID PAOLA_x000D_</t>
  </si>
  <si>
    <t xml:space="preserve">SALDO A FAVOR RENTA           </t>
  </si>
  <si>
    <t xml:space="preserve">OCCIDENTE CREDITO***29244     </t>
  </si>
  <si>
    <t xml:space="preserve">    43.023.429-1</t>
  </si>
  <si>
    <t xml:space="preserve">SARA LEONOR CASTRO ACEVEDO    </t>
  </si>
  <si>
    <t xml:space="preserve">    70.501.760-4</t>
  </si>
  <si>
    <t>ORLANDO HUMBERTO QUICENO CALDE</t>
  </si>
  <si>
    <t xml:space="preserve">   890.911.816-1</t>
  </si>
  <si>
    <t xml:space="preserve">CXP OASIS URBANOS             </t>
  </si>
  <si>
    <t xml:space="preserve">    42.693.012-4</t>
  </si>
  <si>
    <t xml:space="preserve">JINEY BIBIANA PEREZ GARCIA    </t>
  </si>
  <si>
    <t xml:space="preserve">PAGO CESANTIAS TRABAJADOR     </t>
  </si>
  <si>
    <t xml:space="preserve">    39.214.270-3</t>
  </si>
  <si>
    <t xml:space="preserve"> 1.017.186.767-1</t>
  </si>
  <si>
    <t xml:space="preserve"> 1.128.461.518-6</t>
  </si>
  <si>
    <t>ISABEL CRISTINA HIGUITA BUILES</t>
  </si>
  <si>
    <t xml:space="preserve">IMPO CONSUMO                  </t>
  </si>
  <si>
    <t xml:space="preserve">   901.240.810-7</t>
  </si>
  <si>
    <t>EDEFICIO CLINICA COA CONSULTOR</t>
  </si>
  <si>
    <t xml:space="preserve">VENTAS RAPPI                  </t>
  </si>
  <si>
    <t>PROVISIONES</t>
  </si>
  <si>
    <t>PROVISION IMPUESTOS MUNICIPALES</t>
  </si>
  <si>
    <t>GRUPO DE LOLITA S.A.S</t>
  </si>
  <si>
    <t>Fernando Filevich Leiva</t>
  </si>
  <si>
    <t>Fabian Elver Hernandez Garcia</t>
  </si>
  <si>
    <t>Leidy Yasmin Gomez Toro</t>
  </si>
  <si>
    <t>333711-T</t>
  </si>
  <si>
    <t>TP: 318364-T</t>
  </si>
  <si>
    <t>A empleados</t>
  </si>
  <si>
    <t>CUENTA</t>
  </si>
  <si>
    <t>SALDO ANTERIOR</t>
  </si>
  <si>
    <t>AJUSTES</t>
  </si>
  <si>
    <t>SALDO ACTUAL</t>
  </si>
  <si>
    <t>DEBITO</t>
  </si>
  <si>
    <t>CREDITO</t>
  </si>
  <si>
    <t>IMPUESTO DIFERIDO PASIVO</t>
  </si>
  <si>
    <t>Balance de Prueba por NIT (Normal)  Jun-30-2026</t>
  </si>
  <si>
    <t xml:space="preserve">CAJA RAPPI                    </t>
  </si>
  <si>
    <t xml:space="preserve">NUBIA ELSY MONTOYA            </t>
  </si>
  <si>
    <t xml:space="preserve">   900.040.299-0</t>
  </si>
  <si>
    <t xml:space="preserve">ATLANTIC FS SAS               </t>
  </si>
  <si>
    <t xml:space="preserve">LICENCIAS                     </t>
  </si>
  <si>
    <t xml:space="preserve">SOFTWARE CONTABLE             </t>
  </si>
  <si>
    <t xml:space="preserve">   890.319.193-3</t>
  </si>
  <si>
    <t>SISTEMAS DE INFORMACION EMPRES</t>
  </si>
  <si>
    <t xml:space="preserve">CREDIPAGOS BANCOLOMBIA 30866  </t>
  </si>
  <si>
    <t xml:space="preserve">RENTING COLOMBIA S.A.         </t>
  </si>
  <si>
    <t xml:space="preserve">"A                            </t>
  </si>
  <si>
    <t xml:space="preserve">MEGA STORAGE COLOMBIA S.A.S   </t>
  </si>
  <si>
    <t xml:space="preserve"> 1.118.292.555-7</t>
  </si>
  <si>
    <t xml:space="preserve">SERNA LONDOÑO RUBEN DARIO     </t>
  </si>
  <si>
    <t xml:space="preserve">LIBRANZAS                     </t>
  </si>
  <si>
    <t xml:space="preserve">"""CORPAUL                    </t>
  </si>
  <si>
    <t xml:space="preserve">   900.770.336-7</t>
  </si>
  <si>
    <t xml:space="preserve">PAPELERIA EL PINGUINO S.A.S   </t>
  </si>
  <si>
    <t xml:space="preserve">   901.136.502-9</t>
  </si>
  <si>
    <t xml:space="preserve">ASOALMACENES S.A.S            </t>
  </si>
  <si>
    <t xml:space="preserve">     4.738.353-8</t>
  </si>
  <si>
    <t>"MONTOYA DELGADO NUBIA MARCELA</t>
  </si>
  <si>
    <t xml:space="preserve"> 1.035.439.331-7</t>
  </si>
  <si>
    <t xml:space="preserve">MARIANA MONTOYA HERNANDEZ     </t>
  </si>
  <si>
    <t xml:space="preserve"> 1.045.136.117-2</t>
  </si>
  <si>
    <t xml:space="preserve">SIRLEY NATALIA ORTEGA GUZMAN  </t>
  </si>
  <si>
    <t xml:space="preserve">"C                            </t>
  </si>
  <si>
    <t xml:space="preserve">UTILIDADES 2025               </t>
  </si>
  <si>
    <t xml:space="preserve">SERVICIOS ADMINISTRATIVOS     </t>
  </si>
  <si>
    <t xml:space="preserve"> 1.037.640.303-8</t>
  </si>
  <si>
    <t xml:space="preserve">GAVIRIA VALENCIA EVELYN       </t>
  </si>
  <si>
    <t>A 30 de Junio de 2026 y 2025</t>
  </si>
  <si>
    <t>2026-06</t>
  </si>
  <si>
    <t>2025-06</t>
  </si>
  <si>
    <t>Balance de Prueba por NIT (Normal)  Jun-30-2025</t>
  </si>
  <si>
    <t xml:space="preserve">CAJA TEMPORAL                 </t>
  </si>
  <si>
    <t xml:space="preserve">DEDUCCION SALUD VISUAL        </t>
  </si>
  <si>
    <t xml:space="preserve">CXP NUTRIENDO                 </t>
  </si>
  <si>
    <t xml:space="preserve">ACREEDORES VARIOS                   </t>
  </si>
  <si>
    <t>LIBRANZAS</t>
  </si>
  <si>
    <t>OASIS URBANOS S.A.S - 901.630.218-1</t>
  </si>
  <si>
    <t xml:space="preserve">CAJA CL VEGAS                 </t>
  </si>
  <si>
    <t xml:space="preserve">CAJA CL MEDELLIN              </t>
  </si>
  <si>
    <t xml:space="preserve">CAJA CONSUMOS EMPLEADOS       </t>
  </si>
  <si>
    <t xml:space="preserve">CAJA TORRE VEGAS              </t>
  </si>
  <si>
    <t xml:space="preserve">CAJA CLINICA ONCOLOGICA       </t>
  </si>
  <si>
    <t xml:space="preserve">CAJA SAN NICOLAS              </t>
  </si>
  <si>
    <t xml:space="preserve">BANCOLOMBIA CTA CTE 5058      </t>
  </si>
  <si>
    <t xml:space="preserve">DAVIVIENDA CT CTE 7716        </t>
  </si>
  <si>
    <t xml:space="preserve">OCCIDENTE No 0765             </t>
  </si>
  <si>
    <t xml:space="preserve">DAVIVIENDA 0607039800123114   </t>
  </si>
  <si>
    <t xml:space="preserve">FIDUCIARIA DAVIVIENDA S.A.    </t>
  </si>
  <si>
    <t xml:space="preserve">BANCOLOMBIA 0015-000304656    </t>
  </si>
  <si>
    <t>FONDO DE INVERSION COLECTIVA A</t>
  </si>
  <si>
    <t>SODEXO SERVICIOS DE BENEFICIOS</t>
  </si>
  <si>
    <t xml:space="preserve"> 1.036.640.645-8</t>
  </si>
  <si>
    <t>FERNANDA ISABEL SANCHEZ MORALE</t>
  </si>
  <si>
    <t xml:space="preserve">AGUDELO MEJIA CATALINA MARIA  </t>
  </si>
  <si>
    <t xml:space="preserve">CRISTOBAL LOPERA VELASQUEZ    </t>
  </si>
  <si>
    <t xml:space="preserve"> 1.017.160.758-2</t>
  </si>
  <si>
    <t xml:space="preserve">CAMARGO LOPEZ ELIANA          </t>
  </si>
  <si>
    <t>PIEDRAHITA URUBUR YESIKA MARIA</t>
  </si>
  <si>
    <t xml:space="preserve">ACEVEDO ZAPATA ASTRID ELENA   </t>
  </si>
  <si>
    <t xml:space="preserve"> 1.000.874.730-1</t>
  </si>
  <si>
    <t xml:space="preserve">WENDY JOHANA RENDON MARTINEZ  </t>
  </si>
  <si>
    <t xml:space="preserve">SEPULVEDA HOYOS MARIA EUGENIA </t>
  </si>
  <si>
    <t xml:space="preserve">YULIANA GOMEZ RIOS            </t>
  </si>
  <si>
    <t xml:space="preserve">     5.004.869-1</t>
  </si>
  <si>
    <t xml:space="preserve">WENDY PEREZ BENITEZ           </t>
  </si>
  <si>
    <t xml:space="preserve">OTRAS CXC                     </t>
  </si>
  <si>
    <t xml:space="preserve">CXC GRUPO DE LOLITA           </t>
  </si>
  <si>
    <t xml:space="preserve">CUENTA PUENTE IVA             </t>
  </si>
  <si>
    <t xml:space="preserve">OASIS URBANOS S.A.S           </t>
  </si>
  <si>
    <t xml:space="preserve">INVENTARIO INICIAL            </t>
  </si>
  <si>
    <t>LEGUMBRES HERIBERTO MONTES S.A</t>
  </si>
  <si>
    <t xml:space="preserve">POSTOBON S.A.                 </t>
  </si>
  <si>
    <t>LA RECETTA SOLUCIONES GASTRONO</t>
  </si>
  <si>
    <t>PAULA ANDREA ROJAS ARROYAVE /F</t>
  </si>
  <si>
    <t xml:space="preserve">IMPUESTO SALUDABLE 20         </t>
  </si>
  <si>
    <t xml:space="preserve">DEVOLUCIONES 16%-19%          </t>
  </si>
  <si>
    <t xml:space="preserve">DEVOLUCION PRODUCTOS 19%      </t>
  </si>
  <si>
    <t>TRASLADO PARA EL COSTO DE VENT</t>
  </si>
  <si>
    <t xml:space="preserve">METALICAS JEP S.A             </t>
  </si>
  <si>
    <t xml:space="preserve">REFRIARTIC LTDA               </t>
  </si>
  <si>
    <t xml:space="preserve">   901.365.517-0</t>
  </si>
  <si>
    <t xml:space="preserve">ELEMENTAL COCINA              </t>
  </si>
  <si>
    <t xml:space="preserve">INSPIRAMOS EL MAÑANA SAS      </t>
  </si>
  <si>
    <t xml:space="preserve">EQUIPO PROCESAMIENTO DATOS    </t>
  </si>
  <si>
    <t xml:space="preserve">AMG TECHONOLOGY SAS           </t>
  </si>
  <si>
    <t xml:space="preserve">IVA EQUIPO PROCE DATOS        </t>
  </si>
  <si>
    <t xml:space="preserve">DEPRECIACION ACUMULADA        </t>
  </si>
  <si>
    <t xml:space="preserve">DEP EQUIPO PROCES DATOS       </t>
  </si>
  <si>
    <t xml:space="preserve">DERECHOS                      </t>
  </si>
  <si>
    <t xml:space="preserve">EN BIENES RECIBIDOS LEASING   </t>
  </si>
  <si>
    <t xml:space="preserve">LEASING COLPATRIA 306101      </t>
  </si>
  <si>
    <t xml:space="preserve">   900.152.062-3</t>
  </si>
  <si>
    <t xml:space="preserve">INMOBILIARIA SAN NICOLAS S.A  </t>
  </si>
  <si>
    <t>ANTICIPO DE IMPUESTOS Y CONTRI</t>
  </si>
  <si>
    <t xml:space="preserve">AUTORRETENCION ESPECIAL  3.5  </t>
  </si>
  <si>
    <t xml:space="preserve">RETENCION ICA AÑO ANTERIOR    </t>
  </si>
  <si>
    <t xml:space="preserve">ANTICIPO ICA AÑO SGTE         </t>
  </si>
  <si>
    <t xml:space="preserve">   890.907.317-2</t>
  </si>
  <si>
    <t>MUNICIPIO DE RIONEGRO ANTIOQUI</t>
  </si>
  <si>
    <t xml:space="preserve">BANCOLOMBIA CREDIPAGO #91741  </t>
  </si>
  <si>
    <t xml:space="preserve">    32.425.021-6</t>
  </si>
  <si>
    <t xml:space="preserve">AMELIA RESTREPO               </t>
  </si>
  <si>
    <t xml:space="preserve">MEDILVELSO FONSECA JULIETA    </t>
  </si>
  <si>
    <t xml:space="preserve">WILSON ALEXIS RODAS CORREA    </t>
  </si>
  <si>
    <t xml:space="preserve">GOBERNACION DE ANTIOQUIA      </t>
  </si>
  <si>
    <t xml:space="preserve">CLINICA MEDELLIN S.A.S        </t>
  </si>
  <si>
    <t xml:space="preserve">   900.163.527-3</t>
  </si>
  <si>
    <t>CENTRO COMERCIAL SAN NICOLAS P</t>
  </si>
  <si>
    <t xml:space="preserve">   900.188.051-8</t>
  </si>
  <si>
    <t>GESTION Y DESARROLLO AMBIENTAL</t>
  </si>
  <si>
    <t xml:space="preserve">MEGASTORAGE COLOMBIA S.A.S.   </t>
  </si>
  <si>
    <t xml:space="preserve">AVACCOUNTRIB SAS              </t>
  </si>
  <si>
    <t xml:space="preserve">   901.543.313-9</t>
  </si>
  <si>
    <t xml:space="preserve">ENERBIT S.A.S E.S.P           </t>
  </si>
  <si>
    <t xml:space="preserve"> 1.035.302.353-1</t>
  </si>
  <si>
    <t xml:space="preserve">OLGA MILENA OQUENDO URIBE     </t>
  </si>
  <si>
    <t xml:space="preserve">    98.579.038-1</t>
  </si>
  <si>
    <t xml:space="preserve">DUTMAR VALENCIA               </t>
  </si>
  <si>
    <t xml:space="preserve">   890.904.082-3</t>
  </si>
  <si>
    <t xml:space="preserve">RAPIDO MEDELLIN RIONEGRO S.A  </t>
  </si>
  <si>
    <t xml:space="preserve">JORGE LEON MONTOYA NEGRETE    </t>
  </si>
  <si>
    <t xml:space="preserve"> 1.128.452.220-9</t>
  </si>
  <si>
    <t xml:space="preserve">REAL TECHNOLOGY Y MAS         </t>
  </si>
  <si>
    <t xml:space="preserve">COSTOS Y GASTOS POR  PAGAR    </t>
  </si>
  <si>
    <t xml:space="preserve">CUENTAS EN PARTICIPACION      </t>
  </si>
  <si>
    <t>CTAS EN PART MARIO FERNANDO FI</t>
  </si>
  <si>
    <t xml:space="preserve">   900.876.735-9</t>
  </si>
  <si>
    <t xml:space="preserve">RENTHABILIDAD RH S.A.S.       </t>
  </si>
  <si>
    <t xml:space="preserve">TRASLADO AUTORRETENCION ESPEC </t>
  </si>
  <si>
    <t>DEDDUCCION CREDITO COOPERATIVA</t>
  </si>
  <si>
    <t xml:space="preserve">AHORRO COOPERATIOVA           </t>
  </si>
  <si>
    <t xml:space="preserve">OTROS DESCUENTOS COOPERATIVA  </t>
  </si>
  <si>
    <t xml:space="preserve">     6.562.629-5</t>
  </si>
  <si>
    <t>CLAUDIA PATRICIA HERNANDEZ VEL</t>
  </si>
  <si>
    <t xml:space="preserve">    43.601.266-8</t>
  </si>
  <si>
    <t xml:space="preserve">LOAIZA CALLE EDITH GRICELA    </t>
  </si>
  <si>
    <t xml:space="preserve">DEDUCCIONES FECOMPLE          </t>
  </si>
  <si>
    <t xml:space="preserve"> 1.020.496.115-0</t>
  </si>
  <si>
    <t xml:space="preserve">MARIA YESENIA LOPERA CORDOBA  </t>
  </si>
  <si>
    <t xml:space="preserve">VALENTINA BETANCUR VANEGAS    </t>
  </si>
  <si>
    <t xml:space="preserve">IMPTOS CUENTA PUENTE          </t>
  </si>
  <si>
    <t>"IMPUESTOS, GRAVAMENES Y TASAS</t>
  </si>
  <si>
    <t xml:space="preserve">PROVISION RENTA AÑO VIGENTE   </t>
  </si>
  <si>
    <t xml:space="preserve">RETENCION POR PAGAR           </t>
  </si>
  <si>
    <t xml:space="preserve">CUANTIA MENOR                 </t>
  </si>
  <si>
    <t xml:space="preserve">   800.100.610-4</t>
  </si>
  <si>
    <t xml:space="preserve">ITECNOFARMA COLOMBIA S.A.S    </t>
  </si>
  <si>
    <t xml:space="preserve">   804.010.334-4</t>
  </si>
  <si>
    <t xml:space="preserve">MEDIIMPLANTES S.A             </t>
  </si>
  <si>
    <t xml:space="preserve">   811.032.919-2</t>
  </si>
  <si>
    <t>INDUSTRIAS MEDICAS SAMPEDRO S.</t>
  </si>
  <si>
    <t xml:space="preserve">   900.236.850-2</t>
  </si>
  <si>
    <t>CENTRO ONCOLOGICO DE ANTIOQUIA</t>
  </si>
  <si>
    <t xml:space="preserve">   900.677.118-0</t>
  </si>
  <si>
    <t>VALENTECH PHARMA COLOMBIA S.A.</t>
  </si>
  <si>
    <t xml:space="preserve">   901.197.168-2</t>
  </si>
  <si>
    <t xml:space="preserve">BIOSIDUS COLOMBIA S.A.S       </t>
  </si>
  <si>
    <t xml:space="preserve">   901.668.688-2</t>
  </si>
  <si>
    <t>SANTA ONCOLOGIA Y EDUCACION S.</t>
  </si>
  <si>
    <t xml:space="preserve"> 1.047.485.029-6</t>
  </si>
  <si>
    <t xml:space="preserve">JAVIER SUAREZ DE LOS RIOS     </t>
  </si>
  <si>
    <t xml:space="preserve">INGEMAN SOLUCIONES S.A.S      </t>
  </si>
  <si>
    <t xml:space="preserve">    42.842.020-3</t>
  </si>
  <si>
    <t xml:space="preserve">MARIA ESTELA ALZATE           </t>
  </si>
  <si>
    <t xml:space="preserve">    43.466.013-2</t>
  </si>
  <si>
    <t xml:space="preserve">MARTHA ROCIO OSORIO GIRALDO   </t>
  </si>
  <si>
    <t xml:space="preserve">MONTES OCAMPO RAMON EMILIO    </t>
  </si>
  <si>
    <t xml:space="preserve">   800.146.467-5</t>
  </si>
  <si>
    <t xml:space="preserve">ORTOPEDISTA LAS VEGAS S.A.S   </t>
  </si>
  <si>
    <t xml:space="preserve">UNIDAD MEDICA LAS VEGAS P.H   </t>
  </si>
  <si>
    <t xml:space="preserve">INDUSTRIAS EXTRA              </t>
  </si>
  <si>
    <t>CORPORACION DE FOMENTO ASISTEN</t>
  </si>
  <si>
    <t xml:space="preserve">THE PARKING SAS               </t>
  </si>
  <si>
    <t xml:space="preserve">   901.757.271-7</t>
  </si>
  <si>
    <t>ROJAS AREVALO HOLDING GROUP SA</t>
  </si>
  <si>
    <t xml:space="preserve">DV IVA VENTAS (AJU)           </t>
  </si>
  <si>
    <t xml:space="preserve">IVA DEV EN GASTOS 19%         </t>
  </si>
  <si>
    <t xml:space="preserve">    21.553.689-3</t>
  </si>
  <si>
    <t xml:space="preserve">MARIA S                       </t>
  </si>
  <si>
    <t xml:space="preserve">    32.257.518-3</t>
  </si>
  <si>
    <t xml:space="preserve">NARVAEZ ROLDAN ALIX ROCIO     </t>
  </si>
  <si>
    <t xml:space="preserve">    39.452.068-1</t>
  </si>
  <si>
    <t>JEANNETH DEL SOCORRO BAYER JAR</t>
  </si>
  <si>
    <t xml:space="preserve"> 1.001.576.261-2</t>
  </si>
  <si>
    <t xml:space="preserve">DAYANNA ZULEIMA PAYARES USUGA </t>
  </si>
  <si>
    <t xml:space="preserve"> 1.005.968.918-1</t>
  </si>
  <si>
    <t>ZAMBRANO LONDOÑO ANGIE TATIANA</t>
  </si>
  <si>
    <t xml:space="preserve"> 1.010.102.869-9</t>
  </si>
  <si>
    <t xml:space="preserve">ANGIE PAOLA BAENA MONSALVE    </t>
  </si>
  <si>
    <t xml:space="preserve"> 1.017.246.687-9</t>
  </si>
  <si>
    <t>LUISA FERNANDA ALVAREZ MOSQUER</t>
  </si>
  <si>
    <t xml:space="preserve"> 1.020.397.488-8</t>
  </si>
  <si>
    <t xml:space="preserve">DIANA MARCELA MORALES ISAZA   </t>
  </si>
  <si>
    <t xml:space="preserve"> 1.036.658.187-5</t>
  </si>
  <si>
    <t>KELLY CAROLINA HERRERA JOHNSON</t>
  </si>
  <si>
    <t xml:space="preserve"> 1.066.181.614-9</t>
  </si>
  <si>
    <t xml:space="preserve">ACOSTA PEÑA KATERINE          </t>
  </si>
  <si>
    <t xml:space="preserve"> 1.073.981.111-4</t>
  </si>
  <si>
    <t>YULIANIS YULIETH PEÑATES PEREZ</t>
  </si>
  <si>
    <t xml:space="preserve"> 1.085.039.323-3</t>
  </si>
  <si>
    <t xml:space="preserve">SARAY MONTENEGRO JIMENEZ      </t>
  </si>
  <si>
    <t xml:space="preserve"> 1.102.844.531-2</t>
  </si>
  <si>
    <t xml:space="preserve"> NELIS CENITH PAYARES FERIA   </t>
  </si>
  <si>
    <t xml:space="preserve"> 1.118.570.149-2</t>
  </si>
  <si>
    <t xml:space="preserve">KAREN JULIETH ROMERO ALFONSO  </t>
  </si>
  <si>
    <t xml:space="preserve"> 1.147.957.155-5</t>
  </si>
  <si>
    <t xml:space="preserve">JULIANA ANDREA ARANGO LOPEZ   </t>
  </si>
  <si>
    <t xml:space="preserve"> 1.156.463.068-4</t>
  </si>
  <si>
    <t xml:space="preserve">DEYSON GEOVANN CORDOBA ORTIZ  </t>
  </si>
  <si>
    <t xml:space="preserve">CESAN LEY 50 CONSOLIDACION    </t>
  </si>
  <si>
    <t xml:space="preserve">CAROLINA VALERA MANARES       </t>
  </si>
  <si>
    <t xml:space="preserve">    39.452.106-3</t>
  </si>
  <si>
    <t xml:space="preserve">INGRID ANGELICA BECERRA HENAO </t>
  </si>
  <si>
    <t xml:space="preserve">PARA OBLIGACIONES LABORALES   </t>
  </si>
  <si>
    <t xml:space="preserve"> 1.001.527.838-2</t>
  </si>
  <si>
    <t xml:space="preserve">ZULUAGA ACEVEDO ZULLY NAYIBED </t>
  </si>
  <si>
    <t xml:space="preserve"> 1.044.101.872-0</t>
  </si>
  <si>
    <t xml:space="preserve">YOHANA MARCELA GOMEZ RIOS     </t>
  </si>
  <si>
    <t xml:space="preserve">    32.182.499-8</t>
  </si>
  <si>
    <t>MARIA CRISTINA OBANDO CORRALES</t>
  </si>
  <si>
    <t>PAGOS DE VACACIONES LIQUIDADAS</t>
  </si>
  <si>
    <t xml:space="preserve">APORTES EPS PAGO              </t>
  </si>
  <si>
    <t xml:space="preserve">NUEVA E.P.S                   </t>
  </si>
  <si>
    <t xml:space="preserve">APORTES EPS EMPLEADOS         </t>
  </si>
  <si>
    <t>APORTES A ADMIN DE RIESGO LABO</t>
  </si>
  <si>
    <t xml:space="preserve">APORTES ARL PAGO              </t>
  </si>
  <si>
    <t xml:space="preserve">COLMENA RIESGOS               </t>
  </si>
  <si>
    <t>"APORTES AL I.C.B.F., SENA Y C</t>
  </si>
  <si>
    <t xml:space="preserve">PAGO APORTES ICBF, SENA CCF   </t>
  </si>
  <si>
    <t xml:space="preserve">PROVISION PENSION             </t>
  </si>
  <si>
    <t>FONDO DE PENSIONES Y CESANTIAS</t>
  </si>
  <si>
    <t xml:space="preserve">COLPENSIONES ISS PENSION      </t>
  </si>
  <si>
    <t xml:space="preserve">DEDUCCION PENSION EMPLEADO    </t>
  </si>
  <si>
    <t>INDUSTRIA Y COMERCI AÑO ACTUAL</t>
  </si>
  <si>
    <t xml:space="preserve">UTILIDADES ACUMULADAS 2022    </t>
  </si>
  <si>
    <t xml:space="preserve">UTILIDADES ACUMULADAS 2023    </t>
  </si>
  <si>
    <t xml:space="preserve">UTILIDADES ACUMULADAS 2024    </t>
  </si>
  <si>
    <t>VENTAS DE PRODUCTOS 19% TECNOL</t>
  </si>
  <si>
    <t xml:space="preserve">INGRESOS EXCLUIDOS (ESPECIAL) </t>
  </si>
  <si>
    <t xml:space="preserve">DV VENTAS (AJU)               </t>
  </si>
  <si>
    <t xml:space="preserve">INGRESO PRESTAMO PERSONAL     </t>
  </si>
  <si>
    <t xml:space="preserve">SOBRANTES CUADRES DE CAJA     </t>
  </si>
  <si>
    <t xml:space="preserve">MORENO LOPERA VERONICA        </t>
  </si>
  <si>
    <t xml:space="preserve">INGRESOS FINANCIEOS           </t>
  </si>
  <si>
    <t xml:space="preserve">DCT COMERCIALES CONDICIONADOS </t>
  </si>
  <si>
    <t xml:space="preserve">APORTES SOCIALES              </t>
  </si>
  <si>
    <t xml:space="preserve">SERNA SERNA PAULA ANDREA      </t>
  </si>
  <si>
    <t xml:space="preserve">OTROS GASTOS DE PERSONAL      </t>
  </si>
  <si>
    <t xml:space="preserve">ASESORIAS FINANCIERAS         </t>
  </si>
  <si>
    <t xml:space="preserve">RETEICA                       </t>
  </si>
  <si>
    <t xml:space="preserve">IPOCONSUMO BOLSAS PLASTICAS   </t>
  </si>
  <si>
    <t xml:space="preserve">SEGURO LEASING                </t>
  </si>
  <si>
    <t>"PUBLICIDAD, PROPAGANDA Y PROM</t>
  </si>
  <si>
    <t>OTROS SERVICIOS (TASA DE ASEO)</t>
  </si>
  <si>
    <t xml:space="preserve">   800.015.551-4</t>
  </si>
  <si>
    <t>CAMARA DE COMERCIO DEL ORIENTE</t>
  </si>
  <si>
    <t xml:space="preserve">JORGE ELIESER CANO MUÑOZ      </t>
  </si>
  <si>
    <t xml:space="preserve">FRUTHELA TROPIJUGO S.A.S      </t>
  </si>
  <si>
    <t xml:space="preserve">CANCELACIONES PEDIDOS         </t>
  </si>
  <si>
    <t xml:space="preserve">    43.918.728-0</t>
  </si>
  <si>
    <t xml:space="preserve">DISTRIBUIDORA EL VENTEADERO   </t>
  </si>
  <si>
    <t xml:space="preserve">   890.107.487-3</t>
  </si>
  <si>
    <t xml:space="preserve">OLIMPICA SA                   </t>
  </si>
  <si>
    <t xml:space="preserve">DISTRIBUI_x000D_DORA PASTEUR  S.A.  </t>
  </si>
  <si>
    <t xml:space="preserve">   900.480.569-1</t>
  </si>
  <si>
    <t xml:space="preserve">JERONIMO MARTINS COLOMBIA SAS </t>
  </si>
  <si>
    <t xml:space="preserve">   901.429.049-1</t>
  </si>
  <si>
    <t xml:space="preserve">MUNDI EXPRESIONES S.A.S       </t>
  </si>
  <si>
    <t xml:space="preserve">PROVISION IMP RENTA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</si>
</sst>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 #,##0_-;_-* &quot;-&quot;_-;_-@_-"/>
    <numFmt numFmtId="43" formatCode="_-* #,##0.00_-;\-* #,##0.00_-;_-* &quot;-&quot;??_-;_-@_-"/>
    <numFmt numFmtId="164" formatCode="_(* #,##0.00_);_(* \(#,##0.00\);_(* &quot;-&quot;??_);_(@_)"/>
    <numFmt numFmtId="165" formatCode="_(* #,##0_);_(* \(#,##0\);_(* &quot;-&quot;??_);_(@_)"/>
    <numFmt numFmtId="166" formatCode="General_)"/>
    <numFmt numFmtId="167" formatCode="#,##0;\(#,##0\)"/>
    <numFmt numFmtId="168" formatCode="0.0%"/>
    <numFmt numFmtId="169" formatCode="mmmm\-yy"/>
    <numFmt numFmtId="170" formatCode="_(* #,##0.0_);_(* \(#,##0.0\);_(* &quot;-&quot;??_);_(@_)"/>
    <numFmt numFmtId="171" formatCode="#,##0.0;\(#,##0.0\)"/>
    <numFmt numFmtId="172" formatCode="_-* #,##0_-;\-* #,##0_-;_-* &quot;-&quot;??_-;_-@"/>
    <numFmt numFmtId="173" formatCode="###,###,###,###,##0.00"/>
    <numFmt numFmtId="174" formatCode="_-* #,##0.00\ _€_-;\-* #,##0.00\ _€_-;_-* &quot;-&quot;??\ _€_-;_-@"/>
    <numFmt numFmtId="175" formatCode="_-* #,##0_-;\-* #,##0_-;_-* &quot;-&quot;??_-;_-@_-"/>
    <numFmt numFmtId="176" formatCode="_-* #,##0.00\ _P_t_s_-;\-* #,##0.00\ _P_t_s_-;_-* &quot;-&quot;??\ _P_t_s_-;_-@_-"/>
    <numFmt numFmtId="177" formatCode="_(* #,##0_);_(* \(#,##0\);_(* &quot;-&quot;_);_(@_)"/>
    <numFmt numFmtId="178" formatCode="_ * #,##0_ ;_ * \-#,##0_ ;_ * &quot;-&quot;??_ ;_ @_ "/>
    <numFmt numFmtId="179" formatCode="##,###,###,###,##0.00"/>
  </numFmts>
  <fonts count="64" x14ac:knownFonts="1">
    <font>
      <sz val="11"/>
      <color rgb="FF000000"/>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Calibri"/>
      <family val="2"/>
    </font>
    <font>
      <sz val="10"/>
      <color rgb="FF000000"/>
      <name val="Arial"/>
      <family val="2"/>
    </font>
    <font>
      <sz val="8"/>
      <color rgb="FF000000"/>
      <name val="Calibri"/>
      <family val="2"/>
    </font>
    <font>
      <b/>
      <sz val="12"/>
      <color rgb="FF000000"/>
      <name val="Arial"/>
      <family val="2"/>
    </font>
    <font>
      <b/>
      <sz val="8"/>
      <color rgb="FF000000"/>
      <name val="Open Sans"/>
      <family val="2"/>
    </font>
    <font>
      <b/>
      <sz val="12"/>
      <name val="Arial"/>
      <family val="2"/>
    </font>
    <font>
      <b/>
      <sz val="10"/>
      <name val="Arial"/>
      <family val="2"/>
    </font>
    <font>
      <sz val="8"/>
      <color rgb="FF000000"/>
      <name val="Open Sans"/>
      <family val="2"/>
    </font>
    <font>
      <sz val="11"/>
      <color rgb="FF0070C0"/>
      <name val="Calibri"/>
      <family val="2"/>
    </font>
    <font>
      <b/>
      <sz val="11"/>
      <color rgb="FF0070C0"/>
      <name val="Calibri"/>
      <family val="2"/>
    </font>
    <font>
      <sz val="8"/>
      <color rgb="FFFF0000"/>
      <name val="Open Sans"/>
      <family val="2"/>
    </font>
    <font>
      <sz val="11"/>
      <color rgb="FFFF0000"/>
      <name val="Calibri"/>
      <family val="2"/>
    </font>
    <font>
      <b/>
      <sz val="10"/>
      <color rgb="FFFFFFFF"/>
      <name val="Arial"/>
      <family val="2"/>
    </font>
    <font>
      <b/>
      <sz val="8"/>
      <name val="Open Sans"/>
      <family val="2"/>
    </font>
    <font>
      <b/>
      <sz val="11"/>
      <name val="Calibri"/>
      <family val="2"/>
    </font>
    <font>
      <sz val="10"/>
      <name val="Arial"/>
      <family val="2"/>
    </font>
    <font>
      <sz val="8"/>
      <name val="Open Sans"/>
      <family val="2"/>
    </font>
    <font>
      <sz val="11"/>
      <name val="Calibri"/>
      <family val="2"/>
    </font>
    <font>
      <b/>
      <sz val="11"/>
      <color rgb="FFFF0000"/>
      <name val="Calibri"/>
      <family val="2"/>
    </font>
    <font>
      <sz val="10"/>
      <color rgb="FFFFFFFF"/>
      <name val="Arial"/>
      <family val="2"/>
    </font>
    <font>
      <b/>
      <sz val="10"/>
      <color rgb="FF000000"/>
      <name val="Arial"/>
      <family val="2"/>
    </font>
    <font>
      <b/>
      <sz val="14"/>
      <color rgb="FF000000"/>
      <name val="Calibri"/>
      <family val="2"/>
    </font>
    <font>
      <sz val="11"/>
      <name val="Calibri"/>
      <family val="2"/>
    </font>
    <font>
      <i/>
      <sz val="11"/>
      <color rgb="FF000000"/>
      <name val="Calibri"/>
      <family val="2"/>
    </font>
    <font>
      <sz val="9"/>
      <name val="Arial"/>
      <family val="2"/>
    </font>
    <font>
      <sz val="9"/>
      <color rgb="FF000000"/>
      <name val="Arial"/>
      <family val="2"/>
    </font>
    <font>
      <b/>
      <sz val="9"/>
      <name val="Arial"/>
      <family val="2"/>
    </font>
    <font>
      <b/>
      <sz val="11"/>
      <name val="Arial"/>
      <family val="2"/>
    </font>
    <font>
      <b/>
      <sz val="12"/>
      <color rgb="FF000000"/>
      <name val="Calibri"/>
      <family val="2"/>
    </font>
    <font>
      <b/>
      <sz val="10"/>
      <name val="Verdana"/>
      <family val="2"/>
    </font>
    <font>
      <sz val="10"/>
      <name val="Verdana"/>
      <family val="2"/>
    </font>
    <font>
      <sz val="12"/>
      <name val="Arial"/>
      <family val="2"/>
    </font>
    <font>
      <sz val="11"/>
      <color rgb="FF000000"/>
      <name val="Calibri"/>
      <family val="2"/>
    </font>
    <font>
      <b/>
      <sz val="11"/>
      <color theme="1"/>
      <name val="Calibri"/>
      <family val="2"/>
      <scheme val="minor"/>
    </font>
    <font>
      <b/>
      <sz val="8"/>
      <color theme="1"/>
      <name val="MS Sans Serif"/>
    </font>
    <font>
      <sz val="8"/>
      <color theme="1"/>
      <name val="MS Sans Serif"/>
    </font>
    <font>
      <sz val="11"/>
      <color rgb="FFFF0000"/>
      <name val="Calibri"/>
      <family val="2"/>
      <scheme val="minor"/>
    </font>
    <font>
      <b/>
      <sz val="12"/>
      <color theme="1"/>
      <name val="Arial"/>
      <family val="2"/>
    </font>
    <font>
      <sz val="10"/>
      <name val="Courier"/>
      <family val="3"/>
    </font>
    <font>
      <sz val="10"/>
      <color theme="1"/>
      <name val="Verdana"/>
      <family val="2"/>
    </font>
    <font>
      <sz val="10"/>
      <color theme="1"/>
      <name val="Arial"/>
      <family val="2"/>
    </font>
    <font>
      <sz val="10"/>
      <name val="Trebuchet MS"/>
      <family val="2"/>
    </font>
    <font>
      <b/>
      <sz val="10"/>
      <color theme="1"/>
      <name val="Verdana"/>
      <family val="2"/>
    </font>
    <font>
      <sz val="10"/>
      <color rgb="FFFF0000"/>
      <name val="Arial"/>
      <family val="2"/>
    </font>
    <font>
      <b/>
      <sz val="10"/>
      <color theme="1"/>
      <name val="Arial"/>
      <family val="2"/>
    </font>
    <font>
      <b/>
      <sz val="10"/>
      <color rgb="FFFF0000"/>
      <name val="Arial"/>
      <family val="2"/>
    </font>
    <font>
      <b/>
      <sz val="9"/>
      <color indexed="81"/>
      <name val="Tahoma"/>
      <family val="2"/>
    </font>
    <font>
      <sz val="9"/>
      <color indexed="81"/>
      <name val="Tahoma"/>
      <family val="2"/>
    </font>
    <font>
      <sz val="12"/>
      <color theme="1"/>
      <name val="Arial"/>
      <family val="2"/>
    </font>
    <font>
      <sz val="11"/>
      <color rgb="FF000000"/>
      <name val="Calibri"/>
      <family val="2"/>
    </font>
    <font>
      <b/>
      <u/>
      <sz val="10"/>
      <name val="Arial"/>
      <family val="2"/>
    </font>
    <font>
      <b/>
      <sz val="12"/>
      <color theme="1"/>
      <name val="Verdana"/>
      <family val="2"/>
    </font>
    <font>
      <sz val="10"/>
      <color theme="0"/>
      <name val="Arial"/>
      <family val="2"/>
    </font>
    <font>
      <b/>
      <sz val="10"/>
      <color theme="0"/>
      <name val="Arial"/>
      <family val="2"/>
    </font>
  </fonts>
  <fills count="20">
    <fill>
      <patternFill patternType="none"/>
    </fill>
    <fill>
      <patternFill patternType="gray125"/>
    </fill>
    <fill>
      <patternFill patternType="solid">
        <fgColor rgb="FFC6D9F0"/>
        <bgColor rgb="FFC6D9F0"/>
      </patternFill>
    </fill>
    <fill>
      <patternFill patternType="solid">
        <fgColor rgb="FFC4BD97"/>
        <bgColor rgb="FFC4BD97"/>
      </patternFill>
    </fill>
    <fill>
      <patternFill patternType="solid">
        <fgColor rgb="FFC2D69B"/>
        <bgColor rgb="FFC2D69B"/>
      </patternFill>
    </fill>
    <fill>
      <patternFill patternType="solid">
        <fgColor rgb="FFDDD9C3"/>
        <bgColor rgb="FFDDD9C3"/>
      </patternFill>
    </fill>
    <fill>
      <patternFill patternType="solid">
        <fgColor rgb="FFFFFF00"/>
        <bgColor rgb="FFFFFF00"/>
      </patternFill>
    </fill>
    <fill>
      <patternFill patternType="solid">
        <fgColor rgb="FF92CDDC"/>
        <bgColor rgb="FF92CDDC"/>
      </patternFill>
    </fill>
    <fill>
      <patternFill patternType="solid">
        <fgColor rgb="FFF2DBDB"/>
        <bgColor rgb="FFF2DBDB"/>
      </patternFill>
    </fill>
    <fill>
      <patternFill patternType="solid">
        <fgColor rgb="FFD6E3BC"/>
        <bgColor rgb="FFD6E3BC"/>
      </patternFill>
    </fill>
    <fill>
      <patternFill patternType="solid">
        <fgColor rgb="FFB8CCE4"/>
        <bgColor rgb="FFB8CCE4"/>
      </patternFill>
    </fill>
    <fill>
      <patternFill patternType="solid">
        <fgColor rgb="FFFBD4B4"/>
        <bgColor rgb="FFFBD4B4"/>
      </patternFill>
    </fill>
    <fill>
      <patternFill patternType="solid">
        <fgColor rgb="FFB2A1C7"/>
        <bgColor rgb="FFB2A1C7"/>
      </patternFill>
    </fill>
    <fill>
      <patternFill patternType="solid">
        <fgColor rgb="FF8DB3E2"/>
        <bgColor rgb="FF8DB3E2"/>
      </patternFill>
    </fill>
    <fill>
      <patternFill patternType="solid">
        <fgColor rgb="FFEAF1DD"/>
        <bgColor rgb="FFEAF1DD"/>
      </patternFill>
    </fill>
    <fill>
      <patternFill patternType="solid">
        <fgColor rgb="FFC0C0C0"/>
        <bgColor rgb="FFC0C0C0"/>
      </patternFill>
    </fill>
    <fill>
      <patternFill patternType="solid">
        <fgColor rgb="FFFFFFFF"/>
        <bgColor rgb="FFFFFFFF"/>
      </patternFill>
    </fill>
    <fill>
      <patternFill patternType="solid">
        <fgColor rgb="FFC0C0C0"/>
        <bgColor indexed="64"/>
      </patternFill>
    </fill>
    <fill>
      <patternFill patternType="solid">
        <fgColor theme="0" tint="-0.14999847407452621"/>
        <bgColor indexed="64"/>
      </patternFill>
    </fill>
    <fill>
      <patternFill patternType="solid">
        <fgColor rgb="FFFFFF00"/>
        <bgColor indexed="64"/>
      </patternFill>
    </fill>
  </fills>
  <borders count="49">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bottom/>
      <diagonal/>
    </border>
    <border>
      <left/>
      <right/>
      <top style="thin">
        <color rgb="FF000000"/>
      </top>
      <bottom style="double">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style="hair">
        <color rgb="FF000000"/>
      </top>
      <bottom/>
      <diagonal/>
    </border>
    <border>
      <left style="hair">
        <color rgb="FF000000"/>
      </left>
      <right/>
      <top style="hair">
        <color rgb="FF000000"/>
      </top>
      <bottom/>
      <diagonal/>
    </border>
    <border>
      <left/>
      <right/>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bottom style="double">
        <color indexed="64"/>
      </bottom>
      <diagonal/>
    </border>
    <border>
      <left/>
      <right/>
      <top style="thin">
        <color indexed="64"/>
      </top>
      <bottom/>
      <diagonal/>
    </border>
    <border>
      <left/>
      <right/>
      <top style="thin">
        <color indexed="64"/>
      </top>
      <bottom style="double">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8">
    <xf numFmtId="0" fontId="0" fillId="0" borderId="0"/>
    <xf numFmtId="0" fontId="9" fillId="0" borderId="3"/>
    <xf numFmtId="0" fontId="8" fillId="0" borderId="3"/>
    <xf numFmtId="0" fontId="7" fillId="0" borderId="3"/>
    <xf numFmtId="0" fontId="6" fillId="0" borderId="3"/>
    <xf numFmtId="0" fontId="5" fillId="0" borderId="3"/>
    <xf numFmtId="0" fontId="25" fillId="0" borderId="3"/>
    <xf numFmtId="166" fontId="48" fillId="0" borderId="3"/>
    <xf numFmtId="164" fontId="51" fillId="0" borderId="3" applyFont="0" applyFill="0" applyBorder="0" applyAlignment="0" applyProtection="0"/>
    <xf numFmtId="0" fontId="4" fillId="0" borderId="3"/>
    <xf numFmtId="0" fontId="4" fillId="0" borderId="3"/>
    <xf numFmtId="0" fontId="3" fillId="0" borderId="3"/>
    <xf numFmtId="0" fontId="2" fillId="0" borderId="3"/>
    <xf numFmtId="43" fontId="59" fillId="0" borderId="0" applyFont="0" applyFill="0" applyBorder="0" applyAlignment="0" applyProtection="0"/>
    <xf numFmtId="0" fontId="25" fillId="0" borderId="3"/>
    <xf numFmtId="176" fontId="25" fillId="0" borderId="3" applyFont="0" applyFill="0" applyBorder="0" applyAlignment="0" applyProtection="0"/>
    <xf numFmtId="0" fontId="1" fillId="0" borderId="3"/>
    <xf numFmtId="0" fontId="1" fillId="0" borderId="3"/>
  </cellStyleXfs>
  <cellXfs count="446">
    <xf numFmtId="0" fontId="0" fillId="0" borderId="0" xfId="0" applyFont="1" applyAlignment="1"/>
    <xf numFmtId="0" fontId="11" fillId="0" borderId="0" xfId="0" applyFont="1"/>
    <xf numFmtId="0" fontId="0" fillId="0" borderId="0" xfId="0" applyFont="1"/>
    <xf numFmtId="0" fontId="11" fillId="0" borderId="0" xfId="0" applyFont="1" applyAlignment="1">
      <alignment horizontal="center" vertical="center"/>
    </xf>
    <xf numFmtId="0" fontId="10" fillId="0" borderId="0" xfId="0" applyFont="1" applyAlignment="1">
      <alignment horizontal="center"/>
    </xf>
    <xf numFmtId="9" fontId="11" fillId="0" borderId="0" xfId="0" applyNumberFormat="1" applyFont="1" applyAlignment="1">
      <alignment horizontal="center" vertical="center"/>
    </xf>
    <xf numFmtId="0" fontId="12" fillId="0" borderId="0" xfId="0" applyFont="1" applyAlignment="1">
      <alignment horizontal="center" vertical="center" wrapText="1"/>
    </xf>
    <xf numFmtId="9" fontId="11" fillId="0" borderId="0" xfId="0" applyNumberFormat="1" applyFont="1" applyAlignment="1">
      <alignment horizontal="center"/>
    </xf>
    <xf numFmtId="0" fontId="0" fillId="0" borderId="0" xfId="0" applyFont="1" applyAlignment="1">
      <alignment horizontal="left"/>
    </xf>
    <xf numFmtId="165" fontId="10" fillId="0" borderId="1" xfId="0" applyNumberFormat="1" applyFont="1" applyBorder="1"/>
    <xf numFmtId="0" fontId="10" fillId="0" borderId="1" xfId="0" applyFont="1" applyBorder="1"/>
    <xf numFmtId="49" fontId="14" fillId="2" borderId="1" xfId="0" applyNumberFormat="1" applyFont="1" applyFill="1" applyBorder="1" applyAlignment="1">
      <alignment horizontal="left"/>
    </xf>
    <xf numFmtId="165" fontId="10" fillId="2" borderId="1" xfId="0" applyNumberFormat="1" applyFont="1" applyFill="1" applyBorder="1"/>
    <xf numFmtId="0" fontId="10" fillId="0" borderId="0" xfId="0" applyFont="1"/>
    <xf numFmtId="0" fontId="16" fillId="0" borderId="0" xfId="0" applyFont="1" applyAlignment="1">
      <alignment horizontal="center"/>
    </xf>
    <xf numFmtId="9" fontId="16" fillId="0" borderId="0" xfId="0" applyNumberFormat="1" applyFont="1" applyAlignment="1">
      <alignment horizontal="center"/>
    </xf>
    <xf numFmtId="0" fontId="11" fillId="0" borderId="2" xfId="0" applyFont="1" applyBorder="1"/>
    <xf numFmtId="49" fontId="17" fillId="2" borderId="1" xfId="0" applyNumberFormat="1" applyFont="1" applyFill="1" applyBorder="1" applyAlignment="1">
      <alignment horizontal="left"/>
    </xf>
    <xf numFmtId="166" fontId="16" fillId="0" borderId="2" xfId="0" applyNumberFormat="1" applyFont="1" applyBorder="1"/>
    <xf numFmtId="165" fontId="0" fillId="2" borderId="1" xfId="0" applyNumberFormat="1" applyFont="1" applyFill="1" applyBorder="1"/>
    <xf numFmtId="0" fontId="0" fillId="3" borderId="3" xfId="0" applyFont="1" applyFill="1" applyBorder="1"/>
    <xf numFmtId="0" fontId="18" fillId="3" borderId="3" xfId="0" applyFont="1" applyFill="1" applyBorder="1" applyAlignment="1">
      <alignment horizontal="left"/>
    </xf>
    <xf numFmtId="0" fontId="10" fillId="3" borderId="3" xfId="0" applyFont="1" applyFill="1" applyBorder="1"/>
    <xf numFmtId="0" fontId="19" fillId="3" borderId="3" xfId="0" applyFont="1" applyFill="1" applyBorder="1" applyAlignment="1">
      <alignment horizontal="left"/>
    </xf>
    <xf numFmtId="9" fontId="18" fillId="3" borderId="3" xfId="0" applyNumberFormat="1" applyFont="1" applyFill="1" applyBorder="1" applyAlignment="1">
      <alignment horizontal="left"/>
    </xf>
    <xf numFmtId="49" fontId="20" fillId="2" borderId="1" xfId="0" applyNumberFormat="1" applyFont="1" applyFill="1" applyBorder="1" applyAlignment="1">
      <alignment horizontal="left"/>
    </xf>
    <xf numFmtId="165" fontId="21" fillId="2" borderId="1" xfId="0" applyNumberFormat="1" applyFont="1" applyFill="1" applyBorder="1"/>
    <xf numFmtId="0" fontId="21" fillId="0" borderId="0" xfId="0" applyFont="1"/>
    <xf numFmtId="0" fontId="22" fillId="0" borderId="2" xfId="0" applyFont="1" applyBorder="1" applyAlignment="1">
      <alignment horizontal="center" vertical="center" wrapText="1"/>
    </xf>
    <xf numFmtId="0" fontId="16" fillId="0" borderId="2" xfId="0" applyFont="1" applyBorder="1" applyAlignment="1">
      <alignment horizontal="right" vertical="center" wrapText="1"/>
    </xf>
    <xf numFmtId="49" fontId="23" fillId="2" borderId="1" xfId="0" applyNumberFormat="1" applyFont="1" applyFill="1" applyBorder="1" applyAlignment="1">
      <alignment horizontal="left"/>
    </xf>
    <xf numFmtId="9" fontId="16" fillId="0" borderId="2" xfId="0" applyNumberFormat="1" applyFont="1" applyBorder="1" applyAlignment="1">
      <alignment horizontal="right" vertical="center" wrapText="1"/>
    </xf>
    <xf numFmtId="165" fontId="24" fillId="2" borderId="1" xfId="0" applyNumberFormat="1" applyFont="1" applyFill="1" applyBorder="1"/>
    <xf numFmtId="9" fontId="16" fillId="0" borderId="2" xfId="0" applyNumberFormat="1" applyFont="1" applyBorder="1" applyAlignment="1">
      <alignment horizontal="center" vertical="center" wrapText="1"/>
    </xf>
    <xf numFmtId="0" fontId="24" fillId="0" borderId="0" xfId="0" applyFont="1"/>
    <xf numFmtId="166" fontId="25" fillId="0" borderId="0" xfId="0" applyNumberFormat="1" applyFont="1"/>
    <xf numFmtId="0" fontId="22" fillId="0" borderId="0" xfId="0" applyFont="1" applyAlignment="1">
      <alignment horizontal="center" vertical="center" wrapText="1"/>
    </xf>
    <xf numFmtId="49" fontId="26" fillId="2" borderId="1" xfId="0" applyNumberFormat="1" applyFont="1" applyFill="1" applyBorder="1" applyAlignment="1">
      <alignment horizontal="left"/>
    </xf>
    <xf numFmtId="167" fontId="25" fillId="0" borderId="0" xfId="0" applyNumberFormat="1" applyFont="1" applyAlignment="1">
      <alignment horizontal="right"/>
    </xf>
    <xf numFmtId="9" fontId="25" fillId="0" borderId="0" xfId="0" applyNumberFormat="1" applyFont="1" applyAlignment="1">
      <alignment horizontal="right"/>
    </xf>
    <xf numFmtId="165" fontId="27" fillId="2" borderId="1" xfId="0" applyNumberFormat="1" applyFont="1" applyFill="1" applyBorder="1"/>
    <xf numFmtId="168" fontId="25" fillId="0" borderId="0" xfId="0" applyNumberFormat="1" applyFont="1" applyAlignment="1">
      <alignment horizontal="right"/>
    </xf>
    <xf numFmtId="0" fontId="27" fillId="0" borderId="0" xfId="0" applyFont="1"/>
    <xf numFmtId="167" fontId="11" fillId="0" borderId="0" xfId="0" applyNumberFormat="1" applyFont="1"/>
    <xf numFmtId="0" fontId="28" fillId="0" borderId="0" xfId="0" applyFont="1"/>
    <xf numFmtId="166" fontId="16" fillId="0" borderId="4" xfId="0" applyNumberFormat="1" applyFont="1" applyBorder="1"/>
    <xf numFmtId="0" fontId="22" fillId="0" borderId="4" xfId="0" applyFont="1" applyBorder="1" applyAlignment="1">
      <alignment horizontal="center" vertical="center" wrapText="1"/>
    </xf>
    <xf numFmtId="167" fontId="16" fillId="0" borderId="4" xfId="0" applyNumberFormat="1" applyFont="1" applyBorder="1" applyAlignment="1">
      <alignment horizontal="right"/>
    </xf>
    <xf numFmtId="9" fontId="16" fillId="0" borderId="4" xfId="0" applyNumberFormat="1" applyFont="1" applyBorder="1" applyAlignment="1">
      <alignment horizontal="right"/>
    </xf>
    <xf numFmtId="168" fontId="16" fillId="0" borderId="4" xfId="0" applyNumberFormat="1" applyFont="1" applyBorder="1" applyAlignment="1">
      <alignment horizontal="right"/>
    </xf>
    <xf numFmtId="9" fontId="16" fillId="0" borderId="4" xfId="0" applyNumberFormat="1" applyFont="1" applyBorder="1" applyAlignment="1">
      <alignment horizontal="center"/>
    </xf>
    <xf numFmtId="49" fontId="14" fillId="4" borderId="1" xfId="0" applyNumberFormat="1" applyFont="1" applyFill="1" applyBorder="1" applyAlignment="1">
      <alignment horizontal="left"/>
    </xf>
    <xf numFmtId="166" fontId="16" fillId="0" borderId="5" xfId="0" applyNumberFormat="1" applyFont="1" applyBorder="1"/>
    <xf numFmtId="0" fontId="22" fillId="0" borderId="5" xfId="0" applyFont="1" applyBorder="1" applyAlignment="1">
      <alignment horizontal="center" vertical="center" wrapText="1"/>
    </xf>
    <xf numFmtId="165" fontId="10" fillId="4" borderId="1" xfId="0" applyNumberFormat="1" applyFont="1" applyFill="1" applyBorder="1"/>
    <xf numFmtId="167" fontId="16" fillId="0" borderId="5" xfId="0" applyNumberFormat="1" applyFont="1" applyBorder="1" applyAlignment="1">
      <alignment horizontal="right"/>
    </xf>
    <xf numFmtId="9" fontId="16" fillId="0" borderId="5" xfId="0" applyNumberFormat="1" applyFont="1" applyBorder="1" applyAlignment="1">
      <alignment horizontal="right"/>
    </xf>
    <xf numFmtId="168" fontId="16" fillId="0" borderId="5" xfId="0" applyNumberFormat="1" applyFont="1" applyBorder="1" applyAlignment="1">
      <alignment horizontal="right"/>
    </xf>
    <xf numFmtId="49" fontId="17" fillId="4" borderId="1" xfId="0" applyNumberFormat="1" applyFont="1" applyFill="1" applyBorder="1" applyAlignment="1">
      <alignment horizontal="left"/>
    </xf>
    <xf numFmtId="9" fontId="16" fillId="0" borderId="5" xfId="0" applyNumberFormat="1" applyFont="1" applyBorder="1" applyAlignment="1">
      <alignment horizontal="center"/>
    </xf>
    <xf numFmtId="165" fontId="0" fillId="4" borderId="1" xfId="0" applyNumberFormat="1" applyFont="1" applyFill="1" applyBorder="1"/>
    <xf numFmtId="0" fontId="29" fillId="0" borderId="0" xfId="0" applyFont="1" applyAlignment="1">
      <alignment horizontal="center" vertical="center" wrapText="1"/>
    </xf>
    <xf numFmtId="166" fontId="16" fillId="0" borderId="0" xfId="0" applyNumberFormat="1" applyFont="1"/>
    <xf numFmtId="167" fontId="16" fillId="0" borderId="0" xfId="0" applyNumberFormat="1" applyFont="1" applyAlignment="1">
      <alignment horizontal="right"/>
    </xf>
    <xf numFmtId="9" fontId="16" fillId="0" borderId="0" xfId="0" applyNumberFormat="1" applyFont="1" applyAlignment="1">
      <alignment horizontal="right"/>
    </xf>
    <xf numFmtId="168" fontId="16" fillId="0" borderId="0" xfId="0" applyNumberFormat="1" applyFont="1" applyAlignment="1">
      <alignment horizontal="right"/>
    </xf>
    <xf numFmtId="167" fontId="30" fillId="0" borderId="0" xfId="0" applyNumberFormat="1" applyFont="1"/>
    <xf numFmtId="9" fontId="30" fillId="0" borderId="0" xfId="0" applyNumberFormat="1" applyFont="1" applyAlignment="1">
      <alignment horizontal="center"/>
    </xf>
    <xf numFmtId="0" fontId="30" fillId="0" borderId="0" xfId="0" applyFont="1"/>
    <xf numFmtId="165" fontId="0" fillId="0" borderId="0" xfId="0" applyNumberFormat="1" applyFont="1"/>
    <xf numFmtId="166" fontId="25" fillId="0" borderId="0" xfId="0" applyNumberFormat="1" applyFont="1" applyAlignment="1">
      <alignment horizontal="right"/>
    </xf>
    <xf numFmtId="49" fontId="14" fillId="5" borderId="1" xfId="0" applyNumberFormat="1" applyFont="1" applyFill="1" applyBorder="1" applyAlignment="1">
      <alignment horizontal="left"/>
    </xf>
    <xf numFmtId="165" fontId="10" fillId="5" borderId="1" xfId="0" applyNumberFormat="1" applyFont="1" applyFill="1" applyBorder="1"/>
    <xf numFmtId="49" fontId="17" fillId="5" borderId="1" xfId="0" applyNumberFormat="1" applyFont="1" applyFill="1" applyBorder="1" applyAlignment="1">
      <alignment horizontal="left"/>
    </xf>
    <xf numFmtId="165" fontId="0" fillId="5" borderId="1" xfId="0" applyNumberFormat="1" applyFont="1" applyFill="1" applyBorder="1"/>
    <xf numFmtId="49" fontId="14" fillId="5" borderId="3" xfId="0" applyNumberFormat="1" applyFont="1" applyFill="1" applyBorder="1" applyAlignment="1">
      <alignment horizontal="left"/>
    </xf>
    <xf numFmtId="165" fontId="10" fillId="5" borderId="3" xfId="0" applyNumberFormat="1" applyFont="1" applyFill="1" applyBorder="1"/>
    <xf numFmtId="49" fontId="14" fillId="6" borderId="3" xfId="0" applyNumberFormat="1" applyFont="1" applyFill="1" applyBorder="1" applyAlignment="1">
      <alignment horizontal="left"/>
    </xf>
    <xf numFmtId="165" fontId="10" fillId="6" borderId="3" xfId="0" applyNumberFormat="1" applyFont="1" applyFill="1" applyBorder="1"/>
    <xf numFmtId="49" fontId="17" fillId="0" borderId="0" xfId="0" applyNumberFormat="1" applyFont="1" applyAlignment="1">
      <alignment horizontal="left"/>
    </xf>
    <xf numFmtId="49" fontId="17" fillId="0" borderId="1" xfId="0" applyNumberFormat="1" applyFont="1" applyBorder="1" applyAlignment="1">
      <alignment horizontal="left"/>
    </xf>
    <xf numFmtId="49" fontId="14" fillId="0" borderId="1" xfId="0" applyNumberFormat="1" applyFont="1" applyBorder="1" applyAlignment="1">
      <alignment horizontal="center"/>
    </xf>
    <xf numFmtId="165" fontId="10" fillId="0" borderId="1" xfId="0" applyNumberFormat="1" applyFont="1" applyBorder="1" applyAlignment="1">
      <alignment horizontal="center"/>
    </xf>
    <xf numFmtId="0" fontId="10" fillId="0" borderId="1" xfId="0" applyFont="1" applyBorder="1" applyAlignment="1">
      <alignment horizontal="center"/>
    </xf>
    <xf numFmtId="49" fontId="14" fillId="7" borderId="9" xfId="0" applyNumberFormat="1" applyFont="1" applyFill="1" applyBorder="1" applyAlignment="1">
      <alignment horizontal="left"/>
    </xf>
    <xf numFmtId="165" fontId="10" fillId="7" borderId="8" xfId="0" applyNumberFormat="1" applyFont="1" applyFill="1" applyBorder="1"/>
    <xf numFmtId="49" fontId="14" fillId="7" borderId="10" xfId="0" applyNumberFormat="1" applyFont="1" applyFill="1" applyBorder="1" applyAlignment="1">
      <alignment horizontal="left"/>
    </xf>
    <xf numFmtId="165" fontId="10" fillId="7" borderId="1" xfId="0" applyNumberFormat="1" applyFont="1" applyFill="1" applyBorder="1"/>
    <xf numFmtId="49" fontId="17" fillId="7" borderId="1" xfId="0" applyNumberFormat="1" applyFont="1" applyFill="1" applyBorder="1" applyAlignment="1">
      <alignment horizontal="left"/>
    </xf>
    <xf numFmtId="49" fontId="17" fillId="7" borderId="10" xfId="0" applyNumberFormat="1" applyFont="1" applyFill="1" applyBorder="1" applyAlignment="1">
      <alignment horizontal="left"/>
    </xf>
    <xf numFmtId="165" fontId="0" fillId="7" borderId="1" xfId="0" applyNumberFormat="1" applyFont="1" applyFill="1" applyBorder="1"/>
    <xf numFmtId="0" fontId="16" fillId="0" borderId="4" xfId="0" applyFont="1" applyBorder="1" applyAlignment="1">
      <alignment horizontal="center" vertical="center" wrapText="1"/>
    </xf>
    <xf numFmtId="49" fontId="17" fillId="8" borderId="10" xfId="0" applyNumberFormat="1" applyFont="1" applyFill="1" applyBorder="1" applyAlignment="1">
      <alignment horizontal="left"/>
    </xf>
    <xf numFmtId="165" fontId="0" fillId="8" borderId="1" xfId="0" applyNumberFormat="1" applyFont="1" applyFill="1" applyBorder="1"/>
    <xf numFmtId="0" fontId="16" fillId="0" borderId="0" xfId="0" applyFont="1" applyAlignment="1">
      <alignment horizontal="center" vertical="center" wrapText="1"/>
    </xf>
    <xf numFmtId="0" fontId="25" fillId="0" borderId="0" xfId="0" applyFont="1" applyAlignment="1">
      <alignment horizontal="center" vertical="center" wrapText="1"/>
    </xf>
    <xf numFmtId="9" fontId="16" fillId="0" borderId="0" xfId="0" applyNumberFormat="1" applyFont="1" applyAlignment="1">
      <alignment horizontal="center" vertical="center" wrapText="1"/>
    </xf>
    <xf numFmtId="0" fontId="16" fillId="0" borderId="0" xfId="0" applyFont="1" applyAlignment="1">
      <alignment horizontal="right" vertical="center" wrapText="1"/>
    </xf>
    <xf numFmtId="49" fontId="14" fillId="8" borderId="10" xfId="0" applyNumberFormat="1" applyFont="1" applyFill="1" applyBorder="1" applyAlignment="1">
      <alignment horizontal="left"/>
    </xf>
    <xf numFmtId="9" fontId="16" fillId="0" borderId="0" xfId="0" applyNumberFormat="1" applyFont="1" applyAlignment="1">
      <alignment horizontal="right" vertical="center" wrapText="1"/>
    </xf>
    <xf numFmtId="165" fontId="10" fillId="8" borderId="1" xfId="0" applyNumberFormat="1" applyFont="1" applyFill="1" applyBorder="1"/>
    <xf numFmtId="0" fontId="11" fillId="0" borderId="2" xfId="0" applyFont="1" applyBorder="1" applyAlignment="1">
      <alignment horizontal="center" vertical="center"/>
    </xf>
    <xf numFmtId="0" fontId="16" fillId="0" borderId="2" xfId="0" applyFont="1" applyBorder="1" applyAlignment="1">
      <alignment vertical="center"/>
    </xf>
    <xf numFmtId="9" fontId="16" fillId="0" borderId="2" xfId="0" applyNumberFormat="1" applyFont="1" applyBorder="1" applyAlignment="1">
      <alignment vertical="center"/>
    </xf>
    <xf numFmtId="9" fontId="16" fillId="0" borderId="0" xfId="0" applyNumberFormat="1" applyFont="1" applyAlignment="1">
      <alignment vertical="center"/>
    </xf>
    <xf numFmtId="49" fontId="14" fillId="9" borderId="10" xfId="0" applyNumberFormat="1" applyFont="1" applyFill="1" applyBorder="1" applyAlignment="1">
      <alignment horizontal="left"/>
    </xf>
    <xf numFmtId="168" fontId="16" fillId="0" borderId="0" xfId="0" applyNumberFormat="1" applyFont="1" applyAlignment="1">
      <alignment horizontal="center" vertical="center" wrapText="1"/>
    </xf>
    <xf numFmtId="0" fontId="16" fillId="0" borderId="11" xfId="0" applyFont="1" applyBorder="1" applyAlignment="1">
      <alignment horizontal="center"/>
    </xf>
    <xf numFmtId="165" fontId="10" fillId="9" borderId="1" xfId="0" applyNumberFormat="1" applyFont="1" applyFill="1" applyBorder="1"/>
    <xf numFmtId="0" fontId="30" fillId="0" borderId="0" xfId="0" applyFont="1" applyAlignment="1">
      <alignment horizontal="center" vertical="center"/>
    </xf>
    <xf numFmtId="168" fontId="16" fillId="0" borderId="0" xfId="0" applyNumberFormat="1" applyFont="1" applyAlignment="1">
      <alignment horizontal="right" vertical="center" wrapText="1"/>
    </xf>
    <xf numFmtId="49" fontId="17" fillId="9" borderId="10" xfId="0" applyNumberFormat="1" applyFont="1" applyFill="1" applyBorder="1" applyAlignment="1">
      <alignment horizontal="left"/>
    </xf>
    <xf numFmtId="0" fontId="25" fillId="0" borderId="0" xfId="0" applyFont="1" applyAlignment="1">
      <alignment horizontal="center"/>
    </xf>
    <xf numFmtId="165" fontId="0" fillId="9" borderId="1" xfId="0" applyNumberFormat="1" applyFont="1" applyFill="1" applyBorder="1"/>
    <xf numFmtId="0" fontId="25" fillId="0" borderId="0" xfId="0" applyFont="1" applyAlignment="1">
      <alignment horizontal="center" vertical="center"/>
    </xf>
    <xf numFmtId="9" fontId="25" fillId="0" borderId="0" xfId="0" applyNumberFormat="1" applyFont="1" applyAlignment="1">
      <alignment horizontal="center" vertical="center"/>
    </xf>
    <xf numFmtId="165" fontId="16" fillId="0" borderId="0" xfId="0" applyNumberFormat="1" applyFont="1"/>
    <xf numFmtId="165" fontId="16" fillId="0" borderId="0" xfId="0" applyNumberFormat="1" applyFont="1" applyAlignment="1">
      <alignment horizontal="center" vertical="center"/>
    </xf>
    <xf numFmtId="165" fontId="16" fillId="0" borderId="0" xfId="0" applyNumberFormat="1" applyFont="1" applyAlignment="1">
      <alignment horizontal="center" vertical="center" wrapText="1"/>
    </xf>
    <xf numFmtId="9" fontId="16" fillId="0" borderId="0" xfId="0" applyNumberFormat="1" applyFont="1" applyAlignment="1">
      <alignment horizontal="center" vertical="center"/>
    </xf>
    <xf numFmtId="164" fontId="11" fillId="0" borderId="0" xfId="0" applyNumberFormat="1" applyFont="1" applyAlignment="1">
      <alignment horizontal="center" vertical="center"/>
    </xf>
    <xf numFmtId="0" fontId="29" fillId="0" borderId="0" xfId="0" applyFont="1"/>
    <xf numFmtId="0" fontId="29" fillId="0" borderId="0" xfId="0" applyFont="1" applyAlignment="1">
      <alignment horizontal="center" vertical="center"/>
    </xf>
    <xf numFmtId="9" fontId="29" fillId="0" borderId="0" xfId="0" applyNumberFormat="1" applyFont="1" applyAlignment="1">
      <alignment horizontal="center" vertical="center"/>
    </xf>
    <xf numFmtId="9" fontId="29" fillId="0" borderId="0" xfId="0" applyNumberFormat="1" applyFont="1" applyAlignment="1">
      <alignment horizontal="center"/>
    </xf>
    <xf numFmtId="3" fontId="29" fillId="0" borderId="0" xfId="0" applyNumberFormat="1" applyFont="1" applyAlignment="1">
      <alignment horizontal="center" vertical="center"/>
    </xf>
    <xf numFmtId="49" fontId="14" fillId="10" borderId="10" xfId="0" applyNumberFormat="1" applyFont="1" applyFill="1" applyBorder="1" applyAlignment="1">
      <alignment horizontal="left"/>
    </xf>
    <xf numFmtId="165" fontId="10" fillId="10" borderId="1" xfId="0" applyNumberFormat="1" applyFont="1" applyFill="1" applyBorder="1"/>
    <xf numFmtId="49" fontId="17" fillId="10" borderId="10" xfId="0" applyNumberFormat="1" applyFont="1" applyFill="1" applyBorder="1" applyAlignment="1">
      <alignment horizontal="left"/>
    </xf>
    <xf numFmtId="165" fontId="0" fillId="10" borderId="1" xfId="0" applyNumberFormat="1" applyFont="1" applyFill="1" applyBorder="1"/>
    <xf numFmtId="49" fontId="17" fillId="10" borderId="10" xfId="0" applyNumberFormat="1" applyFont="1" applyFill="1" applyBorder="1" applyAlignment="1">
      <alignment horizontal="right"/>
    </xf>
    <xf numFmtId="165" fontId="33" fillId="10" borderId="1" xfId="0" applyNumberFormat="1" applyFont="1" applyFill="1" applyBorder="1"/>
    <xf numFmtId="0" fontId="33" fillId="0" borderId="0" xfId="0" applyFont="1"/>
    <xf numFmtId="49" fontId="14" fillId="3" borderId="10" xfId="0" applyNumberFormat="1" applyFont="1" applyFill="1" applyBorder="1" applyAlignment="1">
      <alignment horizontal="left"/>
    </xf>
    <xf numFmtId="165" fontId="10" fillId="3" borderId="1" xfId="0" applyNumberFormat="1" applyFont="1" applyFill="1" applyBorder="1"/>
    <xf numFmtId="49" fontId="17" fillId="3" borderId="10" xfId="0" applyNumberFormat="1" applyFont="1" applyFill="1" applyBorder="1" applyAlignment="1">
      <alignment horizontal="left"/>
    </xf>
    <xf numFmtId="165" fontId="0" fillId="3" borderId="1" xfId="0" applyNumberFormat="1" applyFont="1" applyFill="1" applyBorder="1"/>
    <xf numFmtId="49" fontId="14" fillId="11" borderId="10" xfId="0" applyNumberFormat="1" applyFont="1" applyFill="1" applyBorder="1" applyAlignment="1">
      <alignment horizontal="left"/>
    </xf>
    <xf numFmtId="165" fontId="10" fillId="11" borderId="1" xfId="0" applyNumberFormat="1" applyFont="1" applyFill="1" applyBorder="1"/>
    <xf numFmtId="49" fontId="17" fillId="11" borderId="10" xfId="0" applyNumberFormat="1" applyFont="1" applyFill="1" applyBorder="1" applyAlignment="1">
      <alignment horizontal="left"/>
    </xf>
    <xf numFmtId="165" fontId="0" fillId="11" borderId="1" xfId="0" applyNumberFormat="1" applyFont="1" applyFill="1" applyBorder="1"/>
    <xf numFmtId="49" fontId="14" fillId="4" borderId="10" xfId="0" applyNumberFormat="1" applyFont="1" applyFill="1" applyBorder="1" applyAlignment="1">
      <alignment horizontal="left"/>
    </xf>
    <xf numFmtId="49" fontId="17" fillId="4" borderId="10" xfId="0" applyNumberFormat="1" applyFont="1" applyFill="1" applyBorder="1" applyAlignment="1">
      <alignment horizontal="left"/>
    </xf>
    <xf numFmtId="0" fontId="25" fillId="0" borderId="0" xfId="0" applyFont="1"/>
    <xf numFmtId="49" fontId="14" fillId="12" borderId="10" xfId="0" applyNumberFormat="1" applyFont="1" applyFill="1" applyBorder="1" applyAlignment="1">
      <alignment horizontal="left"/>
    </xf>
    <xf numFmtId="0" fontId="25" fillId="0" borderId="0" xfId="0" applyFont="1" applyAlignment="1">
      <alignment horizontal="left"/>
    </xf>
    <xf numFmtId="0" fontId="16" fillId="0" borderId="0" xfId="0" applyFont="1" applyAlignment="1">
      <alignment horizontal="center" vertical="center"/>
    </xf>
    <xf numFmtId="165" fontId="10" fillId="12" borderId="1" xfId="0" applyNumberFormat="1" applyFont="1" applyFill="1" applyBorder="1"/>
    <xf numFmtId="168" fontId="34" fillId="0" borderId="0" xfId="0" applyNumberFormat="1" applyFont="1" applyAlignment="1">
      <alignment horizontal="center" vertical="center"/>
    </xf>
    <xf numFmtId="0" fontId="34" fillId="0" borderId="0" xfId="0" applyFont="1" applyAlignment="1">
      <alignment horizontal="center" vertical="center"/>
    </xf>
    <xf numFmtId="0" fontId="34" fillId="0" borderId="0" xfId="0" applyFont="1"/>
    <xf numFmtId="0" fontId="35" fillId="0" borderId="0" xfId="0" applyFont="1"/>
    <xf numFmtId="49" fontId="17" fillId="12" borderId="10" xfId="0" applyNumberFormat="1" applyFont="1" applyFill="1" applyBorder="1" applyAlignment="1">
      <alignment horizontal="left"/>
    </xf>
    <xf numFmtId="165" fontId="0" fillId="12" borderId="1" xfId="0" applyNumberFormat="1" applyFont="1" applyFill="1" applyBorder="1"/>
    <xf numFmtId="0" fontId="15" fillId="0" borderId="2" xfId="0" applyFont="1" applyBorder="1"/>
    <xf numFmtId="49" fontId="14" fillId="5" borderId="10" xfId="0" applyNumberFormat="1" applyFont="1" applyFill="1" applyBorder="1" applyAlignment="1">
      <alignment horizontal="left"/>
    </xf>
    <xf numFmtId="49" fontId="14" fillId="13" borderId="10" xfId="0" applyNumberFormat="1" applyFont="1" applyFill="1" applyBorder="1" applyAlignment="1">
      <alignment horizontal="left"/>
    </xf>
    <xf numFmtId="0" fontId="16" fillId="0" borderId="0" xfId="0" applyFont="1"/>
    <xf numFmtId="0" fontId="16" fillId="0" borderId="0" xfId="0" applyFont="1" applyAlignment="1">
      <alignment horizontal="right"/>
    </xf>
    <xf numFmtId="165" fontId="10" fillId="13" borderId="1" xfId="0" applyNumberFormat="1" applyFont="1" applyFill="1" applyBorder="1"/>
    <xf numFmtId="168" fontId="36" fillId="0" borderId="0" xfId="0" applyNumberFormat="1" applyFont="1" applyAlignment="1">
      <alignment horizontal="right"/>
    </xf>
    <xf numFmtId="0" fontId="36" fillId="0" borderId="0" xfId="0" applyFont="1" applyAlignment="1">
      <alignment horizontal="right"/>
    </xf>
    <xf numFmtId="0" fontId="37" fillId="0" borderId="0" xfId="0" applyFont="1"/>
    <xf numFmtId="49" fontId="17" fillId="13" borderId="10" xfId="0" applyNumberFormat="1" applyFont="1" applyFill="1" applyBorder="1" applyAlignment="1">
      <alignment horizontal="left"/>
    </xf>
    <xf numFmtId="0" fontId="36" fillId="0" borderId="0" xfId="0" applyFont="1" applyAlignment="1">
      <alignment horizontal="center"/>
    </xf>
    <xf numFmtId="165" fontId="0" fillId="13" borderId="1" xfId="0" applyNumberFormat="1" applyFont="1" applyFill="1" applyBorder="1"/>
    <xf numFmtId="3" fontId="25" fillId="0" borderId="0" xfId="0" applyNumberFormat="1" applyFont="1"/>
    <xf numFmtId="3" fontId="16" fillId="0" borderId="0" xfId="0" applyNumberFormat="1" applyFont="1" applyAlignment="1">
      <alignment horizontal="right"/>
    </xf>
    <xf numFmtId="49" fontId="17" fillId="14" borderId="10" xfId="0" applyNumberFormat="1" applyFont="1" applyFill="1" applyBorder="1" applyAlignment="1">
      <alignment horizontal="left"/>
    </xf>
    <xf numFmtId="165" fontId="0" fillId="14" borderId="1" xfId="0" applyNumberFormat="1" applyFont="1" applyFill="1" applyBorder="1"/>
    <xf numFmtId="168" fontId="36" fillId="0" borderId="0" xfId="0" applyNumberFormat="1" applyFont="1"/>
    <xf numFmtId="165" fontId="25" fillId="0" borderId="0" xfId="0" applyNumberFormat="1" applyFont="1" applyAlignment="1">
      <alignment horizontal="right"/>
    </xf>
    <xf numFmtId="168" fontId="34" fillId="0" borderId="0" xfId="0" applyNumberFormat="1" applyFont="1" applyAlignment="1">
      <alignment horizontal="right"/>
    </xf>
    <xf numFmtId="1" fontId="39" fillId="15" borderId="1" xfId="0" applyNumberFormat="1" applyFont="1" applyFill="1" applyBorder="1" applyAlignment="1">
      <alignment horizontal="center"/>
    </xf>
    <xf numFmtId="169" fontId="39" fillId="15" borderId="1" xfId="0" applyNumberFormat="1" applyFont="1" applyFill="1" applyBorder="1" applyAlignment="1">
      <alignment horizontal="center"/>
    </xf>
    <xf numFmtId="165" fontId="25" fillId="0" borderId="2" xfId="0" applyNumberFormat="1" applyFont="1" applyBorder="1"/>
    <xf numFmtId="3" fontId="40" fillId="0" borderId="1" xfId="0" applyNumberFormat="1" applyFont="1" applyBorder="1" applyAlignment="1">
      <alignment horizontal="center"/>
    </xf>
    <xf numFmtId="168" fontId="34" fillId="0" borderId="2" xfId="0" applyNumberFormat="1" applyFont="1" applyBorder="1"/>
    <xf numFmtId="165" fontId="25" fillId="0" borderId="0" xfId="0" applyNumberFormat="1" applyFont="1"/>
    <xf numFmtId="165" fontId="25" fillId="0" borderId="2" xfId="0" applyNumberFormat="1" applyFont="1" applyBorder="1" applyAlignment="1">
      <alignment horizontal="right"/>
    </xf>
    <xf numFmtId="168" fontId="34" fillId="0" borderId="2" xfId="0" applyNumberFormat="1" applyFont="1" applyBorder="1" applyAlignment="1">
      <alignment horizontal="right"/>
    </xf>
    <xf numFmtId="168" fontId="34" fillId="0" borderId="0" xfId="0" applyNumberFormat="1" applyFont="1"/>
    <xf numFmtId="3" fontId="16" fillId="0" borderId="0" xfId="0" applyNumberFormat="1" applyFont="1"/>
    <xf numFmtId="168" fontId="40" fillId="0" borderId="1" xfId="0" applyNumberFormat="1" applyFont="1" applyBorder="1" applyAlignment="1">
      <alignment horizontal="center"/>
    </xf>
    <xf numFmtId="3" fontId="25" fillId="0" borderId="2" xfId="0" applyNumberFormat="1" applyFont="1" applyBorder="1"/>
    <xf numFmtId="165" fontId="16" fillId="0" borderId="0" xfId="0" applyNumberFormat="1" applyFont="1" applyAlignment="1">
      <alignment horizontal="right"/>
    </xf>
    <xf numFmtId="165" fontId="40" fillId="0" borderId="1" xfId="0" applyNumberFormat="1" applyFont="1" applyBorder="1" applyAlignment="1">
      <alignment horizontal="center"/>
    </xf>
    <xf numFmtId="167" fontId="40" fillId="0" borderId="1" xfId="0" applyNumberFormat="1" applyFont="1" applyBorder="1" applyAlignment="1">
      <alignment horizontal="center"/>
    </xf>
    <xf numFmtId="170" fontId="40" fillId="0" borderId="1" xfId="0" applyNumberFormat="1" applyFont="1" applyBorder="1" applyAlignment="1">
      <alignment horizontal="center"/>
    </xf>
    <xf numFmtId="171" fontId="40" fillId="0" borderId="1" xfId="0" applyNumberFormat="1" applyFont="1" applyBorder="1" applyAlignment="1">
      <alignment horizontal="center"/>
    </xf>
    <xf numFmtId="1" fontId="39" fillId="0" borderId="12" xfId="0" applyNumberFormat="1" applyFont="1" applyBorder="1" applyAlignment="1">
      <alignment horizontal="center"/>
    </xf>
    <xf numFmtId="1" fontId="39" fillId="0" borderId="0" xfId="0" applyNumberFormat="1" applyFont="1" applyAlignment="1">
      <alignment horizontal="center"/>
    </xf>
    <xf numFmtId="1" fontId="39" fillId="0" borderId="13" xfId="0" applyNumberFormat="1" applyFont="1" applyBorder="1" applyAlignment="1">
      <alignment horizontal="center"/>
    </xf>
    <xf numFmtId="9" fontId="40" fillId="0" borderId="1" xfId="0" applyNumberFormat="1" applyFont="1" applyBorder="1" applyAlignment="1">
      <alignment horizontal="center"/>
    </xf>
    <xf numFmtId="3" fontId="40" fillId="16" borderId="1" xfId="0" applyNumberFormat="1" applyFont="1" applyFill="1" applyBorder="1" applyAlignment="1">
      <alignment horizontal="center"/>
    </xf>
    <xf numFmtId="0" fontId="25" fillId="0" borderId="0" xfId="0" applyFont="1" applyAlignment="1">
      <alignment vertical="center" wrapText="1"/>
    </xf>
    <xf numFmtId="4" fontId="40" fillId="0" borderId="1" xfId="0" applyNumberFormat="1" applyFont="1" applyBorder="1" applyAlignment="1">
      <alignment horizontal="center"/>
    </xf>
    <xf numFmtId="4" fontId="40" fillId="16" borderId="1" xfId="0" applyNumberFormat="1" applyFont="1" applyFill="1" applyBorder="1" applyAlignment="1">
      <alignment horizontal="center"/>
    </xf>
    <xf numFmtId="3" fontId="40" fillId="3" borderId="1" xfId="0" applyNumberFormat="1" applyFont="1" applyFill="1" applyBorder="1" applyAlignment="1">
      <alignment horizontal="center"/>
    </xf>
    <xf numFmtId="167" fontId="40" fillId="3" borderId="14" xfId="0" applyNumberFormat="1" applyFont="1" applyFill="1" applyBorder="1" applyAlignment="1">
      <alignment horizontal="center"/>
    </xf>
    <xf numFmtId="172" fontId="16" fillId="0" borderId="0" xfId="0" applyNumberFormat="1" applyFont="1"/>
    <xf numFmtId="167" fontId="40" fillId="16" borderId="1" xfId="0" applyNumberFormat="1" applyFont="1" applyFill="1" applyBorder="1" applyAlignment="1">
      <alignment horizontal="center"/>
    </xf>
    <xf numFmtId="0" fontId="40" fillId="16" borderId="1" xfId="0" applyFont="1" applyFill="1" applyBorder="1" applyAlignment="1">
      <alignment horizontal="center"/>
    </xf>
    <xf numFmtId="167" fontId="40" fillId="3" borderId="15" xfId="0" applyNumberFormat="1" applyFont="1" applyFill="1" applyBorder="1" applyAlignment="1">
      <alignment horizontal="center"/>
    </xf>
    <xf numFmtId="167" fontId="40" fillId="3" borderId="1" xfId="0" applyNumberFormat="1" applyFont="1" applyFill="1" applyBorder="1" applyAlignment="1">
      <alignment horizontal="center"/>
    </xf>
    <xf numFmtId="3" fontId="40" fillId="0" borderId="12" xfId="0" applyNumberFormat="1" applyFont="1" applyBorder="1" applyAlignment="1">
      <alignment horizontal="center"/>
    </xf>
    <xf numFmtId="3" fontId="40" fillId="0" borderId="0" xfId="0" applyNumberFormat="1" applyFont="1" applyAlignment="1">
      <alignment horizontal="center"/>
    </xf>
    <xf numFmtId="0" fontId="40" fillId="0" borderId="0" xfId="0" applyFont="1"/>
    <xf numFmtId="3" fontId="37" fillId="0" borderId="4" xfId="0" applyNumberFormat="1" applyFont="1" applyBorder="1" applyAlignment="1">
      <alignment horizontal="right"/>
    </xf>
    <xf numFmtId="168" fontId="36" fillId="0" borderId="4" xfId="0" applyNumberFormat="1" applyFont="1" applyBorder="1" applyAlignment="1">
      <alignment horizontal="right"/>
    </xf>
    <xf numFmtId="3" fontId="37" fillId="0" borderId="4" xfId="0" applyNumberFormat="1" applyFont="1" applyBorder="1"/>
    <xf numFmtId="168" fontId="36" fillId="0" borderId="4" xfId="0" applyNumberFormat="1" applyFont="1" applyBorder="1"/>
    <xf numFmtId="3" fontId="37" fillId="0" borderId="0" xfId="0" applyNumberFormat="1" applyFont="1" applyAlignment="1">
      <alignment horizontal="right"/>
    </xf>
    <xf numFmtId="172" fontId="25" fillId="0" borderId="0" xfId="0" applyNumberFormat="1" applyFont="1"/>
    <xf numFmtId="173" fontId="14" fillId="15" borderId="18" xfId="0" applyNumberFormat="1" applyFont="1" applyFill="1" applyBorder="1" applyAlignment="1">
      <alignment horizontal="right"/>
    </xf>
    <xf numFmtId="174" fontId="25" fillId="0" borderId="0" xfId="0" applyNumberFormat="1" applyFont="1"/>
    <xf numFmtId="0" fontId="16" fillId="0" borderId="0" xfId="0" applyFont="1" applyAlignment="1">
      <alignment horizontal="left"/>
    </xf>
    <xf numFmtId="172" fontId="16" fillId="0" borderId="0" xfId="0" applyNumberFormat="1" applyFont="1" applyAlignment="1">
      <alignment horizontal="right"/>
    </xf>
    <xf numFmtId="172" fontId="25" fillId="0" borderId="0" xfId="0" applyNumberFormat="1" applyFont="1" applyAlignment="1">
      <alignment horizontal="right"/>
    </xf>
    <xf numFmtId="0" fontId="15" fillId="0" borderId="4" xfId="0" applyFont="1" applyBorder="1"/>
    <xf numFmtId="0" fontId="41" fillId="0" borderId="0" xfId="0" applyFont="1"/>
    <xf numFmtId="3" fontId="15" fillId="0" borderId="4" xfId="0" applyNumberFormat="1" applyFont="1" applyBorder="1"/>
    <xf numFmtId="168" fontId="15" fillId="0" borderId="4" xfId="0" applyNumberFormat="1" applyFont="1" applyBorder="1"/>
    <xf numFmtId="0" fontId="37" fillId="0" borderId="2" xfId="0" applyFont="1" applyBorder="1"/>
    <xf numFmtId="0" fontId="16" fillId="0" borderId="2" xfId="0" applyFont="1" applyBorder="1" applyAlignment="1">
      <alignment horizontal="right"/>
    </xf>
    <xf numFmtId="168" fontId="36" fillId="0" borderId="2" xfId="0" applyNumberFormat="1" applyFont="1" applyBorder="1" applyAlignment="1">
      <alignment horizontal="right"/>
    </xf>
    <xf numFmtId="3" fontId="15" fillId="0" borderId="0" xfId="0" applyNumberFormat="1" applyFont="1"/>
    <xf numFmtId="0" fontId="25" fillId="0" borderId="0" xfId="0" applyFont="1" applyAlignment="1">
      <alignment horizontal="right"/>
    </xf>
    <xf numFmtId="3" fontId="41" fillId="0" borderId="0" xfId="0" applyNumberFormat="1" applyFont="1"/>
    <xf numFmtId="0" fontId="15" fillId="0" borderId="4" xfId="0" applyFont="1" applyBorder="1" applyAlignment="1">
      <alignment horizontal="center" vertical="center"/>
    </xf>
    <xf numFmtId="3" fontId="15" fillId="0" borderId="4" xfId="0" applyNumberFormat="1" applyFont="1" applyBorder="1" applyAlignment="1">
      <alignment horizontal="right"/>
    </xf>
    <xf numFmtId="168" fontId="15" fillId="0" borderId="4" xfId="0" applyNumberFormat="1" applyFont="1" applyBorder="1" applyAlignment="1">
      <alignment horizontal="right"/>
    </xf>
    <xf numFmtId="3" fontId="36" fillId="0" borderId="0" xfId="0" applyNumberFormat="1" applyFont="1"/>
    <xf numFmtId="3" fontId="16" fillId="0" borderId="2" xfId="0" applyNumberFormat="1" applyFont="1" applyBorder="1"/>
    <xf numFmtId="3" fontId="36" fillId="0" borderId="2" xfId="0" applyNumberFormat="1" applyFont="1" applyBorder="1" applyAlignment="1">
      <alignment horizontal="center"/>
    </xf>
    <xf numFmtId="3" fontId="36" fillId="0" borderId="0" xfId="0" applyNumberFormat="1" applyFont="1" applyAlignment="1">
      <alignment horizontal="center"/>
    </xf>
    <xf numFmtId="168" fontId="36" fillId="0" borderId="0" xfId="0" applyNumberFormat="1" applyFont="1" applyAlignment="1">
      <alignment horizontal="center"/>
    </xf>
    <xf numFmtId="168" fontId="34" fillId="0" borderId="0" xfId="0" applyNumberFormat="1" applyFont="1" applyAlignment="1">
      <alignment horizontal="center"/>
    </xf>
    <xf numFmtId="3" fontId="11" fillId="0" borderId="0" xfId="0" applyNumberFormat="1" applyFont="1"/>
    <xf numFmtId="0" fontId="14" fillId="2" borderId="1" xfId="0" applyNumberFormat="1" applyFont="1" applyFill="1" applyBorder="1" applyAlignment="1">
      <alignment horizontal="left"/>
    </xf>
    <xf numFmtId="0" fontId="17" fillId="2" borderId="1" xfId="0" applyNumberFormat="1" applyFont="1" applyFill="1" applyBorder="1" applyAlignment="1">
      <alignment horizontal="left"/>
    </xf>
    <xf numFmtId="0" fontId="20" fillId="2" borderId="1" xfId="0" applyNumberFormat="1" applyFont="1" applyFill="1" applyBorder="1" applyAlignment="1">
      <alignment horizontal="left"/>
    </xf>
    <xf numFmtId="0" fontId="23" fillId="2" borderId="1" xfId="0" applyNumberFormat="1" applyFont="1" applyFill="1" applyBorder="1" applyAlignment="1">
      <alignment horizontal="left"/>
    </xf>
    <xf numFmtId="0" fontId="26" fillId="2" borderId="1" xfId="0" applyNumberFormat="1" applyFont="1" applyFill="1" applyBorder="1" applyAlignment="1">
      <alignment horizontal="left"/>
    </xf>
    <xf numFmtId="0" fontId="14" fillId="4" borderId="1" xfId="0" applyNumberFormat="1" applyFont="1" applyFill="1" applyBorder="1" applyAlignment="1">
      <alignment horizontal="left"/>
    </xf>
    <xf numFmtId="0" fontId="17" fillId="4" borderId="1" xfId="0" applyNumberFormat="1" applyFont="1" applyFill="1" applyBorder="1" applyAlignment="1">
      <alignment horizontal="left"/>
    </xf>
    <xf numFmtId="0" fontId="14" fillId="5" borderId="1" xfId="0" applyNumberFormat="1" applyFont="1" applyFill="1" applyBorder="1" applyAlignment="1">
      <alignment horizontal="left"/>
    </xf>
    <xf numFmtId="0" fontId="17" fillId="5" borderId="1" xfId="0" applyNumberFormat="1" applyFont="1" applyFill="1" applyBorder="1" applyAlignment="1">
      <alignment horizontal="left"/>
    </xf>
    <xf numFmtId="0" fontId="14" fillId="7" borderId="8" xfId="0" applyNumberFormat="1" applyFont="1" applyFill="1" applyBorder="1" applyAlignment="1">
      <alignment horizontal="left"/>
    </xf>
    <xf numFmtId="0" fontId="14" fillId="7" borderId="1" xfId="0" applyNumberFormat="1" applyFont="1" applyFill="1" applyBorder="1" applyAlignment="1">
      <alignment horizontal="left"/>
    </xf>
    <xf numFmtId="0" fontId="17" fillId="7" borderId="1" xfId="0" applyNumberFormat="1" applyFont="1" applyFill="1" applyBorder="1" applyAlignment="1">
      <alignment horizontal="left"/>
    </xf>
    <xf numFmtId="0" fontId="17" fillId="8" borderId="1" xfId="0" applyNumberFormat="1" applyFont="1" applyFill="1" applyBorder="1" applyAlignment="1">
      <alignment horizontal="left"/>
    </xf>
    <xf numFmtId="0" fontId="14" fillId="8" borderId="1" xfId="0" applyNumberFormat="1" applyFont="1" applyFill="1" applyBorder="1" applyAlignment="1">
      <alignment horizontal="left"/>
    </xf>
    <xf numFmtId="0" fontId="14" fillId="9" borderId="1" xfId="0" applyNumberFormat="1" applyFont="1" applyFill="1" applyBorder="1" applyAlignment="1">
      <alignment horizontal="left"/>
    </xf>
    <xf numFmtId="0" fontId="17" fillId="9" borderId="1" xfId="0" applyNumberFormat="1" applyFont="1" applyFill="1" applyBorder="1" applyAlignment="1">
      <alignment horizontal="left"/>
    </xf>
    <xf numFmtId="0" fontId="14" fillId="10" borderId="1" xfId="0" applyNumberFormat="1" applyFont="1" applyFill="1" applyBorder="1" applyAlignment="1">
      <alignment horizontal="left"/>
    </xf>
    <xf numFmtId="0" fontId="17" fillId="10" borderId="1" xfId="0" applyNumberFormat="1" applyFont="1" applyFill="1" applyBorder="1" applyAlignment="1">
      <alignment horizontal="left"/>
    </xf>
    <xf numFmtId="0" fontId="14" fillId="3" borderId="1" xfId="0" applyNumberFormat="1" applyFont="1" applyFill="1" applyBorder="1" applyAlignment="1">
      <alignment horizontal="left"/>
    </xf>
    <xf numFmtId="0" fontId="17" fillId="3" borderId="1" xfId="0" applyNumberFormat="1" applyFont="1" applyFill="1" applyBorder="1" applyAlignment="1">
      <alignment horizontal="left"/>
    </xf>
    <xf numFmtId="0" fontId="14" fillId="11" borderId="1" xfId="0" applyNumberFormat="1" applyFont="1" applyFill="1" applyBorder="1" applyAlignment="1">
      <alignment horizontal="left"/>
    </xf>
    <xf numFmtId="0" fontId="17" fillId="11" borderId="1" xfId="0" applyNumberFormat="1" applyFont="1" applyFill="1" applyBorder="1" applyAlignment="1">
      <alignment horizontal="left"/>
    </xf>
    <xf numFmtId="0" fontId="14" fillId="12" borderId="1" xfId="0" applyNumberFormat="1" applyFont="1" applyFill="1" applyBorder="1" applyAlignment="1">
      <alignment horizontal="left"/>
    </xf>
    <xf numFmtId="0" fontId="17" fillId="12" borderId="1" xfId="0" applyNumberFormat="1" applyFont="1" applyFill="1" applyBorder="1" applyAlignment="1">
      <alignment horizontal="left"/>
    </xf>
    <xf numFmtId="0" fontId="14" fillId="13" borderId="1" xfId="0" applyNumberFormat="1" applyFont="1" applyFill="1" applyBorder="1" applyAlignment="1">
      <alignment horizontal="left"/>
    </xf>
    <xf numFmtId="0" fontId="17" fillId="13" borderId="1" xfId="0" applyNumberFormat="1" applyFont="1" applyFill="1" applyBorder="1" applyAlignment="1">
      <alignment horizontal="left"/>
    </xf>
    <xf numFmtId="0" fontId="17" fillId="14" borderId="1" xfId="0" applyNumberFormat="1" applyFont="1" applyFill="1" applyBorder="1" applyAlignment="1">
      <alignment horizontal="left"/>
    </xf>
    <xf numFmtId="0" fontId="0" fillId="0" borderId="0" xfId="0" applyFont="1" applyFill="1"/>
    <xf numFmtId="0" fontId="0" fillId="0" borderId="0" xfId="0" applyFont="1" applyFill="1" applyAlignment="1"/>
    <xf numFmtId="173" fontId="14" fillId="0" borderId="18" xfId="0" applyNumberFormat="1" applyFont="1" applyFill="1" applyBorder="1" applyAlignment="1">
      <alignment horizontal="right"/>
    </xf>
    <xf numFmtId="0" fontId="0" fillId="0" borderId="0" xfId="0"/>
    <xf numFmtId="0" fontId="47" fillId="0" borderId="0" xfId="0" applyFont="1"/>
    <xf numFmtId="0" fontId="15" fillId="0" borderId="3" xfId="6" applyFont="1"/>
    <xf numFmtId="0" fontId="43" fillId="0" borderId="0" xfId="0" applyFont="1"/>
    <xf numFmtId="167" fontId="16" fillId="0" borderId="3" xfId="7" applyNumberFormat="1" applyFont="1" applyAlignment="1">
      <alignment horizontal="right"/>
    </xf>
    <xf numFmtId="167" fontId="0" fillId="0" borderId="0" xfId="0" applyNumberFormat="1"/>
    <xf numFmtId="0" fontId="49" fillId="0" borderId="0" xfId="0" applyFont="1"/>
    <xf numFmtId="167" fontId="25" fillId="18" borderId="3" xfId="7" applyNumberFormat="1" applyFont="1" applyFill="1" applyAlignment="1">
      <alignment horizontal="right"/>
    </xf>
    <xf numFmtId="0" fontId="50" fillId="0" borderId="0" xfId="0" applyFont="1" applyAlignment="1">
      <alignment horizontal="center" vertical="center"/>
    </xf>
    <xf numFmtId="165" fontId="40" fillId="0" borderId="3" xfId="8" applyNumberFormat="1" applyFont="1" applyFill="1" applyBorder="1"/>
    <xf numFmtId="165" fontId="40" fillId="0" borderId="3" xfId="8" applyNumberFormat="1" applyFont="1" applyBorder="1"/>
    <xf numFmtId="0" fontId="52" fillId="0" borderId="19" xfId="0" applyFont="1" applyBorder="1"/>
    <xf numFmtId="167" fontId="16" fillId="0" borderId="20" xfId="7" applyNumberFormat="1" applyFont="1" applyBorder="1" applyAlignment="1">
      <alignment horizontal="right"/>
    </xf>
    <xf numFmtId="165" fontId="39" fillId="0" borderId="21" xfId="8" applyNumberFormat="1" applyFont="1" applyBorder="1"/>
    <xf numFmtId="167" fontId="25" fillId="0" borderId="3" xfId="7" applyNumberFormat="1" applyFont="1" applyAlignment="1">
      <alignment horizontal="right"/>
    </xf>
    <xf numFmtId="0" fontId="49" fillId="0" borderId="25" xfId="0" applyFont="1" applyBorder="1"/>
    <xf numFmtId="165" fontId="40" fillId="0" borderId="26" xfId="8" applyNumberFormat="1" applyFont="1" applyBorder="1"/>
    <xf numFmtId="0" fontId="52" fillId="0" borderId="25" xfId="0" applyFont="1" applyBorder="1"/>
    <xf numFmtId="165" fontId="39" fillId="0" borderId="26" xfId="8" applyNumberFormat="1" applyFont="1" applyBorder="1"/>
    <xf numFmtId="0" fontId="52" fillId="0" borderId="27" xfId="0" applyFont="1" applyBorder="1"/>
    <xf numFmtId="167" fontId="16" fillId="0" borderId="28" xfId="7" applyNumberFormat="1" applyFont="1" applyBorder="1" applyAlignment="1">
      <alignment horizontal="right"/>
    </xf>
    <xf numFmtId="165" fontId="39" fillId="0" borderId="29" xfId="8" applyNumberFormat="1" applyFont="1" applyBorder="1"/>
    <xf numFmtId="167" fontId="53" fillId="0" borderId="3" xfId="7" applyNumberFormat="1" applyFont="1" applyAlignment="1">
      <alignment horizontal="right"/>
    </xf>
    <xf numFmtId="0" fontId="46" fillId="0" borderId="0" xfId="0" applyFont="1"/>
    <xf numFmtId="0" fontId="54" fillId="0" borderId="19" xfId="0" applyFont="1" applyBorder="1"/>
    <xf numFmtId="0" fontId="55" fillId="0" borderId="21" xfId="0" applyFont="1" applyBorder="1" applyAlignment="1">
      <alignment horizontal="center" vertical="center"/>
    </xf>
    <xf numFmtId="0" fontId="43" fillId="19" borderId="21" xfId="0" applyFont="1" applyFill="1" applyBorder="1" applyAlignment="1">
      <alignment horizontal="center"/>
    </xf>
    <xf numFmtId="0" fontId="58" fillId="0" borderId="3" xfId="3" applyFont="1"/>
    <xf numFmtId="0" fontId="47" fillId="0" borderId="30" xfId="3" applyFont="1" applyBorder="1" applyAlignment="1">
      <alignment horizontal="center"/>
    </xf>
    <xf numFmtId="0" fontId="47" fillId="0" borderId="3" xfId="3" applyFont="1"/>
    <xf numFmtId="41" fontId="47" fillId="0" borderId="3" xfId="3" applyNumberFormat="1" applyFont="1"/>
    <xf numFmtId="41" fontId="58" fillId="0" borderId="3" xfId="3" applyNumberFormat="1" applyFont="1"/>
    <xf numFmtId="41" fontId="58" fillId="0" borderId="30" xfId="3" applyNumberFormat="1" applyFont="1" applyBorder="1"/>
    <xf numFmtId="165" fontId="58" fillId="0" borderId="30" xfId="3" applyNumberFormat="1" applyFont="1" applyBorder="1"/>
    <xf numFmtId="0" fontId="47" fillId="0" borderId="31" xfId="3" applyFont="1" applyBorder="1" applyAlignment="1">
      <alignment horizontal="center"/>
    </xf>
    <xf numFmtId="0" fontId="47" fillId="0" borderId="30" xfId="3" applyFont="1" applyBorder="1"/>
    <xf numFmtId="0" fontId="47" fillId="0" borderId="32" xfId="3" applyFont="1" applyBorder="1"/>
    <xf numFmtId="41" fontId="47" fillId="0" borderId="32" xfId="3" applyNumberFormat="1" applyFont="1" applyBorder="1"/>
    <xf numFmtId="0" fontId="58" fillId="0" borderId="31" xfId="3" applyFont="1" applyBorder="1"/>
    <xf numFmtId="0" fontId="47" fillId="0" borderId="3" xfId="3" applyFont="1" applyAlignment="1">
      <alignment horizontal="center"/>
    </xf>
    <xf numFmtId="0" fontId="58" fillId="0" borderId="30" xfId="3" applyFont="1" applyBorder="1"/>
    <xf numFmtId="167" fontId="29" fillId="0" borderId="0" xfId="0" applyNumberFormat="1" applyFont="1" applyAlignment="1">
      <alignment horizontal="center" vertical="center"/>
    </xf>
    <xf numFmtId="175" fontId="29" fillId="0" borderId="0" xfId="13" applyNumberFormat="1" applyFont="1" applyAlignment="1">
      <alignment horizontal="center" vertical="center"/>
    </xf>
    <xf numFmtId="175" fontId="29" fillId="0" borderId="0" xfId="0" applyNumberFormat="1" applyFont="1" applyAlignment="1">
      <alignment horizontal="center" vertical="center"/>
    </xf>
    <xf numFmtId="175" fontId="11" fillId="0" borderId="0" xfId="13" applyNumberFormat="1" applyFont="1" applyAlignment="1">
      <alignment horizontal="center" vertical="center"/>
    </xf>
    <xf numFmtId="43" fontId="29" fillId="0" borderId="0" xfId="13" applyFont="1" applyAlignment="1">
      <alignment horizontal="center" vertical="center"/>
    </xf>
    <xf numFmtId="0" fontId="0" fillId="0" borderId="0" xfId="0" applyFont="1" applyAlignment="1"/>
    <xf numFmtId="0" fontId="25" fillId="0" borderId="3" xfId="14" applyFont="1" applyFill="1"/>
    <xf numFmtId="0" fontId="16" fillId="0" borderId="3" xfId="14" applyFont="1" applyFill="1" applyAlignment="1">
      <alignment horizontal="center"/>
    </xf>
    <xf numFmtId="0" fontId="16" fillId="0" borderId="3" xfId="14" applyFont="1" applyFill="1" applyBorder="1" applyAlignment="1">
      <alignment horizontal="center"/>
    </xf>
    <xf numFmtId="0" fontId="25" fillId="0" borderId="3" xfId="14" applyFont="1" applyFill="1" applyBorder="1"/>
    <xf numFmtId="0" fontId="16" fillId="0" borderId="3" xfId="14" applyFont="1" applyFill="1" applyAlignment="1">
      <alignment horizontal="center" vertical="center" wrapText="1"/>
    </xf>
    <xf numFmtId="0" fontId="54" fillId="0" borderId="3" xfId="15" applyNumberFormat="1" applyFont="1" applyFill="1" applyBorder="1" applyAlignment="1">
      <alignment horizontal="center" vertical="center" wrapText="1"/>
    </xf>
    <xf numFmtId="0" fontId="60" fillId="0" borderId="3" xfId="14" applyFont="1" applyFill="1" applyAlignment="1">
      <alignment horizontal="center"/>
    </xf>
    <xf numFmtId="0" fontId="60" fillId="0" borderId="3" xfId="14" applyFont="1" applyFill="1" applyBorder="1" applyAlignment="1">
      <alignment horizontal="center"/>
    </xf>
    <xf numFmtId="177" fontId="25" fillId="0" borderId="3" xfId="14" applyNumberFormat="1" applyFont="1" applyFill="1"/>
    <xf numFmtId="177" fontId="25" fillId="0" borderId="3" xfId="14" applyNumberFormat="1" applyFont="1" applyFill="1" applyBorder="1"/>
    <xf numFmtId="165" fontId="25" fillId="0" borderId="3" xfId="15" applyNumberFormat="1" applyFont="1" applyFill="1" applyBorder="1"/>
    <xf numFmtId="0" fontId="16" fillId="0" borderId="3" xfId="14" quotePrefix="1" applyFont="1" applyFill="1" applyBorder="1" applyAlignment="1">
      <alignment horizontal="left"/>
    </xf>
    <xf numFmtId="0" fontId="16" fillId="0" borderId="3" xfId="14" applyFont="1" applyFill="1"/>
    <xf numFmtId="165" fontId="16" fillId="0" borderId="33" xfId="15" applyNumberFormat="1" applyFont="1" applyFill="1" applyBorder="1"/>
    <xf numFmtId="165" fontId="16" fillId="0" borderId="3" xfId="15" applyNumberFormat="1" applyFont="1" applyFill="1" applyBorder="1"/>
    <xf numFmtId="177" fontId="16" fillId="0" borderId="3" xfId="14" applyNumberFormat="1" applyFont="1" applyFill="1" applyBorder="1"/>
    <xf numFmtId="165" fontId="25" fillId="0" borderId="3" xfId="15" applyNumberFormat="1" applyFont="1" applyFill="1"/>
    <xf numFmtId="0" fontId="25" fillId="0" borderId="3" xfId="14" quotePrefix="1" applyFont="1" applyFill="1" applyBorder="1" applyAlignment="1">
      <alignment horizontal="left"/>
    </xf>
    <xf numFmtId="0" fontId="25" fillId="0" borderId="3" xfId="14" applyFont="1" applyFill="1" applyAlignment="1">
      <alignment horizontal="left"/>
    </xf>
    <xf numFmtId="0" fontId="25" fillId="0" borderId="3" xfId="14" quotePrefix="1" applyFont="1" applyFill="1" applyAlignment="1">
      <alignment horizontal="left"/>
    </xf>
    <xf numFmtId="165" fontId="25" fillId="0" borderId="3" xfId="14" applyNumberFormat="1" applyFont="1" applyFill="1"/>
    <xf numFmtId="178" fontId="49" fillId="0" borderId="0" xfId="0" applyNumberFormat="1" applyFont="1"/>
    <xf numFmtId="0" fontId="52" fillId="0" borderId="40" xfId="0" applyFont="1" applyBorder="1"/>
    <xf numFmtId="0" fontId="52" fillId="0" borderId="41" xfId="0" applyFont="1" applyBorder="1" applyAlignment="1">
      <alignment horizontal="center"/>
    </xf>
    <xf numFmtId="37" fontId="52" fillId="0" borderId="42" xfId="0" applyNumberFormat="1" applyFont="1" applyBorder="1"/>
    <xf numFmtId="0" fontId="52" fillId="0" borderId="12" xfId="0" applyFont="1" applyBorder="1" applyAlignment="1">
      <alignment horizontal="left" vertical="center"/>
    </xf>
    <xf numFmtId="0" fontId="49" fillId="0" borderId="0" xfId="0" applyFont="1" applyAlignment="1">
      <alignment horizontal="center"/>
    </xf>
    <xf numFmtId="37" fontId="49" fillId="0" borderId="13" xfId="0" applyNumberFormat="1" applyFont="1" applyBorder="1"/>
    <xf numFmtId="0" fontId="52" fillId="0" borderId="43" xfId="0" applyFont="1" applyBorder="1" applyAlignment="1">
      <alignment horizontal="left" vertical="center"/>
    </xf>
    <xf numFmtId="0" fontId="52" fillId="0" borderId="5" xfId="0" applyFont="1" applyBorder="1" applyAlignment="1">
      <alignment horizontal="center" vertical="center"/>
    </xf>
    <xf numFmtId="177" fontId="52" fillId="0" borderId="44" xfId="0" applyNumberFormat="1" applyFont="1" applyBorder="1" applyAlignment="1">
      <alignment horizontal="right" vertical="center"/>
    </xf>
    <xf numFmtId="0" fontId="49" fillId="0" borderId="12" xfId="0" applyFont="1" applyBorder="1" applyAlignment="1">
      <alignment horizontal="left" vertical="center"/>
    </xf>
    <xf numFmtId="37" fontId="49" fillId="0" borderId="13" xfId="0" applyNumberFormat="1" applyFont="1" applyBorder="1" applyAlignment="1">
      <alignment horizontal="right" vertical="center"/>
    </xf>
    <xf numFmtId="165" fontId="49" fillId="0" borderId="13" xfId="0" applyNumberFormat="1" applyFont="1" applyBorder="1"/>
    <xf numFmtId="0" fontId="49" fillId="0" borderId="12" xfId="0" applyFont="1" applyBorder="1"/>
    <xf numFmtId="0" fontId="52" fillId="0" borderId="0" xfId="0" applyFont="1" applyAlignment="1">
      <alignment horizontal="center"/>
    </xf>
    <xf numFmtId="0" fontId="52" fillId="0" borderId="45" xfId="0" applyFont="1" applyBorder="1" applyAlignment="1">
      <alignment vertical="center"/>
    </xf>
    <xf numFmtId="0" fontId="52" fillId="0" borderId="46" xfId="0" applyFont="1" applyBorder="1" applyAlignment="1">
      <alignment horizontal="center"/>
    </xf>
    <xf numFmtId="177" fontId="52" fillId="0" borderId="47" xfId="0" applyNumberFormat="1" applyFont="1" applyBorder="1"/>
    <xf numFmtId="0" fontId="52" fillId="0" borderId="45" xfId="0" applyFont="1" applyBorder="1" applyAlignment="1">
      <alignment horizontal="left" vertical="center"/>
    </xf>
    <xf numFmtId="37" fontId="52" fillId="0" borderId="13" xfId="0" applyNumberFormat="1" applyFont="1" applyBorder="1"/>
    <xf numFmtId="37" fontId="52" fillId="0" borderId="47" xfId="0" applyNumberFormat="1" applyFont="1" applyBorder="1"/>
    <xf numFmtId="0" fontId="52" fillId="0" borderId="37" xfId="0" applyFont="1" applyBorder="1" applyAlignment="1">
      <alignment horizontal="left" vertical="center"/>
    </xf>
    <xf numFmtId="0" fontId="49" fillId="0" borderId="38" xfId="0" applyFont="1" applyBorder="1" applyAlignment="1">
      <alignment horizontal="left" vertical="center"/>
    </xf>
    <xf numFmtId="178" fontId="49" fillId="0" borderId="0" xfId="0" applyNumberFormat="1" applyFont="1" applyAlignment="1">
      <alignment horizontal="left" vertical="center"/>
    </xf>
    <xf numFmtId="37" fontId="49" fillId="0" borderId="0" xfId="0" applyNumberFormat="1" applyFont="1" applyAlignment="1">
      <alignment horizontal="left" vertical="center"/>
    </xf>
    <xf numFmtId="0" fontId="49" fillId="0" borderId="0" xfId="0" applyFont="1" applyAlignment="1">
      <alignment horizontal="left" vertical="center"/>
    </xf>
    <xf numFmtId="0" fontId="52" fillId="0" borderId="12" xfId="0" applyFont="1" applyBorder="1"/>
    <xf numFmtId="177" fontId="52" fillId="0" borderId="39" xfId="0" applyNumberFormat="1" applyFont="1" applyBorder="1" applyAlignment="1">
      <alignment horizontal="right" vertical="center"/>
    </xf>
    <xf numFmtId="175" fontId="49" fillId="0" borderId="0" xfId="13" applyNumberFormat="1" applyFont="1" applyAlignment="1">
      <alignment horizontal="left" vertical="center"/>
    </xf>
    <xf numFmtId="0" fontId="52" fillId="0" borderId="3" xfId="0" applyFont="1" applyBorder="1" applyAlignment="1">
      <alignment horizontal="left" vertical="center"/>
    </xf>
    <xf numFmtId="0" fontId="49" fillId="0" borderId="3" xfId="0" applyFont="1" applyBorder="1" applyAlignment="1">
      <alignment horizontal="left" vertical="center"/>
    </xf>
    <xf numFmtId="37" fontId="52" fillId="0" borderId="3" xfId="0" applyNumberFormat="1" applyFont="1" applyBorder="1" applyAlignment="1">
      <alignment horizontal="right" vertical="center"/>
    </xf>
    <xf numFmtId="37" fontId="49" fillId="0" borderId="0" xfId="0" applyNumberFormat="1" applyFont="1"/>
    <xf numFmtId="0" fontId="54" fillId="0" borderId="0" xfId="0" applyFont="1"/>
    <xf numFmtId="0" fontId="54" fillId="0" borderId="0" xfId="0" applyFont="1" applyAlignment="1">
      <alignment horizontal="left"/>
    </xf>
    <xf numFmtId="0" fontId="50" fillId="0" borderId="0" xfId="0" applyFont="1" applyAlignment="1">
      <alignment horizontal="left"/>
    </xf>
    <xf numFmtId="0" fontId="50" fillId="0" borderId="0" xfId="0" applyFont="1"/>
    <xf numFmtId="177" fontId="47" fillId="0" borderId="3" xfId="3" applyNumberFormat="1" applyFont="1"/>
    <xf numFmtId="177" fontId="58" fillId="0" borderId="3" xfId="3" applyNumberFormat="1" applyFont="1"/>
    <xf numFmtId="177" fontId="58" fillId="0" borderId="31" xfId="3" applyNumberFormat="1" applyFont="1" applyBorder="1"/>
    <xf numFmtId="179" fontId="44" fillId="17" borderId="17" xfId="0" applyNumberFormat="1" applyFont="1" applyFill="1" applyBorder="1" applyAlignment="1">
      <alignment horizontal="right"/>
    </xf>
    <xf numFmtId="179" fontId="45" fillId="0" borderId="17" xfId="0" applyNumberFormat="1" applyFont="1" applyBorder="1" applyAlignment="1">
      <alignment horizontal="right"/>
    </xf>
    <xf numFmtId="49" fontId="44" fillId="17" borderId="17" xfId="0" applyNumberFormat="1" applyFont="1" applyFill="1" applyBorder="1"/>
    <xf numFmtId="0" fontId="45" fillId="0" borderId="17" xfId="0" applyFont="1" applyBorder="1"/>
    <xf numFmtId="49" fontId="45" fillId="0" borderId="17" xfId="0" applyNumberFormat="1" applyFont="1" applyBorder="1"/>
    <xf numFmtId="179" fontId="45" fillId="0" borderId="3" xfId="0" applyNumberFormat="1" applyFont="1" applyFill="1" applyBorder="1" applyAlignment="1">
      <alignment horizontal="right"/>
    </xf>
    <xf numFmtId="0" fontId="0" fillId="19" borderId="0" xfId="0" applyFont="1" applyFill="1"/>
    <xf numFmtId="0" fontId="0" fillId="0" borderId="0" xfId="0" applyFont="1" applyAlignment="1"/>
    <xf numFmtId="0" fontId="25" fillId="0" borderId="0" xfId="0" applyFont="1" applyAlignment="1">
      <alignment horizontal="center"/>
    </xf>
    <xf numFmtId="0" fontId="25" fillId="0" borderId="0" xfId="0" applyFont="1"/>
    <xf numFmtId="0" fontId="62" fillId="0" borderId="0" xfId="0" applyFont="1"/>
    <xf numFmtId="0" fontId="63" fillId="0" borderId="0" xfId="0" applyFont="1" applyAlignment="1">
      <alignment horizontal="center"/>
    </xf>
    <xf numFmtId="0" fontId="63" fillId="0" borderId="0" xfId="0" applyFont="1"/>
    <xf numFmtId="0" fontId="25" fillId="0" borderId="30" xfId="0" applyFont="1" applyBorder="1" applyAlignment="1">
      <alignment horizontal="center" vertical="center"/>
    </xf>
    <xf numFmtId="0" fontId="16" fillId="0" borderId="30" xfId="0" applyFont="1" applyBorder="1" applyAlignment="1">
      <alignment vertical="center"/>
    </xf>
    <xf numFmtId="9" fontId="16" fillId="0" borderId="30" xfId="0" applyNumberFormat="1" applyFont="1" applyBorder="1" applyAlignment="1">
      <alignment vertical="center"/>
    </xf>
    <xf numFmtId="1" fontId="25" fillId="0" borderId="0" xfId="0" applyNumberFormat="1" applyFont="1"/>
    <xf numFmtId="0" fontId="0" fillId="0" borderId="0" xfId="0" applyFont="1" applyAlignment="1"/>
    <xf numFmtId="0" fontId="58" fillId="0" borderId="3" xfId="3" applyFont="1" applyBorder="1"/>
    <xf numFmtId="41" fontId="58" fillId="0" borderId="3" xfId="3" applyNumberFormat="1" applyFont="1" applyBorder="1"/>
    <xf numFmtId="175" fontId="43" fillId="0" borderId="48" xfId="13" applyNumberFormat="1" applyFont="1" applyBorder="1"/>
    <xf numFmtId="175" fontId="0" fillId="0" borderId="48" xfId="13" applyNumberFormat="1" applyFont="1" applyBorder="1"/>
    <xf numFmtId="0" fontId="10" fillId="0" borderId="0" xfId="0" applyFont="1" applyAlignment="1">
      <alignment horizontal="left"/>
    </xf>
    <xf numFmtId="0" fontId="0" fillId="0" borderId="0" xfId="0" applyFont="1" applyAlignment="1"/>
    <xf numFmtId="165" fontId="31" fillId="0" borderId="6" xfId="0" applyNumberFormat="1" applyFont="1" applyBorder="1" applyAlignment="1">
      <alignment horizontal="center"/>
    </xf>
    <xf numFmtId="0" fontId="32" fillId="0" borderId="7" xfId="0" applyFont="1" applyBorder="1"/>
    <xf numFmtId="165" fontId="25" fillId="0" borderId="0" xfId="0" applyNumberFormat="1" applyFont="1" applyAlignment="1">
      <alignment horizontal="center"/>
    </xf>
    <xf numFmtId="0" fontId="13" fillId="0" borderId="0" xfId="0" applyFont="1" applyAlignment="1">
      <alignment horizontal="center"/>
    </xf>
    <xf numFmtId="0" fontId="15" fillId="0" borderId="0" xfId="0" applyFont="1" applyAlignment="1">
      <alignment horizontal="center"/>
    </xf>
    <xf numFmtId="166" fontId="25" fillId="0" borderId="0" xfId="0" applyNumberFormat="1" applyFont="1" applyAlignment="1">
      <alignment horizontal="left" wrapText="1"/>
    </xf>
    <xf numFmtId="165" fontId="16" fillId="0" borderId="0" xfId="0" applyNumberFormat="1" applyFont="1" applyAlignment="1">
      <alignment horizontal="center"/>
    </xf>
    <xf numFmtId="9" fontId="16" fillId="0" borderId="2" xfId="0" applyNumberFormat="1" applyFont="1" applyBorder="1" applyAlignment="1">
      <alignment horizontal="center" vertical="center"/>
    </xf>
    <xf numFmtId="0" fontId="32" fillId="0" borderId="2" xfId="0" applyFont="1" applyBorder="1"/>
    <xf numFmtId="0" fontId="30" fillId="0" borderId="0" xfId="0" applyFont="1" applyAlignment="1">
      <alignment horizontal="center" vertical="center"/>
    </xf>
    <xf numFmtId="0" fontId="11" fillId="0" borderId="0" xfId="0" applyFont="1" applyAlignment="1">
      <alignment horizontal="center" vertical="center"/>
    </xf>
    <xf numFmtId="0" fontId="16" fillId="0" borderId="3" xfId="0" applyFont="1" applyBorder="1" applyAlignment="1">
      <alignment horizontal="center" vertical="center"/>
    </xf>
    <xf numFmtId="0" fontId="27" fillId="0" borderId="3" xfId="0" applyFont="1" applyBorder="1" applyAlignment="1"/>
    <xf numFmtId="0" fontId="16" fillId="0" borderId="0" xfId="0" applyFont="1" applyAlignment="1">
      <alignment horizontal="center" vertical="center"/>
    </xf>
    <xf numFmtId="0" fontId="27" fillId="0" borderId="0" xfId="0" applyFont="1" applyAlignment="1"/>
    <xf numFmtId="0" fontId="16" fillId="0" borderId="2" xfId="0" applyFont="1" applyBorder="1" applyAlignment="1">
      <alignment horizontal="center"/>
    </xf>
    <xf numFmtId="0" fontId="25" fillId="0" borderId="0" xfId="0" applyFont="1"/>
    <xf numFmtId="0" fontId="16" fillId="0" borderId="11" xfId="0" applyFont="1" applyBorder="1" applyAlignment="1">
      <alignment horizontal="center"/>
    </xf>
    <xf numFmtId="0" fontId="27" fillId="0" borderId="11" xfId="0" applyFont="1" applyBorder="1"/>
    <xf numFmtId="0" fontId="25" fillId="0" borderId="0" xfId="0" applyFont="1" applyAlignment="1">
      <alignment horizontal="center"/>
    </xf>
    <xf numFmtId="37" fontId="49" fillId="0" borderId="0" xfId="0" applyNumberFormat="1" applyFont="1" applyAlignment="1">
      <alignment horizontal="center"/>
    </xf>
    <xf numFmtId="0" fontId="61" fillId="0" borderId="34" xfId="0" applyFont="1" applyBorder="1" applyAlignment="1">
      <alignment horizontal="center"/>
    </xf>
    <xf numFmtId="0" fontId="27" fillId="0" borderId="35" xfId="0" applyFont="1" applyBorder="1"/>
    <xf numFmtId="0" fontId="27" fillId="0" borderId="36" xfId="0" applyFont="1" applyBorder="1"/>
    <xf numFmtId="0" fontId="61" fillId="0" borderId="12" xfId="0" applyFont="1" applyBorder="1" applyAlignment="1">
      <alignment horizontal="center"/>
    </xf>
    <xf numFmtId="0" fontId="27" fillId="0" borderId="13" xfId="0" applyFont="1" applyBorder="1"/>
    <xf numFmtId="0" fontId="52" fillId="0" borderId="12" xfId="0" applyFont="1" applyBorder="1" applyAlignment="1">
      <alignment horizontal="center"/>
    </xf>
    <xf numFmtId="0" fontId="61" fillId="0" borderId="37" xfId="0" applyFont="1" applyBorder="1" applyAlignment="1">
      <alignment horizontal="center"/>
    </xf>
    <xf numFmtId="0" fontId="27" fillId="0" borderId="38" xfId="0" applyFont="1" applyBorder="1"/>
    <xf numFmtId="0" fontId="27" fillId="0" borderId="39" xfId="0" applyFont="1" applyBorder="1"/>
    <xf numFmtId="0" fontId="16" fillId="0" borderId="3" xfId="14" applyFont="1" applyFill="1" applyAlignment="1">
      <alignment horizontal="center"/>
    </xf>
    <xf numFmtId="0" fontId="16" fillId="0" borderId="3" xfId="14" applyFont="1" applyFill="1" applyAlignment="1">
      <alignment horizontal="center" vertical="center" wrapText="1"/>
    </xf>
    <xf numFmtId="0" fontId="38" fillId="0" borderId="0" xfId="0" applyFont="1" applyAlignment="1">
      <alignment horizontal="center"/>
    </xf>
    <xf numFmtId="49" fontId="43" fillId="0" borderId="0" xfId="0" applyNumberFormat="1" applyFont="1" applyAlignment="1">
      <alignment horizontal="center" vertical="center" shrinkToFit="1"/>
    </xf>
    <xf numFmtId="0" fontId="0" fillId="0" borderId="0" xfId="0"/>
    <xf numFmtId="49" fontId="43" fillId="0" borderId="16" xfId="0" applyNumberFormat="1" applyFont="1" applyBorder="1" applyAlignment="1">
      <alignment horizontal="center" vertical="center" shrinkToFit="1"/>
    </xf>
    <xf numFmtId="0" fontId="0" fillId="0" borderId="16" xfId="0" applyBorder="1"/>
    <xf numFmtId="0" fontId="43" fillId="19" borderId="19" xfId="0" applyFont="1" applyFill="1" applyBorder="1" applyAlignment="1">
      <alignment horizontal="center"/>
    </xf>
    <xf numFmtId="0" fontId="43" fillId="19" borderId="21" xfId="0" applyFont="1" applyFill="1" applyBorder="1" applyAlignment="1">
      <alignment horizontal="center"/>
    </xf>
    <xf numFmtId="0" fontId="47" fillId="0" borderId="0" xfId="0" applyFont="1" applyAlignment="1">
      <alignment horizontal="center"/>
    </xf>
    <xf numFmtId="0" fontId="15" fillId="0" borderId="3" xfId="6" applyFont="1" applyAlignment="1">
      <alignment horizontal="center"/>
    </xf>
    <xf numFmtId="0" fontId="52" fillId="0" borderId="22" xfId="0"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175" fontId="43" fillId="0" borderId="48" xfId="13" applyNumberFormat="1" applyFont="1" applyBorder="1" applyAlignment="1">
      <alignment horizontal="center"/>
    </xf>
  </cellXfs>
  <cellStyles count="18">
    <cellStyle name="Millares" xfId="13" builtinId="3"/>
    <cellStyle name="Millares 3 3" xfId="15" xr:uid="{00000000-0005-0000-0000-000001000000}"/>
    <cellStyle name="Millares_Balance B &amp; B Mar-2003" xfId="8" xr:uid="{00000000-0005-0000-0000-000002000000}"/>
    <cellStyle name="Normal" xfId="0" builtinId="0"/>
    <cellStyle name="Normal - Style1 4" xfId="6" xr:uid="{00000000-0005-0000-0000-000004000000}"/>
    <cellStyle name="Normal 10" xfId="12" xr:uid="{00000000-0005-0000-0000-000005000000}"/>
    <cellStyle name="Normal 11" xfId="16" xr:uid="{5E69292C-F504-45DF-B8EF-13C2902D4781}"/>
    <cellStyle name="Normal 12" xfId="17" xr:uid="{D8CADA55-4375-411F-B04F-1055BFD11783}"/>
    <cellStyle name="Normal 2" xfId="1" xr:uid="{00000000-0005-0000-0000-000006000000}"/>
    <cellStyle name="Normal 2 2" xfId="14" xr:uid="{00000000-0005-0000-0000-000007000000}"/>
    <cellStyle name="Normal 3" xfId="2" xr:uid="{00000000-0005-0000-0000-000008000000}"/>
    <cellStyle name="Normal 4" xfId="3" xr:uid="{00000000-0005-0000-0000-000009000000}"/>
    <cellStyle name="Normal 5" xfId="4" xr:uid="{00000000-0005-0000-0000-00000A000000}"/>
    <cellStyle name="Normal 6" xfId="5" xr:uid="{00000000-0005-0000-0000-00000B000000}"/>
    <cellStyle name="Normal 7" xfId="9" xr:uid="{00000000-0005-0000-0000-00000C000000}"/>
    <cellStyle name="Normal 8" xfId="10" xr:uid="{00000000-0005-0000-0000-00000D000000}"/>
    <cellStyle name="Normal 9" xfId="11" xr:uid="{00000000-0005-0000-0000-00000E000000}"/>
    <cellStyle name="Normal_B&amp;B93 2" xfId="7"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25.74.209.98\archivos%20bases\USUARIOS\REMOTO1\Desktop\ECP%20-%20EFE%20SILLA%203%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heetName val="E.R.I.MES"/>
      <sheetName val="ESF=BALANCE"/>
      <sheetName val="EFE"/>
      <sheetName val="ECP"/>
      <sheetName val="E.R.I.ACUMULADO"/>
      <sheetName val="INDICADORES"/>
      <sheetName val="BCE 2019"/>
      <sheetName val="BCE 2018"/>
      <sheetName val="PROVISION RENTA"/>
      <sheetName val="CALCULO IMPORENTA 2019"/>
      <sheetName val="AMORT 2019"/>
      <sheetName val="DEP NIIF"/>
      <sheetName val="NOTAS"/>
    </sheetNames>
    <sheetDataSet>
      <sheetData sheetId="0">
        <row r="12">
          <cell r="H12" t="str">
            <v>Diego Botero Jaramillo</v>
          </cell>
        </row>
        <row r="13">
          <cell r="H13" t="str">
            <v>C.C 71.787.709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showGridLines="0" workbookViewId="0">
      <pane xSplit="2" ySplit="4" topLeftCell="C74" activePane="bottomRight" state="frozen"/>
      <selection pane="topRight" activeCell="C1" sqref="C1"/>
      <selection pane="bottomLeft" activeCell="A5" sqref="A5"/>
      <selection pane="bottomRight" activeCell="B58" sqref="B58"/>
    </sheetView>
  </sheetViews>
  <sheetFormatPr baseColWidth="10" defaultColWidth="14.42578125" defaultRowHeight="15" customHeight="1" outlineLevelCol="1" x14ac:dyDescent="0.25"/>
  <cols>
    <col min="1" max="1" width="16.5703125" customWidth="1" outlineLevel="1"/>
    <col min="2" max="2" width="47.85546875" customWidth="1"/>
    <col min="3" max="3" width="15.42578125" customWidth="1"/>
    <col min="4" max="4" width="14" customWidth="1"/>
    <col min="5" max="5" width="11.28515625" bestFit="1" customWidth="1"/>
    <col min="6" max="6" width="11.42578125" customWidth="1"/>
    <col min="7" max="7" width="20.7109375" customWidth="1"/>
    <col min="8" max="8" width="31.5703125" customWidth="1"/>
    <col min="9" max="26" width="10.7109375" customWidth="1"/>
  </cols>
  <sheetData>
    <row r="1" spans="1:26" x14ac:dyDescent="0.25">
      <c r="A1" s="399" t="s">
        <v>0</v>
      </c>
      <c r="B1" s="400"/>
      <c r="C1" s="400"/>
      <c r="D1" s="2"/>
      <c r="E1" s="2"/>
      <c r="F1" s="2"/>
      <c r="G1" s="2"/>
      <c r="H1" s="2"/>
      <c r="I1" s="2"/>
      <c r="J1" s="2"/>
      <c r="K1" s="2"/>
      <c r="L1" s="2"/>
      <c r="M1" s="2"/>
      <c r="N1" s="2"/>
      <c r="O1" s="2"/>
      <c r="P1" s="2"/>
      <c r="Q1" s="2"/>
      <c r="R1" s="2"/>
      <c r="S1" s="2"/>
      <c r="T1" s="2"/>
      <c r="U1" s="2"/>
      <c r="V1" s="2"/>
      <c r="W1" s="2"/>
      <c r="X1" s="2"/>
      <c r="Y1" s="2"/>
      <c r="Z1" s="2"/>
    </row>
    <row r="2" spans="1:26" x14ac:dyDescent="0.25">
      <c r="A2" s="4"/>
      <c r="B2" s="4"/>
      <c r="C2" s="4"/>
      <c r="D2" s="2"/>
      <c r="E2" s="2"/>
      <c r="F2" s="2"/>
      <c r="G2" s="2"/>
      <c r="H2" s="2"/>
      <c r="I2" s="2"/>
      <c r="J2" s="2"/>
      <c r="K2" s="2"/>
      <c r="L2" s="2"/>
      <c r="M2" s="2"/>
      <c r="N2" s="2"/>
      <c r="O2" s="2"/>
      <c r="P2" s="2"/>
      <c r="Q2" s="2"/>
      <c r="R2" s="2"/>
      <c r="S2" s="2"/>
      <c r="T2" s="2"/>
      <c r="U2" s="2"/>
      <c r="V2" s="2"/>
      <c r="W2" s="2"/>
      <c r="X2" s="2"/>
      <c r="Y2" s="2"/>
      <c r="Z2" s="2"/>
    </row>
    <row r="3" spans="1:26" ht="22.5" x14ac:dyDescent="0.25">
      <c r="A3" s="6" t="s">
        <v>1</v>
      </c>
      <c r="B3" s="8"/>
      <c r="C3" s="9">
        <v>2025</v>
      </c>
      <c r="D3" s="2"/>
      <c r="E3" s="10">
        <v>2024</v>
      </c>
      <c r="F3" s="2"/>
      <c r="G3" s="2"/>
      <c r="H3" s="2"/>
      <c r="I3" s="2"/>
      <c r="J3" s="2"/>
      <c r="K3" s="2"/>
      <c r="L3" s="2"/>
      <c r="M3" s="2"/>
      <c r="N3" s="2"/>
      <c r="O3" s="2"/>
      <c r="P3" s="2"/>
      <c r="Q3" s="2"/>
      <c r="R3" s="2"/>
      <c r="S3" s="2"/>
      <c r="T3" s="2"/>
      <c r="U3" s="2"/>
      <c r="V3" s="2"/>
      <c r="W3" s="2"/>
      <c r="X3" s="2"/>
      <c r="Y3" s="2"/>
      <c r="Z3" s="2"/>
    </row>
    <row r="4" spans="1:26" x14ac:dyDescent="0.25">
      <c r="A4" s="239">
        <v>1</v>
      </c>
      <c r="B4" s="11" t="s">
        <v>4</v>
      </c>
      <c r="C4" s="12">
        <f>+C5+C10+C18+C25+C37+C39+C41</f>
        <v>2353833.4364499999</v>
      </c>
      <c r="D4" s="13"/>
      <c r="E4" s="12">
        <f>+E5+E10+E18+E25+E37+E39+E41</f>
        <v>2947382.2560500009</v>
      </c>
      <c r="F4" s="13"/>
      <c r="G4" s="13"/>
      <c r="H4" s="13"/>
      <c r="I4" s="13"/>
      <c r="J4" s="13"/>
      <c r="K4" s="13"/>
      <c r="L4" s="13"/>
      <c r="M4" s="13"/>
      <c r="N4" s="13"/>
      <c r="O4" s="13"/>
      <c r="P4" s="13"/>
      <c r="Q4" s="13"/>
      <c r="R4" s="13"/>
      <c r="S4" s="13"/>
      <c r="T4" s="13"/>
      <c r="U4" s="13"/>
      <c r="V4" s="13"/>
      <c r="W4" s="13"/>
      <c r="X4" s="13"/>
      <c r="Y4" s="13"/>
      <c r="Z4" s="13"/>
    </row>
    <row r="5" spans="1:26" x14ac:dyDescent="0.25">
      <c r="A5" s="239">
        <v>11</v>
      </c>
      <c r="B5" s="11" t="s">
        <v>6</v>
      </c>
      <c r="C5" s="12">
        <f>SUM(C6:C9)</f>
        <v>139451.12803999989</v>
      </c>
      <c r="D5" s="13"/>
      <c r="E5" s="12">
        <f>SUM(E6:E9)</f>
        <v>316343.35664000025</v>
      </c>
      <c r="F5" s="13"/>
      <c r="G5" s="13"/>
      <c r="H5" s="13"/>
      <c r="I5" s="13"/>
      <c r="J5" s="13"/>
      <c r="K5" s="13"/>
      <c r="L5" s="13"/>
      <c r="M5" s="13"/>
      <c r="N5" s="13"/>
      <c r="O5" s="13"/>
      <c r="P5" s="13"/>
      <c r="Q5" s="13"/>
      <c r="R5" s="13"/>
      <c r="S5" s="13"/>
      <c r="T5" s="13"/>
      <c r="U5" s="13"/>
      <c r="V5" s="13"/>
      <c r="W5" s="13"/>
      <c r="X5" s="13"/>
      <c r="Y5" s="13"/>
      <c r="Z5" s="13"/>
    </row>
    <row r="6" spans="1:26" x14ac:dyDescent="0.25">
      <c r="A6" s="240">
        <v>1105</v>
      </c>
      <c r="B6" s="17" t="s">
        <v>7</v>
      </c>
      <c r="C6" s="19">
        <f>+(SUMIF('BCE 2026'!A:A,DATOS!A6,'BCE 2026'!I:I))/1000</f>
        <v>65577.05640999999</v>
      </c>
      <c r="D6" s="2"/>
      <c r="E6" s="19">
        <f>+(SUMIF('BCE 2025'!A:A,DATOS!A6,'BCE 2025'!I:I))/1000</f>
        <v>214238.89168999999</v>
      </c>
      <c r="F6" s="2"/>
      <c r="G6" s="20" t="s">
        <v>9</v>
      </c>
      <c r="H6" s="21" t="s">
        <v>1453</v>
      </c>
      <c r="I6" s="2"/>
      <c r="J6" s="2"/>
      <c r="K6" s="2"/>
      <c r="L6" s="2"/>
      <c r="M6" s="2"/>
      <c r="N6" s="2"/>
      <c r="O6" s="2"/>
      <c r="P6" s="2"/>
      <c r="Q6" s="2"/>
      <c r="R6" s="2"/>
      <c r="S6" s="2"/>
      <c r="T6" s="2"/>
      <c r="U6" s="2"/>
      <c r="V6" s="2"/>
      <c r="W6" s="2"/>
      <c r="X6" s="2"/>
      <c r="Y6" s="2"/>
      <c r="Z6" s="2"/>
    </row>
    <row r="7" spans="1:26" x14ac:dyDescent="0.25">
      <c r="A7" s="240">
        <v>1110</v>
      </c>
      <c r="B7" s="17" t="s">
        <v>10</v>
      </c>
      <c r="C7" s="19">
        <f>+(SUMIF('BCE 2026'!A:A,DATOS!A7,'BCE 2026'!I:I))/1000</f>
        <v>40333.952459999899</v>
      </c>
      <c r="D7" s="2"/>
      <c r="E7" s="19">
        <f>+(SUMIF('BCE 2025'!A:A,DATOS!A7,'BCE 2025'!I:I))/1000</f>
        <v>81215.598660000207</v>
      </c>
      <c r="F7" s="2"/>
      <c r="G7" s="20" t="s">
        <v>11</v>
      </c>
      <c r="H7" s="21" t="s">
        <v>690</v>
      </c>
      <c r="I7" s="2"/>
      <c r="J7" s="2"/>
      <c r="K7" s="2"/>
      <c r="L7" s="2"/>
      <c r="M7" s="2"/>
      <c r="N7" s="2"/>
      <c r="O7" s="2"/>
      <c r="P7" s="2"/>
      <c r="Q7" s="2"/>
      <c r="R7" s="2"/>
      <c r="S7" s="2"/>
      <c r="T7" s="2"/>
      <c r="U7" s="2"/>
      <c r="V7" s="2"/>
      <c r="W7" s="2"/>
      <c r="X7" s="2"/>
      <c r="Y7" s="2"/>
      <c r="Z7" s="2"/>
    </row>
    <row r="8" spans="1:26" x14ac:dyDescent="0.25">
      <c r="A8" s="240">
        <v>1120</v>
      </c>
      <c r="B8" s="17" t="s">
        <v>12</v>
      </c>
      <c r="C8" s="19">
        <f>+(SUMIF('BCE 2026'!A:A,DATOS!A8,'BCE 2026'!I:I))/1000</f>
        <v>0</v>
      </c>
      <c r="D8" s="2"/>
      <c r="E8" s="19">
        <f>+(SUMIF('BCE 2025'!A:A,DATOS!A8,'BCE 2025'!I:I))/1000</f>
        <v>18936.424070000001</v>
      </c>
      <c r="F8" s="2"/>
      <c r="G8" s="20" t="s">
        <v>13</v>
      </c>
      <c r="H8" s="21" t="s">
        <v>1499</v>
      </c>
      <c r="I8" s="2"/>
      <c r="J8" s="2"/>
      <c r="K8" s="2"/>
      <c r="L8" s="2"/>
      <c r="M8" s="2"/>
      <c r="N8" s="2"/>
      <c r="O8" s="2"/>
      <c r="P8" s="2"/>
      <c r="Q8" s="2"/>
      <c r="R8" s="2"/>
      <c r="S8" s="2"/>
      <c r="T8" s="2"/>
      <c r="U8" s="2"/>
      <c r="V8" s="2"/>
      <c r="W8" s="2"/>
      <c r="X8" s="2"/>
      <c r="Y8" s="2"/>
      <c r="Z8" s="2"/>
    </row>
    <row r="9" spans="1:26" x14ac:dyDescent="0.25">
      <c r="A9" s="240">
        <v>1130</v>
      </c>
      <c r="B9" s="17" t="s">
        <v>14</v>
      </c>
      <c r="C9" s="19">
        <f>+(SUMIF('BCE 2026'!A:A,DATOS!A9,'BCE 2026'!I:I))/1000</f>
        <v>33540.119170000005</v>
      </c>
      <c r="D9" s="13"/>
      <c r="E9" s="19">
        <f>+(SUMIF('BCE 2025'!A:A,DATOS!A9,'BCE 2025'!I:I))/1000</f>
        <v>1952.4422199999999</v>
      </c>
      <c r="F9" s="13"/>
      <c r="G9" s="20" t="s">
        <v>15</v>
      </c>
      <c r="H9" s="21">
        <v>6</v>
      </c>
      <c r="I9" s="13"/>
      <c r="J9" s="13"/>
      <c r="K9" s="13"/>
      <c r="L9" s="13"/>
      <c r="M9" s="13"/>
      <c r="N9" s="13"/>
      <c r="O9" s="13"/>
      <c r="P9" s="13"/>
      <c r="Q9" s="13"/>
      <c r="R9" s="13"/>
      <c r="S9" s="13"/>
      <c r="T9" s="13"/>
      <c r="U9" s="13"/>
      <c r="V9" s="13"/>
      <c r="W9" s="13"/>
      <c r="X9" s="13"/>
      <c r="Y9" s="13"/>
      <c r="Z9" s="13"/>
    </row>
    <row r="10" spans="1:26" x14ac:dyDescent="0.25">
      <c r="A10" s="239">
        <v>13</v>
      </c>
      <c r="B10" s="11" t="s">
        <v>16</v>
      </c>
      <c r="C10" s="12">
        <f>SUM(C11:C17)</f>
        <v>764459.77497000003</v>
      </c>
      <c r="D10" s="13"/>
      <c r="E10" s="12">
        <f>SUM(E11:E17)</f>
        <v>232927.86465000038</v>
      </c>
      <c r="F10" s="13"/>
      <c r="G10" s="20" t="s">
        <v>17</v>
      </c>
      <c r="H10" s="21" t="s">
        <v>1500</v>
      </c>
      <c r="I10" s="13"/>
      <c r="J10" s="13"/>
      <c r="K10" s="13"/>
      <c r="L10" s="13"/>
      <c r="M10" s="13"/>
      <c r="N10" s="13"/>
      <c r="O10" s="13"/>
      <c r="P10" s="13"/>
      <c r="Q10" s="13"/>
      <c r="R10" s="13"/>
      <c r="S10" s="13"/>
      <c r="T10" s="13"/>
      <c r="U10" s="13"/>
      <c r="V10" s="13"/>
      <c r="W10" s="13"/>
      <c r="X10" s="13"/>
      <c r="Y10" s="13"/>
      <c r="Z10" s="13"/>
    </row>
    <row r="11" spans="1:26" x14ac:dyDescent="0.25">
      <c r="A11" s="240">
        <v>1305</v>
      </c>
      <c r="B11" s="17" t="s">
        <v>18</v>
      </c>
      <c r="C11" s="19">
        <f>+(SUMIF('BCE 2026'!A:A,DATOS!A11,'BCE 2026'!I:I))/1000</f>
        <v>6216.17065</v>
      </c>
      <c r="D11" s="2"/>
      <c r="E11" s="19">
        <f>+(SUMIF('BCE 2025'!A:A,DATOS!A11,'BCE 2025'!I:I))/1000</f>
        <v>6031.8756000003705</v>
      </c>
      <c r="F11" s="2"/>
      <c r="G11" s="20" t="s">
        <v>19</v>
      </c>
      <c r="H11" s="21" t="s">
        <v>1501</v>
      </c>
      <c r="I11" s="2"/>
      <c r="J11" s="2"/>
      <c r="K11" s="2"/>
      <c r="L11" s="2"/>
      <c r="M11" s="2"/>
      <c r="N11" s="2"/>
      <c r="O11" s="2"/>
      <c r="P11" s="2"/>
      <c r="Q11" s="2"/>
      <c r="R11" s="2"/>
      <c r="S11" s="2"/>
      <c r="T11" s="2"/>
      <c r="U11" s="2"/>
      <c r="V11" s="2"/>
      <c r="W11" s="2"/>
      <c r="X11" s="2"/>
      <c r="Y11" s="2"/>
      <c r="Z11" s="2"/>
    </row>
    <row r="12" spans="1:26" x14ac:dyDescent="0.25">
      <c r="A12" s="240">
        <v>1330</v>
      </c>
      <c r="B12" s="17" t="s">
        <v>20</v>
      </c>
      <c r="C12" s="19">
        <f>+(SUMIF('BCE 2026'!A:A,DATOS!A12,'BCE 2026'!I:I))/1000</f>
        <v>648905.39532000001</v>
      </c>
      <c r="D12" s="2"/>
      <c r="E12" s="19">
        <f>+(SUMIF('BCE 2025'!A:A,DATOS!A12,'BCE 2025'!I:I))/1000</f>
        <v>184646.96405000001</v>
      </c>
      <c r="F12" s="2"/>
      <c r="G12" s="22" t="s">
        <v>21</v>
      </c>
      <c r="H12" s="23" t="s">
        <v>1454</v>
      </c>
      <c r="I12" s="2"/>
      <c r="J12" s="2"/>
      <c r="K12" s="2"/>
      <c r="L12" s="2"/>
      <c r="M12" s="2"/>
      <c r="N12" s="2"/>
      <c r="O12" s="2"/>
      <c r="P12" s="2"/>
      <c r="Q12" s="2"/>
      <c r="R12" s="2"/>
      <c r="S12" s="2"/>
      <c r="T12" s="2"/>
      <c r="U12" s="2"/>
      <c r="V12" s="2"/>
      <c r="W12" s="2"/>
      <c r="X12" s="2"/>
      <c r="Y12" s="2"/>
      <c r="Z12" s="2"/>
    </row>
    <row r="13" spans="1:26" x14ac:dyDescent="0.25">
      <c r="A13" s="240">
        <v>1365</v>
      </c>
      <c r="B13" s="17" t="s">
        <v>22</v>
      </c>
      <c r="C13" s="19">
        <f>+(SUMIF('BCE 2026'!A:A,DATOS!A13,'BCE 2026'!I:I))/1000</f>
        <v>852.79399999999998</v>
      </c>
      <c r="D13" s="2"/>
      <c r="E13" s="19">
        <f>+(SUMIF('BCE 2025'!A:A,DATOS!A13,'BCE 2025'!I:I))/1000</f>
        <v>1997.585</v>
      </c>
      <c r="F13" s="2"/>
      <c r="G13" s="20" t="s">
        <v>23</v>
      </c>
      <c r="H13" s="21" t="s">
        <v>691</v>
      </c>
      <c r="I13" s="2"/>
      <c r="J13" s="2"/>
      <c r="K13" s="2"/>
      <c r="L13" s="2"/>
      <c r="M13" s="2"/>
      <c r="N13" s="2"/>
      <c r="O13" s="2"/>
      <c r="P13" s="2"/>
      <c r="Q13" s="2"/>
      <c r="R13" s="2"/>
      <c r="S13" s="2"/>
      <c r="T13" s="2"/>
      <c r="U13" s="2"/>
      <c r="V13" s="2"/>
      <c r="W13" s="2"/>
      <c r="X13" s="2"/>
      <c r="Y13" s="2"/>
      <c r="Z13" s="2"/>
    </row>
    <row r="14" spans="1:26" x14ac:dyDescent="0.25">
      <c r="A14" s="240">
        <v>1380</v>
      </c>
      <c r="B14" s="17" t="s">
        <v>24</v>
      </c>
      <c r="C14" s="19">
        <f>+(SUMIF('BCE 2026'!A:A,DATOS!A14,'BCE 2026'!I:I))/1000</f>
        <v>108485.41499999999</v>
      </c>
      <c r="D14" s="2"/>
      <c r="E14" s="19">
        <f>+(SUMIF('BCE 2025'!A:A,DATOS!A14,'BCE 2025'!I:I))/1000</f>
        <v>40251.440000000002</v>
      </c>
      <c r="F14" s="2"/>
      <c r="G14" s="20" t="s">
        <v>25</v>
      </c>
      <c r="H14" s="21" t="s">
        <v>1456</v>
      </c>
      <c r="I14" s="2"/>
      <c r="J14" s="2"/>
      <c r="K14" s="2"/>
      <c r="L14" s="2"/>
      <c r="M14" s="2"/>
      <c r="N14" s="2"/>
      <c r="O14" s="2"/>
      <c r="P14" s="2"/>
      <c r="Q14" s="2"/>
      <c r="R14" s="2"/>
      <c r="S14" s="2"/>
      <c r="T14" s="2"/>
      <c r="U14" s="2"/>
      <c r="V14" s="2"/>
      <c r="W14" s="2"/>
      <c r="X14" s="2"/>
      <c r="Y14" s="2"/>
      <c r="Z14" s="2"/>
    </row>
    <row r="15" spans="1:26" x14ac:dyDescent="0.25">
      <c r="A15" s="240">
        <v>13</v>
      </c>
      <c r="B15" s="17" t="s">
        <v>26</v>
      </c>
      <c r="C15" s="19">
        <v>0</v>
      </c>
      <c r="D15" s="2"/>
      <c r="E15" s="19">
        <v>0</v>
      </c>
      <c r="F15" s="2"/>
      <c r="G15" s="20" t="s">
        <v>27</v>
      </c>
      <c r="H15" s="21" t="s">
        <v>1458</v>
      </c>
      <c r="I15" s="2"/>
      <c r="J15" s="2"/>
      <c r="K15" s="2"/>
      <c r="L15" s="2"/>
      <c r="M15" s="2"/>
      <c r="N15" s="2"/>
      <c r="O15" s="2"/>
      <c r="P15" s="2"/>
      <c r="Q15" s="2"/>
      <c r="R15" s="2"/>
      <c r="S15" s="2"/>
      <c r="T15" s="2"/>
      <c r="U15" s="2"/>
      <c r="V15" s="2"/>
      <c r="W15" s="2"/>
      <c r="X15" s="2"/>
      <c r="Y15" s="2"/>
      <c r="Z15" s="2"/>
    </row>
    <row r="16" spans="1:26" x14ac:dyDescent="0.25">
      <c r="A16" s="240">
        <v>1390</v>
      </c>
      <c r="B16" s="17" t="s">
        <v>28</v>
      </c>
      <c r="C16" s="19">
        <f>+(SUMIF('BCE 2026'!A:A,DATOS!A16,'BCE 2026'!I:I))/1000</f>
        <v>0</v>
      </c>
      <c r="D16" s="2"/>
      <c r="E16" s="19">
        <f>+(SUMIF('BCE 2025'!A:A,DATOS!A16,'BCE 2025'!I:I))/1000</f>
        <v>0</v>
      </c>
      <c r="F16" s="2"/>
      <c r="G16" s="20" t="s">
        <v>29</v>
      </c>
      <c r="H16" s="21" t="s">
        <v>1455</v>
      </c>
      <c r="I16" s="2"/>
      <c r="J16" s="2"/>
      <c r="K16" s="2"/>
      <c r="L16" s="2"/>
      <c r="M16" s="2"/>
      <c r="N16" s="2"/>
      <c r="O16" s="2"/>
      <c r="P16" s="2"/>
      <c r="Q16" s="2"/>
      <c r="R16" s="2"/>
      <c r="S16" s="2"/>
      <c r="T16" s="2"/>
      <c r="U16" s="2"/>
      <c r="V16" s="2"/>
      <c r="W16" s="2"/>
      <c r="X16" s="2"/>
      <c r="Y16" s="2"/>
      <c r="Z16" s="2"/>
    </row>
    <row r="17" spans="1:26" x14ac:dyDescent="0.25">
      <c r="A17" s="240">
        <v>1399</v>
      </c>
      <c r="B17" s="17" t="s">
        <v>30</v>
      </c>
      <c r="C17" s="19">
        <f>+(SUMIF('BCE 2026'!A:A,DATOS!A17,'BCE 2026'!I:I))/1000</f>
        <v>0</v>
      </c>
      <c r="D17" s="2"/>
      <c r="E17" s="19">
        <f>+(SUMIF('BCE 2025'!A:A,DATOS!A17,'BCE 2025'!I:I))/1000</f>
        <v>0</v>
      </c>
      <c r="F17" s="2"/>
      <c r="G17" s="20" t="s">
        <v>27</v>
      </c>
      <c r="H17" s="21" t="s">
        <v>1457</v>
      </c>
      <c r="I17" s="2"/>
      <c r="J17" s="2"/>
      <c r="K17" s="2"/>
      <c r="L17" s="2"/>
      <c r="M17" s="2"/>
      <c r="N17" s="2"/>
      <c r="O17" s="2"/>
      <c r="P17" s="2"/>
      <c r="Q17" s="2"/>
      <c r="R17" s="2"/>
      <c r="S17" s="2"/>
      <c r="T17" s="2"/>
      <c r="U17" s="2"/>
      <c r="V17" s="2"/>
      <c r="W17" s="2"/>
      <c r="X17" s="2"/>
      <c r="Y17" s="2"/>
      <c r="Z17" s="2"/>
    </row>
    <row r="18" spans="1:26" x14ac:dyDescent="0.25">
      <c r="A18" s="239">
        <v>14</v>
      </c>
      <c r="B18" s="11" t="s">
        <v>31</v>
      </c>
      <c r="C18" s="12">
        <f>SUM(C19:C24)</f>
        <v>9295.3250199999202</v>
      </c>
      <c r="D18" s="13"/>
      <c r="E18" s="12">
        <f>SUM(E19:E24)</f>
        <v>81849.588000000003</v>
      </c>
      <c r="F18" s="13"/>
      <c r="G18" s="20" t="s">
        <v>32</v>
      </c>
      <c r="H18" s="24">
        <v>0.01</v>
      </c>
      <c r="I18" s="13"/>
      <c r="J18" s="13"/>
      <c r="K18" s="13"/>
      <c r="L18" s="13"/>
      <c r="M18" s="13"/>
      <c r="N18" s="13"/>
      <c r="O18" s="13"/>
      <c r="P18" s="13"/>
      <c r="Q18" s="13"/>
      <c r="R18" s="13"/>
      <c r="S18" s="13"/>
      <c r="T18" s="13"/>
      <c r="U18" s="13"/>
      <c r="V18" s="13"/>
      <c r="W18" s="13"/>
      <c r="X18" s="13"/>
      <c r="Y18" s="13"/>
      <c r="Z18" s="13"/>
    </row>
    <row r="19" spans="1:26" x14ac:dyDescent="0.25">
      <c r="A19" s="240">
        <v>1405</v>
      </c>
      <c r="B19" s="17" t="s">
        <v>33</v>
      </c>
      <c r="C19" s="19">
        <f>+(SUMIF('BCE 2026'!A:A,DATOS!A19,'BCE 2026'!I:I))/1000</f>
        <v>0</v>
      </c>
      <c r="D19" s="2"/>
      <c r="E19" s="19">
        <f>+(SUMIF('BCE 2025'!A:A,DATOS!A19,'BCE 2025'!I:I))/1000</f>
        <v>0</v>
      </c>
      <c r="F19" s="2"/>
      <c r="G19" s="2"/>
      <c r="H19" s="2"/>
      <c r="I19" s="2"/>
      <c r="J19" s="2"/>
      <c r="K19" s="2"/>
      <c r="L19" s="2"/>
      <c r="M19" s="2"/>
      <c r="N19" s="2"/>
      <c r="O19" s="2"/>
      <c r="P19" s="2"/>
      <c r="Q19" s="2"/>
      <c r="R19" s="2"/>
      <c r="S19" s="2"/>
      <c r="T19" s="2"/>
      <c r="U19" s="2"/>
      <c r="V19" s="2"/>
      <c r="W19" s="2"/>
      <c r="X19" s="2"/>
      <c r="Y19" s="2"/>
      <c r="Z19" s="2"/>
    </row>
    <row r="20" spans="1:26" x14ac:dyDescent="0.25">
      <c r="A20" s="240">
        <v>1410</v>
      </c>
      <c r="B20" s="17" t="s">
        <v>34</v>
      </c>
      <c r="C20" s="19">
        <f>+(SUMIF('BCE 2026'!A:A,DATOS!A20,'BCE 2026'!I:I))/1000</f>
        <v>0</v>
      </c>
      <c r="D20" s="2"/>
      <c r="E20" s="19">
        <f>+(SUMIF('BCE 2025'!A:A,DATOS!A20,'BCE 2025'!I:I))/1000</f>
        <v>0</v>
      </c>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40">
        <v>1430</v>
      </c>
      <c r="B21" s="17" t="s">
        <v>35</v>
      </c>
      <c r="C21" s="19">
        <f>+(SUMIF('BCE 2026'!A:A,DATOS!A21,'BCE 2026'!I:I))/1000</f>
        <v>0</v>
      </c>
      <c r="D21" s="2"/>
      <c r="E21" s="19">
        <f>+(SUMIF('BCE 2025'!A:A,DATOS!A21,'BCE 2025'!I:I))/1000</f>
        <v>0</v>
      </c>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40">
        <v>1435</v>
      </c>
      <c r="B22" s="17" t="s">
        <v>36</v>
      </c>
      <c r="C22" s="19">
        <f>+(SUMIF('BCE 2026'!A:A,DATOS!A22,'BCE 2026'!I:I))/1000</f>
        <v>9295.3250199999202</v>
      </c>
      <c r="D22" s="2"/>
      <c r="E22" s="19">
        <f>+(SUMIF('BCE 2025'!A:A,DATOS!A22,'BCE 2025'!I:I))/1000</f>
        <v>81849.588000000003</v>
      </c>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40">
        <v>143530</v>
      </c>
      <c r="B23" s="17" t="s">
        <v>37</v>
      </c>
      <c r="C23" s="19">
        <f>+(SUMIF('BCE 2026'!A:A,DATOS!A23,'BCE 2026'!I:I))/1000</f>
        <v>0</v>
      </c>
      <c r="D23" s="2"/>
      <c r="E23" s="19">
        <f>+(SUMIF('BCE 2025'!A:A,DATOS!A23,'BCE 2025'!I:I))/1000</f>
        <v>0</v>
      </c>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40">
        <v>1497</v>
      </c>
      <c r="B24" s="17" t="s">
        <v>28</v>
      </c>
      <c r="C24" s="19">
        <f>+(SUMIF('BCE 2026'!A:A,DATOS!A24,'BCE 2026'!I:I))/1000</f>
        <v>0</v>
      </c>
      <c r="D24" s="2"/>
      <c r="E24" s="19">
        <f>+(SUMIF('BCE 2025'!A:A,DATOS!A24,'BCE 2025'!I:I))/1000</f>
        <v>0</v>
      </c>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39">
        <v>15</v>
      </c>
      <c r="B25" s="11" t="s">
        <v>38</v>
      </c>
      <c r="C25" s="12">
        <f>SUM(C26:C36)</f>
        <v>538379.64800000004</v>
      </c>
      <c r="D25" s="13"/>
      <c r="E25" s="12">
        <f>SUM(E26:E36)</f>
        <v>2028379.9459000002</v>
      </c>
      <c r="F25" s="13"/>
      <c r="G25" s="2"/>
      <c r="H25" s="13"/>
      <c r="I25" s="13"/>
      <c r="J25" s="13"/>
      <c r="K25" s="13"/>
      <c r="L25" s="13"/>
      <c r="M25" s="13"/>
      <c r="N25" s="13"/>
      <c r="O25" s="13"/>
      <c r="P25" s="13"/>
      <c r="Q25" s="13"/>
      <c r="R25" s="13"/>
      <c r="S25" s="13"/>
      <c r="T25" s="13"/>
      <c r="U25" s="13"/>
      <c r="V25" s="13"/>
      <c r="W25" s="13"/>
      <c r="X25" s="13"/>
      <c r="Y25" s="13"/>
      <c r="Z25" s="13"/>
    </row>
    <row r="26" spans="1:26" ht="15.75" customHeight="1" x14ac:dyDescent="0.25">
      <c r="A26" s="240">
        <v>1510</v>
      </c>
      <c r="B26" s="17" t="s">
        <v>1426</v>
      </c>
      <c r="C26" s="19">
        <f>+(SUMIF('BCE 2026'!A:A,DATOS!A26,'BCE 2026'!I:I))/1000</f>
        <v>0</v>
      </c>
      <c r="D26" s="2"/>
      <c r="E26" s="19">
        <f>+(SUMIF('BCE 2025'!A:A,DATOS!A26,'BCE 2025'!I:I))/1000</f>
        <v>355856.13361999998</v>
      </c>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40">
        <v>151630</v>
      </c>
      <c r="B27" s="17" t="s">
        <v>39</v>
      </c>
      <c r="C27" s="19">
        <f>+(SUMIF('BCE 2026'!A:A,DATOS!A27,'BCE 2026'!I:I))/1000</f>
        <v>0</v>
      </c>
      <c r="D27" s="2"/>
      <c r="E27" s="19">
        <f>+(SUMIF('BCE 2025'!A:A,DATOS!A27,'BCE 2025'!I:I))/1000</f>
        <v>1286225.2250000001</v>
      </c>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40">
        <v>151692</v>
      </c>
      <c r="B28" s="25" t="s">
        <v>40</v>
      </c>
      <c r="C28" s="19">
        <f>+((SUMIF('BCE 2026'!A:A,DATOS!A28,'BCE 2026'!I:I))/1000)/2</f>
        <v>0</v>
      </c>
      <c r="D28" s="2"/>
      <c r="E28" s="19">
        <f>+(SUMIF('BCE 2025'!A:A,DATOS!A28,'BCE 2025'!I:I))/1000/2</f>
        <v>-145249.72072000001</v>
      </c>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40">
        <v>152001</v>
      </c>
      <c r="B29" s="17" t="s">
        <v>41</v>
      </c>
      <c r="C29" s="19">
        <f>+((SUMIF('BCE 2026'!A:A,DATOS!A29,'BCE 2026'!I:I))/1000)+((SUMIF('BCE 2026'!A:A,152006,'BCE 2026'!I:I))/1000)+((SUMIF('BCE 2026'!A:A,152010,'BCE 2026'!I:I))/1000)+(((SUMIF('BCE 2026'!A:A,152045,'BCE 2026'!I:I))/2)/1000)+(((SUMIF('BCE 2026'!A:A,152015,'BCE 2026'!I:I)))/1000)</f>
        <v>534086.14500000002</v>
      </c>
      <c r="D29" s="2"/>
      <c r="E29" s="19">
        <f>+((SUMIF('BCE 2025'!A:A,DATOS!A29,'BCE 2025'!I:I))/1000)+((SUMIF('BCE 2025'!A:A,152006,'BCE 2025'!I:I))/1000)+((SUMIF('BCE 2025'!A:A,152010,'BCE 2025'!I:I))/1000)+(((SUMIF('BCE 2025'!A:A,152045,'BCE 2025'!I:I))/1000)/2)</f>
        <v>455026.462</v>
      </c>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41">
        <v>152092</v>
      </c>
      <c r="B30" s="25" t="s">
        <v>42</v>
      </c>
      <c r="C30" s="26">
        <f>+((SUMIF('BCE 2026'!A:A,DATOS!A30,'BCE 2026'!I:I))/1000)/2</f>
        <v>0</v>
      </c>
      <c r="D30" s="27"/>
      <c r="E30" s="26">
        <f>+(SUMIF('BCE 2025'!A:A,DATOS!A30,'BCE 2025'!I:I))/1000/2</f>
        <v>-103612.505</v>
      </c>
      <c r="F30" s="27"/>
      <c r="G30" s="27"/>
      <c r="H30" s="27"/>
      <c r="I30" s="27"/>
      <c r="J30" s="27"/>
      <c r="K30" s="27"/>
      <c r="L30" s="27"/>
      <c r="M30" s="27"/>
      <c r="N30" s="27"/>
      <c r="O30" s="27"/>
      <c r="P30" s="27"/>
      <c r="Q30" s="27"/>
      <c r="R30" s="27"/>
      <c r="S30" s="27"/>
      <c r="T30" s="27"/>
      <c r="U30" s="27"/>
      <c r="V30" s="27"/>
      <c r="W30" s="27"/>
      <c r="X30" s="27"/>
      <c r="Y30" s="27"/>
      <c r="Z30" s="27"/>
    </row>
    <row r="31" spans="1:26" ht="15.75" customHeight="1" x14ac:dyDescent="0.25">
      <c r="A31" s="240">
        <v>152405</v>
      </c>
      <c r="B31" s="17" t="s">
        <v>43</v>
      </c>
      <c r="C31" s="19">
        <f>+((SUMIF('BCE 2026'!A:A,DATOS!A31,'BCE 2026'!I:I))/1000)+((SUMIF('BCE 2026'!A:A,152410,'BCE 2026'!I:I))/1000)</f>
        <v>0</v>
      </c>
      <c r="D31" s="2"/>
      <c r="E31" s="19">
        <f>+((SUMIF('BCE 2025'!A:A,DATOS!A31,'BCE 2025'!I:I))/1000)+((SUMIF('BCE 2025'!A:A,152410,'BCE 2025'!I:I))/1000)</f>
        <v>210990.462</v>
      </c>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41">
        <v>152492</v>
      </c>
      <c r="B32" s="25" t="s">
        <v>44</v>
      </c>
      <c r="C32" s="26">
        <f>+((SUMIF('BCE 2026'!A:A,DATOS!A32,'BCE 2026'!I:I))/1000)/2</f>
        <v>0</v>
      </c>
      <c r="D32" s="27"/>
      <c r="E32" s="26">
        <f>+(SUMIF('BCE 2025'!A:A,DATOS!A32,'BCE 2025'!I:I))/1000/2</f>
        <v>-45495.23</v>
      </c>
      <c r="F32" s="27"/>
      <c r="G32" s="27"/>
      <c r="H32" s="27"/>
      <c r="I32" s="27"/>
      <c r="J32" s="27"/>
      <c r="K32" s="27"/>
      <c r="L32" s="27"/>
      <c r="M32" s="27"/>
      <c r="N32" s="27"/>
      <c r="O32" s="27"/>
      <c r="P32" s="27"/>
      <c r="Q32" s="27"/>
      <c r="R32" s="27"/>
      <c r="S32" s="27"/>
      <c r="T32" s="27"/>
      <c r="U32" s="27"/>
      <c r="V32" s="27"/>
      <c r="W32" s="27"/>
      <c r="X32" s="27"/>
      <c r="Y32" s="27"/>
      <c r="Z32" s="27"/>
    </row>
    <row r="33" spans="1:26" ht="15.75" customHeight="1" x14ac:dyDescent="0.25">
      <c r="A33" s="240">
        <v>152805</v>
      </c>
      <c r="B33" s="17" t="s">
        <v>45</v>
      </c>
      <c r="C33" s="19">
        <f>+(SUMIF('BCE 2026'!A:A,DATOS!A33,'BCE 2026'!I:I))/1000+(SUMIF('BCE 2026'!A:A,152810,'BCE 2026'!I:I))/1000</f>
        <v>4293.5029999999997</v>
      </c>
      <c r="D33" s="2"/>
      <c r="E33" s="19">
        <f>+(SUMIF('BCE 2025'!A:A,DATOS!A33,'BCE 2025'!I:I))/1000+(SUMIF('BCE 2025'!A:A,152810,'BCE 2025'!I:I))/1000</f>
        <v>42702.049000000006</v>
      </c>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41">
        <v>152892</v>
      </c>
      <c r="B34" s="25" t="s">
        <v>46</v>
      </c>
      <c r="C34" s="26">
        <f>+((SUMIF('BCE 2026'!A:A,DATOS!A34,'BCE 2026'!I:I))/1000)/2</f>
        <v>0</v>
      </c>
      <c r="D34" s="27"/>
      <c r="E34" s="26">
        <f>+(SUMIF('BCE 2025'!A:A,DATOS!A34,'BCE 2025'!I:I))/1000/2</f>
        <v>-28062.93</v>
      </c>
      <c r="F34" s="27"/>
      <c r="G34" s="27"/>
      <c r="H34" s="27"/>
      <c r="I34" s="27"/>
      <c r="J34" s="27"/>
      <c r="K34" s="27"/>
      <c r="L34" s="27"/>
      <c r="M34" s="27"/>
      <c r="N34" s="27"/>
      <c r="O34" s="27"/>
      <c r="P34" s="27"/>
      <c r="Q34" s="27"/>
      <c r="R34" s="27"/>
      <c r="S34" s="27"/>
      <c r="T34" s="27"/>
      <c r="U34" s="27"/>
      <c r="V34" s="27"/>
      <c r="W34" s="27"/>
      <c r="X34" s="27"/>
      <c r="Y34" s="27"/>
      <c r="Z34" s="27"/>
    </row>
    <row r="35" spans="1:26" ht="15.75" customHeight="1" x14ac:dyDescent="0.25">
      <c r="A35" s="240">
        <v>154005</v>
      </c>
      <c r="B35" s="17" t="s">
        <v>47</v>
      </c>
      <c r="C35" s="19">
        <f>+(SUMIF('BCE 2026'!A:A,DATOS!A35,'BCE 2026'!I:I))/1000</f>
        <v>0</v>
      </c>
      <c r="D35" s="2"/>
      <c r="E35" s="19">
        <f>+(SUMIF('BCE 2025'!A:A,DATOS!A35,'BCE 2025'!I:I))/1000</f>
        <v>0</v>
      </c>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41">
        <v>154090</v>
      </c>
      <c r="B36" s="25" t="s">
        <v>48</v>
      </c>
      <c r="C36" s="26">
        <f>+((SUMIF('BCE 2026'!A:A,DATOS!A36,'BCE 2026'!I:I))/1000)/2</f>
        <v>0</v>
      </c>
      <c r="D36" s="27"/>
      <c r="E36" s="26">
        <f>+(SUMIF('BCE 2025'!A:A,DATOS!A36,'BCE 2025'!I:I))/1000/2</f>
        <v>0</v>
      </c>
      <c r="F36" s="27"/>
      <c r="G36" s="27"/>
      <c r="H36" s="27"/>
      <c r="I36" s="27"/>
      <c r="J36" s="27"/>
      <c r="K36" s="27"/>
      <c r="L36" s="27"/>
      <c r="M36" s="27"/>
      <c r="N36" s="27"/>
      <c r="O36" s="27"/>
      <c r="P36" s="27"/>
      <c r="Q36" s="27"/>
      <c r="R36" s="27"/>
      <c r="S36" s="27"/>
      <c r="T36" s="27"/>
      <c r="U36" s="27"/>
      <c r="V36" s="27"/>
      <c r="W36" s="27"/>
      <c r="X36" s="27"/>
      <c r="Y36" s="27"/>
      <c r="Z36" s="27"/>
    </row>
    <row r="37" spans="1:26" ht="15.75" customHeight="1" x14ac:dyDescent="0.25">
      <c r="A37" s="242">
        <v>16</v>
      </c>
      <c r="B37" s="30" t="s">
        <v>50</v>
      </c>
      <c r="C37" s="32">
        <f>SUM(C38)</f>
        <v>764766.80299999996</v>
      </c>
      <c r="D37" s="34"/>
      <c r="E37" s="32">
        <f>SUM(E38)</f>
        <v>220000</v>
      </c>
      <c r="F37" s="34"/>
      <c r="G37" s="34"/>
      <c r="H37" s="34"/>
      <c r="I37" s="34"/>
      <c r="J37" s="34"/>
      <c r="K37" s="34"/>
      <c r="L37" s="34"/>
      <c r="M37" s="34"/>
      <c r="N37" s="34"/>
      <c r="O37" s="34"/>
      <c r="P37" s="34"/>
      <c r="Q37" s="34"/>
      <c r="R37" s="34"/>
      <c r="S37" s="34"/>
      <c r="T37" s="34"/>
      <c r="U37" s="34"/>
      <c r="V37" s="34"/>
      <c r="W37" s="34"/>
      <c r="X37" s="34"/>
      <c r="Y37" s="34"/>
      <c r="Z37" s="34"/>
    </row>
    <row r="38" spans="1:26" ht="15.75" customHeight="1" x14ac:dyDescent="0.25">
      <c r="A38" s="243">
        <v>16</v>
      </c>
      <c r="B38" s="37" t="s">
        <v>54</v>
      </c>
      <c r="C38" s="40">
        <f>+(SUMIF('BCE 2026'!A:A,DATOS!A38,'BCE 2026'!I:I))/1000</f>
        <v>764766.80299999996</v>
      </c>
      <c r="D38" s="42"/>
      <c r="E38" s="40">
        <f>+(SUMIF('BCE 2025'!A:A,DATOS!A38,'BCE 2025'!I:I))/1000</f>
        <v>220000</v>
      </c>
      <c r="F38" s="42"/>
      <c r="G38" s="42"/>
      <c r="H38" s="42"/>
      <c r="I38" s="42"/>
      <c r="J38" s="42"/>
      <c r="K38" s="42"/>
      <c r="L38" s="42"/>
      <c r="M38" s="42"/>
      <c r="N38" s="42"/>
      <c r="O38" s="42"/>
      <c r="P38" s="42"/>
      <c r="Q38" s="42"/>
      <c r="R38" s="42"/>
      <c r="S38" s="42"/>
      <c r="T38" s="42"/>
      <c r="U38" s="42"/>
      <c r="V38" s="42"/>
      <c r="W38" s="42"/>
      <c r="X38" s="42"/>
      <c r="Y38" s="42"/>
      <c r="Z38" s="42"/>
    </row>
    <row r="39" spans="1:26" ht="15.75" customHeight="1" x14ac:dyDescent="0.25">
      <c r="A39" s="242">
        <v>17</v>
      </c>
      <c r="B39" s="30" t="s">
        <v>55</v>
      </c>
      <c r="C39" s="32">
        <f>SUM(C40)</f>
        <v>0</v>
      </c>
      <c r="D39" s="44"/>
      <c r="E39" s="32">
        <f>SUM(E40)</f>
        <v>0</v>
      </c>
      <c r="F39" s="44"/>
      <c r="G39" s="44"/>
      <c r="H39" s="44"/>
      <c r="I39" s="44"/>
      <c r="J39" s="44"/>
      <c r="K39" s="44"/>
      <c r="L39" s="44"/>
      <c r="M39" s="44"/>
      <c r="N39" s="44"/>
      <c r="O39" s="44"/>
      <c r="P39" s="44"/>
      <c r="Q39" s="44"/>
      <c r="R39" s="44"/>
      <c r="S39" s="44"/>
      <c r="T39" s="44"/>
      <c r="U39" s="44"/>
      <c r="V39" s="44"/>
      <c r="W39" s="44"/>
      <c r="X39" s="44"/>
      <c r="Y39" s="44"/>
      <c r="Z39" s="44"/>
    </row>
    <row r="40" spans="1:26" ht="15.75" customHeight="1" x14ac:dyDescent="0.25">
      <c r="A40" s="243">
        <v>17</v>
      </c>
      <c r="B40" s="37" t="s">
        <v>57</v>
      </c>
      <c r="C40" s="40">
        <f>+(SUMIF('BCE 2026'!A:A,DATOS!A40,'BCE 2026'!I:I))/1000</f>
        <v>0</v>
      </c>
      <c r="D40" s="27"/>
      <c r="E40" s="40">
        <f>+(SUMIF('BCE 2025'!A:A,DATOS!A40,'BCE 2025'!I:I))/1000</f>
        <v>0</v>
      </c>
      <c r="F40" s="27"/>
      <c r="G40" s="27"/>
      <c r="H40" s="27"/>
      <c r="I40" s="27"/>
      <c r="J40" s="27"/>
      <c r="K40" s="27"/>
      <c r="L40" s="27"/>
      <c r="M40" s="27"/>
      <c r="N40" s="27"/>
      <c r="O40" s="27"/>
      <c r="P40" s="27"/>
      <c r="Q40" s="27"/>
      <c r="R40" s="27"/>
      <c r="S40" s="27"/>
      <c r="T40" s="27"/>
      <c r="U40" s="27"/>
      <c r="V40" s="27"/>
      <c r="W40" s="27"/>
      <c r="X40" s="27"/>
      <c r="Y40" s="27"/>
      <c r="Z40" s="27"/>
    </row>
    <row r="41" spans="1:26" ht="15.75" customHeight="1" x14ac:dyDescent="0.25">
      <c r="A41" s="239">
        <v>19</v>
      </c>
      <c r="B41" s="11" t="s">
        <v>59</v>
      </c>
      <c r="C41" s="12">
        <f>+C42+C43</f>
        <v>137480.75741999998</v>
      </c>
      <c r="D41" s="13"/>
      <c r="E41" s="12">
        <f>+E42+E43</f>
        <v>67881.50086</v>
      </c>
      <c r="F41" s="13"/>
      <c r="G41" s="13"/>
      <c r="H41" s="13"/>
      <c r="I41" s="13"/>
      <c r="J41" s="13"/>
      <c r="K41" s="13"/>
      <c r="L41" s="13"/>
      <c r="M41" s="13"/>
      <c r="N41" s="13"/>
      <c r="O41" s="13"/>
      <c r="P41" s="13"/>
      <c r="Q41" s="13"/>
      <c r="R41" s="13"/>
      <c r="S41" s="13"/>
      <c r="T41" s="13"/>
      <c r="U41" s="13"/>
      <c r="V41" s="13"/>
      <c r="W41" s="13"/>
      <c r="X41" s="13"/>
      <c r="Y41" s="13"/>
      <c r="Z41" s="13"/>
    </row>
    <row r="42" spans="1:26" ht="15.75" customHeight="1" x14ac:dyDescent="0.25">
      <c r="A42" s="240">
        <v>1940</v>
      </c>
      <c r="B42" s="17" t="s">
        <v>60</v>
      </c>
      <c r="C42" s="19">
        <f>+(SUMIF('BCE 2026'!A:A,DATOS!A42,'BCE 2026'!I:I))/1000</f>
        <v>0</v>
      </c>
      <c r="D42" s="2"/>
      <c r="E42" s="19">
        <f>+(SUMIF('BCE 2025'!A:A,DATOS!A42,'BCE 2025'!I:I))/1000</f>
        <v>0</v>
      </c>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40">
        <v>1955</v>
      </c>
      <c r="B43" s="17" t="s">
        <v>62</v>
      </c>
      <c r="C43" s="19">
        <f>+(SUMIF('BCE 2026'!A:A,DATOS!A43,'BCE 2026'!I:I))/1000</f>
        <v>137480.75741999998</v>
      </c>
      <c r="D43" s="2"/>
      <c r="E43" s="19">
        <f>+(SUMIF('BCE 2025'!A:A,DATOS!A43,'BCE 2025'!I:I))/1000</f>
        <v>67881.50086</v>
      </c>
      <c r="F43" s="2"/>
      <c r="G43" s="2"/>
      <c r="H43" s="2"/>
      <c r="I43" s="2"/>
      <c r="J43" s="2"/>
      <c r="K43" s="2"/>
      <c r="L43" s="2"/>
      <c r="M43" s="2"/>
      <c r="N43" s="2"/>
      <c r="O43" s="2"/>
      <c r="P43" s="2"/>
      <c r="Q43" s="2"/>
      <c r="R43" s="2"/>
      <c r="S43" s="2"/>
      <c r="T43" s="2"/>
      <c r="U43" s="2"/>
      <c r="V43" s="2"/>
      <c r="W43" s="2"/>
      <c r="X43" s="2"/>
      <c r="Y43" s="2"/>
      <c r="Z43" s="2"/>
    </row>
    <row r="44" spans="1:26" ht="15.75" customHeight="1" x14ac:dyDescent="0.25">
      <c r="A44" s="17"/>
      <c r="B44" s="17"/>
      <c r="C44" s="19"/>
      <c r="D44" s="2"/>
      <c r="E44" s="19"/>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44">
        <v>2</v>
      </c>
      <c r="B45" s="51" t="s">
        <v>63</v>
      </c>
      <c r="C45" s="54">
        <f>+C46+C51+C54+C59+C65+C73</f>
        <v>1165618.6407600003</v>
      </c>
      <c r="D45" s="13"/>
      <c r="E45" s="54">
        <f>+E46+E51+E54+E59+E65+E73</f>
        <v>781353.10795000021</v>
      </c>
      <c r="F45" s="13"/>
      <c r="G45" s="13"/>
      <c r="H45" s="13"/>
      <c r="I45" s="13"/>
      <c r="J45" s="13"/>
      <c r="K45" s="13"/>
      <c r="L45" s="13"/>
      <c r="M45" s="13"/>
      <c r="N45" s="13"/>
      <c r="O45" s="13"/>
      <c r="P45" s="13"/>
      <c r="Q45" s="13"/>
      <c r="R45" s="13"/>
      <c r="S45" s="13"/>
      <c r="T45" s="13"/>
      <c r="U45" s="13"/>
      <c r="V45" s="13"/>
      <c r="W45" s="13"/>
      <c r="X45" s="13"/>
      <c r="Y45" s="13"/>
      <c r="Z45" s="13"/>
    </row>
    <row r="46" spans="1:26" ht="15.75" customHeight="1" x14ac:dyDescent="0.25">
      <c r="A46" s="244">
        <v>21</v>
      </c>
      <c r="B46" s="51" t="s">
        <v>65</v>
      </c>
      <c r="C46" s="54">
        <f>SUM(C47:C50)</f>
        <v>792798.79200000002</v>
      </c>
      <c r="D46" s="13"/>
      <c r="E46" s="54">
        <f>SUM(E47:E50)</f>
        <v>330619.19507000013</v>
      </c>
      <c r="F46" s="13"/>
      <c r="G46" s="13"/>
      <c r="H46" s="13"/>
      <c r="I46" s="13"/>
      <c r="J46" s="13"/>
      <c r="K46" s="13"/>
      <c r="L46" s="13"/>
      <c r="M46" s="13"/>
      <c r="N46" s="13"/>
      <c r="O46" s="13"/>
      <c r="P46" s="13"/>
      <c r="Q46" s="13"/>
      <c r="R46" s="13"/>
      <c r="S46" s="13"/>
      <c r="T46" s="13"/>
      <c r="U46" s="13"/>
      <c r="V46" s="13"/>
      <c r="W46" s="13"/>
      <c r="X46" s="13"/>
      <c r="Y46" s="13"/>
      <c r="Z46" s="13"/>
    </row>
    <row r="47" spans="1:26" ht="15.75" customHeight="1" x14ac:dyDescent="0.25">
      <c r="A47" s="245">
        <v>210505</v>
      </c>
      <c r="B47" s="58" t="s">
        <v>66</v>
      </c>
      <c r="C47" s="60">
        <f>-(SUMIF('BCE 2026'!A:A,DATOS!A47,'BCE 2026'!I:I))/1000</f>
        <v>0</v>
      </c>
      <c r="D47" s="2"/>
      <c r="E47" s="60">
        <f>-(SUMIF('BCE 2025'!A:A,DATOS!A47,'BCE 2025'!I:I))/1000</f>
        <v>0</v>
      </c>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45">
        <v>210510</v>
      </c>
      <c r="B48" s="58" t="s">
        <v>68</v>
      </c>
      <c r="C48" s="60">
        <f>-(SUMIF('BCE 2026'!A:A,DATOS!A48,'BCE 2026'!I:I))/1000</f>
        <v>54203.786999999997</v>
      </c>
      <c r="D48" s="2"/>
      <c r="E48" s="60">
        <f>-(SUMIF('BCE 2025'!A:A,DATOS!A48,'BCE 2025'!I:I))/1000</f>
        <v>302913.66697000002</v>
      </c>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45">
        <v>2120</v>
      </c>
      <c r="B49" s="58" t="s">
        <v>69</v>
      </c>
      <c r="C49" s="60">
        <f>-(SUMIF('BCE 2026'!A:A,DATOS!A49,'BCE 2026'!I:I))/1000</f>
        <v>738595.005</v>
      </c>
      <c r="D49" s="2"/>
      <c r="E49" s="60">
        <f>-(SUMIF('BCE 2025'!A:A,DATOS!A49,'BCE 2025'!I:I))/1000</f>
        <v>3419.9981000000002</v>
      </c>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45">
        <v>2195</v>
      </c>
      <c r="B50" s="58" t="s">
        <v>71</v>
      </c>
      <c r="C50" s="60">
        <f>-(SUMIF('BCE 2026'!A:A,DATOS!A50,'BCE 2026'!I:I))/1000</f>
        <v>0</v>
      </c>
      <c r="D50" s="2"/>
      <c r="E50" s="60">
        <f>-(SUMIF('BCE 2025'!A:A,DATOS!A50,'BCE 2025'!I:I))/1000</f>
        <v>24285.530000000101</v>
      </c>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44">
        <v>22</v>
      </c>
      <c r="B51" s="51" t="s">
        <v>72</v>
      </c>
      <c r="C51" s="54">
        <f>SUM(C52:C53)</f>
        <v>113653.709</v>
      </c>
      <c r="D51" s="13"/>
      <c r="E51" s="54">
        <f>SUM(E52:E53)</f>
        <v>198797.21</v>
      </c>
      <c r="F51" s="13"/>
      <c r="G51" s="13"/>
      <c r="H51" s="13"/>
      <c r="I51" s="13"/>
      <c r="J51" s="13"/>
      <c r="K51" s="13"/>
      <c r="L51" s="13"/>
      <c r="M51" s="13"/>
      <c r="N51" s="13"/>
      <c r="O51" s="13"/>
      <c r="P51" s="13"/>
      <c r="Q51" s="13"/>
      <c r="R51" s="13"/>
      <c r="S51" s="13"/>
      <c r="T51" s="13"/>
      <c r="U51" s="13"/>
      <c r="V51" s="13"/>
      <c r="W51" s="13"/>
      <c r="X51" s="13"/>
      <c r="Y51" s="13"/>
      <c r="Z51" s="13"/>
    </row>
    <row r="52" spans="1:26" ht="15.75" customHeight="1" x14ac:dyDescent="0.25">
      <c r="A52" s="245">
        <v>2205</v>
      </c>
      <c r="B52" s="58" t="s">
        <v>73</v>
      </c>
      <c r="C52" s="60">
        <f>-(SUMIF('BCE 2026'!A:A,DATOS!A52,'BCE 2026'!I:I))/1000</f>
        <v>113653.709</v>
      </c>
      <c r="D52" s="2"/>
      <c r="E52" s="60">
        <f>-(SUMIF('BCE 2025'!A:A,DATOS!A52,'BCE 2025'!I:I))/1000</f>
        <v>198797.21</v>
      </c>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45">
        <v>2210</v>
      </c>
      <c r="B53" s="58" t="s">
        <v>74</v>
      </c>
      <c r="C53" s="60">
        <f>-(SUMIF('BCE 2026'!A:A,DATOS!A53,'BCE 2026'!I:I))/1000</f>
        <v>0</v>
      </c>
      <c r="D53" s="2"/>
      <c r="E53" s="60">
        <f>-(SUMIF('BCE 2025'!A:A,DATOS!A53,'BCE 2025'!I:I))/1000</f>
        <v>0</v>
      </c>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44">
        <v>23</v>
      </c>
      <c r="B54" s="51" t="s">
        <v>76</v>
      </c>
      <c r="C54" s="54">
        <f>SUM(C55:C58)</f>
        <v>21226.18174</v>
      </c>
      <c r="D54" s="13"/>
      <c r="E54" s="54">
        <f>SUM(E55:E58)</f>
        <v>5579.5050400000291</v>
      </c>
      <c r="F54" s="13"/>
      <c r="G54" s="13"/>
      <c r="H54" s="13"/>
      <c r="I54" s="13"/>
      <c r="J54" s="13"/>
      <c r="K54" s="13"/>
      <c r="L54" s="13"/>
      <c r="M54" s="13"/>
      <c r="N54" s="13"/>
      <c r="O54" s="13"/>
      <c r="P54" s="13"/>
      <c r="Q54" s="13"/>
      <c r="R54" s="13"/>
      <c r="S54" s="13"/>
      <c r="T54" s="13"/>
      <c r="U54" s="13"/>
      <c r="V54" s="13"/>
      <c r="W54" s="13"/>
      <c r="X54" s="13"/>
      <c r="Y54" s="13"/>
      <c r="Z54" s="13"/>
    </row>
    <row r="55" spans="1:26" ht="15.75" customHeight="1" x14ac:dyDescent="0.25">
      <c r="A55" s="245">
        <v>2335</v>
      </c>
      <c r="B55" s="58" t="s">
        <v>77</v>
      </c>
      <c r="C55" s="60">
        <f>-(SUMIF('BCE 2026'!A:A,DATOS!A55,'BCE 2026'!I:I))/1000</f>
        <v>18015.121999999999</v>
      </c>
      <c r="D55" s="2"/>
      <c r="E55" s="60">
        <f>-(SUMIF('BCE 2025'!A:A,DATOS!A55,'BCE 2025'!I:I))/1000</f>
        <v>0</v>
      </c>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45">
        <v>2355</v>
      </c>
      <c r="B56" s="58" t="s">
        <v>79</v>
      </c>
      <c r="C56" s="60">
        <f>-(SUMIF('BCE 2026'!A:A,DATOS!A56,'BCE 2026'!I:I))/1000</f>
        <v>0</v>
      </c>
      <c r="D56" s="2"/>
      <c r="E56" s="60">
        <f>-(SUMIF('BCE 2025'!A:A,DATOS!A56,'BCE 2025'!I:I))/1000</f>
        <v>0</v>
      </c>
      <c r="F56" s="2"/>
      <c r="G56" s="2"/>
      <c r="H56" s="2"/>
      <c r="I56" s="2"/>
      <c r="J56" s="2"/>
      <c r="K56" s="2"/>
      <c r="L56" s="2"/>
      <c r="M56" s="2"/>
      <c r="N56" s="2"/>
      <c r="O56" s="2"/>
      <c r="P56" s="2"/>
      <c r="Q56" s="2"/>
      <c r="R56" s="2"/>
      <c r="S56" s="2"/>
      <c r="T56" s="2"/>
      <c r="U56" s="2"/>
      <c r="V56" s="2"/>
      <c r="W56" s="2"/>
      <c r="X56" s="2"/>
      <c r="Y56" s="2"/>
      <c r="Z56" s="2"/>
    </row>
    <row r="57" spans="1:26" s="394" customFormat="1" ht="15.75" customHeight="1" x14ac:dyDescent="0.25">
      <c r="A57" s="245">
        <v>2370</v>
      </c>
      <c r="B57" s="58" t="s">
        <v>1507</v>
      </c>
      <c r="C57" s="60">
        <f>-(SUMIF('BCE 2026'!A:A,DATOS!A57,'BCE 2026'!I:I))/1000</f>
        <v>1961.7280000000001</v>
      </c>
      <c r="D57" s="2"/>
      <c r="E57" s="60">
        <f>-(SUMIF('BCE 2025'!A:A,DATOS!A57,'BCE 2025'!I:I))/1000</f>
        <v>-2149.6669999999999</v>
      </c>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45">
        <v>2380</v>
      </c>
      <c r="B58" s="58" t="s">
        <v>1506</v>
      </c>
      <c r="C58" s="60">
        <f>-(SUMIF('BCE 2026'!A:A,DATOS!A58,'BCE 2026'!I:I))/1000</f>
        <v>1249.3317400000001</v>
      </c>
      <c r="D58" s="2"/>
      <c r="E58" s="60">
        <f>-(SUMIF('BCE 2025'!A:A,DATOS!A58,'BCE 2025'!I:I))/1000</f>
        <v>7729.1720400000295</v>
      </c>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44">
        <v>24</v>
      </c>
      <c r="B59" s="51" t="s">
        <v>81</v>
      </c>
      <c r="C59" s="54">
        <f>SUM(C60:C64)</f>
        <v>177433.75195000009</v>
      </c>
      <c r="D59" s="13"/>
      <c r="E59" s="54">
        <f>SUM(E60:E64)</f>
        <v>130347.29688000002</v>
      </c>
      <c r="F59" s="13"/>
      <c r="G59" s="13"/>
      <c r="H59" s="13"/>
      <c r="I59" s="13"/>
      <c r="J59" s="13"/>
      <c r="K59" s="13"/>
      <c r="L59" s="13"/>
      <c r="M59" s="13"/>
      <c r="N59" s="13"/>
      <c r="O59" s="13"/>
      <c r="P59" s="13"/>
      <c r="Q59" s="13"/>
      <c r="R59" s="13"/>
      <c r="S59" s="13"/>
      <c r="T59" s="13"/>
      <c r="U59" s="13"/>
      <c r="V59" s="13"/>
      <c r="W59" s="13"/>
      <c r="X59" s="13"/>
      <c r="Y59" s="13"/>
      <c r="Z59" s="13"/>
    </row>
    <row r="60" spans="1:26" ht="15.75" customHeight="1" x14ac:dyDescent="0.25">
      <c r="A60" s="245">
        <v>2404</v>
      </c>
      <c r="B60" s="58" t="s">
        <v>83</v>
      </c>
      <c r="C60" s="60">
        <f>-(SUMIF('BCE 2026'!A:A,DATOS!A60,'BCE 2026'!I:I))/1000</f>
        <v>34336</v>
      </c>
      <c r="D60" s="2"/>
      <c r="E60" s="60">
        <f>-(SUMIF('BCE 2025'!A:A,DATOS!A60,'BCE 2025'!I:I))/1000</f>
        <v>26671.196</v>
      </c>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45">
        <v>2402</v>
      </c>
      <c r="B61" s="58" t="s">
        <v>60</v>
      </c>
      <c r="C61" s="60">
        <f>-(SUMIF('BCE 2026'!A:A,DATOS!A61,'BCE 2026'!I:I))/1000</f>
        <v>0</v>
      </c>
      <c r="D61" s="2"/>
      <c r="E61" s="60">
        <f>-(SUMIF('BCE 2025'!A:A,DATOS!A61,'BCE 2025'!I:I))/1000</f>
        <v>4118.2280000000001</v>
      </c>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45">
        <v>240605</v>
      </c>
      <c r="B62" s="58" t="s">
        <v>86</v>
      </c>
      <c r="C62" s="60">
        <f>-(SUMIF('BCE 2026'!A:A,DATOS!A62,'BCE 2026'!I:I))/1000/2</f>
        <v>9299</v>
      </c>
      <c r="D62" s="2"/>
      <c r="E62" s="60">
        <f>-(SUMIF('BCE 2025'!A:A,DATOS!A62,'BCE 2025'!I:I))/1000/2</f>
        <v>26515</v>
      </c>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45">
        <v>2408</v>
      </c>
      <c r="B63" s="58" t="s">
        <v>89</v>
      </c>
      <c r="C63" s="60">
        <f>(-(SUMIF('BCE 2026'!A:A,DATOS!A63,'BCE 2026'!I:I))/1000)+(-(SUMIF('BCE 2026'!A:A,240610,'BCE 2026'!I:I))/1000/2)</f>
        <v>133798.75195000009</v>
      </c>
      <c r="D63" s="2"/>
      <c r="E63" s="60">
        <f>(-(SUMIF('BCE 2025'!A:A,DATOS!A63,'BCE 2025'!I:I))/1000)+(-(SUMIF('BCE 2025'!A:A,240610,'BCE 2025'!I:I))/1000/2)</f>
        <v>73042.872880000024</v>
      </c>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45">
        <v>2365</v>
      </c>
      <c r="B64" s="58" t="s">
        <v>91</v>
      </c>
      <c r="C64" s="60">
        <f>-(SUMIF('BCE 2026'!A:A,DATOS!A64,'BCE 2026'!I:I))/1000</f>
        <v>0</v>
      </c>
      <c r="D64" s="2"/>
      <c r="E64" s="60">
        <f>(-(SUMIF('BCE 2025'!A:A,DATOS!A64,'BCE 2025'!I:I))/1000)+(-(SUMIF('BCE 2025'!A:A,2495,'BCE 2025'!I:I))/1000)-(SUMIF('BCE 2025'!A:A,240607,'BCE 2025'!I:I))/1000/2</f>
        <v>0</v>
      </c>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44">
        <v>25</v>
      </c>
      <c r="B65" s="51" t="s">
        <v>94</v>
      </c>
      <c r="C65" s="54">
        <f>SUM(C66:C72)</f>
        <v>49498.343000000001</v>
      </c>
      <c r="D65" s="13"/>
      <c r="E65" s="54">
        <f>SUM(E66:E72)</f>
        <v>79649.726999999999</v>
      </c>
      <c r="F65" s="13"/>
      <c r="G65" s="13"/>
      <c r="H65" s="13"/>
      <c r="I65" s="13"/>
      <c r="J65" s="13"/>
      <c r="K65" s="13"/>
      <c r="L65" s="13"/>
      <c r="M65" s="13"/>
      <c r="N65" s="13"/>
      <c r="O65" s="13"/>
      <c r="P65" s="13"/>
      <c r="Q65" s="13"/>
      <c r="R65" s="13"/>
      <c r="S65" s="13"/>
      <c r="T65" s="13"/>
      <c r="U65" s="13"/>
      <c r="V65" s="13"/>
      <c r="W65" s="13"/>
      <c r="X65" s="13"/>
      <c r="Y65" s="13"/>
      <c r="Z65" s="13"/>
    </row>
    <row r="66" spans="1:26" ht="15.75" customHeight="1" x14ac:dyDescent="0.25">
      <c r="A66" s="245">
        <v>2505</v>
      </c>
      <c r="B66" s="58" t="s">
        <v>95</v>
      </c>
      <c r="C66" s="60">
        <f>-(SUMIF('BCE 2026'!A:A,DATOS!A66,'BCE 2026'!I:I))/1000</f>
        <v>0</v>
      </c>
      <c r="D66" s="2"/>
      <c r="E66" s="60">
        <f>-(SUMIF('BCE 2025'!A:A,DATOS!A66,'BCE 2025'!I:I))/1000</f>
        <v>428.45</v>
      </c>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45">
        <v>2525</v>
      </c>
      <c r="B67" s="58" t="s">
        <v>97</v>
      </c>
      <c r="C67" s="60">
        <f>-(SUMIF('BCE 2026'!A:A,DATOS!A67,'BCE 2026'!I:I))/1000</f>
        <v>5962.6480000000001</v>
      </c>
      <c r="D67" s="2"/>
      <c r="E67" s="60">
        <f>-((SUMIF('BCE 2025'!A:A,DATOS!A67,'BCE 2025'!I:I))/1000)</f>
        <v>7014.6480000000001</v>
      </c>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45">
        <v>253005</v>
      </c>
      <c r="B68" s="58" t="s">
        <v>99</v>
      </c>
      <c r="C68" s="60">
        <f>(-(SUMIF('BCE 2026'!A:A,DATOS!A68,'BCE 2026'!I:I))/1000)+(-(SUMIF('BCE 2026'!A:A,2510,'BCE 2026'!I:I))/1000)</f>
        <v>27389.114000000001</v>
      </c>
      <c r="D68" s="2"/>
      <c r="E68" s="60">
        <f>(-(SUMIF('BCE 2025'!A:A,DATOS!A68,'BCE 2025'!I:I))/1000)+(-(SUMIF('BCE 2025'!A:A,2510,'BCE 2025'!I:I))/1000)</f>
        <v>28954.985000000001</v>
      </c>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45">
        <v>253010</v>
      </c>
      <c r="B69" s="58" t="s">
        <v>101</v>
      </c>
      <c r="C69" s="60">
        <f>(-(SUMIF('BCE 2026'!A:A,DATOS!A69,'BCE 2026'!I:I))/1000)+(-(SUMIF('BCE 2026'!A:A,2515,'BCE 2026'!I:I))/1000)</f>
        <v>1547.99</v>
      </c>
      <c r="D69" s="2"/>
      <c r="E69" s="60">
        <f>-((SUMIF('BCE 2025'!A:A,DATOS!A69,'BCE 2025'!I:I))/1000)-((SUMIF('BCE 2025'!A:A,2515,'BCE 2025'!I:I))/1000)</f>
        <v>1946.0139999999999</v>
      </c>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45">
        <v>253015</v>
      </c>
      <c r="B70" s="58" t="s">
        <v>104</v>
      </c>
      <c r="C70" s="60">
        <f>-(SUMIF('BCE 2026'!A:A,DATOS!A70,'BCE 2026'!I:I))/1000</f>
        <v>14598.591</v>
      </c>
      <c r="D70" s="69"/>
      <c r="E70" s="60">
        <f>-((SUMIF('BCE 2025'!A:A,DATOS!A70,'BCE 2025'!I:I))/1000)</f>
        <v>20098.973999999998</v>
      </c>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45">
        <v>253020</v>
      </c>
      <c r="B71" s="58" t="s">
        <v>106</v>
      </c>
      <c r="C71" s="60">
        <f>-(SUMIF('BCE 2026'!A:A,DATOS!A71,'BCE 2026'!I:I))/1000</f>
        <v>0</v>
      </c>
      <c r="D71" s="2"/>
      <c r="E71" s="60">
        <f>-(SUMIF('BCE 2025'!A:A,DATOS!A71,'BCE 2025'!I:I))/1000</f>
        <v>-189.477</v>
      </c>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45">
        <v>2550</v>
      </c>
      <c r="B72" s="58" t="s">
        <v>108</v>
      </c>
      <c r="C72" s="60">
        <f>-(SUMIF('BCE 2026'!A:A,DATOS!A72,'BCE 2026'!I:I))/1000</f>
        <v>0</v>
      </c>
      <c r="D72" s="2"/>
      <c r="E72" s="60">
        <f>-(SUMIF('BCE 2025'!A:A,DATOS!A72,'BCE 2025'!I:I))/1000</f>
        <v>21396.133000000002</v>
      </c>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44">
        <v>28</v>
      </c>
      <c r="B73" s="51" t="s">
        <v>110</v>
      </c>
      <c r="C73" s="54">
        <f>SUM(C74:C76)</f>
        <v>11007.863069999999</v>
      </c>
      <c r="D73" s="13"/>
      <c r="E73" s="54">
        <f>SUM(E74:E76)</f>
        <v>36360.17396</v>
      </c>
      <c r="F73" s="13"/>
      <c r="G73" s="13"/>
      <c r="H73" s="13"/>
      <c r="I73" s="13"/>
      <c r="J73" s="13"/>
      <c r="K73" s="13"/>
      <c r="L73" s="13"/>
      <c r="M73" s="13"/>
      <c r="N73" s="13"/>
      <c r="O73" s="13"/>
      <c r="P73" s="13"/>
      <c r="Q73" s="13"/>
      <c r="R73" s="13"/>
      <c r="S73" s="13"/>
      <c r="T73" s="13"/>
      <c r="U73" s="13"/>
      <c r="V73" s="13"/>
      <c r="W73" s="13"/>
      <c r="X73" s="13"/>
      <c r="Y73" s="13"/>
      <c r="Z73" s="13"/>
    </row>
    <row r="74" spans="1:26" ht="15.75" customHeight="1" x14ac:dyDescent="0.25">
      <c r="A74" s="245">
        <v>2805</v>
      </c>
      <c r="B74" s="58" t="s">
        <v>112</v>
      </c>
      <c r="C74" s="60">
        <f>-(SUMIF('BCE 2026'!A:A,DATOS!A74,'BCE 2026'!I:I))/1000</f>
        <v>812.01700000000005</v>
      </c>
      <c r="D74" s="2"/>
      <c r="E74" s="60">
        <f>-(SUMIF('BCE 2025'!A:A,DATOS!A74,'BCE 2025'!I:I))/1000</f>
        <v>3711.9330599999998</v>
      </c>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45">
        <v>26</v>
      </c>
      <c r="B75" s="58" t="s">
        <v>1451</v>
      </c>
      <c r="C75" s="60">
        <v>0</v>
      </c>
      <c r="D75" s="2"/>
      <c r="E75" s="60">
        <v>0</v>
      </c>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45">
        <v>2615</v>
      </c>
      <c r="B76" s="58" t="s">
        <v>1452</v>
      </c>
      <c r="C76" s="60">
        <f>-(SUMIF('BCE 2026'!A:A,DATOS!A76,'BCE 2026'!I:I))/1000</f>
        <v>10195.84607</v>
      </c>
      <c r="D76" s="2"/>
      <c r="E76" s="60">
        <f>-(SUMIF('BCE 2025'!A:A,DATOS!A76,'BCE 2025'!I:I))/1000</f>
        <v>32648.240899999997</v>
      </c>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46">
        <v>3</v>
      </c>
      <c r="B77" s="71" t="s">
        <v>117</v>
      </c>
      <c r="C77" s="72">
        <f>SUM(C78:C84)</f>
        <v>918566.96397000004</v>
      </c>
      <c r="D77" s="13"/>
      <c r="E77" s="72">
        <f>SUM(E78:E84)</f>
        <v>2133408.1756899999</v>
      </c>
      <c r="F77" s="13"/>
      <c r="G77" s="13"/>
      <c r="H77" s="13"/>
      <c r="I77" s="13"/>
      <c r="J77" s="13"/>
      <c r="K77" s="13"/>
      <c r="L77" s="13"/>
      <c r="M77" s="13"/>
      <c r="N77" s="13"/>
      <c r="O77" s="13"/>
      <c r="P77" s="13"/>
      <c r="Q77" s="13"/>
      <c r="R77" s="13"/>
      <c r="S77" s="13"/>
      <c r="T77" s="13"/>
      <c r="U77" s="13"/>
      <c r="V77" s="13"/>
      <c r="W77" s="13"/>
      <c r="X77" s="13"/>
      <c r="Y77" s="13"/>
      <c r="Z77" s="13"/>
    </row>
    <row r="78" spans="1:26" ht="15.75" customHeight="1" x14ac:dyDescent="0.25">
      <c r="A78" s="247">
        <v>31</v>
      </c>
      <c r="B78" s="73" t="s">
        <v>119</v>
      </c>
      <c r="C78" s="74">
        <f>-(SUMIF('BCE 2026'!A:A,DATOS!A78,'BCE 2026'!I:I))/1000</f>
        <v>500000</v>
      </c>
      <c r="D78" s="2"/>
      <c r="E78" s="74">
        <f>-(SUMIF('BCE 2025'!A:A,DATOS!A78,'BCE 2025'!I:I))/1000</f>
        <v>1737000</v>
      </c>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47">
        <v>32</v>
      </c>
      <c r="B79" s="73" t="s">
        <v>123</v>
      </c>
      <c r="C79" s="74">
        <f>-(SUMIF('BCE 2026'!A:A,DATOS!A79,'BCE 2026'!I:I))/1000</f>
        <v>0</v>
      </c>
      <c r="D79" s="2"/>
      <c r="E79" s="74">
        <f>-(SUMIF('BCE 2025'!A:A,DATOS!A79,'BCE 2025'!I:I))/1000</f>
        <v>0</v>
      </c>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47">
        <v>33</v>
      </c>
      <c r="B80" s="73" t="s">
        <v>125</v>
      </c>
      <c r="C80" s="74">
        <f>-(SUMIF('BCE 2026'!A:A,DATOS!A80,'BCE 2026'!I:I))/1000</f>
        <v>38039.917000000001</v>
      </c>
      <c r="D80" s="2"/>
      <c r="E80" s="74">
        <f>-(SUMIF('BCE 2025'!A:A,DATOS!A80,'BCE 2025'!I:I))/1000</f>
        <v>73934.517999999996</v>
      </c>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47">
        <v>37</v>
      </c>
      <c r="B81" s="73" t="s">
        <v>127</v>
      </c>
      <c r="C81" s="74"/>
      <c r="D81" s="2"/>
      <c r="E81" s="74"/>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47">
        <v>3705</v>
      </c>
      <c r="B82" s="73" t="s">
        <v>128</v>
      </c>
      <c r="C82" s="74">
        <f>-(SUMIF('BCE 2026'!A:A,DATOS!A82,'BCE 2026'!I:I))/1000</f>
        <v>380527.04697000002</v>
      </c>
      <c r="D82" s="2"/>
      <c r="E82" s="74">
        <f>-(SUMIF('BCE 2025'!A:A,DATOS!A82,'BCE 2025'!I:I))/1000</f>
        <v>379652.21477999998</v>
      </c>
      <c r="F82" s="2"/>
      <c r="G82" s="2"/>
      <c r="H82" s="2"/>
      <c r="I82" s="2"/>
      <c r="J82" s="2"/>
      <c r="K82" s="2"/>
      <c r="L82" s="2"/>
      <c r="M82" s="2"/>
      <c r="N82" s="2"/>
      <c r="O82" s="2"/>
      <c r="P82" s="2"/>
      <c r="Q82" s="2"/>
      <c r="R82" s="2"/>
      <c r="S82" s="2"/>
      <c r="T82" s="2"/>
      <c r="U82" s="2"/>
      <c r="V82" s="2"/>
      <c r="W82" s="2"/>
      <c r="X82" s="2"/>
      <c r="Y82" s="2"/>
      <c r="Z82" s="2"/>
    </row>
    <row r="83" spans="1:26" s="315" customFormat="1" ht="15.75" customHeight="1" x14ac:dyDescent="0.25">
      <c r="A83" s="247">
        <v>3710</v>
      </c>
      <c r="B83" s="73" t="s">
        <v>566</v>
      </c>
      <c r="C83" s="74">
        <f>-(SUMIF('BCE 2026'!A:A,DATOS!A83,'BCE 2026'!I:I))/1000</f>
        <v>0</v>
      </c>
      <c r="D83" s="2"/>
      <c r="E83" s="74">
        <f>-(SUMIF('BCE 2025'!A:A,DATOS!A83,'BCE 2025'!I:I))/1000</f>
        <v>-40142.464090000001</v>
      </c>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47">
        <v>3715</v>
      </c>
      <c r="B84" s="73" t="s">
        <v>129</v>
      </c>
      <c r="C84" s="74">
        <f>-(SUMIF('BCE 2026'!A:A,DATOS!A84,'BCE 2026'!I:I))/1000</f>
        <v>0</v>
      </c>
      <c r="D84" s="2"/>
      <c r="E84" s="74">
        <f>-(SUMIF('BCE 2025'!A:A,DATOS!A84,'BCE 2025'!I:I))/1000</f>
        <v>-17036.093000000001</v>
      </c>
      <c r="F84" s="2"/>
      <c r="G84" s="2"/>
      <c r="H84" s="2"/>
      <c r="I84" s="2"/>
      <c r="J84" s="2"/>
      <c r="K84" s="2"/>
      <c r="L84" s="2"/>
      <c r="M84" s="2"/>
      <c r="N84" s="2"/>
      <c r="O84" s="2"/>
      <c r="P84" s="2"/>
      <c r="Q84" s="2"/>
      <c r="R84" s="2"/>
      <c r="S84" s="2"/>
      <c r="T84" s="2"/>
      <c r="U84" s="2"/>
      <c r="V84" s="2"/>
      <c r="W84" s="2"/>
      <c r="X84" s="2"/>
      <c r="Y84" s="2"/>
      <c r="Z84" s="2"/>
    </row>
    <row r="85" spans="1:26" ht="15.75" customHeight="1" x14ac:dyDescent="0.25">
      <c r="A85" s="75"/>
      <c r="B85" s="75" t="s">
        <v>130</v>
      </c>
      <c r="C85" s="76">
        <f>+D89-D108-D164</f>
        <v>56988.014119999832</v>
      </c>
      <c r="D85" s="13"/>
      <c r="E85" s="76">
        <f>+G89-G108-G164</f>
        <v>32620.972100000596</v>
      </c>
      <c r="F85" s="13"/>
      <c r="G85" s="13"/>
      <c r="H85" s="13"/>
      <c r="I85" s="13"/>
      <c r="J85" s="13"/>
      <c r="K85" s="13"/>
      <c r="L85" s="13"/>
      <c r="M85" s="13"/>
      <c r="N85" s="13"/>
      <c r="O85" s="13"/>
      <c r="P85" s="13"/>
      <c r="Q85" s="13"/>
      <c r="R85" s="13"/>
      <c r="S85" s="13"/>
      <c r="T85" s="13"/>
      <c r="U85" s="13"/>
      <c r="V85" s="13"/>
      <c r="W85" s="13"/>
      <c r="X85" s="13"/>
      <c r="Y85" s="13"/>
      <c r="Z85" s="13"/>
    </row>
    <row r="86" spans="1:26" ht="15.75" customHeight="1" x14ac:dyDescent="0.25">
      <c r="A86" s="77"/>
      <c r="B86" s="77" t="s">
        <v>131</v>
      </c>
      <c r="C86" s="78">
        <f>+C4-C45-C77-C85</f>
        <v>212659.81759999972</v>
      </c>
      <c r="D86" s="13"/>
      <c r="E86" s="78">
        <f>+E4-E45-E77-E85</f>
        <v>3.1000026501715183E-4</v>
      </c>
      <c r="F86" s="13"/>
      <c r="G86" s="13"/>
      <c r="H86" s="13"/>
      <c r="I86" s="13"/>
      <c r="J86" s="13"/>
      <c r="K86" s="13"/>
      <c r="L86" s="13"/>
      <c r="M86" s="13"/>
      <c r="N86" s="13"/>
      <c r="O86" s="13"/>
      <c r="P86" s="13"/>
      <c r="Q86" s="13"/>
      <c r="R86" s="13"/>
      <c r="S86" s="13"/>
      <c r="T86" s="13"/>
      <c r="U86" s="13"/>
      <c r="V86" s="13"/>
      <c r="W86" s="13"/>
      <c r="X86" s="13"/>
      <c r="Y86" s="13"/>
      <c r="Z86" s="13"/>
    </row>
    <row r="87" spans="1:26" ht="15.75" customHeight="1" x14ac:dyDescent="0.3">
      <c r="A87" s="79"/>
      <c r="B87" s="79"/>
      <c r="C87" s="401">
        <f>+C3</f>
        <v>2025</v>
      </c>
      <c r="D87" s="402"/>
      <c r="E87" s="2"/>
      <c r="F87" s="401">
        <f>+E3</f>
        <v>2024</v>
      </c>
      <c r="G87" s="402"/>
      <c r="H87" s="2"/>
      <c r="I87" s="2"/>
      <c r="J87" s="2"/>
      <c r="K87" s="2"/>
      <c r="L87" s="2"/>
      <c r="M87" s="2"/>
      <c r="N87" s="2"/>
      <c r="O87" s="2"/>
      <c r="P87" s="2"/>
      <c r="Q87" s="2"/>
      <c r="R87" s="2"/>
      <c r="S87" s="2"/>
      <c r="T87" s="2"/>
      <c r="U87" s="2"/>
      <c r="V87" s="2"/>
      <c r="W87" s="2"/>
      <c r="X87" s="2"/>
      <c r="Y87" s="2"/>
      <c r="Z87" s="2"/>
    </row>
    <row r="88" spans="1:26" ht="15.75" customHeight="1" x14ac:dyDescent="0.25">
      <c r="A88" s="80"/>
      <c r="B88" s="81" t="s">
        <v>133</v>
      </c>
      <c r="C88" s="82" t="s">
        <v>15</v>
      </c>
      <c r="D88" s="83" t="s">
        <v>135</v>
      </c>
      <c r="E88" s="2"/>
      <c r="F88" s="82" t="s">
        <v>15</v>
      </c>
      <c r="G88" s="83" t="s">
        <v>135</v>
      </c>
      <c r="H88" s="2"/>
      <c r="I88" s="2"/>
      <c r="J88" s="2"/>
      <c r="K88" s="2"/>
      <c r="L88" s="2"/>
      <c r="M88" s="2"/>
      <c r="N88" s="2"/>
      <c r="O88" s="2"/>
      <c r="P88" s="2"/>
      <c r="Q88" s="2"/>
      <c r="R88" s="2"/>
      <c r="S88" s="2"/>
      <c r="T88" s="2"/>
      <c r="U88" s="2"/>
      <c r="V88" s="2"/>
      <c r="W88" s="2"/>
      <c r="X88" s="2"/>
      <c r="Y88" s="2"/>
      <c r="Z88" s="2"/>
    </row>
    <row r="89" spans="1:26" ht="15.75" customHeight="1" x14ac:dyDescent="0.25">
      <c r="A89" s="248">
        <v>4</v>
      </c>
      <c r="B89" s="84" t="s">
        <v>137</v>
      </c>
      <c r="C89" s="85">
        <f>+C90+C95+C104</f>
        <v>345674.31773999997</v>
      </c>
      <c r="D89" s="85">
        <f>+D90+D95+D104</f>
        <v>2130114.4354699999</v>
      </c>
      <c r="E89" s="13"/>
      <c r="F89" s="85">
        <f>+F90+F95+F104</f>
        <v>517464.44094</v>
      </c>
      <c r="G89" s="85">
        <f>+G90+G95+G104</f>
        <v>2950552.1883300003</v>
      </c>
      <c r="H89" s="13"/>
      <c r="I89" s="13"/>
      <c r="J89" s="13"/>
      <c r="K89" s="13"/>
      <c r="L89" s="13"/>
      <c r="M89" s="13"/>
      <c r="N89" s="13"/>
      <c r="O89" s="13"/>
      <c r="P89" s="13"/>
      <c r="Q89" s="13"/>
      <c r="R89" s="13"/>
      <c r="S89" s="13"/>
      <c r="T89" s="13"/>
      <c r="U89" s="13"/>
      <c r="V89" s="13"/>
      <c r="W89" s="13"/>
      <c r="X89" s="13"/>
      <c r="Y89" s="13"/>
      <c r="Z89" s="13"/>
    </row>
    <row r="90" spans="1:26" ht="15.75" customHeight="1" x14ac:dyDescent="0.25">
      <c r="A90" s="249">
        <v>41</v>
      </c>
      <c r="B90" s="86" t="s">
        <v>140</v>
      </c>
      <c r="C90" s="87">
        <f>+C91+C92-C93-C94</f>
        <v>343264.77039999998</v>
      </c>
      <c r="D90" s="87">
        <f>+D91+D92-D93-D94</f>
        <v>2116632.6376</v>
      </c>
      <c r="E90" s="13"/>
      <c r="F90" s="87">
        <f>+F91+F92-F93-F94</f>
        <v>515195.82876999996</v>
      </c>
      <c r="G90" s="87">
        <f>+G91+G92-G93-G94</f>
        <v>2938933.1080800002</v>
      </c>
      <c r="H90" s="13"/>
      <c r="I90" s="13"/>
      <c r="J90" s="13"/>
      <c r="K90" s="13"/>
      <c r="L90" s="13"/>
      <c r="M90" s="13"/>
      <c r="N90" s="13"/>
      <c r="O90" s="13"/>
      <c r="P90" s="13"/>
      <c r="Q90" s="13"/>
      <c r="R90" s="13"/>
      <c r="S90" s="13"/>
      <c r="T90" s="13"/>
      <c r="U90" s="13"/>
      <c r="V90" s="13"/>
      <c r="W90" s="13"/>
      <c r="X90" s="13"/>
      <c r="Y90" s="13"/>
      <c r="Z90" s="13"/>
    </row>
    <row r="91" spans="1:26" ht="15.75" customHeight="1" x14ac:dyDescent="0.25">
      <c r="A91" s="88" t="s">
        <v>1429</v>
      </c>
      <c r="B91" s="89" t="s">
        <v>143</v>
      </c>
      <c r="C91" s="90">
        <f>((SUMIF('BCE 2026'!A:A,DATOS!A91,'BCE 2026'!H:H))/1000)-((SUMIF('BCE 2026'!A:A,DATOS!A91,'BCE 2026'!G:G))/1000)</f>
        <v>0</v>
      </c>
      <c r="D91" s="90">
        <f>(-(SUMIF('BCE 2026'!A:A,DATOS!A91,'BCE 2026'!I:I))/1000)</f>
        <v>0</v>
      </c>
      <c r="E91" s="2"/>
      <c r="F91" s="90">
        <v>0</v>
      </c>
      <c r="G91" s="90">
        <v>0</v>
      </c>
      <c r="H91" s="2"/>
      <c r="I91" s="2"/>
      <c r="J91" s="2"/>
      <c r="K91" s="2"/>
      <c r="L91" s="2"/>
      <c r="M91" s="2"/>
      <c r="N91" s="2"/>
      <c r="O91" s="2"/>
      <c r="P91" s="2"/>
      <c r="Q91" s="2"/>
      <c r="R91" s="2"/>
      <c r="S91" s="2"/>
      <c r="T91" s="2"/>
      <c r="U91" s="2"/>
      <c r="V91" s="2"/>
      <c r="W91" s="2"/>
      <c r="X91" s="2"/>
      <c r="Y91" s="2"/>
      <c r="Z91" s="2"/>
    </row>
    <row r="92" spans="1:26" ht="15.75" customHeight="1" x14ac:dyDescent="0.25">
      <c r="A92" s="250">
        <v>4135</v>
      </c>
      <c r="B92" s="89" t="s">
        <v>145</v>
      </c>
      <c r="C92" s="90">
        <f>((SUMIF('BCE 2026'!A:A,DATOS!A92,'BCE 2026'!H:H))/1000)-((SUMIF('BCE 2026'!A:A,DATOS!A92,'BCE 2026'!G:G))/1000)</f>
        <v>344178.46739999996</v>
      </c>
      <c r="D92" s="90">
        <f>(-(SUMIF('BCE 2026'!A:A,DATOS!A92,'BCE 2026'!I:I))/1000)</f>
        <v>2120978.2415999998</v>
      </c>
      <c r="E92" s="2"/>
      <c r="F92" s="90">
        <f>((SUMIF('BCE 2025'!A:A,DATOS!A92,'BCE 2025'!H:H))/1000)-((SUMIF('BCE 2025'!A:A,DATOS!A92,'BCE 2025'!G:G))/1000)</f>
        <v>515898.98976999999</v>
      </c>
      <c r="G92" s="90">
        <f>(-(SUMIF('BCE 2025'!A:A,DATOS!A92,'BCE 2025'!I:I))/1000)</f>
        <v>2943371.6668000002</v>
      </c>
      <c r="H92" s="2"/>
      <c r="I92" s="2"/>
      <c r="J92" s="2"/>
      <c r="K92" s="2"/>
      <c r="L92" s="2"/>
      <c r="M92" s="2"/>
      <c r="N92" s="2"/>
      <c r="O92" s="2"/>
      <c r="P92" s="2"/>
      <c r="Q92" s="2"/>
      <c r="R92" s="2"/>
      <c r="S92" s="2"/>
      <c r="T92" s="2"/>
      <c r="U92" s="2"/>
      <c r="V92" s="2"/>
      <c r="W92" s="2"/>
      <c r="X92" s="2"/>
      <c r="Y92" s="2"/>
      <c r="Z92" s="2"/>
    </row>
    <row r="93" spans="1:26" ht="15.75" customHeight="1" x14ac:dyDescent="0.25">
      <c r="A93" s="251">
        <v>4175</v>
      </c>
      <c r="B93" s="92" t="s">
        <v>148</v>
      </c>
      <c r="C93" s="93">
        <v>0</v>
      </c>
      <c r="D93" s="93">
        <v>0</v>
      </c>
      <c r="E93" s="2"/>
      <c r="F93" s="93">
        <v>0</v>
      </c>
      <c r="G93" s="93">
        <v>0</v>
      </c>
      <c r="H93" s="2"/>
      <c r="I93" s="2"/>
      <c r="J93" s="2"/>
      <c r="K93" s="2"/>
      <c r="L93" s="2"/>
      <c r="M93" s="2"/>
      <c r="N93" s="2"/>
      <c r="O93" s="2"/>
      <c r="P93" s="2"/>
      <c r="Q93" s="2"/>
      <c r="R93" s="2"/>
      <c r="S93" s="2"/>
      <c r="T93" s="2"/>
      <c r="U93" s="2"/>
      <c r="V93" s="2"/>
      <c r="W93" s="2"/>
      <c r="X93" s="2"/>
      <c r="Y93" s="2"/>
      <c r="Z93" s="2"/>
    </row>
    <row r="94" spans="1:26" ht="15.75" customHeight="1" x14ac:dyDescent="0.25">
      <c r="A94" s="251">
        <v>4175</v>
      </c>
      <c r="B94" s="92" t="s">
        <v>148</v>
      </c>
      <c r="C94" s="93">
        <f>((SUMIF('BCE 2026'!A:A,DATOS!A94,'BCE 2026'!G:G))/1000)-((SUMIF('BCE 2026'!A:A,DATOS!A94,'BCE 2026'!H:H))/1000)</f>
        <v>913.697</v>
      </c>
      <c r="D94" s="93">
        <f>(SUMIF('BCE 2026'!A:A,DATOS!A94,'BCE 2026'!I:I))/1000</f>
        <v>4345.6040000000003</v>
      </c>
      <c r="E94" s="2"/>
      <c r="F94" s="93">
        <f>((SUMIF('BCE 2025'!A:A,DATOS!A94,'BCE 2025'!G:G))/1000)-((SUMIF('BCE 2025'!A:A,DATOS!A94,'BCE 2025'!H:H))/1000)</f>
        <v>703.16099999999994</v>
      </c>
      <c r="G94" s="93">
        <f>(SUMIF('BCE 2025'!A:A,DATOS!A94,'BCE 2025'!I:I))/1000</f>
        <v>4438.55872</v>
      </c>
      <c r="H94" s="2"/>
      <c r="I94" s="2"/>
      <c r="J94" s="2"/>
      <c r="K94" s="2"/>
      <c r="L94" s="2"/>
      <c r="M94" s="2"/>
      <c r="N94" s="2"/>
      <c r="O94" s="2"/>
      <c r="P94" s="2"/>
      <c r="Q94" s="2"/>
      <c r="R94" s="2"/>
      <c r="S94" s="2"/>
      <c r="T94" s="2"/>
      <c r="U94" s="2"/>
      <c r="V94" s="2"/>
      <c r="W94" s="2"/>
      <c r="X94" s="2"/>
      <c r="Y94" s="2"/>
      <c r="Z94" s="2"/>
    </row>
    <row r="95" spans="1:26" ht="15.75" customHeight="1" x14ac:dyDescent="0.25">
      <c r="A95" s="249">
        <v>42</v>
      </c>
      <c r="B95" s="86" t="s">
        <v>150</v>
      </c>
      <c r="C95" s="87">
        <f>SUM(C96:C103)</f>
        <v>2043.6519999999998</v>
      </c>
      <c r="D95" s="87">
        <f>SUM(D96:D103)</f>
        <v>11029.21672</v>
      </c>
      <c r="E95" s="13"/>
      <c r="F95" s="87">
        <f>SUM(F96:F103)</f>
        <v>1944.1296499999999</v>
      </c>
      <c r="G95" s="87">
        <f>SUM(G96:G103)</f>
        <v>9958.08007</v>
      </c>
      <c r="H95" s="13"/>
      <c r="I95" s="13"/>
      <c r="J95" s="13"/>
      <c r="K95" s="13"/>
      <c r="L95" s="13"/>
      <c r="M95" s="13"/>
      <c r="N95" s="13"/>
      <c r="O95" s="13"/>
      <c r="P95" s="13"/>
      <c r="Q95" s="13"/>
      <c r="R95" s="13"/>
      <c r="S95" s="13"/>
      <c r="T95" s="13"/>
      <c r="U95" s="13"/>
      <c r="V95" s="13"/>
      <c r="W95" s="13"/>
      <c r="X95" s="13"/>
      <c r="Y95" s="13"/>
      <c r="Z95" s="13"/>
    </row>
    <row r="96" spans="1:26" ht="15.75" customHeight="1" x14ac:dyDescent="0.25">
      <c r="A96" s="250">
        <v>4245</v>
      </c>
      <c r="B96" s="89" t="s">
        <v>152</v>
      </c>
      <c r="C96" s="90">
        <f>((SUMIF('BCE 2026'!A:A,DATOS!A96,'BCE 2026'!H:H))/1000)-((SUMIF('BCE 2026'!A:A,DATOS!A96,'BCE 2026'!G:G))/1000)</f>
        <v>0</v>
      </c>
      <c r="D96" s="90">
        <f>(-(SUMIF('BCE 2026'!A:A,DATOS!A96,'BCE 2026'!I:I))/1000)</f>
        <v>0</v>
      </c>
      <c r="E96" s="2"/>
      <c r="F96" s="90">
        <f>((SUMIF('BCE 2025'!A:A,DATOS!A96,'BCE 2025'!H:H))/1000)-((SUMIF('BCE 2025'!A:A,DATOS!A96,'BCE 2025'!G:G))/1000)</f>
        <v>0</v>
      </c>
      <c r="G96" s="90">
        <f>(-(SUMIF('BCE 2025'!A:A,DATOS!A96,'BCE 2025'!I:I))/1000)</f>
        <v>0</v>
      </c>
      <c r="H96" s="2"/>
      <c r="I96" s="2"/>
      <c r="J96" s="2"/>
      <c r="K96" s="2"/>
      <c r="L96" s="2"/>
      <c r="M96" s="2"/>
      <c r="N96" s="2"/>
      <c r="O96" s="2"/>
      <c r="P96" s="2"/>
      <c r="Q96" s="2"/>
      <c r="R96" s="2"/>
      <c r="S96" s="2"/>
      <c r="T96" s="2"/>
      <c r="U96" s="2"/>
      <c r="V96" s="2"/>
      <c r="W96" s="2"/>
      <c r="X96" s="2"/>
      <c r="Y96" s="2"/>
      <c r="Z96" s="2"/>
    </row>
    <row r="97" spans="1:26" ht="15.75" customHeight="1" x14ac:dyDescent="0.25">
      <c r="A97" s="250">
        <v>4220</v>
      </c>
      <c r="B97" s="89" t="s">
        <v>154</v>
      </c>
      <c r="C97" s="90">
        <f>((SUMIF('BCE 2026'!A:A,DATOS!A97,'BCE 2026'!H:H))/1000)-((SUMIF('BCE 2026'!A:A,DATOS!A97,'BCE 2026'!G:G))/1000)</f>
        <v>0</v>
      </c>
      <c r="D97" s="90">
        <f>(-(SUMIF('BCE 2026'!A:A,DATOS!A97,'BCE 2026'!I:I))/1000)</f>
        <v>0</v>
      </c>
      <c r="E97" s="2"/>
      <c r="F97" s="90">
        <f>((SUMIF('BCE 2025'!A:A,DATOS!A97,'BCE 2025'!H:H))/1000)-((SUMIF('BCE 2025'!A:A,DATOS!A97,'BCE 2025'!G:G))/1000)</f>
        <v>0</v>
      </c>
      <c r="G97" s="90">
        <f>(-(SUMIF('BCE 2025'!A:A,DATOS!A97,'BCE 2025'!I:I))/1000)</f>
        <v>0</v>
      </c>
      <c r="H97" s="2"/>
      <c r="I97" s="2"/>
      <c r="J97" s="2"/>
      <c r="K97" s="2"/>
      <c r="L97" s="2"/>
      <c r="M97" s="2"/>
      <c r="N97" s="2"/>
      <c r="O97" s="2"/>
      <c r="P97" s="2"/>
      <c r="Q97" s="2"/>
      <c r="R97" s="2"/>
      <c r="S97" s="2"/>
      <c r="T97" s="2"/>
      <c r="U97" s="2"/>
      <c r="V97" s="2"/>
      <c r="W97" s="2"/>
      <c r="X97" s="2"/>
      <c r="Y97" s="2"/>
      <c r="Z97" s="2"/>
    </row>
    <row r="98" spans="1:26" ht="15.75" customHeight="1" x14ac:dyDescent="0.25">
      <c r="A98" s="250">
        <v>4225</v>
      </c>
      <c r="B98" s="89" t="s">
        <v>157</v>
      </c>
      <c r="C98" s="90">
        <f>((SUMIF('BCE 2026'!A:A,DATOS!A98,'BCE 2026'!H:H))/1000)-((SUMIF('BCE 2026'!A:A,DATOS!A98,'BCE 2026'!G:G))/1000)</f>
        <v>0</v>
      </c>
      <c r="D98" s="90">
        <f>(-(SUMIF('BCE 2026'!A:A,DATOS!A98,'BCE 2026'!I:I))/1000)</f>
        <v>0</v>
      </c>
      <c r="E98" s="2"/>
      <c r="F98" s="90">
        <f>((SUMIF('BCE 2025'!A:A,DATOS!A98,'BCE 2025'!H:H))/1000)-((SUMIF('BCE 2025'!A:A,DATOS!A98,'BCE 2025'!G:G))/1000)</f>
        <v>0</v>
      </c>
      <c r="G98" s="90">
        <f>(-(SUMIF('BCE 2025'!A:A,DATOS!A98,'BCE 2025'!I:I))/1000)</f>
        <v>0</v>
      </c>
      <c r="H98" s="2"/>
      <c r="I98" s="2"/>
      <c r="J98" s="2"/>
      <c r="K98" s="2"/>
      <c r="L98" s="2"/>
      <c r="M98" s="2"/>
      <c r="N98" s="2"/>
      <c r="O98" s="2"/>
      <c r="P98" s="2"/>
      <c r="Q98" s="2"/>
      <c r="R98" s="2"/>
      <c r="S98" s="2"/>
      <c r="T98" s="2"/>
      <c r="U98" s="2"/>
      <c r="V98" s="2"/>
      <c r="W98" s="2"/>
      <c r="X98" s="2"/>
      <c r="Y98" s="2"/>
      <c r="Z98" s="2"/>
    </row>
    <row r="99" spans="1:26" ht="15.75" customHeight="1" x14ac:dyDescent="0.25">
      <c r="A99" s="250">
        <v>4230</v>
      </c>
      <c r="B99" s="89" t="s">
        <v>159</v>
      </c>
      <c r="C99" s="90">
        <f>((SUMIF('BCE 2026'!A:A,DATOS!A99,'BCE 2026'!H:H))/1000)-((SUMIF('BCE 2026'!A:A,DATOS!A99,'BCE 2026'!G:G))/1000)</f>
        <v>0</v>
      </c>
      <c r="D99" s="90">
        <f>(-(SUMIF('BCE 2026'!A:A,DATOS!A99,'BCE 2026'!I:I))/1000)</f>
        <v>0</v>
      </c>
      <c r="E99" s="2"/>
      <c r="F99" s="90">
        <f>((SUMIF('BCE 2025'!A:A,DATOS!A99,'BCE 2025'!H:H))/1000)-((SUMIF('BCE 2025'!A:A,DATOS!A99,'BCE 2025'!G:G))/1000)</f>
        <v>0</v>
      </c>
      <c r="G99" s="90">
        <f>(-(SUMIF('BCE 2025'!A:A,DATOS!A99,'BCE 2025'!I:I))/1000)</f>
        <v>0</v>
      </c>
      <c r="H99" s="2"/>
      <c r="I99" s="2"/>
      <c r="J99" s="2"/>
      <c r="K99" s="2"/>
      <c r="L99" s="2"/>
      <c r="M99" s="2"/>
      <c r="N99" s="2"/>
      <c r="O99" s="2"/>
      <c r="P99" s="2"/>
      <c r="Q99" s="2"/>
      <c r="R99" s="2"/>
      <c r="S99" s="2"/>
      <c r="T99" s="2"/>
      <c r="U99" s="2"/>
      <c r="V99" s="2"/>
      <c r="W99" s="2"/>
      <c r="X99" s="2"/>
      <c r="Y99" s="2"/>
      <c r="Z99" s="2"/>
    </row>
    <row r="100" spans="1:26" ht="15.75" customHeight="1" x14ac:dyDescent="0.25">
      <c r="A100" s="250">
        <v>4235</v>
      </c>
      <c r="B100" s="89" t="s">
        <v>162</v>
      </c>
      <c r="C100" s="90">
        <f>((SUMIF('BCE 2026'!A:A,DATOS!A100,'BCE 2026'!H:H))/1000)-((SUMIF('BCE 2026'!A:A,DATOS!A100,'BCE 2026'!G:G))/1000)</f>
        <v>0</v>
      </c>
      <c r="D100" s="90">
        <f>(-(SUMIF('BCE 2026'!A:A,DATOS!A100,'BCE 2026'!I:I))/1000)</f>
        <v>16.806720000000002</v>
      </c>
      <c r="E100" s="2"/>
      <c r="F100" s="90">
        <f>((SUMIF('BCE 2025'!A:A,DATOS!A100,'BCE 2025'!H:H))/1000)-((SUMIF('BCE 2025'!A:A,DATOS!A100,'BCE 2025'!G:G))/1000)</f>
        <v>1421.3146499999998</v>
      </c>
      <c r="G100" s="90">
        <f>(-(SUMIF('BCE 2025'!A:A,DATOS!A100,'BCE 2025'!I:I))/1000)</f>
        <v>4160.5028199999997</v>
      </c>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50">
        <v>4250</v>
      </c>
      <c r="B101" s="89" t="s">
        <v>164</v>
      </c>
      <c r="C101" s="90">
        <f>((SUMIF('BCE 2026'!A:A,DATOS!A101,'BCE 2026'!H:H))/1000)-((SUMIF('BCE 2026'!A:A,DATOS!A101,'BCE 2026'!G:G))/1000)</f>
        <v>2.35</v>
      </c>
      <c r="D101" s="90">
        <f>(-(SUMIF('BCE 2026'!A:A,DATOS!A101,'BCE 2026'!I:I))/1000)</f>
        <v>13.847</v>
      </c>
      <c r="E101" s="2"/>
      <c r="F101" s="90">
        <f>((SUMIF('BCE 2025'!A:A,DATOS!A101,'BCE 2025'!H:H))/1000)-((SUMIF('BCE 2025'!A:A,DATOS!A101,'BCE 2025'!G:G))/1000)</f>
        <v>3.6</v>
      </c>
      <c r="G101" s="90">
        <f>(-(SUMIF('BCE 2025'!A:A,DATOS!A101,'BCE 2025'!I:I))/1000)</f>
        <v>19.562999999999999</v>
      </c>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50">
        <v>4255</v>
      </c>
      <c r="B102" s="89" t="s">
        <v>168</v>
      </c>
      <c r="C102" s="90">
        <f>((SUMIF('BCE 2026'!A:A,DATOS!A102,'BCE 2026'!H:H))/1000)-((SUMIF('BCE 2026'!A:A,DATOS!A102,'BCE 2026'!G:G))/1000)</f>
        <v>1587.204</v>
      </c>
      <c r="D102" s="90">
        <f>(-(SUMIF('BCE 2026'!A:A,DATOS!A102,'BCE 2026'!I:I))/1000)</f>
        <v>7831.45</v>
      </c>
      <c r="E102" s="2"/>
      <c r="F102" s="90">
        <f>((SUMIF('BCE 2025'!A:A,DATOS!A102,'BCE 2025'!H:H))/1000)-((SUMIF('BCE 2025'!A:A,DATOS!A102,'BCE 2025'!G:G))/1000)</f>
        <v>0</v>
      </c>
      <c r="G102" s="90">
        <f>(-(SUMIF('BCE 2025'!A:A,DATOS!A102,'BCE 2025'!I:I))/1000)</f>
        <v>1051.249</v>
      </c>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50">
        <v>4295</v>
      </c>
      <c r="B103" s="89" t="s">
        <v>172</v>
      </c>
      <c r="C103" s="90">
        <f>((SUMIF('BCE 2026'!A:A,DATOS!A103,'BCE 2026'!H:H))/1000)-((SUMIF('BCE 2026'!A:A,DATOS!A103,'BCE 2026'!G:G))/1000)</f>
        <v>454.09800000000001</v>
      </c>
      <c r="D103" s="90">
        <f>(-(SUMIF('BCE 2026'!A:A,DATOS!A103,'BCE 2026'!I:I))/1000)</f>
        <v>3167.1129999999998</v>
      </c>
      <c r="E103" s="2"/>
      <c r="F103" s="90">
        <f>((SUMIF('BCE 2025'!A:A,DATOS!A103,'BCE 2025'!H:H))/1000)-((SUMIF('BCE 2025'!A:A,DATOS!A103,'BCE 2025'!G:G))/1000)</f>
        <v>519.21500000000003</v>
      </c>
      <c r="G103" s="90">
        <f>(-(SUMIF('BCE 2025'!A:A,DATOS!A103,'BCE 2025'!I:I))/1000)</f>
        <v>4726.7652500000004</v>
      </c>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52">
        <v>43</v>
      </c>
      <c r="B104" s="98" t="s">
        <v>175</v>
      </c>
      <c r="C104" s="100">
        <f>SUM(C105:C107)</f>
        <v>365.89534000000003</v>
      </c>
      <c r="D104" s="100">
        <f>SUM(D105:D107)</f>
        <v>2452.58115</v>
      </c>
      <c r="F104" s="100">
        <f>SUM(F105:F107)</f>
        <v>324.48252000000002</v>
      </c>
      <c r="G104" s="100">
        <f>SUM(G105:G107)</f>
        <v>1661.00018</v>
      </c>
      <c r="H104" s="13"/>
      <c r="I104" s="13"/>
      <c r="J104" s="13"/>
      <c r="K104" s="13"/>
      <c r="L104" s="13"/>
      <c r="M104" s="13"/>
      <c r="N104" s="13"/>
      <c r="O104" s="13"/>
      <c r="P104" s="13"/>
      <c r="Q104" s="13"/>
      <c r="R104" s="13"/>
      <c r="S104" s="13"/>
      <c r="T104" s="13"/>
      <c r="U104" s="13"/>
      <c r="V104" s="13"/>
      <c r="W104" s="13"/>
      <c r="X104" s="13"/>
      <c r="Y104" s="13"/>
      <c r="Z104" s="13"/>
    </row>
    <row r="105" spans="1:26" ht="15.75" customHeight="1" x14ac:dyDescent="0.25">
      <c r="A105" s="251">
        <v>431005</v>
      </c>
      <c r="B105" s="92" t="s">
        <v>176</v>
      </c>
      <c r="C105" s="93">
        <f>(((SUMIF('BCE 2026'!A:A,DATOS!A105,'BCE 2026'!H:H))/1000)-((SUMIF('BCE 2026'!A:A,DATOS!A105,'BCE 2026'!G:G))/1000))/2</f>
        <v>304.56834000000003</v>
      </c>
      <c r="D105" s="93">
        <f>(-(SUMIF('BCE 2026'!A:A,DATOS!A105,'BCE 2026'!I:I))/1000)/2</f>
        <v>1599.70615</v>
      </c>
      <c r="E105" s="2"/>
      <c r="F105" s="93">
        <f>(((SUMIF('BCE 2025'!A:A,DATOS!A105,'BCE 2025'!H:H))/1000)-((SUMIF('BCE 2025'!A:A,DATOS!A105,'BCE 2025'!G:G))/1000))/2</f>
        <v>216.68452000000002</v>
      </c>
      <c r="G105" s="93">
        <f>(-(SUMIF('BCE 2025'!A:A,DATOS!A105,'BCE 2025'!I:I))/1000)/2</f>
        <v>1152.49218</v>
      </c>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51">
        <v>431040</v>
      </c>
      <c r="B106" s="92" t="s">
        <v>179</v>
      </c>
      <c r="C106" s="93">
        <f>(((SUMIF('BCE 2026'!A:A,DATOS!A106,'BCE 2026'!H:H))/1000)-((SUMIF('BCE 2026'!A:A,DATOS!A106,'BCE 2026'!G:G))/1000))/2</f>
        <v>61.326999999999998</v>
      </c>
      <c r="D106" s="93">
        <f>(-(SUMIF('BCE 2026'!A:A,DATOS!A106,'BCE 2026'!I:I))/1000)/2</f>
        <v>852.875</v>
      </c>
      <c r="E106" s="2"/>
      <c r="F106" s="93">
        <f>(((SUMIF('BCE 2025'!A:A,DATOS!A106,'BCE 2025'!H:H))/1000)-((SUMIF('BCE 2025'!A:A,DATOS!A106,'BCE 2025'!G:G))/1000))/2</f>
        <v>107.798</v>
      </c>
      <c r="G106" s="93">
        <f>(-(SUMIF('BCE 2025'!A:A,DATOS!A106,'BCE 2025'!I:I))/1000)/2</f>
        <v>508.50799999999998</v>
      </c>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51">
        <v>431045</v>
      </c>
      <c r="B107" s="92" t="s">
        <v>181</v>
      </c>
      <c r="C107" s="93">
        <f>(((SUMIF('BCE 2026'!A:A,DATOS!A107,'BCE 2026'!H:H))/1000)-((SUMIF('BCE 2026'!A:A,DATOS!A107,'BCE 2026'!G:G))/1000))/2</f>
        <v>0</v>
      </c>
      <c r="D107" s="93">
        <f>(-(SUMIF('BCE 2026'!A:A,DATOS!A107,'BCE 2026'!I:I))/1000)/2</f>
        <v>0</v>
      </c>
      <c r="E107" s="2"/>
      <c r="F107" s="93">
        <f>(((SUMIF('BCE 2025'!A:A,DATOS!A107,'BCE 2025'!H:H))/1000)-((SUMIF('BCE 2025'!A:A,DATOS!A107,'BCE 2025'!G:G))/1000))/2</f>
        <v>0</v>
      </c>
      <c r="G107" s="93">
        <f>(-(SUMIF('BCE 2025'!A:A,DATOS!A107,'BCE 2025'!I:I))/1000)/2</f>
        <v>0</v>
      </c>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49">
        <v>5</v>
      </c>
      <c r="B108" s="86" t="s">
        <v>182</v>
      </c>
      <c r="C108" s="87">
        <f>+C109+C125+C147+C155+C159</f>
        <v>183465.61063499999</v>
      </c>
      <c r="D108" s="87">
        <f>+D109+D125+D147+D155+D159</f>
        <v>1116574.58235</v>
      </c>
      <c r="F108" s="87">
        <f>+F109+F125+F147+F155+F159</f>
        <v>300003.17870500003</v>
      </c>
      <c r="G108" s="87">
        <f>+G109+G125+G147+G155+G159</f>
        <v>1676866.2732299997</v>
      </c>
      <c r="H108" s="13"/>
      <c r="I108" s="13"/>
      <c r="J108" s="13"/>
      <c r="K108" s="13"/>
      <c r="L108" s="13"/>
      <c r="M108" s="13"/>
      <c r="N108" s="13"/>
      <c r="O108" s="13"/>
      <c r="P108" s="13"/>
      <c r="Q108" s="13"/>
      <c r="R108" s="13"/>
      <c r="S108" s="13"/>
      <c r="T108" s="13"/>
      <c r="U108" s="13"/>
      <c r="V108" s="13"/>
      <c r="W108" s="13"/>
      <c r="X108" s="13"/>
      <c r="Y108" s="13"/>
      <c r="Z108" s="13"/>
    </row>
    <row r="109" spans="1:26" ht="15.75" customHeight="1" x14ac:dyDescent="0.25">
      <c r="A109" s="253">
        <v>51</v>
      </c>
      <c r="B109" s="105" t="s">
        <v>183</v>
      </c>
      <c r="C109" s="108">
        <f>SUM(C110:C124)</f>
        <v>0</v>
      </c>
      <c r="D109" s="108">
        <f>SUM(D110:D124)</f>
        <v>0</v>
      </c>
      <c r="E109" s="13"/>
      <c r="F109" s="108">
        <f>SUM(F110:F124)</f>
        <v>0</v>
      </c>
      <c r="G109" s="108">
        <f>SUM(G110:G124)</f>
        <v>0</v>
      </c>
      <c r="H109" s="13"/>
      <c r="I109" s="13"/>
      <c r="J109" s="13"/>
      <c r="K109" s="13"/>
      <c r="L109" s="13"/>
      <c r="M109" s="13"/>
      <c r="N109" s="13"/>
      <c r="O109" s="13"/>
      <c r="P109" s="13"/>
      <c r="Q109" s="13"/>
      <c r="R109" s="13"/>
      <c r="S109" s="13"/>
      <c r="T109" s="13"/>
      <c r="U109" s="13"/>
      <c r="V109" s="13"/>
      <c r="W109" s="13"/>
      <c r="X109" s="13"/>
      <c r="Y109" s="13"/>
      <c r="Z109" s="13"/>
    </row>
    <row r="110" spans="1:26" ht="15.75" customHeight="1" x14ac:dyDescent="0.25">
      <c r="A110" s="254">
        <v>5104</v>
      </c>
      <c r="B110" s="111" t="s">
        <v>185</v>
      </c>
      <c r="C110" s="113">
        <f>((SUMIF('BCE 2026'!A:A,DATOS!A110,'BCE 2026'!G:G))/1000)-((SUMIF('BCE 2026'!A:A,DATOS!A110,'BCE 2026'!H:H))/1000)</f>
        <v>0</v>
      </c>
      <c r="D110" s="113">
        <f>(SUMIF('BCE 2026'!A:A,DATOS!A110,'BCE 2026'!I:I))/1000</f>
        <v>0</v>
      </c>
      <c r="E110" s="2"/>
      <c r="F110" s="113">
        <f>((SUMIF('BCE 2025'!A:A,DATOS!A110,'BCE 2025'!G:G))/1000)-((SUMIF('BCE 2025'!A:A,DATOS!A110,'BCE 2025'!H:H))/1000)</f>
        <v>0</v>
      </c>
      <c r="G110" s="113">
        <f>(SUMIF('BCE 2025'!A:A,DATOS!A110,'BCE 2025'!I:I))/1000</f>
        <v>0</v>
      </c>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54">
        <v>5105</v>
      </c>
      <c r="B111" s="111" t="s">
        <v>187</v>
      </c>
      <c r="C111" s="113">
        <f>((SUMIF('BCE 2026'!A:A,DATOS!A111,'BCE 2026'!G:G))/1000)-((SUMIF('BCE 2026'!A:A,DATOS!A111,'BCE 2026'!H:H))/1000)</f>
        <v>0</v>
      </c>
      <c r="D111" s="113">
        <f>(SUMIF('BCE 2026'!A:A,DATOS!A111,'BCE 2026'!I:I))/1000</f>
        <v>0</v>
      </c>
      <c r="E111" s="2"/>
      <c r="F111" s="113">
        <f>((SUMIF('BCE 2025'!A:A,DATOS!A111,'BCE 2025'!G:G))/1000)-((SUMIF('BCE 2025'!A:A,DATOS!A111,'BCE 2025'!H:H))/1000)</f>
        <v>0</v>
      </c>
      <c r="G111" s="113">
        <f>(SUMIF('BCE 2025'!A:A,DATOS!A111,'BCE 2025'!I:I))/1000</f>
        <v>0</v>
      </c>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54">
        <v>5110</v>
      </c>
      <c r="B112" s="111" t="s">
        <v>188</v>
      </c>
      <c r="C112" s="113">
        <f>((SUMIF('BCE 2026'!A:A,DATOS!A112,'BCE 2026'!G:G))/1000)-((SUMIF('BCE 2026'!A:A,DATOS!A112,'BCE 2026'!H:H))/1000)</f>
        <v>0</v>
      </c>
      <c r="D112" s="113">
        <f>(SUMIF('BCE 2026'!A:A,DATOS!A112,'BCE 2026'!I:I))/1000</f>
        <v>0</v>
      </c>
      <c r="E112" s="2"/>
      <c r="F112" s="113">
        <f>((SUMIF('BCE 2025'!A:A,DATOS!A112,'BCE 2025'!G:G))/1000)-((SUMIF('BCE 2025'!A:A,DATOS!A112,'BCE 2025'!H:H))/1000)</f>
        <v>0</v>
      </c>
      <c r="G112" s="113">
        <f>(SUMIF('BCE 2025'!A:A,DATOS!A112,'BCE 2025'!I:I))/1000</f>
        <v>0</v>
      </c>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54">
        <v>5115</v>
      </c>
      <c r="B113" s="111" t="s">
        <v>189</v>
      </c>
      <c r="C113" s="113">
        <f>((SUMIF('BCE 2026'!A:A,DATOS!A113,'BCE 2026'!G:G))/1000)-((SUMIF('BCE 2026'!A:A,DATOS!A113,'BCE 2026'!H:H))/1000)</f>
        <v>0</v>
      </c>
      <c r="D113" s="113">
        <f>(SUMIF('BCE 2026'!A:A,DATOS!A113,'BCE 2026'!I:I))/1000</f>
        <v>0</v>
      </c>
      <c r="E113" s="2"/>
      <c r="F113" s="113">
        <f>((SUMIF('BCE 2025'!A:A,DATOS!A113,'BCE 2025'!G:G))/1000)-((SUMIF('BCE 2025'!A:A,DATOS!A113,'BCE 2025'!H:H))/1000)</f>
        <v>0</v>
      </c>
      <c r="G113" s="113">
        <f>(SUMIF('BCE 2025'!A:A,DATOS!A113,'BCE 2025'!I:I))/1000</f>
        <v>0</v>
      </c>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54">
        <v>5120</v>
      </c>
      <c r="B114" s="111" t="s">
        <v>190</v>
      </c>
      <c r="C114" s="113">
        <f>((SUMIF('BCE 2026'!A:A,DATOS!A114,'BCE 2026'!G:G))/1000)-((SUMIF('BCE 2026'!A:A,DATOS!A114,'BCE 2026'!H:H))/1000)</f>
        <v>0</v>
      </c>
      <c r="D114" s="113">
        <f>(SUMIF('BCE 2026'!A:A,DATOS!A114,'BCE 2026'!I:I))/1000</f>
        <v>0</v>
      </c>
      <c r="E114" s="2"/>
      <c r="F114" s="113">
        <f>((SUMIF('BCE 2025'!A:A,DATOS!A114,'BCE 2025'!G:G))/1000)-((SUMIF('BCE 2025'!A:A,DATOS!A114,'BCE 2025'!H:H))/1000)</f>
        <v>0</v>
      </c>
      <c r="G114" s="113">
        <f>(SUMIF('BCE 2025'!A:A,DATOS!A114,'BCE 2025'!I:I))/1000</f>
        <v>0</v>
      </c>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54">
        <v>5125</v>
      </c>
      <c r="B115" s="111" t="s">
        <v>191</v>
      </c>
      <c r="C115" s="113">
        <f>((SUMIF('BCE 2026'!A:A,DATOS!A115,'BCE 2026'!G:G))/1000)-((SUMIF('BCE 2026'!A:A,DATOS!A115,'BCE 2026'!H:H))/1000)</f>
        <v>0</v>
      </c>
      <c r="D115" s="113">
        <f>(SUMIF('BCE 2026'!A:A,DATOS!A115,'BCE 2026'!I:I))/1000</f>
        <v>0</v>
      </c>
      <c r="E115" s="2"/>
      <c r="F115" s="113">
        <f>((SUMIF('BCE 2025'!A:A,DATOS!A115,'BCE 2025'!G:G))/1000)-((SUMIF('BCE 2025'!A:A,DATOS!A115,'BCE 2025'!H:H))/1000)</f>
        <v>0</v>
      </c>
      <c r="G115" s="113">
        <f>(SUMIF('BCE 2025'!A:A,DATOS!A115,'BCE 2025'!I:I))/1000</f>
        <v>0</v>
      </c>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54">
        <v>5130</v>
      </c>
      <c r="B116" s="111" t="s">
        <v>192</v>
      </c>
      <c r="C116" s="113">
        <f>((SUMIF('BCE 2026'!A:A,DATOS!A116,'BCE 2026'!G:G))/1000)-((SUMIF('BCE 2026'!A:A,DATOS!A116,'BCE 2026'!H:H))/1000)</f>
        <v>0</v>
      </c>
      <c r="D116" s="113">
        <f>(SUMIF('BCE 2026'!A:A,DATOS!A116,'BCE 2026'!I:I))/1000</f>
        <v>0</v>
      </c>
      <c r="E116" s="2"/>
      <c r="F116" s="113">
        <f>((SUMIF('BCE 2025'!A:A,DATOS!A116,'BCE 2025'!G:G))/1000)-((SUMIF('BCE 2025'!A:A,DATOS!A116,'BCE 2025'!H:H))/1000)</f>
        <v>0</v>
      </c>
      <c r="G116" s="113">
        <f>(SUMIF('BCE 2025'!A:A,DATOS!A116,'BCE 2025'!I:I))/1000</f>
        <v>0</v>
      </c>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54">
        <v>5135</v>
      </c>
      <c r="B117" s="111" t="s">
        <v>193</v>
      </c>
      <c r="C117" s="113">
        <f>((SUMIF('BCE 2026'!A:A,DATOS!A117,'BCE 2026'!G:G))/1000)-((SUMIF('BCE 2026'!A:A,DATOS!A117,'BCE 2026'!H:H))/1000)</f>
        <v>0</v>
      </c>
      <c r="D117" s="113">
        <f>(SUMIF('BCE 2026'!A:A,DATOS!A117,'BCE 2026'!I:I))/1000</f>
        <v>0</v>
      </c>
      <c r="E117" s="2"/>
      <c r="F117" s="113">
        <f>((SUMIF('BCE 2025'!A:A,DATOS!A117,'BCE 2025'!G:G))/1000)-((SUMIF('BCE 2025'!A:A,DATOS!A117,'BCE 2025'!H:H))/1000)</f>
        <v>0</v>
      </c>
      <c r="G117" s="113">
        <f>(SUMIF('BCE 2025'!A:A,DATOS!A117,'BCE 2025'!I:I))/1000</f>
        <v>0</v>
      </c>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54">
        <v>5140</v>
      </c>
      <c r="B118" s="111" t="s">
        <v>194</v>
      </c>
      <c r="C118" s="113">
        <f>((SUMIF('BCE 2026'!A:A,DATOS!A118,'BCE 2026'!G:G))/1000)-((SUMIF('BCE 2026'!A:A,DATOS!A118,'BCE 2026'!H:H))/1000)</f>
        <v>0</v>
      </c>
      <c r="D118" s="113">
        <f>(SUMIF('BCE 2026'!A:A,DATOS!A118,'BCE 2026'!I:I))/1000</f>
        <v>0</v>
      </c>
      <c r="E118" s="2"/>
      <c r="F118" s="113">
        <f>((SUMIF('BCE 2025'!A:A,DATOS!A118,'BCE 2025'!G:G))/1000)-((SUMIF('BCE 2025'!A:A,DATOS!A118,'BCE 2025'!H:H))/1000)</f>
        <v>0</v>
      </c>
      <c r="G118" s="113">
        <f>(SUMIF('BCE 2025'!A:A,DATOS!A118,'BCE 2025'!I:I))/1000</f>
        <v>0</v>
      </c>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54">
        <v>5145</v>
      </c>
      <c r="B119" s="111" t="s">
        <v>195</v>
      </c>
      <c r="C119" s="113">
        <f>((SUMIF('BCE 2026'!A:A,DATOS!A119,'BCE 2026'!G:G))/1000)-((SUMIF('BCE 2026'!A:A,DATOS!A119,'BCE 2026'!H:H))/1000)</f>
        <v>0</v>
      </c>
      <c r="D119" s="113">
        <f>(SUMIF('BCE 2026'!A:A,DATOS!A119,'BCE 2026'!I:I))/1000</f>
        <v>0</v>
      </c>
      <c r="E119" s="2"/>
      <c r="F119" s="113">
        <f>((SUMIF('BCE 2025'!A:A,DATOS!A119,'BCE 2025'!G:G))/1000)-((SUMIF('BCE 2025'!A:A,DATOS!A119,'BCE 2025'!H:H))/1000)</f>
        <v>0</v>
      </c>
      <c r="G119" s="113">
        <f>(SUMIF('BCE 2025'!A:A,DATOS!A119,'BCE 2025'!I:I))/1000</f>
        <v>0</v>
      </c>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54">
        <v>5150</v>
      </c>
      <c r="B120" s="111" t="s">
        <v>196</v>
      </c>
      <c r="C120" s="113">
        <f>((SUMIF('BCE 2026'!A:A,DATOS!A120,'BCE 2026'!G:G))/1000)-((SUMIF('BCE 2026'!A:A,DATOS!A120,'BCE 2026'!H:H))/1000)</f>
        <v>0</v>
      </c>
      <c r="D120" s="113">
        <f>(SUMIF('BCE 2026'!A:A,DATOS!A120,'BCE 2026'!I:I))/1000</f>
        <v>0</v>
      </c>
      <c r="E120" s="2"/>
      <c r="F120" s="113">
        <f>((SUMIF('BCE 2025'!A:A,DATOS!A120,'BCE 2025'!G:G))/1000)-((SUMIF('BCE 2025'!A:A,DATOS!A120,'BCE 2025'!H:H))/1000)</f>
        <v>0</v>
      </c>
      <c r="G120" s="113">
        <f>(SUMIF('BCE 2025'!A:A,DATOS!A120,'BCE 2025'!I:I))/1000</f>
        <v>0</v>
      </c>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54">
        <v>5160</v>
      </c>
      <c r="B121" s="111" t="s">
        <v>197</v>
      </c>
      <c r="C121" s="113">
        <f>((SUMIF('BCE 2026'!A:A,DATOS!A121,'BCE 2026'!G:G))/1000)-((SUMIF('BCE 2026'!A:A,DATOS!A121,'BCE 2026'!H:H))/1000)</f>
        <v>0</v>
      </c>
      <c r="D121" s="113">
        <f>(SUMIF('BCE 2026'!A:A,DATOS!A121,'BCE 2026'!I:I))/1000</f>
        <v>0</v>
      </c>
      <c r="E121" s="2"/>
      <c r="F121" s="113">
        <f>((SUMIF('BCE 2025'!A:A,DATOS!A121,'BCE 2025'!G:G))/1000)-((SUMIF('BCE 2025'!A:A,DATOS!A121,'BCE 2025'!H:H))/1000)</f>
        <v>0</v>
      </c>
      <c r="G121" s="113">
        <f>(SUMIF('BCE 2025'!A:A,DATOS!A121,'BCE 2025'!I:I))/1000</f>
        <v>0</v>
      </c>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54">
        <v>5165</v>
      </c>
      <c r="B122" s="111" t="s">
        <v>198</v>
      </c>
      <c r="C122" s="113">
        <f>((SUMIF('BCE 2026'!A:A,DATOS!A122,'BCE 2026'!G:G))/1000)-((SUMIF('BCE 2026'!A:A,DATOS!A122,'BCE 2026'!H:H))/1000)</f>
        <v>0</v>
      </c>
      <c r="D122" s="113">
        <f>(SUMIF('BCE 2026'!A:A,DATOS!A122,'BCE 2026'!I:I))/1000</f>
        <v>0</v>
      </c>
      <c r="E122" s="2"/>
      <c r="F122" s="113">
        <f>((SUMIF('BCE 2025'!A:A,DATOS!A122,'BCE 2025'!G:G))/1000)-((SUMIF('BCE 2025'!A:A,DATOS!A122,'BCE 2025'!H:H))/1000)</f>
        <v>0</v>
      </c>
      <c r="G122" s="113">
        <f>(SUMIF('BCE 2025'!A:A,DATOS!A122,'BCE 2025'!I:I))/1000</f>
        <v>0</v>
      </c>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54">
        <v>5195</v>
      </c>
      <c r="B123" s="111" t="s">
        <v>199</v>
      </c>
      <c r="C123" s="113">
        <f>((SUMIF('BCE 2026'!A:A,DATOS!A123,'BCE 2026'!G:G))/1000)-((SUMIF('BCE 2026'!A:A,DATOS!A123,'BCE 2026'!H:H))/1000)</f>
        <v>0</v>
      </c>
      <c r="D123" s="113">
        <f>(SUMIF('BCE 2026'!A:A,DATOS!A123,'BCE 2026'!I:I))/1000</f>
        <v>0</v>
      </c>
      <c r="E123" s="2"/>
      <c r="F123" s="113">
        <f>((SUMIF('BCE 2025'!A:A,DATOS!A123,'BCE 2025'!G:G))/1000)-((SUMIF('BCE 2025'!A:A,DATOS!A123,'BCE 2025'!H:H))/1000)</f>
        <v>0</v>
      </c>
      <c r="G123" s="113">
        <f>(SUMIF('BCE 2025'!A:A,DATOS!A123,'BCE 2025'!I:I))/1000</f>
        <v>0</v>
      </c>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54">
        <v>5199</v>
      </c>
      <c r="B124" s="111" t="s">
        <v>28</v>
      </c>
      <c r="C124" s="113">
        <f>((SUMIF('BCE 2026'!A:A,DATOS!A124,'BCE 2026'!G:G))/1000)-((SUMIF('BCE 2026'!A:A,DATOS!A124,'BCE 2026'!H:H))/1000)</f>
        <v>0</v>
      </c>
      <c r="D124" s="113">
        <f>(SUMIF('BCE 2026'!A:A,DATOS!A124,'BCE 2026'!I:I))/1000</f>
        <v>0</v>
      </c>
      <c r="E124" s="2"/>
      <c r="F124" s="113">
        <f>((SUMIF('BCE 2025'!A:A,DATOS!A124,'BCE 2025'!G:G))/1000)-((SUMIF('BCE 2025'!A:A,DATOS!A124,'BCE 2025'!H:H))/1000)</f>
        <v>0</v>
      </c>
      <c r="G124" s="113">
        <f>(SUMIF('BCE 2025'!A:A,DATOS!A124,'BCE 2025'!I:I))/1000</f>
        <v>0</v>
      </c>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55">
        <v>52</v>
      </c>
      <c r="B125" s="126" t="s">
        <v>200</v>
      </c>
      <c r="C125" s="127">
        <f>SUM(C126:C146)</f>
        <v>162440.53495</v>
      </c>
      <c r="D125" s="127">
        <f>SUM(D126:D146)</f>
        <v>1008903.7412</v>
      </c>
      <c r="E125" s="13"/>
      <c r="F125" s="127">
        <f>SUM(F126:F146)</f>
        <v>287674.29255000001</v>
      </c>
      <c r="G125" s="127">
        <f>SUM(G126:G146)</f>
        <v>1570195.0111999998</v>
      </c>
      <c r="H125" s="13"/>
      <c r="I125" s="13"/>
      <c r="J125" s="13"/>
      <c r="K125" s="13"/>
      <c r="L125" s="13"/>
      <c r="M125" s="13"/>
      <c r="N125" s="13"/>
      <c r="O125" s="13"/>
      <c r="P125" s="13"/>
      <c r="Q125" s="13"/>
      <c r="R125" s="13"/>
      <c r="S125" s="13"/>
      <c r="T125" s="13"/>
      <c r="U125" s="13"/>
      <c r="V125" s="13"/>
      <c r="W125" s="13"/>
      <c r="X125" s="13"/>
      <c r="Y125" s="13"/>
      <c r="Z125" s="13"/>
    </row>
    <row r="126" spans="1:26" ht="15.75" customHeight="1" x14ac:dyDescent="0.25">
      <c r="A126" s="256">
        <v>5204</v>
      </c>
      <c r="B126" s="128" t="s">
        <v>185</v>
      </c>
      <c r="C126" s="129">
        <f>((SUMIF('BCE 2026'!A:A,DATOS!A126,'BCE 2026'!G:G))/1000)-((SUMIF('BCE 2026'!A:A,DATOS!A126,'BCE 2026'!H:H))/1000)</f>
        <v>10707.489</v>
      </c>
      <c r="D126" s="129">
        <f>(SUMIF('BCE 2026'!A:A,DATOS!A126,'BCE 2026'!I:I))/1000</f>
        <v>63233.053</v>
      </c>
      <c r="E126" s="2"/>
      <c r="F126" s="129">
        <f>((SUMIF('BCE 2025'!A:A,DATOS!A126,'BCE 2025'!G:G))/1000)-((SUMIF('BCE 2025'!A:A,DATOS!A126,'BCE 2025'!H:H))/1000)</f>
        <v>11909.829</v>
      </c>
      <c r="G126" s="129">
        <f>(SUMIF('BCE 2025'!A:A,DATOS!A126,'BCE 2025'!I:I))/1000</f>
        <v>66610.884000000005</v>
      </c>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56">
        <v>5205</v>
      </c>
      <c r="B127" s="128" t="s">
        <v>187</v>
      </c>
      <c r="C127" s="129">
        <f>((SUMIF('BCE 2026'!A:A,DATOS!A127,'BCE 2026'!G:G))/1000)-((SUMIF('BCE 2026'!A:A,DATOS!A127,'BCE 2026'!H:H))/1000)</f>
        <v>77098.253000000012</v>
      </c>
      <c r="D127" s="129">
        <f>(SUMIF('BCE 2026'!A:A,DATOS!A127,'BCE 2026'!I:I))/1000</f>
        <v>464409.85700000002</v>
      </c>
      <c r="E127" s="2"/>
      <c r="F127" s="129">
        <f>((SUMIF('BCE 2025'!A:A,DATOS!A127,'BCE 2025'!G:G))/1000)-((SUMIF('BCE 2025'!A:A,DATOS!A127,'BCE 2025'!H:H))/1000)</f>
        <v>90565.838000000003</v>
      </c>
      <c r="G127" s="129">
        <f>(SUMIF('BCE 2025'!A:A,DATOS!A127,'BCE 2025'!I:I))/1000</f>
        <v>493062.06300000002</v>
      </c>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56">
        <v>5210</v>
      </c>
      <c r="B128" s="128" t="s">
        <v>188</v>
      </c>
      <c r="C128" s="129">
        <f>((SUMIF('BCE 2026'!A:A,DATOS!A128,'BCE 2026'!G:G))/1000)-((SUMIF('BCE 2026'!A:A,DATOS!A128,'BCE 2026'!H:H))/1000)</f>
        <v>9704.5300000000007</v>
      </c>
      <c r="D128" s="129">
        <f>(SUMIF('BCE 2026'!A:A,DATOS!A128,'BCE 2026'!I:I))/1000</f>
        <v>39255.786</v>
      </c>
      <c r="E128" s="2"/>
      <c r="F128" s="129">
        <f>((SUMIF('BCE 2025'!A:A,DATOS!A128,'BCE 2025'!G:G))/1000)-((SUMIF('BCE 2025'!A:A,DATOS!A128,'BCE 2025'!H:H))/1000)</f>
        <v>28024.562999999998</v>
      </c>
      <c r="G128" s="129">
        <f>(SUMIF('BCE 2025'!A:A,DATOS!A128,'BCE 2025'!I:I))/1000</f>
        <v>121030.173</v>
      </c>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56">
        <v>5215</v>
      </c>
      <c r="B129" s="128" t="s">
        <v>189</v>
      </c>
      <c r="C129" s="129">
        <f>((SUMIF('BCE 2026'!A:A,DATOS!A129,'BCE 2026'!G:G))/1000)-((SUMIF('BCE 2026'!A:A,DATOS!A129,'BCE 2026'!H:H))/1000)</f>
        <v>4735.1879000000008</v>
      </c>
      <c r="D129" s="129">
        <f>(SUMIF('BCE 2026'!A:A,DATOS!A129,'BCE 2026'!I:I))/1000</f>
        <v>25132.839899999999</v>
      </c>
      <c r="E129" s="2"/>
      <c r="F129" s="129">
        <f>((SUMIF('BCE 2025'!A:A,DATOS!A129,'BCE 2025'!G:G))/1000)-((SUMIF('BCE 2025'!A:A,DATOS!A129,'BCE 2025'!H:H))/1000)</f>
        <v>7525.4209000000001</v>
      </c>
      <c r="G129" s="129">
        <f>(SUMIF('BCE 2025'!A:A,DATOS!A129,'BCE 2025'!I:I))/1000</f>
        <v>51562.600899999998</v>
      </c>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56">
        <v>5220</v>
      </c>
      <c r="B130" s="128" t="s">
        <v>190</v>
      </c>
      <c r="C130" s="129">
        <f>((SUMIF('BCE 2026'!A:A,DATOS!A130,'BCE 2026'!G:G))/1000)-((SUMIF('BCE 2026'!A:A,DATOS!A130,'BCE 2026'!H:H))/1000)</f>
        <v>25291.884999999998</v>
      </c>
      <c r="D130" s="129">
        <f>(SUMIF('BCE 2026'!A:A,DATOS!A130,'BCE 2026'!I:I))/1000</f>
        <v>151823.94399999999</v>
      </c>
      <c r="E130" s="2"/>
      <c r="F130" s="129">
        <f>((SUMIF('BCE 2025'!A:A,DATOS!A130,'BCE 2025'!G:G))/1000)-((SUMIF('BCE 2025'!A:A,DATOS!A130,'BCE 2025'!H:H))/1000)</f>
        <v>65083.597000000002</v>
      </c>
      <c r="G130" s="129">
        <f>(SUMIF('BCE 2025'!A:A,DATOS!A130,'BCE 2025'!I:I))/1000</f>
        <v>394048.55200000003</v>
      </c>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56">
        <v>5225</v>
      </c>
      <c r="B131" s="128" t="s">
        <v>191</v>
      </c>
      <c r="C131" s="129">
        <f>((SUMIF('BCE 2026'!A:A,DATOS!A131,'BCE 2026'!G:G))/1000)-((SUMIF('BCE 2026'!A:A,DATOS!A131,'BCE 2026'!H:H))/1000)</f>
        <v>2085.5219999999999</v>
      </c>
      <c r="D131" s="129">
        <f>(SUMIF('BCE 2026'!A:A,DATOS!A131,'BCE 2026'!I:I))/1000</f>
        <v>12891.579</v>
      </c>
      <c r="E131" s="2"/>
      <c r="F131" s="129">
        <f>((SUMIF('BCE 2025'!A:A,DATOS!A131,'BCE 2025'!G:G))/1000)-((SUMIF('BCE 2025'!A:A,DATOS!A131,'BCE 2025'!H:H))/1000)</f>
        <v>12011.502</v>
      </c>
      <c r="G131" s="129">
        <f>(SUMIF('BCE 2025'!A:A,DATOS!A131,'BCE 2025'!I:I))/1000</f>
        <v>73967.343999999997</v>
      </c>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56">
        <v>5230</v>
      </c>
      <c r="B132" s="128" t="s">
        <v>192</v>
      </c>
      <c r="C132" s="129">
        <f>((SUMIF('BCE 2026'!A:A,DATOS!A132,'BCE 2026'!G:G))/1000)-((SUMIF('BCE 2026'!A:A,DATOS!A132,'BCE 2026'!H:H))/1000)</f>
        <v>0</v>
      </c>
      <c r="D132" s="129">
        <f>(SUMIF('BCE 2026'!A:A,DATOS!A132,'BCE 2026'!I:I))/1000</f>
        <v>2014.3879999999999</v>
      </c>
      <c r="E132" s="2"/>
      <c r="F132" s="129">
        <f>((SUMIF('BCE 2025'!A:A,DATOS!A132,'BCE 2025'!G:G))/1000)-((SUMIF('BCE 2025'!A:A,DATOS!A132,'BCE 2025'!H:H))/1000)</f>
        <v>0</v>
      </c>
      <c r="G132" s="129">
        <f>(SUMIF('BCE 2025'!A:A,DATOS!A132,'BCE 2025'!I:I))/1000</f>
        <v>10729.971</v>
      </c>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56">
        <v>5235</v>
      </c>
      <c r="B133" s="128" t="s">
        <v>201</v>
      </c>
      <c r="C133" s="129">
        <f>((SUMIF('BCE 2026'!A:A,DATOS!A133,'BCE 2026'!G:G))/1000)-((SUMIF('BCE 2026'!A:A,DATOS!A133,'BCE 2026'!H:H))/1000)-C134-C135</f>
        <v>11683.575999999997</v>
      </c>
      <c r="D133" s="129">
        <f>(SUMIF('BCE 2026'!A:A,DATOS!A133,'BCE 2026'!I:I))/1000-D134-D135</f>
        <v>70819.081999999995</v>
      </c>
      <c r="E133" s="2"/>
      <c r="F133" s="129">
        <f>((SUMIF('BCE 2025'!A:A,DATOS!A133,'BCE 2025'!G:G))/1000)-((SUMIF('BCE 2025'!A:A,DATOS!A133,'BCE 2025'!H:H))/1000)-F134-F135</f>
        <v>39982.010999999999</v>
      </c>
      <c r="G133" s="129">
        <f>(SUMIF('BCE 2025'!A:A,DATOS!A133,'BCE 2025'!I:I))/1000-G134-G135</f>
        <v>165220.57799999998</v>
      </c>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56">
        <v>523550</v>
      </c>
      <c r="B134" s="130" t="s">
        <v>202</v>
      </c>
      <c r="C134" s="131">
        <f>((SUMIF('BCE 2026'!A:A,DATOS!A134,'BCE 2026'!G:G))/1000)-((SUMIF('BCE 2026'!A:A,DATOS!A134,'BCE 2026'!H:H))/1000)</f>
        <v>3171.5189999999998</v>
      </c>
      <c r="D134" s="131">
        <f>(SUMIF('BCE 2026'!A:A,DATOS!A134,'BCE 2026'!I:I))/1000</f>
        <v>22943.238000000001</v>
      </c>
      <c r="E134" s="132"/>
      <c r="F134" s="131">
        <f>((SUMIF('BCE 2025'!A:A,DATOS!A134,'BCE 2025'!G:G))/1000)-((SUMIF('BCE 2025'!A:A,DATOS!A134,'BCE 2025'!H:H))/1000)</f>
        <v>3353.1149999999998</v>
      </c>
      <c r="G134" s="131">
        <f>(SUMIF('BCE 2025'!A:A,DATOS!A134,'BCE 2025'!I:I))/1000</f>
        <v>21747.764999999999</v>
      </c>
      <c r="H134" s="132"/>
      <c r="I134" s="132"/>
      <c r="J134" s="132"/>
      <c r="K134" s="132"/>
      <c r="L134" s="132"/>
      <c r="M134" s="132"/>
      <c r="N134" s="132"/>
      <c r="O134" s="132"/>
      <c r="P134" s="132"/>
      <c r="Q134" s="132"/>
      <c r="R134" s="132"/>
      <c r="S134" s="132"/>
      <c r="T134" s="132"/>
      <c r="U134" s="132"/>
      <c r="V134" s="132"/>
      <c r="W134" s="132"/>
      <c r="X134" s="132"/>
      <c r="Y134" s="132"/>
      <c r="Z134" s="132"/>
    </row>
    <row r="135" spans="1:26" ht="15.75" customHeight="1" x14ac:dyDescent="0.25">
      <c r="A135" s="256">
        <v>523595</v>
      </c>
      <c r="B135" s="130" t="s">
        <v>203</v>
      </c>
      <c r="C135" s="131">
        <f>((SUMIF('BCE 2026'!A:A,DATOS!A135,'BCE 2026'!G:G))/1000)-((SUMIF('BCE 2026'!A:A,DATOS!A135,'BCE 2026'!H:H))/1000)</f>
        <v>9257.2360000000008</v>
      </c>
      <c r="D135" s="131">
        <f>(SUMIF('BCE 2026'!A:A,DATOS!A135,'BCE 2026'!I:I))/1000</f>
        <v>94757.328999999998</v>
      </c>
      <c r="E135" s="132"/>
      <c r="F135" s="131">
        <f>((SUMIF('BCE 2025'!A:A,DATOS!A135,'BCE 2025'!G:G))/1000)-((SUMIF('BCE 2025'!A:A,DATOS!A135,'BCE 2025'!H:H))/1000)</f>
        <v>19715.306</v>
      </c>
      <c r="G135" s="131">
        <f>(SUMIF('BCE 2025'!A:A,DATOS!A135,'BCE 2025'!I:I))/1000</f>
        <v>98550.994999999995</v>
      </c>
      <c r="H135" s="132"/>
      <c r="I135" s="132"/>
      <c r="J135" s="132"/>
      <c r="K135" s="132"/>
      <c r="L135" s="132"/>
      <c r="M135" s="132"/>
      <c r="N135" s="132"/>
      <c r="O135" s="132"/>
      <c r="P135" s="132"/>
      <c r="Q135" s="132"/>
      <c r="R135" s="132"/>
      <c r="S135" s="132"/>
      <c r="T135" s="132"/>
      <c r="U135" s="132"/>
      <c r="V135" s="132"/>
      <c r="W135" s="132"/>
      <c r="X135" s="132"/>
      <c r="Y135" s="132"/>
      <c r="Z135" s="132"/>
    </row>
    <row r="136" spans="1:26" ht="15.75" customHeight="1" x14ac:dyDescent="0.25">
      <c r="A136" s="256">
        <v>5240</v>
      </c>
      <c r="B136" s="128" t="s">
        <v>194</v>
      </c>
      <c r="C136" s="129">
        <f>((SUMIF('BCE 2026'!A:A,DATOS!A136,'BCE 2026'!G:G))/1000)-((SUMIF('BCE 2026'!A:A,DATOS!A136,'BCE 2026'!H:H))/1000)</f>
        <v>12.1</v>
      </c>
      <c r="D136" s="129">
        <f>(SUMIF('BCE 2026'!A:A,DATOS!A136,'BCE 2026'!I:I))/1000</f>
        <v>4667.6000000000004</v>
      </c>
      <c r="E136" s="2"/>
      <c r="F136" s="129">
        <f>((SUMIF('BCE 2025'!A:A,DATOS!A136,'BCE 2025'!G:G))/1000)-((SUMIF('BCE 2025'!A:A,DATOS!A136,'BCE 2025'!H:H))/1000)</f>
        <v>0</v>
      </c>
      <c r="G136" s="129">
        <f>(SUMIF('BCE 2025'!A:A,DATOS!A136,'BCE 2025'!I:I))/1000</f>
        <v>6130.1189999999997</v>
      </c>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56">
        <v>5245</v>
      </c>
      <c r="B137" s="128" t="s">
        <v>195</v>
      </c>
      <c r="C137" s="129">
        <f>((SUMIF('BCE 2026'!A:A,DATOS!A137,'BCE 2026'!G:G))/1000)-((SUMIF('BCE 2026'!A:A,DATOS!A137,'BCE 2026'!H:H))/1000)</f>
        <v>1670</v>
      </c>
      <c r="D137" s="129">
        <f>(SUMIF('BCE 2026'!A:A,DATOS!A137,'BCE 2026'!I:I))/1000</f>
        <v>8123.857</v>
      </c>
      <c r="E137" s="2"/>
      <c r="F137" s="129">
        <f>((SUMIF('BCE 2025'!A:A,DATOS!A137,'BCE 2025'!G:G))/1000)-((SUMIF('BCE 2025'!A:A,DATOS!A137,'BCE 2025'!H:H))/1000)</f>
        <v>2795.3429999999998</v>
      </c>
      <c r="G137" s="129">
        <f>(SUMIF('BCE 2025'!A:A,DATOS!A137,'BCE 2025'!I:I))/1000</f>
        <v>15052.446</v>
      </c>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56">
        <v>5250</v>
      </c>
      <c r="B138" s="128" t="s">
        <v>196</v>
      </c>
      <c r="C138" s="129">
        <f>((SUMIF('BCE 2026'!A:A,DATOS!A138,'BCE 2026'!G:G))/1000)-((SUMIF('BCE 2026'!A:A,DATOS!A138,'BCE 2026'!H:H))/1000)</f>
        <v>0</v>
      </c>
      <c r="D138" s="129">
        <f>(SUMIF('BCE 2026'!A:A,DATOS!A138,'BCE 2026'!I:I))/1000</f>
        <v>4786.8180000000002</v>
      </c>
      <c r="E138" s="2"/>
      <c r="F138" s="129">
        <f>((SUMIF('BCE 2025'!A:A,DATOS!A138,'BCE 2025'!G:G))/1000)-((SUMIF('BCE 2025'!A:A,DATOS!A138,'BCE 2025'!H:H))/1000)</f>
        <v>1387</v>
      </c>
      <c r="G138" s="129">
        <f>(SUMIF('BCE 2025'!A:A,DATOS!A138,'BCE 2025'!I:I))/1000</f>
        <v>13491.779</v>
      </c>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56">
        <v>5255</v>
      </c>
      <c r="B139" s="128" t="s">
        <v>204</v>
      </c>
      <c r="C139" s="129">
        <f>((SUMIF('BCE 2026'!A:A,DATOS!A139,'BCE 2026'!G:G))/1000)-((SUMIF('BCE 2026'!A:A,DATOS!A139,'BCE 2026'!H:H))/1000)</f>
        <v>0</v>
      </c>
      <c r="D139" s="129">
        <f>(SUMIF('BCE 2026'!A:A,DATOS!A139,'BCE 2026'!I:I))/1000</f>
        <v>0</v>
      </c>
      <c r="E139" s="2"/>
      <c r="F139" s="129">
        <f>((SUMIF('BCE 2025'!A:A,DATOS!A139,'BCE 2025'!G:G))/1000)-((SUMIF('BCE 2025'!A:A,DATOS!A139,'BCE 2025'!H:H))/1000)</f>
        <v>0</v>
      </c>
      <c r="G139" s="129">
        <f>(SUMIF('BCE 2025'!A:A,DATOS!A139,'BCE 2025'!I:I))/1000</f>
        <v>0</v>
      </c>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56">
        <v>5260</v>
      </c>
      <c r="B140" s="128" t="s">
        <v>197</v>
      </c>
      <c r="C140" s="129">
        <f>((SUMIF('BCE 2026'!A:A,DATOS!A140,'BCE 2026'!G:G))/1000)-((SUMIF('BCE 2026'!A:A,DATOS!A140,'BCE 2026'!H:H))/1000)</f>
        <v>4578.3150500000002</v>
      </c>
      <c r="D140" s="129">
        <f>(SUMIF('BCE 2026'!A:A,DATOS!A140,'BCE 2026'!I:I))/1000</f>
        <v>27469.890299999999</v>
      </c>
      <c r="E140" s="2"/>
      <c r="F140" s="129">
        <f>((SUMIF('BCE 2025'!A:A,DATOS!A140,'BCE 2025'!G:G))/1000)-((SUMIF('BCE 2025'!A:A,DATOS!A140,'BCE 2025'!H:H))/1000)</f>
        <v>889.56765000000007</v>
      </c>
      <c r="G140" s="129">
        <f>(SUMIF('BCE 2025'!A:A,DATOS!A140,'BCE 2025'!I:I))/1000</f>
        <v>5480.6292999999996</v>
      </c>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56">
        <v>5265</v>
      </c>
      <c r="B141" s="128" t="s">
        <v>198</v>
      </c>
      <c r="C141" s="129">
        <f>((SUMIF('BCE 2026'!A:A,DATOS!A141,'BCE 2026'!G:G))/1000)-((SUMIF('BCE 2026'!A:A,DATOS!A141,'BCE 2026'!H:H))/1000)</f>
        <v>0</v>
      </c>
      <c r="D141" s="129">
        <f>(SUMIF('BCE 2026'!A:A,DATOS!A141,'BCE 2026'!I:I))/1000</f>
        <v>0</v>
      </c>
      <c r="E141" s="2"/>
      <c r="F141" s="129">
        <f>((SUMIF('BCE 2025'!A:A,DATOS!A141,'BCE 2025'!G:G))/1000)-((SUMIF('BCE 2025'!A:A,DATOS!A141,'BCE 2025'!H:H))/1000)</f>
        <v>0</v>
      </c>
      <c r="G141" s="129">
        <f>(SUMIF('BCE 2025'!A:A,DATOS!A141,'BCE 2025'!I:I))/1000</f>
        <v>0</v>
      </c>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56">
        <v>5295</v>
      </c>
      <c r="B142" s="128" t="s">
        <v>205</v>
      </c>
      <c r="C142" s="129">
        <f>((SUMIF('BCE 2026'!A:A,DATOS!A142,'BCE 2026'!G:G))/1000)-((SUMIF('BCE 2026'!A:A,DATOS!A142,'BCE 2026'!H:H))/1000)-C143-C144-C145</f>
        <v>1224.79</v>
      </c>
      <c r="D142" s="129">
        <f>(SUMIF('BCE 2026'!A:A,DATOS!A142,'BCE 2026'!I:I))/1000-D143-D144-D145</f>
        <v>8187.2289999999994</v>
      </c>
      <c r="E142" s="2"/>
      <c r="F142" s="129">
        <f>((SUMIF('BCE 2025'!A:A,DATOS!A142,'BCE 2025'!G:G))/1000)-((SUMIF('BCE 2025'!A:A,DATOS!A142,'BCE 2025'!H:H))/1000)-F143-F144-F145</f>
        <v>2669.9650000000001</v>
      </c>
      <c r="G142" s="129">
        <f>(SUMIF('BCE 2025'!A:A,DATOS!A142,'BCE 2025'!I:I))/1000-G143-G144-G145</f>
        <v>17036.772000000001</v>
      </c>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56">
        <v>529505</v>
      </c>
      <c r="B143" s="130" t="s">
        <v>206</v>
      </c>
      <c r="C143" s="129">
        <f>((SUMIF('BCE 2026'!A:A,DATOS!A143,'BCE 2026'!G:G))/1000)-((SUMIF('BCE 2026'!A:A,DATOS!A143,'BCE 2026'!H:H))/1000)</f>
        <v>0</v>
      </c>
      <c r="D143" s="129">
        <f>(SUMIF('BCE 2026'!A:A,DATOS!A143,'BCE 2026'!I:I))/1000</f>
        <v>0</v>
      </c>
      <c r="E143" s="2"/>
      <c r="F143" s="129">
        <f>((SUMIF('BCE 2025'!A:A,DATOS!A143,'BCE 2025'!G:G))/1000)-((SUMIF('BCE 2025'!A:A,DATOS!A143,'BCE 2025'!H:H))/1000)</f>
        <v>0</v>
      </c>
      <c r="G143" s="129">
        <f>(SUMIF('BCE 2025'!A:A,DATOS!A143,'BCE 2025'!I:I))/1000</f>
        <v>0</v>
      </c>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56">
        <v>529506</v>
      </c>
      <c r="B144" s="130" t="s">
        <v>207</v>
      </c>
      <c r="C144" s="129">
        <f>((SUMIF('BCE 2026'!A:A,DATOS!A144,'BCE 2026'!G:G))/1000)-((SUMIF('BCE 2026'!A:A,DATOS!A144,'BCE 2026'!H:H))/1000)</f>
        <v>0</v>
      </c>
      <c r="D144" s="129">
        <f>(SUMIF('BCE 2026'!A:A,DATOS!A144,'BCE 2026'!I:I))/1000</f>
        <v>0</v>
      </c>
      <c r="E144" s="2"/>
      <c r="F144" s="129">
        <f>((SUMIF('BCE 2025'!A:A,DATOS!A144,'BCE 2025'!G:G))/1000)-((SUMIF('BCE 2025'!A:A,DATOS!A144,'BCE 2025'!H:H))/1000)</f>
        <v>0</v>
      </c>
      <c r="G144" s="129">
        <f>(SUMIF('BCE 2025'!A:A,DATOS!A144,'BCE 2025'!I:I))/1000</f>
        <v>0</v>
      </c>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56">
        <v>529595</v>
      </c>
      <c r="B145" s="130" t="s">
        <v>208</v>
      </c>
      <c r="C145" s="129">
        <f>((SUMIF('BCE 2026'!A:A,DATOS!A145,'BCE 2026'!G:G))/1000)-((SUMIF('BCE 2026'!A:A,DATOS!A145,'BCE 2026'!H:H))/1000)</f>
        <v>597.15</v>
      </c>
      <c r="D145" s="129">
        <f>(SUMIF('BCE 2026'!A:A,DATOS!A145,'BCE 2026'!I:I))/1000</f>
        <v>7242.8850000000002</v>
      </c>
      <c r="E145" s="2"/>
      <c r="F145" s="129">
        <f>((SUMIF('BCE 2025'!A:A,DATOS!A145,'BCE 2025'!G:G))/1000)-((SUMIF('BCE 2025'!A:A,DATOS!A145,'BCE 2025'!H:H))/1000)</f>
        <v>1305.0940000000001</v>
      </c>
      <c r="G145" s="129">
        <f>(SUMIF('BCE 2025'!A:A,DATOS!A145,'BCE 2025'!I:I))/1000</f>
        <v>10585.483</v>
      </c>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56">
        <v>5297</v>
      </c>
      <c r="B146" s="128" t="s">
        <v>28</v>
      </c>
      <c r="C146" s="129">
        <f>((SUMIF('BCE 2026'!A:A,DATOS!A146,'BCE 2026'!G:G))/1000)-((SUMIF('BCE 2026'!A:A,DATOS!A146,'BCE 2026'!H:H))/1000)</f>
        <v>622.98199999999997</v>
      </c>
      <c r="D146" s="129">
        <f>(SUMIF('BCE 2026'!A:A,DATOS!A146,'BCE 2026'!I:I))/1000</f>
        <v>1144.366</v>
      </c>
      <c r="E146" s="2"/>
      <c r="F146" s="129">
        <f>((SUMIF('BCE 2025'!A:A,DATOS!A146,'BCE 2025'!G:G))/1000)-((SUMIF('BCE 2025'!A:A,DATOS!A146,'BCE 2025'!H:H))/1000)</f>
        <v>456.14100000000002</v>
      </c>
      <c r="G146" s="129">
        <f>(SUMIF('BCE 2025'!A:A,DATOS!A146,'BCE 2025'!I:I))/1000</f>
        <v>5886.857</v>
      </c>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57">
        <v>53</v>
      </c>
      <c r="B147" s="133" t="s">
        <v>209</v>
      </c>
      <c r="C147" s="134">
        <f>SUM(C148:C154)</f>
        <v>16969.628685</v>
      </c>
      <c r="D147" s="134">
        <f>SUM(D148:D154)</f>
        <v>72494.39516</v>
      </c>
      <c r="E147" s="13"/>
      <c r="F147" s="134">
        <f>SUM(F148:F154)</f>
        <v>11858.500155000002</v>
      </c>
      <c r="G147" s="134">
        <f>SUM(G148:G154)</f>
        <v>79418.319589999999</v>
      </c>
      <c r="H147" s="13">
        <f>4031-35</f>
        <v>3996</v>
      </c>
      <c r="I147" s="13"/>
      <c r="J147" s="13"/>
      <c r="K147" s="13"/>
      <c r="L147" s="13"/>
      <c r="M147" s="13"/>
      <c r="N147" s="13"/>
      <c r="O147" s="13"/>
      <c r="P147" s="13"/>
      <c r="Q147" s="13"/>
      <c r="R147" s="13"/>
      <c r="S147" s="13"/>
      <c r="T147" s="13"/>
      <c r="U147" s="13"/>
      <c r="V147" s="13"/>
      <c r="W147" s="13"/>
      <c r="X147" s="13"/>
      <c r="Y147" s="13"/>
      <c r="Z147" s="13"/>
    </row>
    <row r="148" spans="1:26" ht="15.75" customHeight="1" x14ac:dyDescent="0.25">
      <c r="A148" s="258">
        <v>530505</v>
      </c>
      <c r="B148" s="135" t="s">
        <v>210</v>
      </c>
      <c r="C148" s="136">
        <f>((SUMIF('BCE 2026'!A:A,DATOS!A148,'BCE 2026'!G:G))/1000)-((SUMIF('BCE 2026'!A:A,DATOS!A148,'BCE 2026'!H:H))/1000)</f>
        <v>1855.4387899999999</v>
      </c>
      <c r="D148" s="136">
        <f>(SUMIF('BCE 2026'!A:A,DATOS!A148,'BCE 2026'!I:I))/1000</f>
        <v>9928.1186300000008</v>
      </c>
      <c r="E148" s="2"/>
      <c r="F148" s="136">
        <f>((SUMIF('BCE 2025'!A:A,DATOS!A148,'BCE 2025'!G:G))/1000)-((SUMIF('BCE 2025'!A:A,DATOS!A148,'BCE 2025'!H:H))/1000)</f>
        <v>242.16399999999999</v>
      </c>
      <c r="G148" s="136">
        <f>(SUMIF('BCE 2025'!A:A,DATOS!A148,'BCE 2025'!I:I))/1000</f>
        <v>2497.4308799999999</v>
      </c>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58">
        <v>530515</v>
      </c>
      <c r="B149" s="135" t="s">
        <v>211</v>
      </c>
      <c r="C149" s="136">
        <f>((SUMIF('BCE 2026'!A:A,DATOS!A149,'BCE 2026'!G:G))/1000)-((SUMIF('BCE 2026'!A:A,DATOS!A149,'BCE 2026'!H:H))/1000)+((SUMIF('BCE 2026'!A:A,530516,'BCE 2026'!G:G))/1000)-((SUMIF('BCE 2026'!A:A,530516,'BCE 2026'!H:H))/1000)</f>
        <v>3167.7755699999998</v>
      </c>
      <c r="D149" s="136">
        <f>(SUMIF('BCE 2026'!A:A,DATOS!A149,'BCE 2026'!I:I))/1000+(SUMIF('BCE 2026'!A:A,530516,'BCE 2026'!I:I))/1000</f>
        <v>18281.941329999998</v>
      </c>
      <c r="E149" s="2"/>
      <c r="F149" s="136">
        <f>((SUMIF('BCE 2025'!A:A,DATOS!A149,'BCE 2025'!G:G))/1000)-((SUMIF('BCE 2025'!A:A,DATOS!A149,'BCE 2025'!H:H))/1000)</f>
        <v>6018.0617999999995</v>
      </c>
      <c r="G149" s="136">
        <f>(SUMIF('BCE 2025'!A:A,DATOS!A149,'BCE 2025'!I:I))/1000+(SUMIF('BCE 2025'!A:A,530516,'BCE 2025'!I:I))/1000</f>
        <v>39181.594380000002</v>
      </c>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58">
        <v>530520</v>
      </c>
      <c r="B150" s="135" t="s">
        <v>176</v>
      </c>
      <c r="C150" s="136">
        <f>((SUMIF('BCE 2026'!A:A,DATOS!A150,'BCE 2026'!G:G))/1000)-((SUMIF('BCE 2026'!A:A,DATOS!A150,'BCE 2026'!H:H))/1000)</f>
        <v>10473.432000000001</v>
      </c>
      <c r="D150" s="136">
        <f>(SUMIF('BCE 2026'!A:A,DATOS!A150,'BCE 2026'!I:I))/1000+(SUMIF('BCE 2026'!A:A,530521,'BCE 2026'!I:I))/1000</f>
        <v>31993.781999999999</v>
      </c>
      <c r="E150" s="2"/>
      <c r="F150" s="136">
        <f>((SUMIF('BCE 2025'!A:A,DATOS!A150,'BCE 2025'!G:G))/1000)-((SUMIF('BCE 2025'!A:A,DATOS!A150,'BCE 2025'!H:H))/1000)</f>
        <v>4321</v>
      </c>
      <c r="G150" s="136">
        <f>(SUMIF('BCE 2025'!A:A,DATOS!A150,'BCE 2025'!I:I))/1000+(SUMIF('BCE 2025'!A:A,530521,'BCE 2025'!I:I))/1000</f>
        <v>23040.618869999998</v>
      </c>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58">
        <v>530525</v>
      </c>
      <c r="B151" s="135" t="s">
        <v>179</v>
      </c>
      <c r="C151" s="136">
        <f>((SUMIF('BCE 2026'!A:A,DATOS!A151,'BCE 2026'!G:G))/1000)-((SUMIF('BCE 2026'!A:A,DATOS!A151,'BCE 2026'!H:H))/1000)</f>
        <v>0</v>
      </c>
      <c r="D151" s="136">
        <f>(SUMIF('BCE 2026'!A:A,DATOS!A151,'BCE 2026'!I:I))/1000</f>
        <v>0</v>
      </c>
      <c r="E151" s="2"/>
      <c r="F151" s="136">
        <f>((SUMIF('BCE 2025'!A:A,DATOS!A151,'BCE 2025'!G:G))/1000)-((SUMIF('BCE 2025'!A:A,DATOS!A151,'BCE 2025'!H:H))/1000)</f>
        <v>0</v>
      </c>
      <c r="G151" s="136">
        <f>(SUMIF('BCE 2025'!A:A,DATOS!A151,'BCE 2025'!I:I))/1000</f>
        <v>0</v>
      </c>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58">
        <v>530535</v>
      </c>
      <c r="B152" s="135" t="s">
        <v>181</v>
      </c>
      <c r="C152" s="136">
        <f>((SUMIF('BCE 2026'!A:A,DATOS!A152,'BCE 2026'!G:G))/1000)-((SUMIF('BCE 2026'!A:A,DATOS!A152,'BCE 2026'!H:H))/1000)/2</f>
        <v>543.04949999999997</v>
      </c>
      <c r="D152" s="136">
        <f>(SUMIF('BCE 2026'!A:A,DATOS!A152,'BCE 2026'!I:I))/1000</f>
        <v>1851.43</v>
      </c>
      <c r="E152" s="2"/>
      <c r="F152" s="136">
        <f>((SUMIF('BCE 2025'!A:A,DATOS!A152,'BCE 2025'!G:G))/1000)-((SUMIF('BCE 2025'!A:A,DATOS!A152,'BCE 2025'!H:H))/1000)</f>
        <v>48.841000000000001</v>
      </c>
      <c r="G152" s="136">
        <f>((SUMIF('BCE 2025'!A:A,DATOS!A152,'BCE 2025'!I:I))/1000)</f>
        <v>48.841000000000001</v>
      </c>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58">
        <v>530506</v>
      </c>
      <c r="B153" s="135" t="s">
        <v>212</v>
      </c>
      <c r="C153" s="136">
        <f>(((SUMIF('BCE 2026'!A:A,DATOS!A153,'BCE 2026'!G:G))/1000)-((SUMIF('BCE 2026'!A:A,DATOS!A153,'BCE 2026'!H:H))/1000))/2</f>
        <v>929.93282499999998</v>
      </c>
      <c r="D153" s="136">
        <f>(SUMIF('BCE 2026'!A:A,DATOS!A153,'BCE 2026'!I:I))/1000</f>
        <v>10439.123300000001</v>
      </c>
      <c r="E153" s="2"/>
      <c r="F153" s="136">
        <f>(((SUMIF('BCE 2025'!A:A,DATOS!A153,'BCE 2025'!G:G))/1000)-((SUMIF('BCE 2025'!A:A,DATOS!A153,'BCE 2025'!H:H))/1000))/2</f>
        <v>1228.4323549999999</v>
      </c>
      <c r="G153" s="136">
        <f>(SUMIF('BCE 2025'!A:A,DATOS!A153,'BCE 2025'!I:I))/1000</f>
        <v>14603.198460000001</v>
      </c>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58">
        <v>5395</v>
      </c>
      <c r="B154" s="135" t="s">
        <v>213</v>
      </c>
      <c r="C154" s="136">
        <f>((SUMIF('BCE 2026'!A:A,DATOS!A154,'BCE 2026'!G:G))/1000)-((SUMIF('BCE 2026'!A:A,DATOS!A154,'BCE 2026'!H:H))/1000)</f>
        <v>0</v>
      </c>
      <c r="D154" s="136">
        <f>(SUMIF('BCE 2026'!A:A,DATOS!A154,'BCE 2026'!I:I)/1000)+(SUMIF('BCE 2026'!A:A,530595,'BCE 2026'!I:I)/1000)</f>
        <v>-9.9999999976716899E-5</v>
      </c>
      <c r="E154" s="2"/>
      <c r="F154" s="136">
        <f>((SUMIF('BCE 2025'!A:A,DATOS!A154,'BCE 2025'!G:G))/1000)-((SUMIF('BCE 2025'!A:A,DATOS!A154,'BCE 2025'!H:H))/1000)</f>
        <v>1.0000000002037268E-3</v>
      </c>
      <c r="G154" s="136">
        <f>(SUMIF('BCE 2025'!A:A,DATOS!A154,'BCE 2025'!I:I))/1000</f>
        <v>46.636000000000003</v>
      </c>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59">
        <v>54</v>
      </c>
      <c r="B155" s="137" t="s">
        <v>214</v>
      </c>
      <c r="C155" s="138">
        <f>SUM(C156:C158)</f>
        <v>3799</v>
      </c>
      <c r="D155" s="138">
        <f>SUM(D156:D158)</f>
        <v>34336</v>
      </c>
      <c r="E155" s="13"/>
      <c r="F155" s="138">
        <f>SUM(F156:F158)</f>
        <v>362.19600000000003</v>
      </c>
      <c r="G155" s="138">
        <f>SUM(G156:G158)</f>
        <v>26671.196</v>
      </c>
      <c r="H155" s="13"/>
      <c r="I155" s="13"/>
      <c r="J155" s="13"/>
      <c r="K155" s="13"/>
      <c r="L155" s="13"/>
      <c r="M155" s="13"/>
      <c r="N155" s="13"/>
      <c r="O155" s="13"/>
      <c r="P155" s="13"/>
      <c r="Q155" s="13"/>
      <c r="R155" s="13"/>
      <c r="S155" s="13"/>
      <c r="T155" s="13"/>
      <c r="U155" s="13"/>
      <c r="V155" s="13"/>
      <c r="W155" s="13"/>
      <c r="X155" s="13"/>
      <c r="Y155" s="13"/>
      <c r="Z155" s="13"/>
    </row>
    <row r="156" spans="1:26" ht="15.75" customHeight="1" x14ac:dyDescent="0.25">
      <c r="A156" s="260">
        <v>5402</v>
      </c>
      <c r="B156" s="139" t="s">
        <v>60</v>
      </c>
      <c r="C156" s="140">
        <f>((SUMIF('BCE 2026'!A:A,DATOS!A156,'BCE 2026'!G:G))/1000)-((SUMIF('BCE 2026'!A:A,DATOS!A156,'BCE 2026'!H:H))/1000)</f>
        <v>0</v>
      </c>
      <c r="D156" s="140">
        <f>(SUMIF('BCE 2026'!A:A,DATOS!A156,'BCE 2026'!I:I))/1000</f>
        <v>0</v>
      </c>
      <c r="E156" s="2"/>
      <c r="F156" s="140">
        <f>((SUMIF('BCE 2025'!A:A,DATOS!A156,'BCE 2025'!G:G))/1000)-((SUMIF('BCE 2025'!A:A,DATOS!A156,'BCE 2025'!H:H))/1000)</f>
        <v>0</v>
      </c>
      <c r="G156" s="140">
        <f>(SUMIF('BCE 2025'!A:A,DATOS!A156,'BCE 2025'!I:I))/1000</f>
        <v>0</v>
      </c>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60">
        <v>5405</v>
      </c>
      <c r="B157" s="139" t="s">
        <v>215</v>
      </c>
      <c r="C157" s="140">
        <f>((SUMIF('BCE 2026'!A:A,DATOS!A157,'BCE 2026'!G:G))/1000)-((SUMIF('BCE 2026'!A:A,DATOS!A157,'BCE 2026'!H:H))/1000)</f>
        <v>3799</v>
      </c>
      <c r="D157" s="140">
        <f>(SUMIF('BCE 2026'!A:A,DATOS!A157,'BCE 2026'!I:I))/1000</f>
        <v>34336</v>
      </c>
      <c r="E157" s="2"/>
      <c r="F157" s="140">
        <f>((SUMIF('BCE 2025'!A:A,DATOS!A157,'BCE 2025'!G:G))/1000)-((SUMIF('BCE 2025'!A:A,DATOS!A157,'BCE 2025'!H:H))/1000)</f>
        <v>362.19600000000003</v>
      </c>
      <c r="G157" s="140">
        <f>(SUMIF('BCE 2025'!A:A,DATOS!A157,'BCE 2025'!I:I))/1000</f>
        <v>26671.196</v>
      </c>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60">
        <v>5406</v>
      </c>
      <c r="B158" s="139" t="s">
        <v>216</v>
      </c>
      <c r="C158" s="140">
        <f>((SUMIF('BCE 2026'!A:A,DATOS!A158,'BCE 2026'!G:G))/1000)-((SUMIF('BCE 2026'!A:A,DATOS!A158,'BCE 2026'!H:H))/1000)</f>
        <v>0</v>
      </c>
      <c r="D158" s="140">
        <f>(SUMIF('BCE 2026'!A:A,DATOS!A158,'BCE 2026'!I:I))/1000</f>
        <v>0</v>
      </c>
      <c r="E158" s="2"/>
      <c r="F158" s="140">
        <f>((SUMIF('BCE 2025'!A:A,DATOS!A158,'BCE 2025'!G:G))/1000)-((SUMIF('BCE 2025'!A:A,DATOS!A158,'BCE 2025'!H:H))/1000)</f>
        <v>0</v>
      </c>
      <c r="G158" s="140">
        <f>(SUMIF('BCE 2025'!A:A,DATOS!A158,'BCE 2025'!I:I))/1000</f>
        <v>0</v>
      </c>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44">
        <v>55</v>
      </c>
      <c r="B159" s="141" t="s">
        <v>217</v>
      </c>
      <c r="C159" s="54">
        <f>SUM(C160:C163)</f>
        <v>256.447</v>
      </c>
      <c r="D159" s="54">
        <f>SUM(D160:D163)</f>
        <v>840.44598999999994</v>
      </c>
      <c r="E159" s="13"/>
      <c r="F159" s="54">
        <f>SUM(F160:F163)</f>
        <v>108.19</v>
      </c>
      <c r="G159" s="54">
        <f>SUM(G160:G163)</f>
        <v>581.74644000000001</v>
      </c>
      <c r="H159" s="13"/>
      <c r="I159" s="13"/>
      <c r="J159" s="13"/>
      <c r="K159" s="13"/>
      <c r="L159" s="13"/>
      <c r="M159" s="13"/>
      <c r="N159" s="13"/>
      <c r="O159" s="13"/>
      <c r="P159" s="13"/>
      <c r="Q159" s="13"/>
      <c r="R159" s="13"/>
      <c r="S159" s="13"/>
      <c r="T159" s="13"/>
      <c r="U159" s="13"/>
      <c r="V159" s="13"/>
      <c r="W159" s="13"/>
      <c r="X159" s="13"/>
      <c r="Y159" s="13"/>
      <c r="Z159" s="13"/>
    </row>
    <row r="160" spans="1:26" ht="15.75" customHeight="1" x14ac:dyDescent="0.25">
      <c r="A160" s="245">
        <v>5510</v>
      </c>
      <c r="B160" s="142" t="s">
        <v>492</v>
      </c>
      <c r="C160" s="60">
        <f>((SUMIF('BCE 2026'!A:A,DATOS!A160,'BCE 2026'!G:G))/1000)-((SUMIF('BCE 2026'!A:A,DATOS!A160,'BCE 2026'!H:H))/1000)</f>
        <v>0</v>
      </c>
      <c r="D160" s="60">
        <f>(SUMIF('BCE 2026'!A:A,DATOS!A160,'BCE 2026'!I:I))/1000</f>
        <v>0</v>
      </c>
      <c r="E160" s="2"/>
      <c r="F160" s="60">
        <f>((SUMIF('BCE 2025'!A:A,DATOS!A160,'BCE 2025'!G:G))/1000)-((SUMIF('BCE 2025'!A:A,DATOS!A160,'BCE 2025'!H:H))/1000)</f>
        <v>0</v>
      </c>
      <c r="G160" s="60">
        <f>(SUMIF('BCE 2025'!A:A,DATOS!A160,'BCE 2025'!I:I))/1000</f>
        <v>0</v>
      </c>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45">
        <v>550595</v>
      </c>
      <c r="B161" s="142" t="s">
        <v>91</v>
      </c>
      <c r="C161" s="60">
        <f>((SUMIF('BCE 2026'!A:A,DATOS!A161,'BCE 2026'!G:G))/1000)-((SUMIF('BCE 2026'!A:A,DATOS!A161,'BCE 2026'!H:H))/1000)</f>
        <v>0</v>
      </c>
      <c r="D161" s="60">
        <f>(SUMIF('BCE 2026'!A:A,DATOS!A161,'BCE 2026'!I:I))/1000</f>
        <v>0</v>
      </c>
      <c r="E161" s="2"/>
      <c r="F161" s="60">
        <f>((SUMIF('BCE 2025'!A:A,DATOS!A161,'BCE 2025'!G:G))/1000)-((SUMIF('BCE 2025'!A:A,DATOS!A161,'BCE 2025'!H:H))/1000)</f>
        <v>0</v>
      </c>
      <c r="G161" s="60">
        <f>(SUMIF('BCE 2025'!A:A,DATOS!A161,'BCE 2025'!I:I))/1000</f>
        <v>0</v>
      </c>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45">
        <v>5515</v>
      </c>
      <c r="B162" s="142" t="s">
        <v>218</v>
      </c>
      <c r="C162" s="60">
        <f>((SUMIF('BCE 2026'!A:A,DATOS!A162,'BCE 2026'!G:G))/1000)-((SUMIF('BCE 2026'!A:A,DATOS!A162,'BCE 2026'!H:H))/1000)</f>
        <v>0</v>
      </c>
      <c r="D162" s="60">
        <f>(SUMIF('BCE 2026'!A:A,DATOS!A162,'BCE 2026'!I:I))/1000</f>
        <v>0</v>
      </c>
      <c r="E162" s="2"/>
      <c r="F162" s="60">
        <f>((SUMIF('BCE 2025'!A:A,DATOS!A162,'BCE 2025'!G:G))/1000)-((SUMIF('BCE 2025'!A:A,DATOS!A162,'BCE 2025'!H:H))/1000)</f>
        <v>33</v>
      </c>
      <c r="G162" s="60">
        <f>(SUMIF('BCE 2025'!A:A,DATOS!A162,'BCE 2025'!I:I))/1000</f>
        <v>369.738</v>
      </c>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45">
        <v>5595</v>
      </c>
      <c r="B163" s="142" t="s">
        <v>199</v>
      </c>
      <c r="C163" s="60">
        <f>((SUMIF('BCE 2026'!A:A,DATOS!A163,'BCE 2026'!G:G))/1000)-((SUMIF('BCE 2026'!A:A,DATOS!A163,'BCE 2026'!H:H))/1000)</f>
        <v>256.447</v>
      </c>
      <c r="D163" s="60">
        <f>(SUMIF('BCE 2026'!A:A,DATOS!A163,'BCE 2026'!I:I))/1000</f>
        <v>840.44598999999994</v>
      </c>
      <c r="E163" s="2"/>
      <c r="F163" s="60">
        <f>((SUMIF('BCE 2025'!A:A,DATOS!A163,'BCE 2025'!G:G))/1000)-((SUMIF('BCE 2025'!A:A,DATOS!A163,'BCE 2025'!H:H))/1000)</f>
        <v>75.19</v>
      </c>
      <c r="G163" s="60">
        <f>(SUMIF('BCE 2025'!A:A,DATOS!A163,'BCE 2025'!I:I))/1000</f>
        <v>212.00844000000001</v>
      </c>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61">
        <v>6</v>
      </c>
      <c r="B164" s="144" t="s">
        <v>219</v>
      </c>
      <c r="C164" s="147">
        <f>SUM(C165:C166)</f>
        <v>155609.25</v>
      </c>
      <c r="D164" s="147">
        <f>SUM(D165:D166)</f>
        <v>956551.83900000004</v>
      </c>
      <c r="E164" s="13"/>
      <c r="F164" s="147">
        <f>SUM(F165:F166)</f>
        <v>221817.00200000001</v>
      </c>
      <c r="G164" s="147">
        <f>SUM(G165:G166)</f>
        <v>1241064.943</v>
      </c>
      <c r="H164" s="13"/>
      <c r="I164" s="13"/>
      <c r="J164" s="13"/>
      <c r="K164" s="13"/>
      <c r="L164" s="13"/>
      <c r="M164" s="13"/>
      <c r="N164" s="13"/>
      <c r="O164" s="13"/>
      <c r="P164" s="13"/>
      <c r="Q164" s="13"/>
      <c r="R164" s="13"/>
      <c r="S164" s="13"/>
      <c r="T164" s="13"/>
      <c r="U164" s="13"/>
      <c r="V164" s="13"/>
      <c r="W164" s="13"/>
      <c r="X164" s="13"/>
      <c r="Y164" s="13"/>
      <c r="Z164" s="13"/>
    </row>
    <row r="165" spans="1:26" ht="15.75" customHeight="1" x14ac:dyDescent="0.25">
      <c r="A165" s="262">
        <v>6</v>
      </c>
      <c r="B165" s="152" t="s">
        <v>220</v>
      </c>
      <c r="C165" s="153">
        <f>((SUMIF('BCE 2026'!A:A,DATOS!A165,'BCE 2026'!G:G))/1000)-((SUMIF('BCE 2026'!A:A,DATOS!A165,'BCE 2026'!H:H))/1000)</f>
        <v>155609.25</v>
      </c>
      <c r="D165" s="153">
        <f>(SUMIF('BCE 2026'!A:A,DATOS!A165,'BCE 2026'!I:I))/1000</f>
        <v>956551.83900000004</v>
      </c>
      <c r="E165" s="2"/>
      <c r="F165" s="153">
        <f>((SUMIF('BCE 2025'!A:A,DATOS!A165,'BCE 2025'!G:G))/1000)-((SUMIF('BCE 2025'!A:A,DATOS!A165,'BCE 2025'!H:H))/1000)</f>
        <v>221817.00200000001</v>
      </c>
      <c r="G165" s="153">
        <f>(SUMIF('BCE 2025'!A:A,DATOS!A165,'BCE 2025'!I:I))/1000</f>
        <v>1241064.943</v>
      </c>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62">
        <v>6</v>
      </c>
      <c r="B166" s="152" t="s">
        <v>223</v>
      </c>
      <c r="C166" s="153">
        <v>0</v>
      </c>
      <c r="D166" s="153">
        <v>0</v>
      </c>
      <c r="E166" s="2"/>
      <c r="F166" s="153">
        <v>0</v>
      </c>
      <c r="G166" s="153">
        <v>0</v>
      </c>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46">
        <v>72</v>
      </c>
      <c r="B167" s="155" t="s">
        <v>225</v>
      </c>
      <c r="C167" s="72">
        <v>0</v>
      </c>
      <c r="D167" s="72">
        <v>0</v>
      </c>
      <c r="E167" s="13"/>
      <c r="F167" s="72">
        <v>0</v>
      </c>
      <c r="G167" s="72">
        <v>0</v>
      </c>
      <c r="H167" s="13"/>
      <c r="I167" s="13"/>
      <c r="J167" s="13"/>
      <c r="K167" s="13"/>
      <c r="L167" s="13"/>
      <c r="M167" s="13"/>
      <c r="N167" s="13"/>
      <c r="O167" s="13"/>
      <c r="P167" s="13"/>
      <c r="Q167" s="13"/>
      <c r="R167" s="13"/>
      <c r="S167" s="13"/>
      <c r="T167" s="13"/>
      <c r="U167" s="13"/>
      <c r="V167" s="13"/>
      <c r="W167" s="13"/>
      <c r="X167" s="13"/>
      <c r="Y167" s="13"/>
      <c r="Z167" s="13"/>
    </row>
    <row r="168" spans="1:26" ht="15.75" customHeight="1" x14ac:dyDescent="0.25">
      <c r="A168" s="263">
        <v>73</v>
      </c>
      <c r="B168" s="156" t="s">
        <v>227</v>
      </c>
      <c r="C168" s="159">
        <f>SUM(C169:C181)</f>
        <v>0</v>
      </c>
      <c r="D168" s="159">
        <f>SUM(D169:D181)</f>
        <v>0</v>
      </c>
      <c r="E168" s="13"/>
      <c r="F168" s="159">
        <f>SUM(F169:F181)</f>
        <v>0</v>
      </c>
      <c r="G168" s="159">
        <f>SUM(G169:G181)</f>
        <v>0</v>
      </c>
      <c r="H168" s="13"/>
      <c r="I168" s="13"/>
      <c r="J168" s="13"/>
      <c r="K168" s="13"/>
      <c r="L168" s="13"/>
      <c r="M168" s="13"/>
      <c r="N168" s="13"/>
      <c r="O168" s="13"/>
      <c r="P168" s="13"/>
      <c r="Q168" s="13"/>
      <c r="R168" s="13"/>
      <c r="S168" s="13"/>
      <c r="T168" s="13"/>
      <c r="U168" s="13"/>
      <c r="V168" s="13"/>
      <c r="W168" s="13"/>
      <c r="X168" s="13"/>
      <c r="Y168" s="13"/>
      <c r="Z168" s="13"/>
    </row>
    <row r="169" spans="1:26" ht="15.75" customHeight="1" x14ac:dyDescent="0.25">
      <c r="A169" s="264">
        <v>7304</v>
      </c>
      <c r="B169" s="163" t="s">
        <v>185</v>
      </c>
      <c r="C169" s="165">
        <v>0</v>
      </c>
      <c r="D169" s="165">
        <v>0</v>
      </c>
      <c r="E169" s="13"/>
      <c r="F169" s="165">
        <v>0</v>
      </c>
      <c r="G169" s="165">
        <v>0</v>
      </c>
      <c r="H169" s="13"/>
      <c r="I169" s="13"/>
      <c r="J169" s="13"/>
      <c r="K169" s="13"/>
      <c r="L169" s="13"/>
      <c r="M169" s="13"/>
      <c r="N169" s="13"/>
      <c r="O169" s="13"/>
      <c r="P169" s="13"/>
      <c r="Q169" s="13"/>
      <c r="R169" s="13"/>
      <c r="S169" s="13"/>
      <c r="T169" s="13"/>
      <c r="U169" s="13"/>
      <c r="V169" s="13"/>
      <c r="W169" s="13"/>
      <c r="X169" s="13"/>
      <c r="Y169" s="13"/>
      <c r="Z169" s="13"/>
    </row>
    <row r="170" spans="1:26" ht="15.75" customHeight="1" x14ac:dyDescent="0.25">
      <c r="A170" s="264">
        <v>7305</v>
      </c>
      <c r="B170" s="163" t="s">
        <v>231</v>
      </c>
      <c r="C170" s="165">
        <v>0</v>
      </c>
      <c r="D170" s="165">
        <v>0</v>
      </c>
      <c r="E170" s="13"/>
      <c r="F170" s="165">
        <v>0</v>
      </c>
      <c r="G170" s="165">
        <v>0</v>
      </c>
      <c r="H170" s="13"/>
      <c r="I170" s="13"/>
      <c r="J170" s="13"/>
      <c r="K170" s="13"/>
      <c r="L170" s="13"/>
      <c r="M170" s="13"/>
      <c r="N170" s="13"/>
      <c r="O170" s="13"/>
      <c r="P170" s="13"/>
      <c r="Q170" s="13"/>
      <c r="R170" s="13"/>
      <c r="S170" s="13"/>
      <c r="T170" s="13"/>
      <c r="U170" s="13"/>
      <c r="V170" s="13"/>
      <c r="W170" s="13"/>
      <c r="X170" s="13"/>
      <c r="Y170" s="13"/>
      <c r="Z170" s="13"/>
    </row>
    <row r="171" spans="1:26" ht="15.75" customHeight="1" x14ac:dyDescent="0.25">
      <c r="A171" s="264">
        <v>7310</v>
      </c>
      <c r="B171" s="163" t="s">
        <v>159</v>
      </c>
      <c r="C171" s="165">
        <v>0</v>
      </c>
      <c r="D171" s="165">
        <v>0</v>
      </c>
      <c r="E171" s="2"/>
      <c r="F171" s="165">
        <v>0</v>
      </c>
      <c r="G171" s="165">
        <v>0</v>
      </c>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64">
        <v>7315</v>
      </c>
      <c r="B172" s="163" t="s">
        <v>232</v>
      </c>
      <c r="C172" s="165">
        <v>0</v>
      </c>
      <c r="D172" s="165">
        <v>0</v>
      </c>
      <c r="E172" s="2"/>
      <c r="F172" s="165">
        <v>0</v>
      </c>
      <c r="G172" s="165">
        <v>0</v>
      </c>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64">
        <v>7320</v>
      </c>
      <c r="B173" s="163" t="s">
        <v>190</v>
      </c>
      <c r="C173" s="165">
        <v>0</v>
      </c>
      <c r="D173" s="165">
        <v>0</v>
      </c>
      <c r="E173" s="2"/>
      <c r="F173" s="165">
        <v>0</v>
      </c>
      <c r="G173" s="165">
        <v>0</v>
      </c>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64">
        <v>7325</v>
      </c>
      <c r="B174" s="163" t="s">
        <v>233</v>
      </c>
      <c r="C174" s="165">
        <v>0</v>
      </c>
      <c r="D174" s="165">
        <v>0</v>
      </c>
      <c r="E174" s="2"/>
      <c r="F174" s="165">
        <v>0</v>
      </c>
      <c r="G174" s="165">
        <v>0</v>
      </c>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64">
        <v>7330</v>
      </c>
      <c r="B175" s="163" t="s">
        <v>234</v>
      </c>
      <c r="C175" s="165">
        <v>0</v>
      </c>
      <c r="D175" s="165">
        <v>0</v>
      </c>
      <c r="E175" s="2"/>
      <c r="F175" s="165">
        <v>0</v>
      </c>
      <c r="G175" s="165">
        <v>0</v>
      </c>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64">
        <v>7335</v>
      </c>
      <c r="B176" s="163" t="s">
        <v>193</v>
      </c>
      <c r="C176" s="165">
        <v>0</v>
      </c>
      <c r="D176" s="165">
        <v>0</v>
      </c>
      <c r="E176" s="2"/>
      <c r="F176" s="165">
        <v>0</v>
      </c>
      <c r="G176" s="165">
        <v>0</v>
      </c>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64">
        <v>7345</v>
      </c>
      <c r="B177" s="163" t="s">
        <v>235</v>
      </c>
      <c r="C177" s="165">
        <v>0</v>
      </c>
      <c r="D177" s="165">
        <v>0</v>
      </c>
      <c r="E177" s="2"/>
      <c r="F177" s="165">
        <v>0</v>
      </c>
      <c r="G177" s="165">
        <v>0</v>
      </c>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64">
        <v>7350</v>
      </c>
      <c r="B178" s="163" t="s">
        <v>236</v>
      </c>
      <c r="C178" s="165">
        <v>0</v>
      </c>
      <c r="D178" s="165">
        <v>0</v>
      </c>
      <c r="E178" s="2"/>
      <c r="F178" s="165">
        <v>0</v>
      </c>
      <c r="G178" s="165">
        <v>0</v>
      </c>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64">
        <v>7360</v>
      </c>
      <c r="B179" s="163" t="s">
        <v>237</v>
      </c>
      <c r="C179" s="165">
        <v>0</v>
      </c>
      <c r="D179" s="165">
        <v>0</v>
      </c>
      <c r="E179" s="2"/>
      <c r="F179" s="165">
        <v>0</v>
      </c>
      <c r="G179" s="165">
        <v>0</v>
      </c>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64">
        <v>7365</v>
      </c>
      <c r="B180" s="163" t="s">
        <v>198</v>
      </c>
      <c r="C180" s="165">
        <v>0</v>
      </c>
      <c r="D180" s="165">
        <v>0</v>
      </c>
      <c r="E180" s="2"/>
      <c r="F180" s="165">
        <v>0</v>
      </c>
      <c r="G180" s="165">
        <v>0</v>
      </c>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64">
        <v>7395</v>
      </c>
      <c r="B181" s="163" t="s">
        <v>238</v>
      </c>
      <c r="C181" s="165">
        <v>0</v>
      </c>
      <c r="D181" s="165">
        <v>0</v>
      </c>
      <c r="E181" s="2"/>
      <c r="F181" s="165">
        <v>0</v>
      </c>
      <c r="G181" s="165">
        <v>0</v>
      </c>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65">
        <v>74</v>
      </c>
      <c r="B182" s="168" t="s">
        <v>239</v>
      </c>
      <c r="C182" s="169">
        <v>0</v>
      </c>
      <c r="D182" s="169">
        <v>0</v>
      </c>
      <c r="E182" s="2"/>
      <c r="F182" s="169">
        <v>0</v>
      </c>
      <c r="G182" s="169">
        <v>0</v>
      </c>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8"/>
      <c r="C183" s="69"/>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8"/>
      <c r="C184" s="69"/>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8"/>
      <c r="C185" s="69"/>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8"/>
      <c r="C186" s="69"/>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8"/>
      <c r="C187" s="69"/>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8"/>
      <c r="C188" s="69"/>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8"/>
      <c r="C189" s="69"/>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8"/>
      <c r="C190" s="69"/>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8"/>
      <c r="C191" s="69"/>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8"/>
      <c r="C192" s="69"/>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8"/>
      <c r="C193" s="69"/>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8"/>
      <c r="C194" s="69"/>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8"/>
      <c r="C195" s="69"/>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8"/>
      <c r="C196" s="69"/>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8"/>
      <c r="C197" s="69"/>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8"/>
      <c r="C198" s="69"/>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8"/>
      <c r="C199" s="69"/>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8"/>
      <c r="C200" s="69"/>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8"/>
      <c r="C201" s="69"/>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8"/>
      <c r="C202" s="69"/>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8"/>
      <c r="C203" s="69"/>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8"/>
      <c r="C204" s="69"/>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8"/>
      <c r="C205" s="69"/>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8"/>
      <c r="C206" s="69"/>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8"/>
      <c r="C207" s="69"/>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8"/>
      <c r="C208" s="69"/>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8"/>
      <c r="C209" s="69"/>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8"/>
      <c r="C210" s="69"/>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8"/>
      <c r="C211" s="69"/>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8"/>
      <c r="C212" s="69"/>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8"/>
      <c r="C213" s="69"/>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8"/>
      <c r="C214" s="69"/>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8"/>
      <c r="C215" s="69"/>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8"/>
      <c r="C216" s="69"/>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8"/>
      <c r="C217" s="69"/>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8"/>
      <c r="C218" s="69"/>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8"/>
      <c r="C219" s="69"/>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8"/>
      <c r="C220" s="69"/>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8"/>
      <c r="C221" s="69"/>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8"/>
      <c r="C222" s="69"/>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8"/>
      <c r="C223" s="69"/>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8"/>
      <c r="C224" s="69"/>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8"/>
      <c r="C225" s="69"/>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8"/>
      <c r="C226" s="69"/>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8"/>
      <c r="C227" s="69"/>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8"/>
      <c r="C228" s="69"/>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8"/>
      <c r="C229" s="69"/>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8"/>
      <c r="C230" s="69"/>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8"/>
      <c r="C231" s="69"/>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8"/>
      <c r="C232" s="69"/>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8"/>
      <c r="C233" s="69"/>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8"/>
      <c r="C234" s="69"/>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8"/>
      <c r="C235" s="69"/>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8"/>
      <c r="C236" s="69"/>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8"/>
      <c r="C237" s="69"/>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8"/>
      <c r="C238" s="69"/>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8"/>
      <c r="C239" s="69"/>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8"/>
      <c r="C240" s="69"/>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8"/>
      <c r="C241" s="69"/>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8"/>
      <c r="C242" s="69"/>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8"/>
      <c r="C243" s="69"/>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8"/>
      <c r="C244" s="69"/>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8"/>
      <c r="C245" s="69"/>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8"/>
      <c r="C246" s="69"/>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8"/>
      <c r="C247" s="69"/>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8"/>
      <c r="C248" s="69"/>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8"/>
      <c r="C249" s="69"/>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8"/>
      <c r="C250" s="69"/>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8"/>
      <c r="C251" s="69"/>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8"/>
      <c r="C252" s="69"/>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8"/>
      <c r="C253" s="69"/>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8"/>
      <c r="C254" s="69"/>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8"/>
      <c r="C255" s="69"/>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8"/>
      <c r="C256" s="69"/>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8"/>
      <c r="C257" s="69"/>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8"/>
      <c r="C258" s="69"/>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8"/>
      <c r="C259" s="69"/>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8"/>
      <c r="C260" s="69"/>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8"/>
      <c r="C261" s="69"/>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8"/>
      <c r="C262" s="69"/>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8"/>
      <c r="C263" s="69"/>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8"/>
      <c r="C264" s="69"/>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8"/>
      <c r="C265" s="69"/>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8"/>
      <c r="C266" s="69"/>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8"/>
      <c r="C267" s="69"/>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8"/>
      <c r="C268" s="69"/>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8"/>
      <c r="C269" s="69"/>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8"/>
      <c r="C270" s="69"/>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8"/>
      <c r="C271" s="69"/>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8"/>
      <c r="C272" s="69"/>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8"/>
      <c r="C273" s="69"/>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8"/>
      <c r="C274" s="69"/>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8"/>
      <c r="C275" s="69"/>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8"/>
      <c r="C276" s="69"/>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8"/>
      <c r="C277" s="69"/>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8"/>
      <c r="C278" s="69"/>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8"/>
      <c r="C279" s="69"/>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8"/>
      <c r="C280" s="69"/>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8"/>
      <c r="C281" s="69"/>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8"/>
      <c r="C282" s="69"/>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8"/>
      <c r="C283" s="69"/>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8"/>
      <c r="C284" s="69"/>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8"/>
      <c r="C285" s="69"/>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8"/>
      <c r="C286" s="69"/>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8"/>
      <c r="C287" s="69"/>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8"/>
      <c r="C288" s="69"/>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8"/>
      <c r="C289" s="69"/>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8"/>
      <c r="C290" s="69"/>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8"/>
      <c r="C291" s="69"/>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8"/>
      <c r="C292" s="69"/>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8"/>
      <c r="C293" s="69"/>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8"/>
      <c r="C294" s="69"/>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8"/>
      <c r="C295" s="69"/>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8"/>
      <c r="C296" s="69"/>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8"/>
      <c r="C297" s="69"/>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8"/>
      <c r="C298" s="69"/>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8"/>
      <c r="C299" s="69"/>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8"/>
      <c r="C300" s="69"/>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8"/>
      <c r="C301" s="69"/>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8"/>
      <c r="C302" s="69"/>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8"/>
      <c r="C303" s="69"/>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8"/>
      <c r="C304" s="69"/>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8"/>
      <c r="C305" s="69"/>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8"/>
      <c r="C306" s="69"/>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8"/>
      <c r="C307" s="69"/>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8"/>
      <c r="C308" s="69"/>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8"/>
      <c r="C309" s="69"/>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8"/>
      <c r="C310" s="69"/>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8"/>
      <c r="C311" s="69"/>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8"/>
      <c r="C312" s="69"/>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8"/>
      <c r="C313" s="69"/>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8"/>
      <c r="C314" s="69"/>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8"/>
      <c r="C315" s="69"/>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8"/>
      <c r="C316" s="69"/>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8"/>
      <c r="C317" s="69"/>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8"/>
      <c r="C318" s="69"/>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8"/>
      <c r="C319" s="69"/>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8"/>
      <c r="C320" s="69"/>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8"/>
      <c r="C321" s="69"/>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8"/>
      <c r="C322" s="69"/>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8"/>
      <c r="C323" s="69"/>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8"/>
      <c r="C324" s="69"/>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8"/>
      <c r="C325" s="69"/>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8"/>
      <c r="C326" s="69"/>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8"/>
      <c r="C327" s="69"/>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8"/>
      <c r="C328" s="69"/>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8"/>
      <c r="C329" s="69"/>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8"/>
      <c r="C330" s="69"/>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8"/>
      <c r="C331" s="69"/>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8"/>
      <c r="C332" s="69"/>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8"/>
      <c r="C333" s="69"/>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8"/>
      <c r="C334" s="69"/>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8"/>
      <c r="C335" s="69"/>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8"/>
      <c r="C336" s="69"/>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8"/>
      <c r="C337" s="69"/>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8"/>
      <c r="C338" s="69"/>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8"/>
      <c r="C339" s="69"/>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8"/>
      <c r="C340" s="69"/>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8"/>
      <c r="C341" s="69"/>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8"/>
      <c r="C342" s="69"/>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8"/>
      <c r="C343" s="69"/>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8"/>
      <c r="C344" s="69"/>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8"/>
      <c r="C345" s="69"/>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8"/>
      <c r="C346" s="69"/>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8"/>
      <c r="C347" s="69"/>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8"/>
      <c r="C348" s="69"/>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8"/>
      <c r="C349" s="69"/>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8"/>
      <c r="C350" s="69"/>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8"/>
      <c r="C351" s="69"/>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8"/>
      <c r="C352" s="69"/>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8"/>
      <c r="C353" s="69"/>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8"/>
      <c r="C354" s="69"/>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8"/>
      <c r="C355" s="69"/>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8"/>
      <c r="C356" s="69"/>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8"/>
      <c r="C357" s="69"/>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8"/>
      <c r="C358" s="69"/>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8"/>
      <c r="C359" s="69"/>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8"/>
      <c r="C360" s="69"/>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8"/>
      <c r="C361" s="69"/>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8"/>
      <c r="C362" s="69"/>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8"/>
      <c r="C363" s="69"/>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8"/>
      <c r="C364" s="69"/>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8"/>
      <c r="C365" s="69"/>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8"/>
      <c r="C366" s="69"/>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8"/>
      <c r="C367" s="69"/>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8"/>
      <c r="C368" s="69"/>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8"/>
      <c r="C369" s="69"/>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8"/>
      <c r="C370" s="69"/>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8"/>
      <c r="C371" s="69"/>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8"/>
      <c r="C372" s="69"/>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8"/>
      <c r="C373" s="69"/>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8"/>
      <c r="C374" s="69"/>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8"/>
      <c r="C375" s="69"/>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8"/>
      <c r="C376" s="69"/>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8"/>
      <c r="C377" s="69"/>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8"/>
      <c r="C378" s="69"/>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8"/>
      <c r="C379" s="69"/>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8"/>
      <c r="C380" s="69"/>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8"/>
      <c r="C381" s="69"/>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8"/>
      <c r="C382" s="69"/>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8"/>
      <c r="C383" s="69"/>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8"/>
      <c r="C384" s="69"/>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8"/>
      <c r="C385" s="69"/>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8"/>
      <c r="C386" s="69"/>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8"/>
      <c r="C387" s="69"/>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8"/>
      <c r="C388" s="69"/>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8"/>
      <c r="C389" s="69"/>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8"/>
      <c r="C390" s="69"/>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8"/>
      <c r="C391" s="69"/>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8"/>
      <c r="C392" s="69"/>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8"/>
      <c r="C393" s="69"/>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8"/>
      <c r="C394" s="69"/>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8"/>
      <c r="C395" s="69"/>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8"/>
      <c r="C396" s="69"/>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8"/>
      <c r="C397" s="69"/>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8"/>
      <c r="C398" s="69"/>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8"/>
      <c r="C399" s="69"/>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8"/>
      <c r="C400" s="69"/>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8"/>
      <c r="C401" s="69"/>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8"/>
      <c r="C402" s="69"/>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8"/>
      <c r="C403" s="69"/>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8"/>
      <c r="C404" s="69"/>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8"/>
      <c r="C405" s="69"/>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8"/>
      <c r="C406" s="69"/>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8"/>
      <c r="C407" s="69"/>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8"/>
      <c r="C408" s="69"/>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8"/>
      <c r="C409" s="69"/>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8"/>
      <c r="C410" s="69"/>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8"/>
      <c r="C411" s="69"/>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8"/>
      <c r="C412" s="69"/>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8"/>
      <c r="C413" s="69"/>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8"/>
      <c r="C414" s="69"/>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8"/>
      <c r="C415" s="69"/>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8"/>
      <c r="C416" s="69"/>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8"/>
      <c r="C417" s="69"/>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8"/>
      <c r="C418" s="69"/>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8"/>
      <c r="C419" s="69"/>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8"/>
      <c r="C420" s="69"/>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8"/>
      <c r="C421" s="69"/>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8"/>
      <c r="C422" s="69"/>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8"/>
      <c r="C423" s="69"/>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8"/>
      <c r="C424" s="69"/>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8"/>
      <c r="C425" s="69"/>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8"/>
      <c r="C426" s="69"/>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8"/>
      <c r="C427" s="69"/>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8"/>
      <c r="C428" s="69"/>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8"/>
      <c r="C429" s="69"/>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8"/>
      <c r="C430" s="69"/>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8"/>
      <c r="C431" s="69"/>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8"/>
      <c r="C432" s="69"/>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8"/>
      <c r="C433" s="69"/>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8"/>
      <c r="C434" s="69"/>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8"/>
      <c r="C435" s="69"/>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8"/>
      <c r="C436" s="69"/>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8"/>
      <c r="C437" s="69"/>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8"/>
      <c r="C438" s="69"/>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8"/>
      <c r="C439" s="69"/>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8"/>
      <c r="C440" s="69"/>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8"/>
      <c r="C441" s="69"/>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8"/>
      <c r="C442" s="69"/>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8"/>
      <c r="C443" s="69"/>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8"/>
      <c r="C444" s="69"/>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8"/>
      <c r="C445" s="69"/>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8"/>
      <c r="C446" s="69"/>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8"/>
      <c r="C447" s="69"/>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8"/>
      <c r="C448" s="69"/>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8"/>
      <c r="C449" s="69"/>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8"/>
      <c r="C450" s="69"/>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8"/>
      <c r="C451" s="69"/>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8"/>
      <c r="C452" s="69"/>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8"/>
      <c r="C453" s="69"/>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8"/>
      <c r="C454" s="69"/>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8"/>
      <c r="C455" s="69"/>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8"/>
      <c r="C456" s="69"/>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8"/>
      <c r="C457" s="69"/>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8"/>
      <c r="C458" s="69"/>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8"/>
      <c r="C459" s="69"/>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8"/>
      <c r="C460" s="69"/>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8"/>
      <c r="C461" s="69"/>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8"/>
      <c r="C462" s="69"/>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8"/>
      <c r="C463" s="69"/>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8"/>
      <c r="C464" s="69"/>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8"/>
      <c r="C465" s="69"/>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8"/>
      <c r="C466" s="69"/>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8"/>
      <c r="C467" s="69"/>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8"/>
      <c r="C468" s="69"/>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8"/>
      <c r="C469" s="69"/>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8"/>
      <c r="C470" s="69"/>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8"/>
      <c r="C471" s="69"/>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8"/>
      <c r="C472" s="69"/>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8"/>
      <c r="C473" s="69"/>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8"/>
      <c r="C474" s="69"/>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8"/>
      <c r="C475" s="69"/>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8"/>
      <c r="C476" s="69"/>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8"/>
      <c r="C477" s="69"/>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8"/>
      <c r="C478" s="69"/>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8"/>
      <c r="C479" s="69"/>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8"/>
      <c r="C480" s="69"/>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8"/>
      <c r="C481" s="69"/>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8"/>
      <c r="C482" s="69"/>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8"/>
      <c r="C483" s="69"/>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8"/>
      <c r="C484" s="69"/>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8"/>
      <c r="C485" s="69"/>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8"/>
      <c r="C486" s="69"/>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8"/>
      <c r="C487" s="69"/>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8"/>
      <c r="C488" s="69"/>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8"/>
      <c r="C489" s="69"/>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8"/>
      <c r="C490" s="69"/>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8"/>
      <c r="C491" s="69"/>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8"/>
      <c r="C492" s="69"/>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8"/>
      <c r="C493" s="69"/>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8"/>
      <c r="C494" s="69"/>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8"/>
      <c r="C495" s="69"/>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8"/>
      <c r="C496" s="69"/>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8"/>
      <c r="C497" s="69"/>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8"/>
      <c r="C498" s="69"/>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8"/>
      <c r="C499" s="69"/>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8"/>
      <c r="C500" s="69"/>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8"/>
      <c r="C501" s="69"/>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8"/>
      <c r="C502" s="69"/>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8"/>
      <c r="C503" s="69"/>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8"/>
      <c r="C504" s="69"/>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8"/>
      <c r="C505" s="69"/>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8"/>
      <c r="C506" s="69"/>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8"/>
      <c r="C507" s="69"/>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8"/>
      <c r="C508" s="69"/>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8"/>
      <c r="C509" s="69"/>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8"/>
      <c r="C510" s="69"/>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8"/>
      <c r="C511" s="69"/>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8"/>
      <c r="C512" s="69"/>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8"/>
      <c r="C513" s="69"/>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8"/>
      <c r="C514" s="69"/>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8"/>
      <c r="C515" s="69"/>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8"/>
      <c r="C516" s="69"/>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8"/>
      <c r="C517" s="69"/>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8"/>
      <c r="C518" s="69"/>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8"/>
      <c r="C519" s="69"/>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8"/>
      <c r="C520" s="69"/>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8"/>
      <c r="C521" s="69"/>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8"/>
      <c r="C522" s="69"/>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8"/>
      <c r="C523" s="69"/>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8"/>
      <c r="C524" s="69"/>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8"/>
      <c r="C525" s="69"/>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8"/>
      <c r="C526" s="69"/>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8"/>
      <c r="C527" s="69"/>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8"/>
      <c r="C528" s="69"/>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8"/>
      <c r="C529" s="69"/>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8"/>
      <c r="C530" s="69"/>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8"/>
      <c r="C531" s="69"/>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8"/>
      <c r="C532" s="69"/>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8"/>
      <c r="C533" s="69"/>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8"/>
      <c r="C534" s="69"/>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8"/>
      <c r="C535" s="69"/>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8"/>
      <c r="C536" s="69"/>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8"/>
      <c r="C537" s="69"/>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8"/>
      <c r="C538" s="69"/>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8"/>
      <c r="C539" s="69"/>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8"/>
      <c r="C540" s="69"/>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8"/>
      <c r="C541" s="69"/>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8"/>
      <c r="C542" s="69"/>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8"/>
      <c r="C543" s="69"/>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8"/>
      <c r="C544" s="69"/>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8"/>
      <c r="C545" s="69"/>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8"/>
      <c r="C546" s="69"/>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8"/>
      <c r="C547" s="69"/>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8"/>
      <c r="C548" s="69"/>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8"/>
      <c r="C549" s="69"/>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8"/>
      <c r="C550" s="69"/>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8"/>
      <c r="C551" s="69"/>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8"/>
      <c r="C552" s="69"/>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8"/>
      <c r="C553" s="69"/>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8"/>
      <c r="C554" s="69"/>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8"/>
      <c r="C555" s="69"/>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8"/>
      <c r="C556" s="69"/>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8"/>
      <c r="C557" s="69"/>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8"/>
      <c r="C558" s="69"/>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8"/>
      <c r="C559" s="69"/>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8"/>
      <c r="C560" s="69"/>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8"/>
      <c r="C561" s="69"/>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8"/>
      <c r="C562" s="69"/>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8"/>
      <c r="C563" s="69"/>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8"/>
      <c r="C564" s="69"/>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8"/>
      <c r="C565" s="69"/>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8"/>
      <c r="C566" s="69"/>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8"/>
      <c r="C567" s="69"/>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8"/>
      <c r="C568" s="69"/>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8"/>
      <c r="C569" s="69"/>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8"/>
      <c r="C570" s="69"/>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8"/>
      <c r="C571" s="69"/>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8"/>
      <c r="C572" s="69"/>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8"/>
      <c r="C573" s="69"/>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8"/>
      <c r="C574" s="69"/>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8"/>
      <c r="C575" s="69"/>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8"/>
      <c r="C576" s="69"/>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8"/>
      <c r="C577" s="69"/>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8"/>
      <c r="C578" s="69"/>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8"/>
      <c r="C579" s="69"/>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8"/>
      <c r="C580" s="69"/>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8"/>
      <c r="C581" s="69"/>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8"/>
      <c r="C582" s="69"/>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8"/>
      <c r="C583" s="69"/>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8"/>
      <c r="C584" s="69"/>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8"/>
      <c r="C585" s="69"/>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8"/>
      <c r="C586" s="69"/>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8"/>
      <c r="C587" s="69"/>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8"/>
      <c r="C588" s="69"/>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8"/>
      <c r="C589" s="69"/>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8"/>
      <c r="C590" s="69"/>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8"/>
      <c r="C591" s="69"/>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8"/>
      <c r="C592" s="69"/>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8"/>
      <c r="C593" s="69"/>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8"/>
      <c r="C594" s="69"/>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8"/>
      <c r="C595" s="69"/>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8"/>
      <c r="C596" s="69"/>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8"/>
      <c r="C597" s="69"/>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8"/>
      <c r="C598" s="69"/>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8"/>
      <c r="C599" s="69"/>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8"/>
      <c r="C600" s="69"/>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8"/>
      <c r="C601" s="69"/>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8"/>
      <c r="C602" s="69"/>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8"/>
      <c r="C603" s="69"/>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8"/>
      <c r="C604" s="69"/>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8"/>
      <c r="C605" s="69"/>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8"/>
      <c r="C606" s="69"/>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8"/>
      <c r="C607" s="69"/>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8"/>
      <c r="C608" s="69"/>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8"/>
      <c r="C609" s="69"/>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8"/>
      <c r="C610" s="69"/>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8"/>
      <c r="C611" s="69"/>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8"/>
      <c r="C612" s="69"/>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8"/>
      <c r="C613" s="69"/>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8"/>
      <c r="C614" s="69"/>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8"/>
      <c r="C615" s="69"/>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8"/>
      <c r="C616" s="69"/>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8"/>
      <c r="C617" s="69"/>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8"/>
      <c r="C618" s="69"/>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8"/>
      <c r="C619" s="69"/>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8"/>
      <c r="C620" s="69"/>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8"/>
      <c r="C621" s="69"/>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8"/>
      <c r="C622" s="69"/>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8"/>
      <c r="C623" s="69"/>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8"/>
      <c r="C624" s="69"/>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8"/>
      <c r="C625" s="69"/>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8"/>
      <c r="C626" s="69"/>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8"/>
      <c r="C627" s="69"/>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8"/>
      <c r="C628" s="69"/>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8"/>
      <c r="C629" s="69"/>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8"/>
      <c r="C630" s="69"/>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8"/>
      <c r="C631" s="69"/>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8"/>
      <c r="C632" s="69"/>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8"/>
      <c r="C633" s="69"/>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8"/>
      <c r="C634" s="69"/>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8"/>
      <c r="C635" s="69"/>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8"/>
      <c r="C636" s="69"/>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8"/>
      <c r="C637" s="69"/>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8"/>
      <c r="C638" s="69"/>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8"/>
      <c r="C639" s="69"/>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8"/>
      <c r="C640" s="69"/>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8"/>
      <c r="C641" s="69"/>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8"/>
      <c r="C642" s="69"/>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8"/>
      <c r="C643" s="69"/>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8"/>
      <c r="C644" s="69"/>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8"/>
      <c r="C645" s="69"/>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8"/>
      <c r="C646" s="69"/>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8"/>
      <c r="C647" s="69"/>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8"/>
      <c r="C648" s="69"/>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8"/>
      <c r="C649" s="69"/>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8"/>
      <c r="C650" s="69"/>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8"/>
      <c r="C651" s="69"/>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8"/>
      <c r="C652" s="69"/>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8"/>
      <c r="C653" s="69"/>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8"/>
      <c r="C654" s="69"/>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8"/>
      <c r="C655" s="69"/>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8"/>
      <c r="C656" s="69"/>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8"/>
      <c r="C657" s="69"/>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8"/>
      <c r="C658" s="69"/>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8"/>
      <c r="C659" s="69"/>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8"/>
      <c r="C660" s="69"/>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8"/>
      <c r="C661" s="69"/>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8"/>
      <c r="C662" s="69"/>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8"/>
      <c r="C663" s="69"/>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8"/>
      <c r="C664" s="69"/>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8"/>
      <c r="C665" s="69"/>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8"/>
      <c r="C666" s="69"/>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8"/>
      <c r="C667" s="69"/>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8"/>
      <c r="C668" s="69"/>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8"/>
      <c r="C669" s="69"/>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8"/>
      <c r="C670" s="69"/>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8"/>
      <c r="C671" s="69"/>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8"/>
      <c r="C672" s="69"/>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8"/>
      <c r="C673" s="69"/>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8"/>
      <c r="C674" s="69"/>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8"/>
      <c r="C675" s="69"/>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8"/>
      <c r="C676" s="69"/>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8"/>
      <c r="C677" s="69"/>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8"/>
      <c r="C678" s="69"/>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8"/>
      <c r="C679" s="69"/>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8"/>
      <c r="C680" s="69"/>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8"/>
      <c r="C681" s="69"/>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8"/>
      <c r="C682" s="69"/>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8"/>
      <c r="C683" s="69"/>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8"/>
      <c r="C684" s="69"/>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8"/>
      <c r="C685" s="69"/>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8"/>
      <c r="C686" s="69"/>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8"/>
      <c r="C687" s="69"/>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8"/>
      <c r="C688" s="69"/>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8"/>
      <c r="C689" s="69"/>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8"/>
      <c r="C690" s="69"/>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8"/>
      <c r="C691" s="69"/>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8"/>
      <c r="C692" s="69"/>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8"/>
      <c r="C693" s="69"/>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8"/>
      <c r="C694" s="69"/>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8"/>
      <c r="C695" s="69"/>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8"/>
      <c r="C696" s="69"/>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8"/>
      <c r="C697" s="69"/>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8"/>
      <c r="C698" s="69"/>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8"/>
      <c r="C699" s="69"/>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8"/>
      <c r="C700" s="69"/>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8"/>
      <c r="C701" s="69"/>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8"/>
      <c r="C702" s="69"/>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8"/>
      <c r="C703" s="69"/>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8"/>
      <c r="C704" s="69"/>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8"/>
      <c r="C705" s="69"/>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8"/>
      <c r="C706" s="69"/>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8"/>
      <c r="C707" s="69"/>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8"/>
      <c r="C708" s="69"/>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8"/>
      <c r="C709" s="69"/>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8"/>
      <c r="C710" s="69"/>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8"/>
      <c r="C711" s="69"/>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8"/>
      <c r="C712" s="69"/>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8"/>
      <c r="C713" s="69"/>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8"/>
      <c r="C714" s="69"/>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8"/>
      <c r="C715" s="69"/>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8"/>
      <c r="C716" s="69"/>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8"/>
      <c r="C717" s="69"/>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8"/>
      <c r="C718" s="69"/>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8"/>
      <c r="C719" s="69"/>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8"/>
      <c r="C720" s="69"/>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8"/>
      <c r="C721" s="69"/>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8"/>
      <c r="C722" s="69"/>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8"/>
      <c r="C723" s="69"/>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8"/>
      <c r="C724" s="69"/>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8"/>
      <c r="C725" s="69"/>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8"/>
      <c r="C726" s="69"/>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8"/>
      <c r="C727" s="69"/>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8"/>
      <c r="C728" s="69"/>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8"/>
      <c r="C729" s="69"/>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8"/>
      <c r="C730" s="69"/>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8"/>
      <c r="C731" s="69"/>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8"/>
      <c r="C732" s="69"/>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8"/>
      <c r="C733" s="69"/>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8"/>
      <c r="C734" s="69"/>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8"/>
      <c r="C735" s="69"/>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8"/>
      <c r="C736" s="69"/>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8"/>
      <c r="C737" s="69"/>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8"/>
      <c r="C738" s="69"/>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8"/>
      <c r="C739" s="69"/>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8"/>
      <c r="C740" s="69"/>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8"/>
      <c r="C741" s="69"/>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8"/>
      <c r="C742" s="69"/>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8"/>
      <c r="C743" s="69"/>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8"/>
      <c r="C744" s="69"/>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8"/>
      <c r="C745" s="69"/>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8"/>
      <c r="C746" s="69"/>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8"/>
      <c r="C747" s="69"/>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8"/>
      <c r="C748" s="69"/>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8"/>
      <c r="C749" s="69"/>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8"/>
      <c r="C750" s="69"/>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8"/>
      <c r="C751" s="69"/>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8"/>
      <c r="C752" s="69"/>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8"/>
      <c r="C753" s="69"/>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8"/>
      <c r="C754" s="69"/>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8"/>
      <c r="C755" s="69"/>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8"/>
      <c r="C756" s="69"/>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8"/>
      <c r="C757" s="69"/>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8"/>
      <c r="C758" s="69"/>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8"/>
      <c r="C759" s="69"/>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8"/>
      <c r="C760" s="69"/>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8"/>
      <c r="C761" s="69"/>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8"/>
      <c r="C762" s="69"/>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8"/>
      <c r="C763" s="69"/>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8"/>
      <c r="C764" s="69"/>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8"/>
      <c r="C765" s="69"/>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8"/>
      <c r="C766" s="69"/>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8"/>
      <c r="C767" s="69"/>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8"/>
      <c r="C768" s="69"/>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8"/>
      <c r="C769" s="69"/>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8"/>
      <c r="C770" s="69"/>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8"/>
      <c r="C771" s="69"/>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8"/>
      <c r="C772" s="69"/>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8"/>
      <c r="C773" s="69"/>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8"/>
      <c r="C774" s="69"/>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8"/>
      <c r="C775" s="69"/>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8"/>
      <c r="C776" s="69"/>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8"/>
      <c r="C777" s="69"/>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8"/>
      <c r="C778" s="69"/>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8"/>
      <c r="C779" s="69"/>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8"/>
      <c r="C780" s="69"/>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8"/>
      <c r="C781" s="69"/>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8"/>
      <c r="C782" s="69"/>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8"/>
      <c r="C783" s="69"/>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8"/>
      <c r="C784" s="69"/>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8"/>
      <c r="C785" s="69"/>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8"/>
      <c r="C786" s="69"/>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8"/>
      <c r="C787" s="69"/>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8"/>
      <c r="C788" s="69"/>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8"/>
      <c r="C789" s="69"/>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8"/>
      <c r="C790" s="69"/>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8"/>
      <c r="C791" s="69"/>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8"/>
      <c r="C792" s="69"/>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8"/>
      <c r="C793" s="69"/>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8"/>
      <c r="C794" s="69"/>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8"/>
      <c r="C795" s="69"/>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8"/>
      <c r="C796" s="69"/>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8"/>
      <c r="C797" s="69"/>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8"/>
      <c r="C798" s="69"/>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8"/>
      <c r="C799" s="69"/>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8"/>
      <c r="C800" s="69"/>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8"/>
      <c r="C801" s="69"/>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8"/>
      <c r="C802" s="69"/>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8"/>
      <c r="C803" s="69"/>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8"/>
      <c r="C804" s="69"/>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8"/>
      <c r="C805" s="69"/>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8"/>
      <c r="C806" s="69"/>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8"/>
      <c r="C807" s="69"/>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8"/>
      <c r="C808" s="69"/>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8"/>
      <c r="C809" s="69"/>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8"/>
      <c r="C810" s="69"/>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8"/>
      <c r="C811" s="69"/>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8"/>
      <c r="C812" s="69"/>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8"/>
      <c r="C813" s="69"/>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8"/>
      <c r="C814" s="69"/>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8"/>
      <c r="C815" s="69"/>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8"/>
      <c r="C816" s="69"/>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8"/>
      <c r="C817" s="69"/>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8"/>
      <c r="C818" s="69"/>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8"/>
      <c r="C819" s="69"/>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8"/>
      <c r="C820" s="69"/>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8"/>
      <c r="C821" s="69"/>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8"/>
      <c r="C822" s="69"/>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8"/>
      <c r="C823" s="69"/>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8"/>
      <c r="C824" s="69"/>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8"/>
      <c r="C825" s="69"/>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8"/>
      <c r="C826" s="69"/>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8"/>
      <c r="C827" s="69"/>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8"/>
      <c r="C828" s="69"/>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8"/>
      <c r="C829" s="69"/>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8"/>
      <c r="C830" s="69"/>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8"/>
      <c r="C831" s="69"/>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8"/>
      <c r="C832" s="69"/>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8"/>
      <c r="C833" s="69"/>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8"/>
      <c r="C834" s="69"/>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8"/>
      <c r="C835" s="69"/>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8"/>
      <c r="C836" s="69"/>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8"/>
      <c r="C837" s="69"/>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8"/>
      <c r="C838" s="69"/>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8"/>
      <c r="C839" s="69"/>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8"/>
      <c r="C840" s="69"/>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8"/>
      <c r="C841" s="69"/>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8"/>
      <c r="C842" s="69"/>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8"/>
      <c r="C843" s="69"/>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8"/>
      <c r="C844" s="69"/>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8"/>
      <c r="C845" s="69"/>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8"/>
      <c r="C846" s="69"/>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8"/>
      <c r="C847" s="69"/>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8"/>
      <c r="C848" s="69"/>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8"/>
      <c r="C849" s="69"/>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8"/>
      <c r="C850" s="69"/>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8"/>
      <c r="C851" s="69"/>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8"/>
      <c r="C852" s="69"/>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8"/>
      <c r="C853" s="69"/>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8"/>
      <c r="C854" s="69"/>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8"/>
      <c r="C855" s="69"/>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8"/>
      <c r="C856" s="69"/>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8"/>
      <c r="C857" s="69"/>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8"/>
      <c r="C858" s="69"/>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8"/>
      <c r="C859" s="69"/>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8"/>
      <c r="C860" s="69"/>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8"/>
      <c r="C861" s="69"/>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8"/>
      <c r="C862" s="69"/>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8"/>
      <c r="C863" s="69"/>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8"/>
      <c r="C864" s="69"/>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8"/>
      <c r="C865" s="69"/>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8"/>
      <c r="C866" s="69"/>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8"/>
      <c r="C867" s="69"/>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8"/>
      <c r="C868" s="69"/>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8"/>
      <c r="C869" s="69"/>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8"/>
      <c r="C870" s="69"/>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8"/>
      <c r="C871" s="69"/>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8"/>
      <c r="C872" s="69"/>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8"/>
      <c r="C873" s="69"/>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8"/>
      <c r="C874" s="69"/>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8"/>
      <c r="C875" s="69"/>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8"/>
      <c r="C876" s="69"/>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8"/>
      <c r="C877" s="69"/>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8"/>
      <c r="C878" s="69"/>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8"/>
      <c r="C879" s="69"/>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8"/>
      <c r="C880" s="69"/>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8"/>
      <c r="C881" s="69"/>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8"/>
      <c r="C882" s="69"/>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8"/>
      <c r="C883" s="69"/>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8"/>
      <c r="C884" s="69"/>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8"/>
      <c r="C885" s="69"/>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8"/>
      <c r="C886" s="69"/>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8"/>
      <c r="C887" s="69"/>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8"/>
      <c r="C888" s="69"/>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8"/>
      <c r="C889" s="69"/>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8"/>
      <c r="C890" s="69"/>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8"/>
      <c r="C891" s="69"/>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8"/>
      <c r="C892" s="69"/>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8"/>
      <c r="C893" s="69"/>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8"/>
      <c r="C894" s="69"/>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8"/>
      <c r="C895" s="69"/>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8"/>
      <c r="C896" s="69"/>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8"/>
      <c r="C897" s="69"/>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8"/>
      <c r="C898" s="69"/>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8"/>
      <c r="C899" s="69"/>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8"/>
      <c r="C900" s="69"/>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8"/>
      <c r="C901" s="69"/>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8"/>
      <c r="C902" s="69"/>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8"/>
      <c r="C903" s="69"/>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8"/>
      <c r="C904" s="69"/>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8"/>
      <c r="C905" s="69"/>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8"/>
      <c r="C906" s="69"/>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8"/>
      <c r="C907" s="69"/>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8"/>
      <c r="C908" s="69"/>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8"/>
      <c r="C909" s="69"/>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8"/>
      <c r="C910" s="69"/>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8"/>
      <c r="C911" s="69"/>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8"/>
      <c r="C912" s="69"/>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8"/>
      <c r="C913" s="69"/>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8"/>
      <c r="C914" s="69"/>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8"/>
      <c r="C915" s="69"/>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8"/>
      <c r="C916" s="69"/>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8"/>
      <c r="C917" s="69"/>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8"/>
      <c r="C918" s="69"/>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8"/>
      <c r="C919" s="69"/>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8"/>
      <c r="C920" s="69"/>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8"/>
      <c r="C921" s="69"/>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8"/>
      <c r="C922" s="69"/>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8"/>
      <c r="C923" s="69"/>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8"/>
      <c r="C924" s="69"/>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8"/>
      <c r="C925" s="69"/>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8"/>
      <c r="C926" s="69"/>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8"/>
      <c r="C927" s="69"/>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8"/>
      <c r="C928" s="69"/>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8"/>
      <c r="C929" s="69"/>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8"/>
      <c r="C930" s="69"/>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8"/>
      <c r="C931" s="69"/>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8"/>
      <c r="C932" s="69"/>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8"/>
      <c r="C933" s="69"/>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8"/>
      <c r="C934" s="69"/>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8"/>
      <c r="C935" s="69"/>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8"/>
      <c r="C936" s="69"/>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8"/>
      <c r="C937" s="69"/>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8"/>
      <c r="C938" s="69"/>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8"/>
      <c r="C939" s="69"/>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8"/>
      <c r="C940" s="69"/>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8"/>
      <c r="C941" s="69"/>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8"/>
      <c r="C942" s="69"/>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8"/>
      <c r="C943" s="69"/>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8"/>
      <c r="C944" s="69"/>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8"/>
      <c r="C945" s="69"/>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8"/>
      <c r="C946" s="69"/>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8"/>
      <c r="C947" s="69"/>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8"/>
      <c r="C948" s="69"/>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8"/>
      <c r="C949" s="69"/>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8"/>
      <c r="C950" s="69"/>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8"/>
      <c r="C951" s="69"/>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8"/>
      <c r="C952" s="69"/>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8"/>
      <c r="C953" s="69"/>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8"/>
      <c r="C954" s="69"/>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8"/>
      <c r="C955" s="69"/>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8"/>
      <c r="C956" s="69"/>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8"/>
      <c r="C957" s="69"/>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8"/>
      <c r="C958" s="69"/>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8"/>
      <c r="C959" s="69"/>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8"/>
      <c r="C960" s="69"/>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8"/>
      <c r="C961" s="69"/>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8"/>
      <c r="C962" s="69"/>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8"/>
      <c r="C963" s="69"/>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8"/>
      <c r="C964" s="69"/>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8"/>
      <c r="C965" s="69"/>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8"/>
      <c r="C966" s="69"/>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8"/>
      <c r="C967" s="69"/>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8"/>
      <c r="C968" s="69"/>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8"/>
      <c r="C969" s="69"/>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8"/>
      <c r="C970" s="69"/>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8"/>
      <c r="C971" s="69"/>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8"/>
      <c r="C972" s="69"/>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8"/>
      <c r="C973" s="69"/>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8"/>
      <c r="C974" s="69"/>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8"/>
      <c r="C975" s="69"/>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8"/>
      <c r="C976" s="69"/>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8"/>
      <c r="C977" s="69"/>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8"/>
      <c r="C978" s="69"/>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8"/>
      <c r="C979" s="69"/>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8"/>
      <c r="C980" s="69"/>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8"/>
      <c r="C981" s="69"/>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8"/>
      <c r="C982" s="69"/>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8"/>
      <c r="C983" s="69"/>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8"/>
      <c r="C984" s="69"/>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8"/>
      <c r="C985" s="69"/>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8"/>
      <c r="C986" s="69"/>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8"/>
      <c r="C987" s="69"/>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8"/>
      <c r="C988" s="69"/>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8"/>
      <c r="C989" s="69"/>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8"/>
      <c r="C990" s="69"/>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8"/>
      <c r="C991" s="69"/>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8"/>
      <c r="C992" s="69"/>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8"/>
      <c r="C993" s="69"/>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8"/>
      <c r="C994" s="69"/>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8"/>
      <c r="C995" s="69"/>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8"/>
      <c r="C996" s="69"/>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8"/>
      <c r="C997" s="69"/>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8"/>
      <c r="C998" s="69"/>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8"/>
      <c r="C999" s="69"/>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8"/>
      <c r="C1000" s="69"/>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x14ac:dyDescent="0.25">
      <c r="A1001" s="2"/>
      <c r="B1001" s="8"/>
      <c r="C1001" s="69"/>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x14ac:dyDescent="0.25">
      <c r="A1002" s="2"/>
      <c r="B1002" s="8"/>
      <c r="C1002" s="69"/>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3">
    <mergeCell ref="A1:C1"/>
    <mergeCell ref="C87:D87"/>
    <mergeCell ref="F87:G87"/>
  </mergeCells>
  <pageMargins left="0.7" right="0.7" top="0.75" bottom="0.75" header="0" footer="0"/>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election activeCell="G109" sqref="G109"/>
    </sheetView>
  </sheetViews>
  <sheetFormatPr baseColWidth="10" defaultColWidth="14.42578125" defaultRowHeight="15" customHeight="1" outlineLevelRow="1" x14ac:dyDescent="0.25"/>
  <cols>
    <col min="1" max="1" width="35.140625" customWidth="1"/>
    <col min="2" max="2" width="6.28515625" customWidth="1"/>
    <col min="3" max="3" width="9.7109375" customWidth="1"/>
    <col min="4" max="4" width="12" customWidth="1"/>
    <col min="5" max="5" width="8" customWidth="1"/>
    <col min="6" max="6" width="5.140625" customWidth="1"/>
    <col min="7" max="7" width="12.42578125" customWidth="1"/>
    <col min="8" max="8" width="8" customWidth="1"/>
    <col min="9" max="9" width="12.7109375" customWidth="1"/>
    <col min="10" max="10" width="11.28515625" customWidth="1"/>
    <col min="11" max="26" width="11.42578125" customWidth="1"/>
  </cols>
  <sheetData>
    <row r="1" spans="1:26" ht="12.75" customHeight="1" x14ac:dyDescent="0.25">
      <c r="A1" s="1"/>
      <c r="B1" s="1"/>
      <c r="C1" s="3"/>
      <c r="D1" s="3"/>
      <c r="E1" s="5"/>
      <c r="F1" s="5"/>
      <c r="G1" s="3"/>
      <c r="H1" s="5"/>
      <c r="I1" s="1"/>
      <c r="J1" s="7"/>
      <c r="K1" s="1"/>
      <c r="L1" s="1"/>
      <c r="M1" s="1"/>
      <c r="N1" s="1"/>
      <c r="O1" s="1"/>
      <c r="P1" s="1"/>
      <c r="Q1" s="1"/>
      <c r="R1" s="1"/>
      <c r="S1" s="1"/>
      <c r="T1" s="1"/>
      <c r="U1" s="1"/>
      <c r="V1" s="1"/>
      <c r="W1" s="1"/>
      <c r="X1" s="1"/>
      <c r="Y1" s="1"/>
      <c r="Z1" s="1"/>
    </row>
    <row r="2" spans="1:26" ht="12.75" customHeight="1" x14ac:dyDescent="0.25">
      <c r="A2" s="404" t="str">
        <f>+DATOS!H6</f>
        <v>GRUPO DE LOLITA S.A.S</v>
      </c>
      <c r="B2" s="400"/>
      <c r="C2" s="400"/>
      <c r="D2" s="400"/>
      <c r="E2" s="400"/>
      <c r="F2" s="400"/>
      <c r="G2" s="400"/>
      <c r="H2" s="400"/>
      <c r="I2" s="400"/>
      <c r="J2" s="400"/>
      <c r="K2" s="1"/>
      <c r="L2" s="1"/>
      <c r="M2" s="1"/>
      <c r="N2" s="1"/>
      <c r="O2" s="1"/>
      <c r="P2" s="1"/>
      <c r="Q2" s="1"/>
      <c r="R2" s="1"/>
      <c r="S2" s="1"/>
      <c r="T2" s="1"/>
      <c r="U2" s="1"/>
      <c r="V2" s="1"/>
      <c r="W2" s="1"/>
      <c r="X2" s="1"/>
      <c r="Y2" s="1"/>
      <c r="Z2" s="1"/>
    </row>
    <row r="3" spans="1:26" ht="12.75" customHeight="1" x14ac:dyDescent="0.25">
      <c r="A3" s="404" t="str">
        <f>+DATOS!H7</f>
        <v>NIT: 900.307.969-5</v>
      </c>
      <c r="B3" s="400"/>
      <c r="C3" s="400"/>
      <c r="D3" s="400"/>
      <c r="E3" s="400"/>
      <c r="F3" s="400"/>
      <c r="G3" s="400"/>
      <c r="H3" s="400"/>
      <c r="I3" s="400"/>
      <c r="J3" s="400"/>
      <c r="K3" s="1"/>
      <c r="L3" s="1"/>
      <c r="M3" s="1"/>
      <c r="N3" s="1"/>
      <c r="O3" s="1"/>
      <c r="P3" s="1"/>
      <c r="Q3" s="1"/>
      <c r="R3" s="1"/>
      <c r="S3" s="1"/>
      <c r="T3" s="1"/>
      <c r="U3" s="1"/>
      <c r="V3" s="1"/>
      <c r="W3" s="1"/>
      <c r="X3" s="1"/>
      <c r="Y3" s="1"/>
      <c r="Z3" s="1"/>
    </row>
    <row r="4" spans="1:26" ht="12.75" customHeight="1" x14ac:dyDescent="0.25">
      <c r="A4" s="405" t="s">
        <v>3</v>
      </c>
      <c r="B4" s="400"/>
      <c r="C4" s="400"/>
      <c r="D4" s="400"/>
      <c r="E4" s="400"/>
      <c r="F4" s="400"/>
      <c r="G4" s="400"/>
      <c r="H4" s="400"/>
      <c r="I4" s="400"/>
      <c r="J4" s="400"/>
      <c r="K4" s="1"/>
      <c r="L4" s="1"/>
      <c r="M4" s="1"/>
      <c r="N4" s="1"/>
      <c r="O4" s="1"/>
      <c r="P4" s="1"/>
      <c r="Q4" s="1"/>
      <c r="R4" s="1"/>
      <c r="S4" s="1"/>
      <c r="T4" s="1"/>
      <c r="U4" s="1"/>
      <c r="V4" s="1"/>
      <c r="W4" s="1"/>
      <c r="X4" s="1"/>
      <c r="Y4" s="1"/>
      <c r="Z4" s="1"/>
    </row>
    <row r="5" spans="1:26" ht="12.75" customHeight="1" x14ac:dyDescent="0.25">
      <c r="A5" s="405" t="str">
        <f>+DATOS!H8</f>
        <v>A 30 de Junio de 2026 y 2025</v>
      </c>
      <c r="B5" s="400"/>
      <c r="C5" s="400"/>
      <c r="D5" s="400"/>
      <c r="E5" s="400"/>
      <c r="F5" s="400"/>
      <c r="G5" s="400"/>
      <c r="H5" s="400"/>
      <c r="I5" s="400"/>
      <c r="J5" s="400"/>
      <c r="K5" s="1"/>
      <c r="L5" s="1"/>
      <c r="M5" s="1"/>
      <c r="N5" s="1"/>
      <c r="O5" s="1"/>
      <c r="P5" s="1"/>
      <c r="Q5" s="1"/>
      <c r="R5" s="1"/>
      <c r="S5" s="1"/>
      <c r="T5" s="1"/>
      <c r="U5" s="1"/>
      <c r="V5" s="1"/>
      <c r="W5" s="1"/>
      <c r="X5" s="1"/>
      <c r="Y5" s="1"/>
      <c r="Z5" s="1"/>
    </row>
    <row r="6" spans="1:26" ht="12.75" customHeight="1" x14ac:dyDescent="0.25">
      <c r="A6" s="405" t="s">
        <v>5</v>
      </c>
      <c r="B6" s="400"/>
      <c r="C6" s="400"/>
      <c r="D6" s="400"/>
      <c r="E6" s="400"/>
      <c r="F6" s="400"/>
      <c r="G6" s="400"/>
      <c r="H6" s="400"/>
      <c r="I6" s="400"/>
      <c r="J6" s="400"/>
      <c r="K6" s="1"/>
      <c r="L6" s="1"/>
      <c r="M6" s="1"/>
      <c r="N6" s="1"/>
      <c r="O6" s="1"/>
      <c r="P6" s="1"/>
      <c r="Q6" s="1"/>
      <c r="R6" s="1"/>
      <c r="S6" s="1"/>
      <c r="T6" s="1"/>
      <c r="U6" s="1"/>
      <c r="V6" s="1"/>
      <c r="W6" s="1"/>
      <c r="X6" s="1"/>
      <c r="Y6" s="1"/>
      <c r="Z6" s="1"/>
    </row>
    <row r="7" spans="1:26" ht="12.75" customHeight="1" x14ac:dyDescent="0.25">
      <c r="A7" s="14"/>
      <c r="B7" s="14"/>
      <c r="C7" s="14"/>
      <c r="D7" s="14"/>
      <c r="E7" s="15"/>
      <c r="F7" s="15"/>
      <c r="G7" s="14"/>
      <c r="H7" s="15"/>
      <c r="I7" s="1"/>
      <c r="J7" s="7"/>
      <c r="K7" s="1"/>
      <c r="L7" s="1"/>
      <c r="M7" s="1"/>
      <c r="N7" s="1"/>
      <c r="O7" s="1"/>
      <c r="P7" s="1"/>
      <c r="Q7" s="1"/>
      <c r="R7" s="1"/>
      <c r="S7" s="1"/>
      <c r="T7" s="1"/>
      <c r="U7" s="1"/>
      <c r="V7" s="1"/>
      <c r="W7" s="1"/>
      <c r="X7" s="1"/>
      <c r="Y7" s="1"/>
      <c r="Z7" s="1"/>
    </row>
    <row r="8" spans="1:26" ht="12.75" customHeight="1" x14ac:dyDescent="0.25">
      <c r="A8" s="14"/>
      <c r="B8" s="14"/>
      <c r="C8" s="14"/>
      <c r="D8" s="14"/>
      <c r="E8" s="15"/>
      <c r="F8" s="15"/>
      <c r="G8" s="14"/>
      <c r="H8" s="15"/>
      <c r="I8" s="1"/>
      <c r="J8" s="7"/>
      <c r="K8" s="1"/>
      <c r="L8" s="1"/>
      <c r="M8" s="1"/>
      <c r="N8" s="1"/>
      <c r="O8" s="1"/>
      <c r="P8" s="1"/>
      <c r="Q8" s="1"/>
      <c r="R8" s="1"/>
      <c r="S8" s="1"/>
      <c r="T8" s="1"/>
      <c r="U8" s="1"/>
      <c r="V8" s="1"/>
      <c r="W8" s="1"/>
      <c r="X8" s="1"/>
      <c r="Y8" s="1"/>
      <c r="Z8" s="1"/>
    </row>
    <row r="9" spans="1:26" ht="18" customHeight="1" x14ac:dyDescent="0.25">
      <c r="A9" s="16"/>
      <c r="B9" s="18"/>
      <c r="C9" s="28" t="s">
        <v>8</v>
      </c>
      <c r="D9" s="29" t="str">
        <f>+DATOS!H10</f>
        <v>2026-06</v>
      </c>
      <c r="E9" s="31" t="s">
        <v>49</v>
      </c>
      <c r="F9" s="31"/>
      <c r="G9" s="29" t="str">
        <f>+DATOS!H11</f>
        <v>2025-06</v>
      </c>
      <c r="H9" s="31" t="s">
        <v>49</v>
      </c>
      <c r="I9" s="29" t="s">
        <v>51</v>
      </c>
      <c r="J9" s="33" t="s">
        <v>52</v>
      </c>
      <c r="K9" s="1"/>
      <c r="L9" s="1"/>
      <c r="M9" s="1"/>
      <c r="N9" s="1"/>
      <c r="O9" s="1"/>
      <c r="P9" s="1"/>
      <c r="Q9" s="1"/>
      <c r="R9" s="1"/>
      <c r="S9" s="1"/>
      <c r="T9" s="1"/>
      <c r="U9" s="1"/>
      <c r="V9" s="1"/>
      <c r="W9" s="1"/>
      <c r="X9" s="1"/>
      <c r="Y9" s="1"/>
      <c r="Z9" s="1"/>
    </row>
    <row r="10" spans="1:26" ht="12.75" customHeight="1" x14ac:dyDescent="0.25">
      <c r="A10" s="35" t="s">
        <v>53</v>
      </c>
      <c r="B10" s="35"/>
      <c r="C10" s="36">
        <v>12</v>
      </c>
      <c r="D10" s="38">
        <f>+DATOS!C91</f>
        <v>0</v>
      </c>
      <c r="E10" s="39">
        <f>+D10/$D$13</f>
        <v>0</v>
      </c>
      <c r="F10" s="39"/>
      <c r="G10" s="38">
        <f>+DATOS!F91</f>
        <v>0</v>
      </c>
      <c r="H10" s="39">
        <f>+G10/$G$13</f>
        <v>0</v>
      </c>
      <c r="I10" s="43">
        <f>+D10-G10</f>
        <v>0</v>
      </c>
      <c r="J10" s="7">
        <f>IFERROR(I10/G10,100%)*OR(IF(D10-G10=0,(0%),+I10/G10))</f>
        <v>0</v>
      </c>
      <c r="K10" s="1"/>
      <c r="L10" s="1"/>
      <c r="M10" s="1"/>
      <c r="N10" s="1"/>
      <c r="O10" s="1"/>
      <c r="P10" s="1"/>
      <c r="Q10" s="1"/>
      <c r="R10" s="1"/>
      <c r="S10" s="1"/>
      <c r="T10" s="1"/>
      <c r="U10" s="1"/>
      <c r="V10" s="1"/>
      <c r="W10" s="1"/>
      <c r="X10" s="1"/>
      <c r="Y10" s="1"/>
      <c r="Z10" s="1"/>
    </row>
    <row r="11" spans="1:26" ht="12.75" customHeight="1" x14ac:dyDescent="0.25">
      <c r="A11" s="35" t="s">
        <v>56</v>
      </c>
      <c r="B11" s="35"/>
      <c r="C11" s="36"/>
      <c r="D11" s="38">
        <f>+DATOS!C92</f>
        <v>344178.46739999996</v>
      </c>
      <c r="E11" s="39">
        <f>+D11/$D$13</f>
        <v>1.0026617849508275</v>
      </c>
      <c r="F11" s="39"/>
      <c r="G11" s="38">
        <f>+DATOS!F92</f>
        <v>515898.98976999999</v>
      </c>
      <c r="H11" s="39">
        <f>+G11/$G$13</f>
        <v>1.0013648421837551</v>
      </c>
      <c r="I11" s="43">
        <f>+D11-G11</f>
        <v>-171720.52237000002</v>
      </c>
      <c r="J11" s="7">
        <f>IFERROR(I11/G11,100%)*OR(IF(D11-G11=0,(0%),+I11/G11))</f>
        <v>-0.33285686883503512</v>
      </c>
      <c r="K11" s="1"/>
      <c r="L11" s="1"/>
      <c r="M11" s="1"/>
      <c r="N11" s="1"/>
      <c r="O11" s="1"/>
      <c r="P11" s="1"/>
      <c r="Q11" s="1"/>
      <c r="R11" s="1"/>
      <c r="S11" s="1"/>
      <c r="T11" s="1"/>
      <c r="U11" s="1"/>
      <c r="V11" s="1"/>
      <c r="W11" s="1"/>
      <c r="X11" s="1"/>
      <c r="Y11" s="1"/>
      <c r="Z11" s="1"/>
    </row>
    <row r="12" spans="1:26" ht="12.75" customHeight="1" x14ac:dyDescent="0.25">
      <c r="A12" s="35" t="s">
        <v>58</v>
      </c>
      <c r="B12" s="35"/>
      <c r="C12" s="36"/>
      <c r="D12" s="38">
        <f>-DATOS!C93-DATOS!C94</f>
        <v>-913.697</v>
      </c>
      <c r="E12" s="39">
        <f>+D12/$D$13</f>
        <v>-2.6617849508275668E-3</v>
      </c>
      <c r="F12" s="39"/>
      <c r="G12" s="38">
        <f>-DATOS!F93-DATOS!F94</f>
        <v>-703.16099999999994</v>
      </c>
      <c r="H12" s="39">
        <f>+G12/$G$13</f>
        <v>-1.3648421837551671E-3</v>
      </c>
      <c r="I12" s="43">
        <f>+D12-G12</f>
        <v>-210.53600000000006</v>
      </c>
      <c r="J12" s="7">
        <f>IFERROR(I12/G12,100%)*OR(IF(D12-G12=0,(0%),+I12/G12))</f>
        <v>0.29941364779901058</v>
      </c>
      <c r="K12" s="1"/>
      <c r="L12" s="1"/>
      <c r="M12" s="1"/>
      <c r="N12" s="1"/>
      <c r="O12" s="1"/>
      <c r="P12" s="1"/>
      <c r="Q12" s="1"/>
      <c r="R12" s="1"/>
      <c r="S12" s="1"/>
      <c r="T12" s="1"/>
      <c r="U12" s="1"/>
      <c r="V12" s="1"/>
      <c r="W12" s="1"/>
      <c r="X12" s="1"/>
      <c r="Y12" s="1"/>
      <c r="Z12" s="1"/>
    </row>
    <row r="13" spans="1:26" ht="12.75" customHeight="1" x14ac:dyDescent="0.25">
      <c r="A13" s="45" t="s">
        <v>61</v>
      </c>
      <c r="B13" s="45"/>
      <c r="C13" s="46"/>
      <c r="D13" s="47">
        <f>SUM(D10:D12)</f>
        <v>343264.77039999998</v>
      </c>
      <c r="E13" s="48">
        <f>+D13/$D$13</f>
        <v>1</v>
      </c>
      <c r="F13" s="48"/>
      <c r="G13" s="47">
        <f>SUM(G10:G12)</f>
        <v>515195.82876999996</v>
      </c>
      <c r="H13" s="48">
        <f>+G13/$G$13</f>
        <v>1</v>
      </c>
      <c r="I13" s="47">
        <f>+D13-G13</f>
        <v>-171931.05836999998</v>
      </c>
      <c r="J13" s="50">
        <f>IFERROR(I13/G13,100%)*OR(IF(D13-G13=0,(0%),+I13/G13))</f>
        <v>-0.33371981830768188</v>
      </c>
      <c r="K13" s="1"/>
      <c r="L13" s="1"/>
      <c r="M13" s="1"/>
      <c r="N13" s="1"/>
      <c r="O13" s="1"/>
      <c r="P13" s="1"/>
      <c r="Q13" s="1"/>
      <c r="R13" s="1"/>
      <c r="S13" s="1"/>
      <c r="T13" s="1"/>
      <c r="U13" s="1"/>
      <c r="V13" s="1"/>
      <c r="W13" s="1"/>
      <c r="X13" s="1"/>
      <c r="Y13" s="1"/>
      <c r="Z13" s="1"/>
    </row>
    <row r="14" spans="1:26" ht="12.75" customHeight="1" x14ac:dyDescent="0.25">
      <c r="A14" s="35"/>
      <c r="B14" s="35"/>
      <c r="C14" s="36"/>
      <c r="D14" s="38"/>
      <c r="E14" s="39"/>
      <c r="F14" s="39"/>
      <c r="G14" s="38"/>
      <c r="H14" s="39"/>
      <c r="I14" s="43"/>
      <c r="J14" s="7"/>
      <c r="K14" s="1"/>
      <c r="L14" s="1"/>
      <c r="M14" s="1"/>
      <c r="N14" s="1"/>
      <c r="O14" s="1"/>
      <c r="P14" s="1"/>
      <c r="Q14" s="1"/>
      <c r="R14" s="1"/>
      <c r="S14" s="1"/>
      <c r="T14" s="1"/>
      <c r="U14" s="1"/>
      <c r="V14" s="1"/>
      <c r="W14" s="1"/>
      <c r="X14" s="1"/>
      <c r="Y14" s="1"/>
      <c r="Z14" s="1"/>
    </row>
    <row r="15" spans="1:26" ht="12.75" customHeight="1" x14ac:dyDescent="0.25">
      <c r="A15" s="52" t="s">
        <v>64</v>
      </c>
      <c r="B15" s="52"/>
      <c r="C15" s="53"/>
      <c r="D15" s="55">
        <f>SUM(D16:D17)</f>
        <v>-155609.25</v>
      </c>
      <c r="E15" s="56">
        <f>+D15/$D$13</f>
        <v>-0.45332135254856321</v>
      </c>
      <c r="F15" s="56"/>
      <c r="G15" s="55">
        <f>SUM(G16:G17)</f>
        <v>-221817.00200000001</v>
      </c>
      <c r="H15" s="56">
        <f>+G15/$G$13</f>
        <v>-0.43054890900334963</v>
      </c>
      <c r="I15" s="55">
        <f>+D15-G15</f>
        <v>66207.752000000008</v>
      </c>
      <c r="J15" s="59">
        <f>IFERROR(I15/G15,100%)*OR(IF(D15-G15=0,(0%),+I15/G15))</f>
        <v>-0.29847915805840713</v>
      </c>
      <c r="K15" s="1"/>
      <c r="L15" s="1"/>
      <c r="M15" s="1"/>
      <c r="N15" s="1"/>
      <c r="O15" s="1"/>
      <c r="P15" s="1"/>
      <c r="Q15" s="1"/>
      <c r="R15" s="1"/>
      <c r="S15" s="1"/>
      <c r="T15" s="1"/>
      <c r="U15" s="1"/>
      <c r="V15" s="1"/>
      <c r="W15" s="1"/>
      <c r="X15" s="1"/>
      <c r="Y15" s="1"/>
      <c r="Z15" s="1"/>
    </row>
    <row r="16" spans="1:26" ht="12.75" hidden="1" customHeight="1" outlineLevel="1" x14ac:dyDescent="0.25">
      <c r="A16" s="35" t="s">
        <v>67</v>
      </c>
      <c r="B16" s="35"/>
      <c r="C16" s="61"/>
      <c r="D16" s="38">
        <f>-+DATOS!C165</f>
        <v>-155609.25</v>
      </c>
      <c r="E16" s="39">
        <f>+D16/(D10+D12)</f>
        <v>170.30727910893873</v>
      </c>
      <c r="F16" s="39"/>
      <c r="G16" s="38">
        <f>-DATOS!F165</f>
        <v>-221817.00200000001</v>
      </c>
      <c r="H16" s="39">
        <f>+G16/(G10+G12)</f>
        <v>315.45691811690358</v>
      </c>
      <c r="I16" s="43">
        <f>+D16-G16</f>
        <v>66207.752000000008</v>
      </c>
      <c r="J16" s="7">
        <f>IFERROR(I16/G16,100%)*OR(IF(D16-G16=0,(0%),+I16/G16))</f>
        <v>-0.29847915805840713</v>
      </c>
      <c r="K16" s="1"/>
      <c r="L16" s="1"/>
      <c r="M16" s="1"/>
      <c r="N16" s="1"/>
      <c r="O16" s="1"/>
      <c r="P16" s="1"/>
      <c r="Q16" s="1"/>
      <c r="R16" s="1"/>
      <c r="S16" s="1"/>
      <c r="T16" s="1"/>
      <c r="U16" s="1"/>
      <c r="V16" s="1"/>
      <c r="W16" s="1"/>
      <c r="X16" s="1"/>
      <c r="Y16" s="1"/>
      <c r="Z16" s="1"/>
    </row>
    <row r="17" spans="1:26" ht="12.75" hidden="1" customHeight="1" outlineLevel="1" x14ac:dyDescent="0.25">
      <c r="A17" s="35" t="s">
        <v>70</v>
      </c>
      <c r="B17" s="35"/>
      <c r="C17" s="61"/>
      <c r="D17" s="38">
        <f>-+DATOS!C166</f>
        <v>0</v>
      </c>
      <c r="E17" s="39">
        <f>+D17/$D$11</f>
        <v>0</v>
      </c>
      <c r="F17" s="39"/>
      <c r="G17" s="38">
        <f>-DATOS!F166</f>
        <v>0</v>
      </c>
      <c r="H17" s="39">
        <f>+G17/$G$11</f>
        <v>0</v>
      </c>
      <c r="I17" s="43">
        <f>+D17-G17</f>
        <v>0</v>
      </c>
      <c r="J17" s="7">
        <f>IFERROR(I17/G17,100%)*OR(IF(D17-G17=0,(0%),+I17/G17))</f>
        <v>0</v>
      </c>
      <c r="K17" s="1"/>
      <c r="L17" s="1"/>
      <c r="M17" s="1"/>
      <c r="N17" s="1"/>
      <c r="O17" s="1"/>
      <c r="P17" s="1"/>
      <c r="Q17" s="1"/>
      <c r="R17" s="1"/>
      <c r="S17" s="1"/>
      <c r="T17" s="1"/>
      <c r="U17" s="1"/>
      <c r="V17" s="1"/>
      <c r="W17" s="1"/>
      <c r="X17" s="1"/>
      <c r="Y17" s="1"/>
      <c r="Z17" s="1"/>
    </row>
    <row r="18" spans="1:26" ht="12.75" customHeight="1" collapsed="1" x14ac:dyDescent="0.25">
      <c r="A18" s="62"/>
      <c r="B18" s="62"/>
      <c r="C18" s="36"/>
      <c r="D18" s="63"/>
      <c r="E18" s="64"/>
      <c r="F18" s="64"/>
      <c r="G18" s="63"/>
      <c r="H18" s="64"/>
      <c r="I18" s="66"/>
      <c r="J18" s="67"/>
      <c r="K18" s="68"/>
      <c r="L18" s="68"/>
      <c r="M18" s="68"/>
      <c r="N18" s="68"/>
      <c r="O18" s="68"/>
      <c r="P18" s="68"/>
      <c r="Q18" s="68"/>
      <c r="R18" s="68"/>
      <c r="S18" s="68"/>
      <c r="T18" s="68"/>
      <c r="U18" s="68"/>
      <c r="V18" s="68"/>
      <c r="W18" s="68"/>
      <c r="X18" s="68"/>
      <c r="Y18" s="68"/>
      <c r="Z18" s="68"/>
    </row>
    <row r="19" spans="1:26" ht="12.75" customHeight="1" x14ac:dyDescent="0.25">
      <c r="A19" s="45" t="s">
        <v>75</v>
      </c>
      <c r="B19" s="45"/>
      <c r="C19" s="46"/>
      <c r="D19" s="47">
        <f>+D13+D15</f>
        <v>187655.52039999998</v>
      </c>
      <c r="E19" s="48">
        <f>+D19/$D$13</f>
        <v>0.54667864745143679</v>
      </c>
      <c r="F19" s="48"/>
      <c r="G19" s="47">
        <f>+G13+G15</f>
        <v>293378.82676999993</v>
      </c>
      <c r="H19" s="48">
        <f>+G19/$G$13</f>
        <v>0.56945109099665037</v>
      </c>
      <c r="I19" s="47">
        <f>+D19-G19</f>
        <v>-105723.30636999995</v>
      </c>
      <c r="J19" s="50">
        <f>IFERROR(I19/G19,100%)*OR(IF(D19-G19=0,(0%),+I19/G19))</f>
        <v>-0.36036447324429383</v>
      </c>
      <c r="K19" s="1"/>
      <c r="L19" s="1"/>
      <c r="M19" s="1"/>
      <c r="N19" s="1"/>
      <c r="O19" s="1"/>
      <c r="P19" s="1"/>
      <c r="Q19" s="1"/>
      <c r="R19" s="1"/>
      <c r="S19" s="1"/>
      <c r="T19" s="1"/>
      <c r="U19" s="1"/>
      <c r="V19" s="1"/>
      <c r="W19" s="1"/>
      <c r="X19" s="1"/>
      <c r="Y19" s="1"/>
      <c r="Z19" s="1"/>
    </row>
    <row r="20" spans="1:26" ht="12.75" customHeight="1" x14ac:dyDescent="0.25">
      <c r="A20" s="62"/>
      <c r="B20" s="62"/>
      <c r="C20" s="36"/>
      <c r="D20" s="63"/>
      <c r="E20" s="64"/>
      <c r="F20" s="64"/>
      <c r="G20" s="63"/>
      <c r="H20" s="64"/>
      <c r="I20" s="1"/>
      <c r="J20" s="7"/>
      <c r="K20" s="1"/>
      <c r="L20" s="1"/>
      <c r="M20" s="1"/>
      <c r="N20" s="1"/>
      <c r="O20" s="1"/>
      <c r="P20" s="1"/>
      <c r="Q20" s="1"/>
      <c r="R20" s="1"/>
      <c r="S20" s="1"/>
      <c r="T20" s="1"/>
      <c r="U20" s="1"/>
      <c r="V20" s="1"/>
      <c r="W20" s="1"/>
      <c r="X20" s="1"/>
      <c r="Y20" s="1"/>
      <c r="Z20" s="1"/>
    </row>
    <row r="21" spans="1:26" ht="12.75" customHeight="1" x14ac:dyDescent="0.25">
      <c r="A21" s="62" t="s">
        <v>78</v>
      </c>
      <c r="B21" s="62"/>
      <c r="C21" s="36">
        <v>13</v>
      </c>
      <c r="D21" s="63">
        <f>SUM(D22:D29)</f>
        <v>2043.6519999999998</v>
      </c>
      <c r="E21" s="64">
        <f t="shared" ref="E21:E69" si="0">+D21/$D$13</f>
        <v>5.9535733819074139E-3</v>
      </c>
      <c r="F21" s="64"/>
      <c r="G21" s="63">
        <f>SUM(G22:G29)</f>
        <v>1944.1296499999999</v>
      </c>
      <c r="H21" s="64">
        <f t="shared" ref="H21:H69" si="1">+G21/$G$13</f>
        <v>3.7735741274177166E-3</v>
      </c>
      <c r="I21" s="66">
        <f t="shared" ref="I21:I69" si="2">+D21-G21</f>
        <v>99.52234999999996</v>
      </c>
      <c r="J21" s="67">
        <f t="shared" ref="J21:J29" si="3">+I21/G21</f>
        <v>5.1191210421588897E-2</v>
      </c>
      <c r="K21" s="1"/>
      <c r="L21" s="1"/>
      <c r="M21" s="1"/>
      <c r="N21" s="1"/>
      <c r="O21" s="1"/>
      <c r="P21" s="1"/>
      <c r="Q21" s="1"/>
      <c r="R21" s="1"/>
      <c r="S21" s="1"/>
      <c r="T21" s="1"/>
      <c r="U21" s="1"/>
      <c r="V21" s="1"/>
      <c r="W21" s="1"/>
      <c r="X21" s="1"/>
      <c r="Y21" s="1"/>
      <c r="Z21" s="1"/>
    </row>
    <row r="22" spans="1:26" ht="12.75" hidden="1" customHeight="1" outlineLevel="1" x14ac:dyDescent="0.25">
      <c r="A22" s="35" t="s">
        <v>80</v>
      </c>
      <c r="B22" s="35"/>
      <c r="C22" s="61"/>
      <c r="D22" s="38">
        <f>+DATOS!C96</f>
        <v>0</v>
      </c>
      <c r="E22" s="39">
        <f t="shared" si="0"/>
        <v>0</v>
      </c>
      <c r="F22" s="39"/>
      <c r="G22" s="38">
        <f>+DATOS!F96</f>
        <v>0</v>
      </c>
      <c r="H22" s="39">
        <f t="shared" si="1"/>
        <v>0</v>
      </c>
      <c r="I22" s="43">
        <f t="shared" si="2"/>
        <v>0</v>
      </c>
      <c r="J22" s="7" t="e">
        <f t="shared" si="3"/>
        <v>#DIV/0!</v>
      </c>
      <c r="K22" s="1"/>
      <c r="L22" s="1"/>
      <c r="M22" s="1"/>
      <c r="N22" s="1"/>
      <c r="O22" s="1"/>
      <c r="P22" s="1"/>
      <c r="Q22" s="1"/>
      <c r="R22" s="1"/>
      <c r="S22" s="1"/>
      <c r="T22" s="1"/>
      <c r="U22" s="1"/>
      <c r="V22" s="1"/>
      <c r="W22" s="1"/>
      <c r="X22" s="1"/>
      <c r="Y22" s="1"/>
      <c r="Z22" s="1"/>
    </row>
    <row r="23" spans="1:26" ht="12.75" hidden="1" customHeight="1" outlineLevel="1" x14ac:dyDescent="0.25">
      <c r="A23" s="35" t="s">
        <v>82</v>
      </c>
      <c r="B23" s="35"/>
      <c r="C23" s="61"/>
      <c r="D23" s="38">
        <f>+DATOS!C97</f>
        <v>0</v>
      </c>
      <c r="E23" s="39">
        <f t="shared" si="0"/>
        <v>0</v>
      </c>
      <c r="F23" s="39"/>
      <c r="G23" s="38">
        <f>+DATOS!F97</f>
        <v>0</v>
      </c>
      <c r="H23" s="39">
        <f t="shared" si="1"/>
        <v>0</v>
      </c>
      <c r="I23" s="43">
        <f t="shared" si="2"/>
        <v>0</v>
      </c>
      <c r="J23" s="7" t="e">
        <f t="shared" si="3"/>
        <v>#DIV/0!</v>
      </c>
      <c r="K23" s="1"/>
      <c r="L23" s="1"/>
      <c r="M23" s="1"/>
      <c r="N23" s="1"/>
      <c r="O23" s="1"/>
      <c r="P23" s="1"/>
      <c r="Q23" s="1"/>
      <c r="R23" s="1"/>
      <c r="S23" s="1"/>
      <c r="T23" s="1"/>
      <c r="U23" s="1"/>
      <c r="V23" s="1"/>
      <c r="W23" s="1"/>
      <c r="X23" s="1"/>
      <c r="Y23" s="1"/>
      <c r="Z23" s="1"/>
    </row>
    <row r="24" spans="1:26" ht="12.75" hidden="1" customHeight="1" outlineLevel="1" x14ac:dyDescent="0.25">
      <c r="A24" s="35" t="s">
        <v>84</v>
      </c>
      <c r="B24" s="35"/>
      <c r="C24" s="61"/>
      <c r="D24" s="38">
        <f>+DATOS!C98</f>
        <v>0</v>
      </c>
      <c r="E24" s="39">
        <f t="shared" si="0"/>
        <v>0</v>
      </c>
      <c r="F24" s="39"/>
      <c r="G24" s="38">
        <f>+DATOS!F98</f>
        <v>0</v>
      </c>
      <c r="H24" s="39">
        <f t="shared" si="1"/>
        <v>0</v>
      </c>
      <c r="I24" s="43">
        <f t="shared" si="2"/>
        <v>0</v>
      </c>
      <c r="J24" s="7" t="e">
        <f t="shared" si="3"/>
        <v>#DIV/0!</v>
      </c>
      <c r="K24" s="1"/>
      <c r="L24" s="1"/>
      <c r="M24" s="1"/>
      <c r="N24" s="1"/>
      <c r="O24" s="1"/>
      <c r="P24" s="1"/>
      <c r="Q24" s="1"/>
      <c r="R24" s="1"/>
      <c r="S24" s="1"/>
      <c r="T24" s="1"/>
      <c r="U24" s="1"/>
      <c r="V24" s="1"/>
      <c r="W24" s="1"/>
      <c r="X24" s="1"/>
      <c r="Y24" s="1"/>
      <c r="Z24" s="1"/>
    </row>
    <row r="25" spans="1:26" ht="12.75" hidden="1" customHeight="1" outlineLevel="1" x14ac:dyDescent="0.25">
      <c r="A25" s="35" t="s">
        <v>85</v>
      </c>
      <c r="B25" s="35"/>
      <c r="C25" s="61"/>
      <c r="D25" s="38">
        <f>+DATOS!C99</f>
        <v>0</v>
      </c>
      <c r="E25" s="39">
        <f t="shared" si="0"/>
        <v>0</v>
      </c>
      <c r="F25" s="39"/>
      <c r="G25" s="38">
        <f>+DATOS!F99</f>
        <v>0</v>
      </c>
      <c r="H25" s="39">
        <f t="shared" si="1"/>
        <v>0</v>
      </c>
      <c r="I25" s="43">
        <f t="shared" si="2"/>
        <v>0</v>
      </c>
      <c r="J25" s="7" t="e">
        <f t="shared" si="3"/>
        <v>#DIV/0!</v>
      </c>
      <c r="K25" s="1"/>
      <c r="L25" s="1"/>
      <c r="M25" s="1"/>
      <c r="N25" s="1"/>
      <c r="O25" s="1"/>
      <c r="P25" s="1"/>
      <c r="Q25" s="1"/>
      <c r="R25" s="1"/>
      <c r="S25" s="1"/>
      <c r="T25" s="1"/>
      <c r="U25" s="1"/>
      <c r="V25" s="1"/>
      <c r="W25" s="1"/>
      <c r="X25" s="1"/>
      <c r="Y25" s="1"/>
      <c r="Z25" s="1"/>
    </row>
    <row r="26" spans="1:26" ht="12.75" hidden="1" customHeight="1" outlineLevel="1" x14ac:dyDescent="0.25">
      <c r="A26" s="35" t="s">
        <v>87</v>
      </c>
      <c r="B26" s="35"/>
      <c r="C26" s="61"/>
      <c r="D26" s="38">
        <f>+DATOS!C100</f>
        <v>0</v>
      </c>
      <c r="E26" s="39">
        <f t="shared" si="0"/>
        <v>0</v>
      </c>
      <c r="F26" s="39"/>
      <c r="G26" s="38">
        <f>+DATOS!F100</f>
        <v>1421.3146499999998</v>
      </c>
      <c r="H26" s="39">
        <f t="shared" si="1"/>
        <v>2.7587852436486253E-3</v>
      </c>
      <c r="I26" s="43">
        <f t="shared" si="2"/>
        <v>-1421.3146499999998</v>
      </c>
      <c r="J26" s="7">
        <f t="shared" si="3"/>
        <v>-1</v>
      </c>
      <c r="K26" s="1"/>
      <c r="L26" s="1"/>
      <c r="M26" s="1"/>
      <c r="N26" s="1"/>
      <c r="O26" s="1"/>
      <c r="P26" s="1"/>
      <c r="Q26" s="1"/>
      <c r="R26" s="1"/>
      <c r="S26" s="1"/>
      <c r="T26" s="1"/>
      <c r="U26" s="1"/>
      <c r="V26" s="1"/>
      <c r="W26" s="1"/>
      <c r="X26" s="1"/>
      <c r="Y26" s="1"/>
      <c r="Z26" s="1"/>
    </row>
    <row r="27" spans="1:26" ht="12.75" hidden="1" customHeight="1" outlineLevel="1" x14ac:dyDescent="0.25">
      <c r="A27" s="35" t="s">
        <v>88</v>
      </c>
      <c r="B27" s="35"/>
      <c r="C27" s="36"/>
      <c r="D27" s="38">
        <f>+DATOS!C101</f>
        <v>2.35</v>
      </c>
      <c r="E27" s="39">
        <f t="shared" si="0"/>
        <v>6.8460273312102178E-6</v>
      </c>
      <c r="F27" s="39"/>
      <c r="G27" s="38">
        <f>+DATOS!F101</f>
        <v>3.6</v>
      </c>
      <c r="H27" s="39">
        <f t="shared" si="1"/>
        <v>6.987634213954702E-6</v>
      </c>
      <c r="I27" s="43">
        <f t="shared" si="2"/>
        <v>-1.25</v>
      </c>
      <c r="J27" s="7">
        <f t="shared" si="3"/>
        <v>-0.34722222222222221</v>
      </c>
      <c r="K27" s="1"/>
      <c r="L27" s="1"/>
      <c r="M27" s="1"/>
      <c r="N27" s="1"/>
      <c r="O27" s="1"/>
      <c r="P27" s="1"/>
      <c r="Q27" s="1"/>
      <c r="R27" s="1"/>
      <c r="S27" s="1"/>
      <c r="T27" s="1"/>
      <c r="U27" s="1"/>
      <c r="V27" s="1"/>
      <c r="W27" s="1"/>
      <c r="X27" s="1"/>
      <c r="Y27" s="1"/>
      <c r="Z27" s="1"/>
    </row>
    <row r="28" spans="1:26" ht="12.75" hidden="1" customHeight="1" outlineLevel="1" x14ac:dyDescent="0.25">
      <c r="A28" s="35" t="s">
        <v>90</v>
      </c>
      <c r="B28" s="35"/>
      <c r="C28" s="36"/>
      <c r="D28" s="38">
        <f>+DATOS!C102</f>
        <v>1587.204</v>
      </c>
      <c r="E28" s="39">
        <f t="shared" si="0"/>
        <v>4.6238476443430558E-3</v>
      </c>
      <c r="F28" s="39"/>
      <c r="G28" s="38">
        <f>+DATOS!F102</f>
        <v>0</v>
      </c>
      <c r="H28" s="39">
        <f t="shared" si="1"/>
        <v>0</v>
      </c>
      <c r="I28" s="43">
        <f t="shared" si="2"/>
        <v>1587.204</v>
      </c>
      <c r="J28" s="7" t="e">
        <f t="shared" si="3"/>
        <v>#DIV/0!</v>
      </c>
      <c r="K28" s="1"/>
      <c r="L28" s="1"/>
      <c r="M28" s="1"/>
      <c r="N28" s="1"/>
      <c r="O28" s="1"/>
      <c r="P28" s="1"/>
      <c r="Q28" s="1"/>
      <c r="R28" s="1"/>
      <c r="S28" s="1"/>
      <c r="T28" s="1"/>
      <c r="U28" s="1"/>
      <c r="V28" s="1"/>
      <c r="W28" s="1"/>
      <c r="X28" s="1"/>
      <c r="Y28" s="1"/>
      <c r="Z28" s="1"/>
    </row>
    <row r="29" spans="1:26" ht="12.75" hidden="1" customHeight="1" outlineLevel="1" x14ac:dyDescent="0.25">
      <c r="A29" s="35" t="s">
        <v>92</v>
      </c>
      <c r="B29" s="35"/>
      <c r="C29" s="36"/>
      <c r="D29" s="38">
        <f>+DATOS!C103</f>
        <v>454.09800000000001</v>
      </c>
      <c r="E29" s="39">
        <f t="shared" si="0"/>
        <v>1.3228797102331478E-3</v>
      </c>
      <c r="F29" s="39"/>
      <c r="G29" s="38">
        <f>+DATOS!F103</f>
        <v>519.21500000000003</v>
      </c>
      <c r="H29" s="39">
        <f t="shared" si="1"/>
        <v>1.0078012495551363E-3</v>
      </c>
      <c r="I29" s="43">
        <f t="shared" si="2"/>
        <v>-65.117000000000019</v>
      </c>
      <c r="J29" s="7">
        <f t="shared" si="3"/>
        <v>-0.12541432739809139</v>
      </c>
      <c r="K29" s="1"/>
      <c r="L29" s="1"/>
      <c r="M29" s="1"/>
      <c r="N29" s="1"/>
      <c r="O29" s="1"/>
      <c r="P29" s="1"/>
      <c r="Q29" s="1"/>
      <c r="R29" s="1"/>
      <c r="S29" s="1"/>
      <c r="T29" s="1"/>
      <c r="U29" s="1"/>
      <c r="V29" s="1"/>
      <c r="W29" s="1"/>
      <c r="X29" s="1"/>
      <c r="Y29" s="1"/>
      <c r="Z29" s="1"/>
    </row>
    <row r="30" spans="1:26" ht="12.75" customHeight="1" collapsed="1" x14ac:dyDescent="0.25">
      <c r="A30" s="62" t="s">
        <v>93</v>
      </c>
      <c r="B30" s="62"/>
      <c r="C30" s="36"/>
      <c r="D30" s="63">
        <f>SUM(D31:D51)</f>
        <v>-162440.53495</v>
      </c>
      <c r="E30" s="64">
        <f t="shared" si="0"/>
        <v>-0.4732222731762164</v>
      </c>
      <c r="F30" s="64"/>
      <c r="G30" s="63">
        <f>SUM(G31:G51)</f>
        <v>-287674.29255000001</v>
      </c>
      <c r="H30" s="64">
        <f t="shared" si="1"/>
        <v>-0.55837853586044284</v>
      </c>
      <c r="I30" s="66">
        <f t="shared" si="2"/>
        <v>125233.75760000001</v>
      </c>
      <c r="J30" s="67">
        <f t="shared" ref="J30:J69" si="4">IFERROR(I30/G30,100%)*OR(IF(D30-G30=0,(0%),+I30/G30))</f>
        <v>-0.43533176527490169</v>
      </c>
      <c r="K30" s="1"/>
      <c r="L30" s="1"/>
      <c r="M30" s="1"/>
      <c r="N30" s="1"/>
      <c r="O30" s="1"/>
      <c r="P30" s="1"/>
      <c r="Q30" s="1"/>
      <c r="R30" s="1"/>
      <c r="S30" s="1"/>
      <c r="T30" s="1"/>
      <c r="U30" s="1"/>
      <c r="V30" s="1"/>
      <c r="W30" s="1"/>
      <c r="X30" s="1"/>
      <c r="Y30" s="1"/>
      <c r="Z30" s="1"/>
    </row>
    <row r="31" spans="1:26" ht="12.75" hidden="1" customHeight="1" outlineLevel="1" x14ac:dyDescent="0.25">
      <c r="A31" s="35" t="s">
        <v>96</v>
      </c>
      <c r="B31" s="35"/>
      <c r="C31" s="36"/>
      <c r="D31" s="38">
        <f>-+DATOS!C126</f>
        <v>-10707.489</v>
      </c>
      <c r="E31" s="39">
        <f t="shared" si="0"/>
        <v>-3.1193090358567131E-2</v>
      </c>
      <c r="F31" s="39"/>
      <c r="G31" s="38">
        <f>-DATOS!F126</f>
        <v>-11909.829</v>
      </c>
      <c r="H31" s="39">
        <f t="shared" si="1"/>
        <v>-2.3117091278541644E-2</v>
      </c>
      <c r="I31" s="43">
        <f t="shared" si="2"/>
        <v>1202.3400000000001</v>
      </c>
      <c r="J31" s="7">
        <f t="shared" si="4"/>
        <v>-0.10095359051754649</v>
      </c>
      <c r="K31" s="1"/>
      <c r="L31" s="1"/>
      <c r="M31" s="1"/>
      <c r="N31" s="1"/>
      <c r="O31" s="1"/>
      <c r="P31" s="1"/>
      <c r="Q31" s="1"/>
      <c r="R31" s="1"/>
      <c r="S31" s="1"/>
      <c r="T31" s="1"/>
      <c r="U31" s="1"/>
      <c r="V31" s="1"/>
      <c r="W31" s="1"/>
      <c r="X31" s="1"/>
      <c r="Y31" s="1"/>
      <c r="Z31" s="1"/>
    </row>
    <row r="32" spans="1:26" ht="12.75" hidden="1" customHeight="1" outlineLevel="1" x14ac:dyDescent="0.25">
      <c r="A32" s="35" t="s">
        <v>98</v>
      </c>
      <c r="B32" s="35"/>
      <c r="C32" s="36"/>
      <c r="D32" s="38">
        <f>-DATOS!C127</f>
        <v>-77098.253000000012</v>
      </c>
      <c r="E32" s="39">
        <f t="shared" si="0"/>
        <v>-0.22460287116023839</v>
      </c>
      <c r="F32" s="39"/>
      <c r="G32" s="38">
        <f>-DATOS!F127</f>
        <v>-90565.838000000003</v>
      </c>
      <c r="H32" s="39">
        <f t="shared" si="1"/>
        <v>-0.17578915228452191</v>
      </c>
      <c r="I32" s="43">
        <f t="shared" si="2"/>
        <v>13467.584999999992</v>
      </c>
      <c r="J32" s="7">
        <f t="shared" si="4"/>
        <v>-0.14870491233129199</v>
      </c>
      <c r="K32" s="1"/>
      <c r="L32" s="1"/>
      <c r="M32" s="1"/>
      <c r="N32" s="1"/>
      <c r="O32" s="1"/>
      <c r="P32" s="1"/>
      <c r="Q32" s="1"/>
      <c r="R32" s="1"/>
      <c r="S32" s="1"/>
      <c r="T32" s="1"/>
      <c r="U32" s="1"/>
      <c r="V32" s="1"/>
      <c r="W32" s="1"/>
      <c r="X32" s="1"/>
      <c r="Y32" s="1"/>
      <c r="Z32" s="1"/>
    </row>
    <row r="33" spans="1:26" ht="12.75" hidden="1" customHeight="1" outlineLevel="1" x14ac:dyDescent="0.25">
      <c r="A33" s="35" t="s">
        <v>85</v>
      </c>
      <c r="B33" s="35"/>
      <c r="C33" s="36"/>
      <c r="D33" s="38">
        <f>-DATOS!C128</f>
        <v>-9704.5300000000007</v>
      </c>
      <c r="E33" s="39">
        <f t="shared" si="0"/>
        <v>-2.8271267070872127E-2</v>
      </c>
      <c r="F33" s="39"/>
      <c r="G33" s="38">
        <f>-DATOS!F128</f>
        <v>-28024.562999999998</v>
      </c>
      <c r="H33" s="39">
        <f t="shared" si="1"/>
        <v>-5.4395943124980285E-2</v>
      </c>
      <c r="I33" s="43">
        <f t="shared" si="2"/>
        <v>18320.032999999996</v>
      </c>
      <c r="J33" s="7">
        <f t="shared" si="4"/>
        <v>-0.65371342275702915</v>
      </c>
      <c r="K33" s="1"/>
      <c r="L33" s="1"/>
      <c r="M33" s="1"/>
      <c r="N33" s="1"/>
      <c r="O33" s="1"/>
      <c r="P33" s="1"/>
      <c r="Q33" s="1"/>
      <c r="R33" s="1"/>
      <c r="S33" s="1"/>
      <c r="T33" s="1"/>
      <c r="U33" s="1"/>
      <c r="V33" s="1"/>
      <c r="W33" s="1"/>
      <c r="X33" s="1"/>
      <c r="Y33" s="1"/>
      <c r="Z33" s="1"/>
    </row>
    <row r="34" spans="1:26" ht="12.75" hidden="1" customHeight="1" outlineLevel="1" x14ac:dyDescent="0.25">
      <c r="A34" s="35" t="s">
        <v>100</v>
      </c>
      <c r="B34" s="35"/>
      <c r="C34" s="36"/>
      <c r="D34" s="38">
        <f>-DATOS!C129</f>
        <v>-4735.1879000000008</v>
      </c>
      <c r="E34" s="39">
        <f t="shared" si="0"/>
        <v>-1.379456416247486E-2</v>
      </c>
      <c r="F34" s="39"/>
      <c r="G34" s="38">
        <f>-DATOS!F129</f>
        <v>-7525.4209000000001</v>
      </c>
      <c r="H34" s="39">
        <f t="shared" si="1"/>
        <v>-1.4606913487569385E-2</v>
      </c>
      <c r="I34" s="43">
        <f t="shared" si="2"/>
        <v>2790.2329999999993</v>
      </c>
      <c r="J34" s="7">
        <f t="shared" si="4"/>
        <v>-0.3707743443293649</v>
      </c>
      <c r="K34" s="1"/>
      <c r="L34" s="1"/>
      <c r="M34" s="1"/>
      <c r="N34" s="1"/>
      <c r="O34" s="1"/>
      <c r="P34" s="1"/>
      <c r="Q34" s="1"/>
      <c r="R34" s="1"/>
      <c r="S34" s="1"/>
      <c r="T34" s="1"/>
      <c r="U34" s="1"/>
      <c r="V34" s="1"/>
      <c r="W34" s="1"/>
      <c r="X34" s="1"/>
      <c r="Y34" s="1"/>
      <c r="Z34" s="1"/>
    </row>
    <row r="35" spans="1:26" ht="12.75" hidden="1" customHeight="1" outlineLevel="1" x14ac:dyDescent="0.25">
      <c r="A35" s="35" t="s">
        <v>102</v>
      </c>
      <c r="B35" s="62"/>
      <c r="C35" s="36"/>
      <c r="D35" s="38">
        <f>-DATOS!C130</f>
        <v>-25291.884999999998</v>
      </c>
      <c r="E35" s="39">
        <f t="shared" si="0"/>
        <v>-7.3680398284181159E-2</v>
      </c>
      <c r="F35" s="39"/>
      <c r="G35" s="38">
        <f>-DATOS!F130</f>
        <v>-65083.597000000002</v>
      </c>
      <c r="H35" s="39">
        <f t="shared" si="1"/>
        <v>-0.12632788032345546</v>
      </c>
      <c r="I35" s="43">
        <f t="shared" si="2"/>
        <v>39791.712</v>
      </c>
      <c r="J35" s="7">
        <f t="shared" si="4"/>
        <v>-0.6113938662609566</v>
      </c>
      <c r="K35" s="68"/>
      <c r="L35" s="68"/>
      <c r="M35" s="68"/>
      <c r="N35" s="68"/>
      <c r="O35" s="68"/>
      <c r="P35" s="68"/>
      <c r="Q35" s="68"/>
      <c r="R35" s="68"/>
      <c r="S35" s="68"/>
      <c r="T35" s="68"/>
      <c r="U35" s="68"/>
      <c r="V35" s="68"/>
      <c r="W35" s="68"/>
      <c r="X35" s="68"/>
      <c r="Y35" s="68"/>
      <c r="Z35" s="68"/>
    </row>
    <row r="36" spans="1:26" ht="12.75" hidden="1" customHeight="1" outlineLevel="1" x14ac:dyDescent="0.25">
      <c r="A36" s="35" t="s">
        <v>103</v>
      </c>
      <c r="B36" s="62"/>
      <c r="C36" s="36"/>
      <c r="D36" s="38">
        <f>-DATOS!C131</f>
        <v>-2085.5219999999999</v>
      </c>
      <c r="E36" s="39">
        <f t="shared" si="0"/>
        <v>-6.0755491965277424E-3</v>
      </c>
      <c r="F36" s="39"/>
      <c r="G36" s="38">
        <f>-DATOS!F131</f>
        <v>-12011.502</v>
      </c>
      <c r="H36" s="39">
        <f t="shared" si="1"/>
        <v>-2.331443953782926E-2</v>
      </c>
      <c r="I36" s="43">
        <f t="shared" si="2"/>
        <v>9925.98</v>
      </c>
      <c r="J36" s="7">
        <f t="shared" si="4"/>
        <v>-0.82637292155468978</v>
      </c>
      <c r="K36" s="68"/>
      <c r="L36" s="68"/>
      <c r="M36" s="68"/>
      <c r="N36" s="68"/>
      <c r="O36" s="68"/>
      <c r="P36" s="68"/>
      <c r="Q36" s="68"/>
      <c r="R36" s="68"/>
      <c r="S36" s="68"/>
      <c r="T36" s="68"/>
      <c r="U36" s="68"/>
      <c r="V36" s="68"/>
      <c r="W36" s="68"/>
      <c r="X36" s="68"/>
      <c r="Y36" s="68"/>
      <c r="Z36" s="68"/>
    </row>
    <row r="37" spans="1:26" ht="12.75" hidden="1" customHeight="1" outlineLevel="1" x14ac:dyDescent="0.25">
      <c r="A37" s="35" t="s">
        <v>105</v>
      </c>
      <c r="B37" s="35"/>
      <c r="C37" s="36"/>
      <c r="D37" s="38">
        <f>-DATOS!C132</f>
        <v>0</v>
      </c>
      <c r="E37" s="39">
        <f t="shared" si="0"/>
        <v>0</v>
      </c>
      <c r="F37" s="39"/>
      <c r="G37" s="38">
        <f>-DATOS!F132</f>
        <v>0</v>
      </c>
      <c r="H37" s="39">
        <f t="shared" si="1"/>
        <v>0</v>
      </c>
      <c r="I37" s="43">
        <f t="shared" si="2"/>
        <v>0</v>
      </c>
      <c r="J37" s="7">
        <f t="shared" si="4"/>
        <v>0</v>
      </c>
      <c r="K37" s="1"/>
      <c r="L37" s="1"/>
      <c r="M37" s="1"/>
      <c r="N37" s="1"/>
      <c r="O37" s="1"/>
      <c r="P37" s="1"/>
      <c r="Q37" s="1"/>
      <c r="R37" s="1"/>
      <c r="S37" s="1"/>
      <c r="T37" s="1"/>
      <c r="U37" s="1"/>
      <c r="V37" s="1"/>
      <c r="W37" s="1"/>
      <c r="X37" s="1"/>
      <c r="Y37" s="1"/>
      <c r="Z37" s="1"/>
    </row>
    <row r="38" spans="1:26" ht="12.75" hidden="1" customHeight="1" outlineLevel="1" x14ac:dyDescent="0.25">
      <c r="A38" s="35" t="s">
        <v>87</v>
      </c>
      <c r="B38" s="35"/>
      <c r="C38" s="36"/>
      <c r="D38" s="38">
        <f>-DATOS!C133</f>
        <v>-11683.575999999997</v>
      </c>
      <c r="E38" s="39">
        <f t="shared" si="0"/>
        <v>-3.4036630052030524E-2</v>
      </c>
      <c r="F38" s="39"/>
      <c r="G38" s="38">
        <f>-DATOS!F133</f>
        <v>-39982.010999999999</v>
      </c>
      <c r="H38" s="39">
        <f t="shared" si="1"/>
        <v>-7.7605463335087013E-2</v>
      </c>
      <c r="I38" s="43">
        <f t="shared" si="2"/>
        <v>28298.435000000001</v>
      </c>
      <c r="J38" s="7">
        <f t="shared" si="4"/>
        <v>-0.70777918099217174</v>
      </c>
      <c r="K38" s="1"/>
      <c r="L38" s="1"/>
      <c r="M38" s="1"/>
      <c r="N38" s="1"/>
      <c r="O38" s="1"/>
      <c r="P38" s="1"/>
      <c r="Q38" s="1"/>
      <c r="R38" s="1"/>
      <c r="S38" s="1"/>
      <c r="T38" s="1"/>
      <c r="U38" s="1"/>
      <c r="V38" s="1"/>
      <c r="W38" s="1"/>
      <c r="X38" s="1"/>
      <c r="Y38" s="1"/>
      <c r="Z38" s="1"/>
    </row>
    <row r="39" spans="1:26" ht="12.75" hidden="1" customHeight="1" outlineLevel="1" x14ac:dyDescent="0.25">
      <c r="A39" s="70" t="s">
        <v>107</v>
      </c>
      <c r="B39" s="35"/>
      <c r="C39" s="36"/>
      <c r="D39" s="38">
        <f>-DATOS!C134</f>
        <v>-3171.5189999999998</v>
      </c>
      <c r="E39" s="39">
        <f t="shared" si="0"/>
        <v>-9.2392790448734032E-3</v>
      </c>
      <c r="F39" s="39"/>
      <c r="G39" s="38">
        <f>-DATOS!F134</f>
        <v>-3353.1149999999998</v>
      </c>
      <c r="H39" s="39">
        <f t="shared" si="1"/>
        <v>-6.5084280825901996E-3</v>
      </c>
      <c r="I39" s="43">
        <f t="shared" si="2"/>
        <v>181.596</v>
      </c>
      <c r="J39" s="7">
        <f t="shared" si="4"/>
        <v>-5.4157402892534262E-2</v>
      </c>
      <c r="K39" s="1"/>
      <c r="L39" s="1"/>
      <c r="M39" s="1"/>
      <c r="N39" s="1"/>
      <c r="O39" s="1"/>
      <c r="P39" s="1"/>
      <c r="Q39" s="1"/>
      <c r="R39" s="1"/>
      <c r="S39" s="1"/>
      <c r="T39" s="1"/>
      <c r="U39" s="1"/>
      <c r="V39" s="1"/>
      <c r="W39" s="1"/>
      <c r="X39" s="1"/>
      <c r="Y39" s="1"/>
      <c r="Z39" s="1"/>
    </row>
    <row r="40" spans="1:26" ht="12.75" hidden="1" customHeight="1" outlineLevel="1" x14ac:dyDescent="0.25">
      <c r="A40" s="70" t="s">
        <v>109</v>
      </c>
      <c r="B40" s="35"/>
      <c r="C40" s="36"/>
      <c r="D40" s="38">
        <f>-DATOS!C135</f>
        <v>-9257.2360000000008</v>
      </c>
      <c r="E40" s="39">
        <f t="shared" si="0"/>
        <v>-2.6968208794665174E-2</v>
      </c>
      <c r="F40" s="39"/>
      <c r="G40" s="38">
        <f>-DATOS!F135</f>
        <v>-19715.306</v>
      </c>
      <c r="H40" s="39">
        <f t="shared" si="1"/>
        <v>-3.8267596317829562E-2</v>
      </c>
      <c r="I40" s="43">
        <f t="shared" si="2"/>
        <v>10458.07</v>
      </c>
      <c r="J40" s="7">
        <f t="shared" si="4"/>
        <v>-0.5304543586592062</v>
      </c>
      <c r="K40" s="1"/>
      <c r="L40" s="1"/>
      <c r="M40" s="1"/>
      <c r="N40" s="1"/>
      <c r="O40" s="1"/>
      <c r="P40" s="1"/>
      <c r="Q40" s="1"/>
      <c r="R40" s="1"/>
      <c r="S40" s="1"/>
      <c r="T40" s="1"/>
      <c r="U40" s="1"/>
      <c r="V40" s="1"/>
      <c r="W40" s="1"/>
      <c r="X40" s="1"/>
      <c r="Y40" s="1"/>
      <c r="Z40" s="1"/>
    </row>
    <row r="41" spans="1:26" ht="12.75" hidden="1" customHeight="1" outlineLevel="1" x14ac:dyDescent="0.25">
      <c r="A41" s="35" t="s">
        <v>111</v>
      </c>
      <c r="B41" s="62"/>
      <c r="C41" s="36"/>
      <c r="D41" s="38">
        <f>-DATOS!C136</f>
        <v>-12.1</v>
      </c>
      <c r="E41" s="39">
        <f t="shared" si="0"/>
        <v>-3.5249757747933458E-5</v>
      </c>
      <c r="F41" s="39"/>
      <c r="G41" s="38">
        <f>-DATOS!F136</f>
        <v>0</v>
      </c>
      <c r="H41" s="39">
        <f t="shared" si="1"/>
        <v>0</v>
      </c>
      <c r="I41" s="43">
        <f t="shared" si="2"/>
        <v>-12.1</v>
      </c>
      <c r="J41" s="7" t="e">
        <f t="shared" si="4"/>
        <v>#DIV/0!</v>
      </c>
      <c r="K41" s="68"/>
      <c r="L41" s="68"/>
      <c r="M41" s="68"/>
      <c r="N41" s="68"/>
      <c r="O41" s="68"/>
      <c r="P41" s="68"/>
      <c r="Q41" s="68"/>
      <c r="R41" s="68"/>
      <c r="S41" s="68"/>
      <c r="T41" s="68"/>
      <c r="U41" s="68"/>
      <c r="V41" s="68"/>
      <c r="W41" s="68"/>
      <c r="X41" s="68"/>
      <c r="Y41" s="68"/>
      <c r="Z41" s="68"/>
    </row>
    <row r="42" spans="1:26" ht="12.75" hidden="1" customHeight="1" outlineLevel="1" x14ac:dyDescent="0.25">
      <c r="A42" s="35" t="s">
        <v>113</v>
      </c>
      <c r="B42" s="62"/>
      <c r="C42" s="36"/>
      <c r="D42" s="38">
        <f>-DATOS!C137</f>
        <v>-1670</v>
      </c>
      <c r="E42" s="39">
        <f t="shared" si="0"/>
        <v>-4.8650492098387503E-3</v>
      </c>
      <c r="F42" s="39"/>
      <c r="G42" s="38">
        <f>-DATOS!F137</f>
        <v>-2795.3429999999998</v>
      </c>
      <c r="H42" s="39">
        <f t="shared" si="1"/>
        <v>-5.4257873295941051E-3</v>
      </c>
      <c r="I42" s="43">
        <f t="shared" si="2"/>
        <v>1125.3429999999998</v>
      </c>
      <c r="J42" s="7">
        <f t="shared" si="4"/>
        <v>-0.40257778741285055</v>
      </c>
      <c r="K42" s="68"/>
      <c r="L42" s="68"/>
      <c r="M42" s="68"/>
      <c r="N42" s="68"/>
      <c r="O42" s="68"/>
      <c r="P42" s="68"/>
      <c r="Q42" s="68"/>
      <c r="R42" s="68"/>
      <c r="S42" s="68"/>
      <c r="T42" s="68"/>
      <c r="U42" s="68"/>
      <c r="V42" s="68"/>
      <c r="W42" s="68"/>
      <c r="X42" s="68"/>
      <c r="Y42" s="68"/>
      <c r="Z42" s="68"/>
    </row>
    <row r="43" spans="1:26" ht="12.75" hidden="1" customHeight="1" outlineLevel="1" x14ac:dyDescent="0.25">
      <c r="A43" s="35" t="s">
        <v>114</v>
      </c>
      <c r="B43" s="62"/>
      <c r="C43" s="36"/>
      <c r="D43" s="38">
        <f>-DATOS!C138</f>
        <v>0</v>
      </c>
      <c r="E43" s="39">
        <f t="shared" si="0"/>
        <v>0</v>
      </c>
      <c r="F43" s="39"/>
      <c r="G43" s="38">
        <f>-DATOS!F138</f>
        <v>-1387</v>
      </c>
      <c r="H43" s="39">
        <f t="shared" si="1"/>
        <v>-2.6921801818764368E-3</v>
      </c>
      <c r="I43" s="43">
        <f t="shared" si="2"/>
        <v>1387</v>
      </c>
      <c r="J43" s="7">
        <f t="shared" si="4"/>
        <v>-1</v>
      </c>
      <c r="K43" s="68"/>
      <c r="L43" s="68"/>
      <c r="M43" s="68"/>
      <c r="N43" s="68"/>
      <c r="O43" s="68"/>
      <c r="P43" s="68"/>
      <c r="Q43" s="68"/>
      <c r="R43" s="68"/>
      <c r="S43" s="68"/>
      <c r="T43" s="68"/>
      <c r="U43" s="68"/>
      <c r="V43" s="68"/>
      <c r="W43" s="68"/>
      <c r="X43" s="68"/>
      <c r="Y43" s="68"/>
      <c r="Z43" s="68"/>
    </row>
    <row r="44" spans="1:26" ht="12.75" hidden="1" customHeight="1" outlineLevel="1" x14ac:dyDescent="0.25">
      <c r="A44" s="35" t="s">
        <v>115</v>
      </c>
      <c r="B44" s="62"/>
      <c r="C44" s="36"/>
      <c r="D44" s="38">
        <f>-DATOS!C139</f>
        <v>0</v>
      </c>
      <c r="E44" s="39">
        <f t="shared" si="0"/>
        <v>0</v>
      </c>
      <c r="F44" s="39"/>
      <c r="G44" s="38">
        <f>-DATOS!F139</f>
        <v>0</v>
      </c>
      <c r="H44" s="39">
        <f t="shared" si="1"/>
        <v>0</v>
      </c>
      <c r="I44" s="43">
        <f t="shared" si="2"/>
        <v>0</v>
      </c>
      <c r="J44" s="7">
        <f t="shared" si="4"/>
        <v>0</v>
      </c>
      <c r="K44" s="68"/>
      <c r="L44" s="68"/>
      <c r="M44" s="68"/>
      <c r="N44" s="68"/>
      <c r="O44" s="68"/>
      <c r="P44" s="68"/>
      <c r="Q44" s="68"/>
      <c r="R44" s="68"/>
      <c r="S44" s="68"/>
      <c r="T44" s="68"/>
      <c r="U44" s="68"/>
      <c r="V44" s="68"/>
      <c r="W44" s="68"/>
      <c r="X44" s="68"/>
      <c r="Y44" s="68"/>
      <c r="Z44" s="68"/>
    </row>
    <row r="45" spans="1:26" ht="12.75" hidden="1" customHeight="1" outlineLevel="1" x14ac:dyDescent="0.25">
      <c r="A45" s="35" t="s">
        <v>116</v>
      </c>
      <c r="B45" s="62"/>
      <c r="C45" s="36"/>
      <c r="D45" s="38">
        <f>-DATOS!C140</f>
        <v>-4578.3150500000002</v>
      </c>
      <c r="E45" s="39">
        <f t="shared" si="0"/>
        <v>-1.3337561686464288E-2</v>
      </c>
      <c r="F45" s="39"/>
      <c r="G45" s="38">
        <f>-DATOS!F140</f>
        <v>-889.56765000000007</v>
      </c>
      <c r="H45" s="39">
        <f t="shared" si="1"/>
        <v>-1.7266592629909118E-3</v>
      </c>
      <c r="I45" s="43">
        <f t="shared" si="2"/>
        <v>-3688.7474000000002</v>
      </c>
      <c r="J45" s="7">
        <f t="shared" si="4"/>
        <v>4.1466743985125811</v>
      </c>
      <c r="K45" s="68"/>
      <c r="L45" s="68"/>
      <c r="M45" s="68"/>
      <c r="N45" s="68"/>
      <c r="O45" s="68"/>
      <c r="P45" s="68"/>
      <c r="Q45" s="68"/>
      <c r="R45" s="68"/>
      <c r="S45" s="68"/>
      <c r="T45" s="68"/>
      <c r="U45" s="68"/>
      <c r="V45" s="68"/>
      <c r="W45" s="68"/>
      <c r="X45" s="68"/>
      <c r="Y45" s="68"/>
      <c r="Z45" s="68"/>
    </row>
    <row r="46" spans="1:26" ht="12.75" hidden="1" customHeight="1" outlineLevel="1" x14ac:dyDescent="0.25">
      <c r="A46" s="35" t="s">
        <v>118</v>
      </c>
      <c r="B46" s="62"/>
      <c r="C46" s="36"/>
      <c r="D46" s="38">
        <f>-DATOS!C141</f>
        <v>0</v>
      </c>
      <c r="E46" s="39">
        <f t="shared" si="0"/>
        <v>0</v>
      </c>
      <c r="F46" s="39"/>
      <c r="G46" s="38">
        <f>-DATOS!F141</f>
        <v>0</v>
      </c>
      <c r="H46" s="39">
        <f t="shared" si="1"/>
        <v>0</v>
      </c>
      <c r="I46" s="43">
        <f t="shared" si="2"/>
        <v>0</v>
      </c>
      <c r="J46" s="7">
        <f t="shared" si="4"/>
        <v>0</v>
      </c>
      <c r="K46" s="68"/>
      <c r="L46" s="68"/>
      <c r="M46" s="68"/>
      <c r="N46" s="68"/>
      <c r="O46" s="68"/>
      <c r="P46" s="68"/>
      <c r="Q46" s="68"/>
      <c r="R46" s="68"/>
      <c r="S46" s="68"/>
      <c r="T46" s="68"/>
      <c r="U46" s="68"/>
      <c r="V46" s="68"/>
      <c r="W46" s="68"/>
      <c r="X46" s="68"/>
      <c r="Y46" s="68"/>
      <c r="Z46" s="68"/>
    </row>
    <row r="47" spans="1:26" ht="12.75" hidden="1" customHeight="1" outlineLevel="1" x14ac:dyDescent="0.25">
      <c r="A47" s="35" t="s">
        <v>92</v>
      </c>
      <c r="B47" s="62"/>
      <c r="C47" s="36"/>
      <c r="D47" s="38">
        <f>-DATOS!C142</f>
        <v>-1224.79</v>
      </c>
      <c r="E47" s="39">
        <f t="shared" si="0"/>
        <v>-3.5680620489331755E-3</v>
      </c>
      <c r="F47" s="39"/>
      <c r="G47" s="38">
        <f>-DATOS!F142</f>
        <v>-2669.9650000000001</v>
      </c>
      <c r="H47" s="39">
        <f t="shared" si="1"/>
        <v>-5.1824274400171016E-3</v>
      </c>
      <c r="I47" s="43">
        <f t="shared" si="2"/>
        <v>1445.1750000000002</v>
      </c>
      <c r="J47" s="7">
        <f t="shared" si="4"/>
        <v>-0.54127114025839296</v>
      </c>
      <c r="K47" s="68"/>
      <c r="L47" s="68"/>
      <c r="M47" s="68"/>
      <c r="N47" s="68"/>
      <c r="O47" s="68"/>
      <c r="P47" s="68"/>
      <c r="Q47" s="68"/>
      <c r="R47" s="68"/>
      <c r="S47" s="68"/>
      <c r="T47" s="68"/>
      <c r="U47" s="68"/>
      <c r="V47" s="68"/>
      <c r="W47" s="68"/>
      <c r="X47" s="68"/>
      <c r="Y47" s="68"/>
      <c r="Z47" s="68"/>
    </row>
    <row r="48" spans="1:26" ht="12.75" hidden="1" customHeight="1" outlineLevel="1" x14ac:dyDescent="0.25">
      <c r="A48" s="35" t="s">
        <v>120</v>
      </c>
      <c r="B48" s="62"/>
      <c r="C48" s="36"/>
      <c r="D48" s="38">
        <f>-DATOS!C143</f>
        <v>0</v>
      </c>
      <c r="E48" s="39">
        <f t="shared" si="0"/>
        <v>0</v>
      </c>
      <c r="F48" s="39"/>
      <c r="G48" s="38">
        <f>-DATOS!F143</f>
        <v>0</v>
      </c>
      <c r="H48" s="39">
        <f t="shared" si="1"/>
        <v>0</v>
      </c>
      <c r="I48" s="43">
        <f t="shared" si="2"/>
        <v>0</v>
      </c>
      <c r="J48" s="7">
        <f t="shared" si="4"/>
        <v>0</v>
      </c>
      <c r="K48" s="68"/>
      <c r="L48" s="68"/>
      <c r="M48" s="68"/>
      <c r="N48" s="68"/>
      <c r="O48" s="68"/>
      <c r="P48" s="68"/>
      <c r="Q48" s="68"/>
      <c r="R48" s="68"/>
      <c r="S48" s="68"/>
      <c r="T48" s="68"/>
      <c r="U48" s="68"/>
      <c r="V48" s="68"/>
      <c r="W48" s="68"/>
      <c r="X48" s="68"/>
      <c r="Y48" s="68"/>
      <c r="Z48" s="68"/>
    </row>
    <row r="49" spans="1:26" ht="12.75" hidden="1" customHeight="1" outlineLevel="1" x14ac:dyDescent="0.25">
      <c r="A49" s="35" t="s">
        <v>121</v>
      </c>
      <c r="B49" s="62"/>
      <c r="C49" s="36"/>
      <c r="D49" s="38">
        <f>-DATOS!C144</f>
        <v>0</v>
      </c>
      <c r="E49" s="39">
        <f t="shared" si="0"/>
        <v>0</v>
      </c>
      <c r="F49" s="39"/>
      <c r="G49" s="38">
        <f>-DATOS!F144</f>
        <v>0</v>
      </c>
      <c r="H49" s="39">
        <f t="shared" si="1"/>
        <v>0</v>
      </c>
      <c r="I49" s="43">
        <f t="shared" si="2"/>
        <v>0</v>
      </c>
      <c r="J49" s="7">
        <f t="shared" si="4"/>
        <v>0</v>
      </c>
      <c r="K49" s="68"/>
      <c r="L49" s="68"/>
      <c r="M49" s="68"/>
      <c r="N49" s="68"/>
      <c r="O49" s="68"/>
      <c r="P49" s="68"/>
      <c r="Q49" s="68"/>
      <c r="R49" s="68"/>
      <c r="S49" s="68"/>
      <c r="T49" s="68"/>
      <c r="U49" s="68"/>
      <c r="V49" s="68"/>
      <c r="W49" s="68"/>
      <c r="X49" s="68"/>
      <c r="Y49" s="68"/>
      <c r="Z49" s="68"/>
    </row>
    <row r="50" spans="1:26" ht="12.75" hidden="1" customHeight="1" outlineLevel="1" x14ac:dyDescent="0.25">
      <c r="A50" s="35" t="s">
        <v>122</v>
      </c>
      <c r="B50" s="62"/>
      <c r="C50" s="36"/>
      <c r="D50" s="38">
        <f>-DATOS!C145</f>
        <v>-597.15</v>
      </c>
      <c r="E50" s="39">
        <f t="shared" si="0"/>
        <v>-1.7396192429073112E-3</v>
      </c>
      <c r="F50" s="39"/>
      <c r="G50" s="38">
        <f>-DATOS!F145</f>
        <v>-1305.0940000000001</v>
      </c>
      <c r="H50" s="39">
        <f t="shared" si="1"/>
        <v>-2.533199857451944E-3</v>
      </c>
      <c r="I50" s="43">
        <f t="shared" si="2"/>
        <v>707.94400000000007</v>
      </c>
      <c r="J50" s="7">
        <f t="shared" si="4"/>
        <v>-0.54244675096199968</v>
      </c>
      <c r="K50" s="68"/>
      <c r="L50" s="68"/>
      <c r="M50" s="68"/>
      <c r="N50" s="68"/>
      <c r="O50" s="68"/>
      <c r="P50" s="68"/>
      <c r="Q50" s="68"/>
      <c r="R50" s="68"/>
      <c r="S50" s="68"/>
      <c r="T50" s="68"/>
      <c r="U50" s="68"/>
      <c r="V50" s="68"/>
      <c r="W50" s="68"/>
      <c r="X50" s="68"/>
      <c r="Y50" s="68"/>
      <c r="Z50" s="68"/>
    </row>
    <row r="51" spans="1:26" ht="12.75" hidden="1" customHeight="1" outlineLevel="1" x14ac:dyDescent="0.25">
      <c r="A51" s="35" t="s">
        <v>124</v>
      </c>
      <c r="B51" s="62"/>
      <c r="C51" s="36"/>
      <c r="D51" s="38">
        <f>-DATOS!C146</f>
        <v>-622.98199999999997</v>
      </c>
      <c r="E51" s="39">
        <f t="shared" si="0"/>
        <v>-1.8148731058944697E-3</v>
      </c>
      <c r="F51" s="39"/>
      <c r="G51" s="38">
        <f>-DATOS!F146</f>
        <v>-456.14100000000002</v>
      </c>
      <c r="H51" s="39">
        <f t="shared" si="1"/>
        <v>-8.8537401610764221E-4</v>
      </c>
      <c r="I51" s="43">
        <f t="shared" si="2"/>
        <v>-166.84099999999995</v>
      </c>
      <c r="J51" s="7">
        <f t="shared" si="4"/>
        <v>0.36576628717874504</v>
      </c>
      <c r="K51" s="68"/>
      <c r="L51" s="68"/>
      <c r="M51" s="68"/>
      <c r="N51" s="68"/>
      <c r="O51" s="68"/>
      <c r="P51" s="68"/>
      <c r="Q51" s="68"/>
      <c r="R51" s="68"/>
      <c r="S51" s="68"/>
      <c r="T51" s="68"/>
      <c r="U51" s="68"/>
      <c r="V51" s="68"/>
      <c r="W51" s="68"/>
      <c r="X51" s="68"/>
      <c r="Y51" s="68"/>
      <c r="Z51" s="68"/>
    </row>
    <row r="52" spans="1:26" ht="12.75" customHeight="1" collapsed="1" x14ac:dyDescent="0.25">
      <c r="A52" s="62" t="s">
        <v>126</v>
      </c>
      <c r="B52" s="62"/>
      <c r="C52" s="36">
        <v>14</v>
      </c>
      <c r="D52" s="63">
        <f>SUM(D53:D67)</f>
        <v>0</v>
      </c>
      <c r="E52" s="64">
        <f t="shared" si="0"/>
        <v>0</v>
      </c>
      <c r="F52" s="64"/>
      <c r="G52" s="63">
        <f>SUM(G53:G67)</f>
        <v>0</v>
      </c>
      <c r="H52" s="64">
        <f t="shared" si="1"/>
        <v>0</v>
      </c>
      <c r="I52" s="66">
        <f t="shared" si="2"/>
        <v>0</v>
      </c>
      <c r="J52" s="67">
        <f t="shared" si="4"/>
        <v>0</v>
      </c>
      <c r="K52" s="1"/>
      <c r="L52" s="1"/>
      <c r="M52" s="1"/>
      <c r="N52" s="1"/>
      <c r="O52" s="1"/>
      <c r="P52" s="1"/>
      <c r="Q52" s="1"/>
      <c r="R52" s="1"/>
      <c r="S52" s="1"/>
      <c r="T52" s="1"/>
      <c r="U52" s="1"/>
      <c r="V52" s="1"/>
      <c r="W52" s="1"/>
      <c r="X52" s="1"/>
      <c r="Y52" s="1"/>
      <c r="Z52" s="1"/>
    </row>
    <row r="53" spans="1:26" ht="12.75" hidden="1" customHeight="1" outlineLevel="1" x14ac:dyDescent="0.25">
      <c r="A53" s="35" t="s">
        <v>96</v>
      </c>
      <c r="B53" s="35"/>
      <c r="C53" s="36"/>
      <c r="D53" s="38">
        <f>-+DATOS!C110</f>
        <v>0</v>
      </c>
      <c r="E53" s="39">
        <f t="shared" si="0"/>
        <v>0</v>
      </c>
      <c r="F53" s="39"/>
      <c r="G53" s="38">
        <f>-DATOS!F110</f>
        <v>0</v>
      </c>
      <c r="H53" s="39">
        <f t="shared" si="1"/>
        <v>0</v>
      </c>
      <c r="I53" s="43">
        <f t="shared" si="2"/>
        <v>0</v>
      </c>
      <c r="J53" s="7">
        <f t="shared" si="4"/>
        <v>0</v>
      </c>
      <c r="K53" s="1"/>
      <c r="L53" s="1"/>
      <c r="M53" s="1"/>
      <c r="N53" s="1"/>
      <c r="O53" s="1"/>
      <c r="P53" s="1"/>
      <c r="Q53" s="1"/>
      <c r="R53" s="1"/>
      <c r="S53" s="1"/>
      <c r="T53" s="1"/>
      <c r="U53" s="1"/>
      <c r="V53" s="1"/>
      <c r="W53" s="1"/>
      <c r="X53" s="1"/>
      <c r="Y53" s="1"/>
      <c r="Z53" s="1"/>
    </row>
    <row r="54" spans="1:26" ht="12.75" hidden="1" customHeight="1" outlineLevel="1" x14ac:dyDescent="0.25">
      <c r="A54" s="35" t="s">
        <v>98</v>
      </c>
      <c r="B54" s="35"/>
      <c r="C54" s="36"/>
      <c r="D54" s="38">
        <f>-+DATOS!C111</f>
        <v>0</v>
      </c>
      <c r="E54" s="39">
        <f t="shared" si="0"/>
        <v>0</v>
      </c>
      <c r="F54" s="39"/>
      <c r="G54" s="38">
        <f>-DATOS!F111</f>
        <v>0</v>
      </c>
      <c r="H54" s="39">
        <f t="shared" si="1"/>
        <v>0</v>
      </c>
      <c r="I54" s="43">
        <f t="shared" si="2"/>
        <v>0</v>
      </c>
      <c r="J54" s="7">
        <f t="shared" si="4"/>
        <v>0</v>
      </c>
      <c r="K54" s="1"/>
      <c r="L54" s="1"/>
      <c r="M54" s="1"/>
      <c r="N54" s="1"/>
      <c r="O54" s="1"/>
      <c r="P54" s="1"/>
      <c r="Q54" s="1"/>
      <c r="R54" s="1"/>
      <c r="S54" s="1"/>
      <c r="T54" s="1"/>
      <c r="U54" s="1"/>
      <c r="V54" s="1"/>
      <c r="W54" s="1"/>
      <c r="X54" s="1"/>
      <c r="Y54" s="1"/>
      <c r="Z54" s="1"/>
    </row>
    <row r="55" spans="1:26" ht="12.75" hidden="1" customHeight="1" outlineLevel="1" x14ac:dyDescent="0.25">
      <c r="A55" s="35" t="s">
        <v>85</v>
      </c>
      <c r="B55" s="35"/>
      <c r="C55" s="36"/>
      <c r="D55" s="38">
        <f>-+DATOS!C112</f>
        <v>0</v>
      </c>
      <c r="E55" s="39">
        <f t="shared" si="0"/>
        <v>0</v>
      </c>
      <c r="F55" s="39"/>
      <c r="G55" s="38">
        <f>-DATOS!F112</f>
        <v>0</v>
      </c>
      <c r="H55" s="39">
        <f t="shared" si="1"/>
        <v>0</v>
      </c>
      <c r="I55" s="43">
        <f t="shared" si="2"/>
        <v>0</v>
      </c>
      <c r="J55" s="7">
        <f t="shared" si="4"/>
        <v>0</v>
      </c>
      <c r="K55" s="1"/>
      <c r="L55" s="1"/>
      <c r="M55" s="1"/>
      <c r="N55" s="1"/>
      <c r="O55" s="1"/>
      <c r="P55" s="1"/>
      <c r="Q55" s="1"/>
      <c r="R55" s="1"/>
      <c r="S55" s="1"/>
      <c r="T55" s="1"/>
      <c r="U55" s="1"/>
      <c r="V55" s="1"/>
      <c r="W55" s="1"/>
      <c r="X55" s="1"/>
      <c r="Y55" s="1"/>
      <c r="Z55" s="1"/>
    </row>
    <row r="56" spans="1:26" ht="12.75" hidden="1" customHeight="1" outlineLevel="1" x14ac:dyDescent="0.25">
      <c r="A56" s="35" t="s">
        <v>100</v>
      </c>
      <c r="B56" s="35"/>
      <c r="C56" s="36"/>
      <c r="D56" s="38">
        <f>-+DATOS!C113</f>
        <v>0</v>
      </c>
      <c r="E56" s="39">
        <f t="shared" si="0"/>
        <v>0</v>
      </c>
      <c r="F56" s="39"/>
      <c r="G56" s="38">
        <f>-DATOS!F113</f>
        <v>0</v>
      </c>
      <c r="H56" s="39">
        <f t="shared" si="1"/>
        <v>0</v>
      </c>
      <c r="I56" s="43">
        <f t="shared" si="2"/>
        <v>0</v>
      </c>
      <c r="J56" s="7">
        <f t="shared" si="4"/>
        <v>0</v>
      </c>
      <c r="K56" s="1"/>
      <c r="L56" s="1"/>
      <c r="M56" s="1"/>
      <c r="N56" s="1"/>
      <c r="O56" s="1"/>
      <c r="P56" s="1"/>
      <c r="Q56" s="1"/>
      <c r="R56" s="1"/>
      <c r="S56" s="1"/>
      <c r="T56" s="1"/>
      <c r="U56" s="1"/>
      <c r="V56" s="1"/>
      <c r="W56" s="1"/>
      <c r="X56" s="1"/>
      <c r="Y56" s="1"/>
      <c r="Z56" s="1"/>
    </row>
    <row r="57" spans="1:26" ht="12.75" hidden="1" customHeight="1" outlineLevel="1" x14ac:dyDescent="0.25">
      <c r="A57" s="35" t="s">
        <v>102</v>
      </c>
      <c r="B57" s="35"/>
      <c r="C57" s="36"/>
      <c r="D57" s="38">
        <f>-+DATOS!C114</f>
        <v>0</v>
      </c>
      <c r="E57" s="39">
        <f t="shared" si="0"/>
        <v>0</v>
      </c>
      <c r="F57" s="39"/>
      <c r="G57" s="38">
        <f>-DATOS!F114</f>
        <v>0</v>
      </c>
      <c r="H57" s="39">
        <f t="shared" si="1"/>
        <v>0</v>
      </c>
      <c r="I57" s="43">
        <f t="shared" si="2"/>
        <v>0</v>
      </c>
      <c r="J57" s="7">
        <f t="shared" si="4"/>
        <v>0</v>
      </c>
      <c r="K57" s="1"/>
      <c r="L57" s="1"/>
      <c r="M57" s="1"/>
      <c r="N57" s="1"/>
      <c r="O57" s="1"/>
      <c r="P57" s="1"/>
      <c r="Q57" s="1"/>
      <c r="R57" s="1"/>
      <c r="S57" s="1"/>
      <c r="T57" s="1"/>
      <c r="U57" s="1"/>
      <c r="V57" s="1"/>
      <c r="W57" s="1"/>
      <c r="X57" s="1"/>
      <c r="Y57" s="1"/>
      <c r="Z57" s="1"/>
    </row>
    <row r="58" spans="1:26" ht="12.75" hidden="1" customHeight="1" outlineLevel="1" x14ac:dyDescent="0.25">
      <c r="A58" s="35" t="s">
        <v>132</v>
      </c>
      <c r="B58" s="35"/>
      <c r="C58" s="36"/>
      <c r="D58" s="38">
        <f>-+DATOS!C115</f>
        <v>0</v>
      </c>
      <c r="E58" s="39">
        <f t="shared" si="0"/>
        <v>0</v>
      </c>
      <c r="F58" s="39"/>
      <c r="G58" s="38">
        <f>-DATOS!F115</f>
        <v>0</v>
      </c>
      <c r="H58" s="39">
        <f t="shared" si="1"/>
        <v>0</v>
      </c>
      <c r="I58" s="43">
        <f t="shared" si="2"/>
        <v>0</v>
      </c>
      <c r="J58" s="7">
        <f t="shared" si="4"/>
        <v>0</v>
      </c>
      <c r="K58" s="1"/>
      <c r="L58" s="1"/>
      <c r="M58" s="1"/>
      <c r="N58" s="1"/>
      <c r="O58" s="1"/>
      <c r="P58" s="1"/>
      <c r="Q58" s="1"/>
      <c r="R58" s="1"/>
      <c r="S58" s="1"/>
      <c r="T58" s="1"/>
      <c r="U58" s="1"/>
      <c r="V58" s="1"/>
      <c r="W58" s="1"/>
      <c r="X58" s="1"/>
      <c r="Y58" s="1"/>
      <c r="Z58" s="1"/>
    </row>
    <row r="59" spans="1:26" ht="12.75" hidden="1" customHeight="1" outlineLevel="1" x14ac:dyDescent="0.25">
      <c r="A59" s="35" t="s">
        <v>105</v>
      </c>
      <c r="B59" s="35"/>
      <c r="C59" s="36"/>
      <c r="D59" s="38">
        <f>-+DATOS!C116</f>
        <v>0</v>
      </c>
      <c r="E59" s="39">
        <f t="shared" si="0"/>
        <v>0</v>
      </c>
      <c r="F59" s="39"/>
      <c r="G59" s="38">
        <f>-DATOS!F116</f>
        <v>0</v>
      </c>
      <c r="H59" s="39">
        <f t="shared" si="1"/>
        <v>0</v>
      </c>
      <c r="I59" s="43">
        <f t="shared" si="2"/>
        <v>0</v>
      </c>
      <c r="J59" s="7">
        <f t="shared" si="4"/>
        <v>0</v>
      </c>
      <c r="K59" s="1"/>
      <c r="L59" s="1"/>
      <c r="M59" s="1"/>
      <c r="N59" s="1"/>
      <c r="O59" s="1"/>
      <c r="P59" s="1"/>
      <c r="Q59" s="1"/>
      <c r="R59" s="1"/>
      <c r="S59" s="1"/>
      <c r="T59" s="1"/>
      <c r="U59" s="1"/>
      <c r="V59" s="1"/>
      <c r="W59" s="1"/>
      <c r="X59" s="1"/>
      <c r="Y59" s="1"/>
      <c r="Z59" s="1"/>
    </row>
    <row r="60" spans="1:26" ht="12.75" hidden="1" customHeight="1" outlineLevel="1" x14ac:dyDescent="0.25">
      <c r="A60" s="35" t="s">
        <v>87</v>
      </c>
      <c r="B60" s="35"/>
      <c r="C60" s="36"/>
      <c r="D60" s="38">
        <f>-+DATOS!C117</f>
        <v>0</v>
      </c>
      <c r="E60" s="39">
        <f t="shared" si="0"/>
        <v>0</v>
      </c>
      <c r="F60" s="39"/>
      <c r="G60" s="38">
        <f>-DATOS!F117</f>
        <v>0</v>
      </c>
      <c r="H60" s="39">
        <f t="shared" si="1"/>
        <v>0</v>
      </c>
      <c r="I60" s="43">
        <f t="shared" si="2"/>
        <v>0</v>
      </c>
      <c r="J60" s="7">
        <f t="shared" si="4"/>
        <v>0</v>
      </c>
      <c r="K60" s="1"/>
      <c r="L60" s="1"/>
      <c r="M60" s="1"/>
      <c r="N60" s="1"/>
      <c r="O60" s="1"/>
      <c r="P60" s="1"/>
      <c r="Q60" s="1"/>
      <c r="R60" s="1"/>
      <c r="S60" s="1"/>
      <c r="T60" s="1"/>
      <c r="U60" s="1"/>
      <c r="V60" s="1"/>
      <c r="W60" s="1"/>
      <c r="X60" s="1"/>
      <c r="Y60" s="1"/>
      <c r="Z60" s="1"/>
    </row>
    <row r="61" spans="1:26" ht="12.75" hidden="1" customHeight="1" outlineLevel="1" x14ac:dyDescent="0.25">
      <c r="A61" s="35" t="s">
        <v>134</v>
      </c>
      <c r="B61" s="35"/>
      <c r="C61" s="36"/>
      <c r="D61" s="38">
        <f>-+DATOS!C118</f>
        <v>0</v>
      </c>
      <c r="E61" s="39">
        <f t="shared" si="0"/>
        <v>0</v>
      </c>
      <c r="F61" s="39"/>
      <c r="G61" s="38">
        <f>-DATOS!F118</f>
        <v>0</v>
      </c>
      <c r="H61" s="39">
        <f t="shared" si="1"/>
        <v>0</v>
      </c>
      <c r="I61" s="43">
        <f t="shared" si="2"/>
        <v>0</v>
      </c>
      <c r="J61" s="7">
        <f t="shared" si="4"/>
        <v>0</v>
      </c>
      <c r="K61" s="1"/>
      <c r="L61" s="1"/>
      <c r="M61" s="1"/>
      <c r="N61" s="1"/>
      <c r="O61" s="1"/>
      <c r="P61" s="1"/>
      <c r="Q61" s="1"/>
      <c r="R61" s="1"/>
      <c r="S61" s="1"/>
      <c r="T61" s="1"/>
      <c r="U61" s="1"/>
      <c r="V61" s="1"/>
      <c r="W61" s="1"/>
      <c r="X61" s="1"/>
      <c r="Y61" s="1"/>
      <c r="Z61" s="1"/>
    </row>
    <row r="62" spans="1:26" ht="12.75" hidden="1" customHeight="1" outlineLevel="1" x14ac:dyDescent="0.25">
      <c r="A62" s="35" t="s">
        <v>136</v>
      </c>
      <c r="B62" s="35"/>
      <c r="C62" s="36"/>
      <c r="D62" s="38">
        <f>-+DATOS!C119</f>
        <v>0</v>
      </c>
      <c r="E62" s="39">
        <f t="shared" si="0"/>
        <v>0</v>
      </c>
      <c r="F62" s="39"/>
      <c r="G62" s="38">
        <f>-DATOS!F119</f>
        <v>0</v>
      </c>
      <c r="H62" s="39">
        <f t="shared" si="1"/>
        <v>0</v>
      </c>
      <c r="I62" s="43">
        <f t="shared" si="2"/>
        <v>0</v>
      </c>
      <c r="J62" s="7">
        <f t="shared" si="4"/>
        <v>0</v>
      </c>
      <c r="K62" s="1"/>
      <c r="L62" s="1"/>
      <c r="M62" s="1"/>
      <c r="N62" s="1"/>
      <c r="O62" s="1"/>
      <c r="P62" s="1"/>
      <c r="Q62" s="1"/>
      <c r="R62" s="1"/>
      <c r="S62" s="1"/>
      <c r="T62" s="1"/>
      <c r="U62" s="1"/>
      <c r="V62" s="1"/>
      <c r="W62" s="1"/>
      <c r="X62" s="1"/>
      <c r="Y62" s="1"/>
      <c r="Z62" s="1"/>
    </row>
    <row r="63" spans="1:26" ht="12.75" hidden="1" customHeight="1" outlineLevel="1" x14ac:dyDescent="0.25">
      <c r="A63" s="35" t="s">
        <v>138</v>
      </c>
      <c r="B63" s="62"/>
      <c r="C63" s="36"/>
      <c r="D63" s="38">
        <f>-+DATOS!C120</f>
        <v>0</v>
      </c>
      <c r="E63" s="39">
        <f t="shared" si="0"/>
        <v>0</v>
      </c>
      <c r="F63" s="39"/>
      <c r="G63" s="38">
        <f>-DATOS!F120</f>
        <v>0</v>
      </c>
      <c r="H63" s="39">
        <f t="shared" si="1"/>
        <v>0</v>
      </c>
      <c r="I63" s="43">
        <f t="shared" si="2"/>
        <v>0</v>
      </c>
      <c r="J63" s="7">
        <f t="shared" si="4"/>
        <v>0</v>
      </c>
      <c r="K63" s="68"/>
      <c r="L63" s="68"/>
      <c r="M63" s="68"/>
      <c r="N63" s="68"/>
      <c r="O63" s="68"/>
      <c r="P63" s="68"/>
      <c r="Q63" s="68"/>
      <c r="R63" s="68"/>
      <c r="S63" s="68"/>
      <c r="T63" s="68"/>
      <c r="U63" s="68"/>
      <c r="V63" s="68"/>
      <c r="W63" s="68"/>
      <c r="X63" s="68"/>
      <c r="Y63" s="68"/>
      <c r="Z63" s="68"/>
    </row>
    <row r="64" spans="1:26" ht="12.75" hidden="1" customHeight="1" outlineLevel="1" x14ac:dyDescent="0.25">
      <c r="A64" s="35" t="s">
        <v>116</v>
      </c>
      <c r="B64" s="35"/>
      <c r="C64" s="36"/>
      <c r="D64" s="38">
        <f>-+DATOS!C121</f>
        <v>0</v>
      </c>
      <c r="E64" s="39">
        <f t="shared" si="0"/>
        <v>0</v>
      </c>
      <c r="F64" s="39"/>
      <c r="G64" s="38">
        <f>-DATOS!F121</f>
        <v>0</v>
      </c>
      <c r="H64" s="39">
        <f t="shared" si="1"/>
        <v>0</v>
      </c>
      <c r="I64" s="43">
        <f t="shared" si="2"/>
        <v>0</v>
      </c>
      <c r="J64" s="7">
        <f t="shared" si="4"/>
        <v>0</v>
      </c>
      <c r="K64" s="1"/>
      <c r="L64" s="1"/>
      <c r="M64" s="1"/>
      <c r="N64" s="1"/>
      <c r="O64" s="1"/>
      <c r="P64" s="1"/>
      <c r="Q64" s="1"/>
      <c r="R64" s="1"/>
      <c r="S64" s="1"/>
      <c r="T64" s="1"/>
      <c r="U64" s="1"/>
      <c r="V64" s="1"/>
      <c r="W64" s="1"/>
      <c r="X64" s="1"/>
      <c r="Y64" s="1"/>
      <c r="Z64" s="1"/>
    </row>
    <row r="65" spans="1:26" ht="12.75" hidden="1" customHeight="1" outlineLevel="1" x14ac:dyDescent="0.25">
      <c r="A65" s="35" t="s">
        <v>139</v>
      </c>
      <c r="B65" s="35"/>
      <c r="C65" s="36"/>
      <c r="D65" s="38">
        <f>-+DATOS!C122</f>
        <v>0</v>
      </c>
      <c r="E65" s="39">
        <f t="shared" si="0"/>
        <v>0</v>
      </c>
      <c r="F65" s="39"/>
      <c r="G65" s="38">
        <f>-DATOS!F122</f>
        <v>0</v>
      </c>
      <c r="H65" s="39">
        <f t="shared" si="1"/>
        <v>0</v>
      </c>
      <c r="I65" s="43">
        <f t="shared" si="2"/>
        <v>0</v>
      </c>
      <c r="J65" s="7">
        <f t="shared" si="4"/>
        <v>0</v>
      </c>
      <c r="K65" s="1"/>
      <c r="L65" s="1"/>
      <c r="M65" s="1"/>
      <c r="N65" s="1"/>
      <c r="O65" s="1"/>
      <c r="P65" s="1"/>
      <c r="Q65" s="1"/>
      <c r="R65" s="1"/>
      <c r="S65" s="1"/>
      <c r="T65" s="1"/>
      <c r="U65" s="1"/>
      <c r="V65" s="1"/>
      <c r="W65" s="1"/>
      <c r="X65" s="1"/>
      <c r="Y65" s="1"/>
      <c r="Z65" s="1"/>
    </row>
    <row r="66" spans="1:26" ht="12.75" hidden="1" customHeight="1" outlineLevel="1" x14ac:dyDescent="0.25">
      <c r="A66" s="35" t="s">
        <v>92</v>
      </c>
      <c r="B66" s="62"/>
      <c r="C66" s="36"/>
      <c r="D66" s="38">
        <f>-+DATOS!C123</f>
        <v>0</v>
      </c>
      <c r="E66" s="39">
        <f t="shared" si="0"/>
        <v>0</v>
      </c>
      <c r="F66" s="39"/>
      <c r="G66" s="38">
        <f>-DATOS!F123</f>
        <v>0</v>
      </c>
      <c r="H66" s="39">
        <f t="shared" si="1"/>
        <v>0</v>
      </c>
      <c r="I66" s="43">
        <f t="shared" si="2"/>
        <v>0</v>
      </c>
      <c r="J66" s="7">
        <f t="shared" si="4"/>
        <v>0</v>
      </c>
      <c r="K66" s="68"/>
      <c r="L66" s="68"/>
      <c r="M66" s="68"/>
      <c r="N66" s="68"/>
      <c r="O66" s="68"/>
      <c r="P66" s="68"/>
      <c r="Q66" s="68"/>
      <c r="R66" s="68"/>
      <c r="S66" s="68"/>
      <c r="T66" s="68"/>
      <c r="U66" s="68"/>
      <c r="V66" s="68"/>
      <c r="W66" s="68"/>
      <c r="X66" s="68"/>
      <c r="Y66" s="68"/>
      <c r="Z66" s="68"/>
    </row>
    <row r="67" spans="1:26" ht="12.75" hidden="1" customHeight="1" outlineLevel="1" x14ac:dyDescent="0.25">
      <c r="A67" s="35" t="s">
        <v>124</v>
      </c>
      <c r="B67" s="62"/>
      <c r="C67" s="36"/>
      <c r="D67" s="38">
        <f>-+DATOS!C124</f>
        <v>0</v>
      </c>
      <c r="E67" s="39">
        <f t="shared" si="0"/>
        <v>0</v>
      </c>
      <c r="F67" s="39"/>
      <c r="G67" s="38">
        <f>-DATOS!F124</f>
        <v>0</v>
      </c>
      <c r="H67" s="39">
        <f t="shared" si="1"/>
        <v>0</v>
      </c>
      <c r="I67" s="43">
        <f t="shared" si="2"/>
        <v>0</v>
      </c>
      <c r="J67" s="7">
        <f t="shared" si="4"/>
        <v>0</v>
      </c>
      <c r="K67" s="68"/>
      <c r="L67" s="68"/>
      <c r="M67" s="68"/>
      <c r="N67" s="68"/>
      <c r="O67" s="68"/>
      <c r="P67" s="68"/>
      <c r="Q67" s="68"/>
      <c r="R67" s="68"/>
      <c r="S67" s="68"/>
      <c r="T67" s="68"/>
      <c r="U67" s="68"/>
      <c r="V67" s="68"/>
      <c r="W67" s="68"/>
      <c r="X67" s="68"/>
      <c r="Y67" s="68"/>
      <c r="Z67" s="68"/>
    </row>
    <row r="68" spans="1:26" ht="12.75" customHeight="1" collapsed="1" x14ac:dyDescent="0.25">
      <c r="A68" s="62" t="s">
        <v>141</v>
      </c>
      <c r="B68" s="62"/>
      <c r="C68" s="36">
        <v>15</v>
      </c>
      <c r="D68" s="63">
        <f>SUM(D69:D72)</f>
        <v>-256.447</v>
      </c>
      <c r="E68" s="39">
        <f t="shared" si="0"/>
        <v>-7.4708220042845393E-4</v>
      </c>
      <c r="F68" s="39"/>
      <c r="G68" s="63">
        <f>SUM(G69:G72)</f>
        <v>-108.19</v>
      </c>
      <c r="H68" s="64">
        <f t="shared" si="1"/>
        <v>-2.0999781822437756E-4</v>
      </c>
      <c r="I68" s="66">
        <f t="shared" si="2"/>
        <v>-148.25700000000001</v>
      </c>
      <c r="J68" s="67">
        <f t="shared" si="4"/>
        <v>1.3703392180423331</v>
      </c>
      <c r="K68" s="1"/>
      <c r="L68" s="1"/>
      <c r="M68" s="1"/>
      <c r="N68" s="1"/>
      <c r="O68" s="1"/>
      <c r="P68" s="1"/>
      <c r="Q68" s="1"/>
      <c r="R68" s="1"/>
      <c r="S68" s="1"/>
      <c r="T68" s="1"/>
      <c r="U68" s="1"/>
      <c r="V68" s="1"/>
      <c r="W68" s="1"/>
      <c r="X68" s="1"/>
      <c r="Y68" s="1"/>
      <c r="Z68" s="1"/>
    </row>
    <row r="69" spans="1:26" ht="12.75" hidden="1" customHeight="1" outlineLevel="1" x14ac:dyDescent="0.25">
      <c r="A69" s="35" t="s">
        <v>142</v>
      </c>
      <c r="B69" s="35"/>
      <c r="C69" s="36"/>
      <c r="D69" s="38">
        <f>-+DATOS!C160</f>
        <v>0</v>
      </c>
      <c r="E69" s="39">
        <f t="shared" si="0"/>
        <v>0</v>
      </c>
      <c r="F69" s="39"/>
      <c r="G69" s="38">
        <f>-DATOS!F160</f>
        <v>0</v>
      </c>
      <c r="H69" s="39">
        <f t="shared" si="1"/>
        <v>0</v>
      </c>
      <c r="I69" s="43">
        <f t="shared" si="2"/>
        <v>0</v>
      </c>
      <c r="J69" s="7">
        <f t="shared" si="4"/>
        <v>0</v>
      </c>
      <c r="K69" s="1"/>
      <c r="L69" s="1"/>
      <c r="M69" s="1"/>
      <c r="N69" s="1"/>
      <c r="O69" s="1"/>
      <c r="P69" s="1"/>
      <c r="Q69" s="1"/>
      <c r="R69" s="1"/>
      <c r="S69" s="1"/>
      <c r="T69" s="1"/>
      <c r="U69" s="1"/>
      <c r="V69" s="1"/>
      <c r="W69" s="1"/>
      <c r="X69" s="1"/>
      <c r="Y69" s="1"/>
      <c r="Z69" s="1"/>
    </row>
    <row r="70" spans="1:26" ht="12.75" hidden="1" customHeight="1" outlineLevel="1" x14ac:dyDescent="0.25">
      <c r="A70" s="35" t="s">
        <v>122</v>
      </c>
      <c r="B70" s="35"/>
      <c r="C70" s="36"/>
      <c r="D70" s="38">
        <f>-+DATOS!C161</f>
        <v>0</v>
      </c>
      <c r="E70" s="39"/>
      <c r="F70" s="39"/>
      <c r="G70" s="38">
        <f>-DATOS!F161</f>
        <v>0</v>
      </c>
      <c r="H70" s="39"/>
      <c r="I70" s="43"/>
      <c r="J70" s="7"/>
      <c r="K70" s="1"/>
      <c r="L70" s="1"/>
      <c r="M70" s="1"/>
      <c r="N70" s="1"/>
      <c r="O70" s="1"/>
      <c r="P70" s="1"/>
      <c r="Q70" s="1"/>
      <c r="R70" s="1"/>
      <c r="S70" s="1"/>
      <c r="T70" s="1"/>
      <c r="U70" s="1"/>
      <c r="V70" s="1"/>
      <c r="W70" s="1"/>
      <c r="X70" s="1"/>
      <c r="Y70" s="1"/>
      <c r="Z70" s="1"/>
    </row>
    <row r="71" spans="1:26" ht="12.75" hidden="1" customHeight="1" outlineLevel="1" x14ac:dyDescent="0.25">
      <c r="A71" s="35" t="s">
        <v>144</v>
      </c>
      <c r="B71" s="35"/>
      <c r="C71" s="36"/>
      <c r="D71" s="38">
        <f>-+DATOS!C162</f>
        <v>0</v>
      </c>
      <c r="E71" s="39">
        <f>+D71/$D$13</f>
        <v>0</v>
      </c>
      <c r="F71" s="39"/>
      <c r="G71" s="38">
        <f>-DATOS!F162</f>
        <v>-33</v>
      </c>
      <c r="H71" s="39">
        <f>+G71/$G$13</f>
        <v>-6.4053313627918102E-5</v>
      </c>
      <c r="I71" s="43">
        <f>+D71-G71</f>
        <v>33</v>
      </c>
      <c r="J71" s="7">
        <f>IFERROR(I71/G71,100%)*OR(IF(D71-G71=0,(0%),+I71/G71))</f>
        <v>-1</v>
      </c>
      <c r="K71" s="1"/>
      <c r="L71" s="1"/>
      <c r="M71" s="1"/>
      <c r="N71" s="1"/>
      <c r="O71" s="1"/>
      <c r="P71" s="1"/>
      <c r="Q71" s="1"/>
      <c r="R71" s="1"/>
      <c r="S71" s="1"/>
      <c r="T71" s="1"/>
      <c r="U71" s="1"/>
      <c r="V71" s="1"/>
      <c r="W71" s="1"/>
      <c r="X71" s="1"/>
      <c r="Y71" s="1"/>
      <c r="Z71" s="1"/>
    </row>
    <row r="72" spans="1:26" ht="12.75" hidden="1" customHeight="1" outlineLevel="1" x14ac:dyDescent="0.25">
      <c r="A72" s="35" t="s">
        <v>146</v>
      </c>
      <c r="B72" s="35"/>
      <c r="C72" s="36"/>
      <c r="D72" s="38">
        <f>-+DATOS!C163</f>
        <v>-256.447</v>
      </c>
      <c r="E72" s="39">
        <f>+D72/$D$13</f>
        <v>-7.4708220042845393E-4</v>
      </c>
      <c r="F72" s="39"/>
      <c r="G72" s="38">
        <f>-DATOS!F163</f>
        <v>-75.19</v>
      </c>
      <c r="H72" s="39">
        <f>+G72/$G$13</f>
        <v>-1.4594450459645946E-4</v>
      </c>
      <c r="I72" s="43">
        <f>+D72-G72</f>
        <v>-181.25700000000001</v>
      </c>
      <c r="J72" s="7">
        <f>IFERROR(I72/G72,100%)*OR(IF(D72-G72=0,(0%),+I72/G72))</f>
        <v>2.410653012368666</v>
      </c>
      <c r="K72" s="1"/>
      <c r="L72" s="1"/>
      <c r="M72" s="1"/>
      <c r="N72" s="1"/>
      <c r="O72" s="1"/>
      <c r="P72" s="1"/>
      <c r="Q72" s="1"/>
      <c r="R72" s="1"/>
      <c r="S72" s="1"/>
      <c r="T72" s="1"/>
      <c r="U72" s="1"/>
      <c r="V72" s="1"/>
      <c r="W72" s="1"/>
      <c r="X72" s="1"/>
      <c r="Y72" s="1"/>
      <c r="Z72" s="1"/>
    </row>
    <row r="73" spans="1:26" ht="12.75" customHeight="1" collapsed="1" x14ac:dyDescent="0.25">
      <c r="A73" s="35"/>
      <c r="B73" s="35"/>
      <c r="C73" s="36"/>
      <c r="D73" s="38"/>
      <c r="E73" s="39"/>
      <c r="F73" s="39"/>
      <c r="G73" s="38"/>
      <c r="H73" s="39"/>
      <c r="I73" s="1"/>
      <c r="J73" s="7"/>
      <c r="K73" s="1"/>
      <c r="L73" s="1"/>
      <c r="M73" s="1"/>
      <c r="N73" s="1"/>
      <c r="O73" s="1"/>
      <c r="P73" s="1"/>
      <c r="Q73" s="1"/>
      <c r="R73" s="1"/>
      <c r="S73" s="1"/>
      <c r="T73" s="1"/>
      <c r="U73" s="1"/>
      <c r="V73" s="1"/>
      <c r="W73" s="1"/>
      <c r="X73" s="1"/>
      <c r="Y73" s="1"/>
      <c r="Z73" s="1"/>
    </row>
    <row r="74" spans="1:26" ht="12.75" customHeight="1" x14ac:dyDescent="0.25">
      <c r="A74" s="45" t="s">
        <v>147</v>
      </c>
      <c r="B74" s="45"/>
      <c r="C74" s="91"/>
      <c r="D74" s="47">
        <f>+D19+D21+D30+D52+D68</f>
        <v>27002.19044999998</v>
      </c>
      <c r="E74" s="48">
        <f>+D74/$D$13</f>
        <v>7.8662865456699316E-2</v>
      </c>
      <c r="F74" s="48"/>
      <c r="G74" s="47">
        <f>+G19+G21+G30+G52+G68</f>
        <v>7540.4738699999316</v>
      </c>
      <c r="H74" s="48">
        <f>+G74/$G$13</f>
        <v>1.4636131445400817E-2</v>
      </c>
      <c r="I74" s="47">
        <f>+D74-G74</f>
        <v>19461.716580000048</v>
      </c>
      <c r="J74" s="50">
        <f>IFERROR(I74/G74,100%)*OR(IF(D74-G74=0,(0%),+I74/G74))</f>
        <v>2.5809673126020956</v>
      </c>
      <c r="K74" s="1"/>
      <c r="L74" s="1"/>
      <c r="M74" s="1"/>
      <c r="N74" s="1"/>
      <c r="O74" s="1"/>
      <c r="P74" s="1"/>
      <c r="Q74" s="1"/>
      <c r="R74" s="1"/>
      <c r="S74" s="1"/>
      <c r="T74" s="1"/>
      <c r="U74" s="1"/>
      <c r="V74" s="1"/>
      <c r="W74" s="1"/>
      <c r="X74" s="1"/>
      <c r="Y74" s="1"/>
      <c r="Z74" s="1"/>
    </row>
    <row r="75" spans="1:26" ht="12.75" customHeight="1" x14ac:dyDescent="0.25">
      <c r="A75" s="35"/>
      <c r="B75" s="35"/>
      <c r="C75" s="36"/>
      <c r="D75" s="38"/>
      <c r="E75" s="39"/>
      <c r="F75" s="39"/>
      <c r="G75" s="38"/>
      <c r="H75" s="39"/>
      <c r="I75" s="1"/>
      <c r="J75" s="7"/>
      <c r="K75" s="1"/>
      <c r="L75" s="1"/>
      <c r="M75" s="1"/>
      <c r="N75" s="1"/>
      <c r="O75" s="1"/>
      <c r="P75" s="1"/>
      <c r="Q75" s="1"/>
      <c r="R75" s="1"/>
      <c r="S75" s="1"/>
      <c r="T75" s="1"/>
      <c r="U75" s="1"/>
      <c r="V75" s="1"/>
      <c r="W75" s="1"/>
      <c r="X75" s="1"/>
      <c r="Y75" s="1"/>
      <c r="Z75" s="1"/>
    </row>
    <row r="76" spans="1:26" ht="12.75" customHeight="1" x14ac:dyDescent="0.25">
      <c r="A76" s="62" t="s">
        <v>149</v>
      </c>
      <c r="B76" s="62"/>
      <c r="C76" s="36">
        <v>16</v>
      </c>
      <c r="D76" s="63">
        <f>SUM(D77:D79)</f>
        <v>365.89534000000003</v>
      </c>
      <c r="E76" s="64">
        <f>+D76/$D$13</f>
        <v>1.0659274459584916E-3</v>
      </c>
      <c r="F76" s="64"/>
      <c r="G76" s="63">
        <f>SUM(G77:G79)</f>
        <v>324.48252000000002</v>
      </c>
      <c r="H76" s="64">
        <f t="shared" ref="H76:H87" si="5">+G76/$G$13</f>
        <v>6.2982365516173363E-4</v>
      </c>
      <c r="I76" s="66">
        <f t="shared" ref="I76:I87" si="6">+D76-G76</f>
        <v>41.412820000000011</v>
      </c>
      <c r="J76" s="67">
        <f t="shared" ref="J76:J82" si="7">IFERROR(I76/G76,100%)*OR(IF(D76-G76=0,(0%),+I76/G76))</f>
        <v>0.12762727557712511</v>
      </c>
      <c r="K76" s="1"/>
      <c r="L76" s="1"/>
      <c r="M76" s="1">
        <f>SUM(M77:M79)</f>
        <v>0</v>
      </c>
      <c r="N76" s="1"/>
      <c r="O76" s="1"/>
      <c r="P76" s="1"/>
      <c r="Q76" s="1"/>
      <c r="R76" s="1"/>
      <c r="S76" s="1"/>
      <c r="T76" s="1"/>
      <c r="U76" s="1"/>
      <c r="V76" s="1"/>
      <c r="W76" s="1"/>
      <c r="X76" s="1"/>
      <c r="Y76" s="1"/>
      <c r="Z76" s="1"/>
    </row>
    <row r="77" spans="1:26" ht="12.75" hidden="1" customHeight="1" outlineLevel="1" x14ac:dyDescent="0.25">
      <c r="A77" s="35" t="s">
        <v>151</v>
      </c>
      <c r="B77" s="35"/>
      <c r="C77" s="36"/>
      <c r="D77" s="38">
        <f>DATOS!C105</f>
        <v>304.56834000000003</v>
      </c>
      <c r="E77" s="39">
        <f>+D77/$D$13</f>
        <v>8.8726943823886229E-4</v>
      </c>
      <c r="F77" s="39"/>
      <c r="G77" s="38">
        <f>+DATOS!F105</f>
        <v>216.68452000000002</v>
      </c>
      <c r="H77" s="39">
        <f t="shared" si="5"/>
        <v>4.2058671266287557E-4</v>
      </c>
      <c r="I77" s="43">
        <f t="shared" si="6"/>
        <v>87.883820000000014</v>
      </c>
      <c r="J77" s="7">
        <f t="shared" si="7"/>
        <v>0.40558421063027489</v>
      </c>
      <c r="K77" s="1"/>
      <c r="L77" s="1"/>
      <c r="M77" s="1"/>
      <c r="N77" s="1"/>
      <c r="O77" s="1"/>
      <c r="P77" s="1"/>
      <c r="Q77" s="1"/>
      <c r="R77" s="1"/>
      <c r="S77" s="1"/>
      <c r="T77" s="1"/>
      <c r="U77" s="1"/>
      <c r="V77" s="1"/>
      <c r="W77" s="1"/>
      <c r="X77" s="1"/>
      <c r="Y77" s="1"/>
      <c r="Z77" s="1"/>
    </row>
    <row r="78" spans="1:26" ht="12.75" hidden="1" customHeight="1" outlineLevel="1" x14ac:dyDescent="0.25">
      <c r="A78" s="35" t="s">
        <v>153</v>
      </c>
      <c r="B78" s="35"/>
      <c r="C78" s="36"/>
      <c r="D78" s="38">
        <f>DATOS!C106</f>
        <v>61.326999999999998</v>
      </c>
      <c r="E78" s="39">
        <f>+D78/$D$13</f>
        <v>1.7865800771962938E-4</v>
      </c>
      <c r="F78" s="39"/>
      <c r="G78" s="38">
        <f>+DATOS!F106</f>
        <v>107.798</v>
      </c>
      <c r="H78" s="39">
        <f t="shared" si="5"/>
        <v>2.0923694249885805E-4</v>
      </c>
      <c r="I78" s="43">
        <f t="shared" si="6"/>
        <v>-46.471000000000004</v>
      </c>
      <c r="J78" s="7">
        <f t="shared" si="7"/>
        <v>-0.43109334124937387</v>
      </c>
      <c r="K78" s="1"/>
      <c r="L78" s="1"/>
      <c r="M78" s="1"/>
      <c r="N78" s="1"/>
      <c r="O78" s="1"/>
      <c r="P78" s="1"/>
      <c r="Q78" s="1"/>
      <c r="R78" s="1"/>
      <c r="S78" s="1"/>
      <c r="T78" s="1"/>
      <c r="U78" s="1"/>
      <c r="V78" s="1"/>
      <c r="W78" s="1"/>
      <c r="X78" s="1"/>
      <c r="Y78" s="1"/>
      <c r="Z78" s="1"/>
    </row>
    <row r="79" spans="1:26" ht="12.75" hidden="1" customHeight="1" outlineLevel="1" x14ac:dyDescent="0.25">
      <c r="A79" s="35" t="s">
        <v>142</v>
      </c>
      <c r="B79" s="35"/>
      <c r="C79" s="36"/>
      <c r="D79" s="38">
        <f>DATOS!C107</f>
        <v>0</v>
      </c>
      <c r="E79" s="39"/>
      <c r="F79" s="39"/>
      <c r="G79" s="38">
        <f>+DATOS!F107</f>
        <v>0</v>
      </c>
      <c r="H79" s="39">
        <f t="shared" si="5"/>
        <v>0</v>
      </c>
      <c r="I79" s="43">
        <f t="shared" si="6"/>
        <v>0</v>
      </c>
      <c r="J79" s="7">
        <f t="shared" si="7"/>
        <v>0</v>
      </c>
      <c r="K79" s="1"/>
      <c r="L79" s="1"/>
      <c r="M79" s="1"/>
      <c r="N79" s="1"/>
      <c r="O79" s="1"/>
      <c r="P79" s="1"/>
      <c r="Q79" s="1"/>
      <c r="R79" s="1"/>
      <c r="S79" s="1"/>
      <c r="T79" s="1"/>
      <c r="U79" s="1"/>
      <c r="V79" s="1"/>
      <c r="W79" s="1"/>
      <c r="X79" s="1"/>
      <c r="Y79" s="1"/>
      <c r="Z79" s="1"/>
    </row>
    <row r="80" spans="1:26" ht="12.75" customHeight="1" collapsed="1" x14ac:dyDescent="0.25">
      <c r="A80" s="62" t="s">
        <v>155</v>
      </c>
      <c r="B80" s="62"/>
      <c r="C80" s="36">
        <v>16</v>
      </c>
      <c r="D80" s="63">
        <f>SUM(D81:D87)</f>
        <v>-16969.628685</v>
      </c>
      <c r="E80" s="64">
        <f t="shared" ref="E80:E87" si="8">+D80/$D$13</f>
        <v>-4.9435975224680385E-2</v>
      </c>
      <c r="F80" s="64"/>
      <c r="G80" s="63">
        <f>SUM(G81:G87)</f>
        <v>-11858.500155000002</v>
      </c>
      <c r="H80" s="64">
        <f t="shared" si="5"/>
        <v>-2.3017461502573652E-2</v>
      </c>
      <c r="I80" s="66">
        <f t="shared" si="6"/>
        <v>-5111.1285299999981</v>
      </c>
      <c r="J80" s="67">
        <f t="shared" si="7"/>
        <v>0.43100969458139687</v>
      </c>
      <c r="K80" s="1"/>
      <c r="L80" s="1"/>
      <c r="M80" s="1"/>
      <c r="N80" s="1"/>
      <c r="O80" s="1"/>
      <c r="P80" s="1"/>
      <c r="Q80" s="1"/>
      <c r="R80" s="1"/>
      <c r="S80" s="1"/>
      <c r="T80" s="1"/>
      <c r="U80" s="1"/>
      <c r="V80" s="1"/>
      <c r="W80" s="1"/>
      <c r="X80" s="1"/>
      <c r="Y80" s="1"/>
      <c r="Z80" s="1"/>
    </row>
    <row r="81" spans="1:26" ht="12.75" hidden="1" customHeight="1" outlineLevel="1" x14ac:dyDescent="0.25">
      <c r="A81" s="35" t="s">
        <v>156</v>
      </c>
      <c r="B81" s="35"/>
      <c r="C81" s="36"/>
      <c r="D81" s="38">
        <f>-DATOS!C148</f>
        <v>-1855.4387899999999</v>
      </c>
      <c r="E81" s="39">
        <f t="shared" si="8"/>
        <v>-5.4052700713734534E-3</v>
      </c>
      <c r="F81" s="39"/>
      <c r="G81" s="38">
        <f>-DATOS!F148</f>
        <v>-242.16399999999999</v>
      </c>
      <c r="H81" s="39">
        <f t="shared" si="5"/>
        <v>-4.7004262549670179E-4</v>
      </c>
      <c r="I81" s="43">
        <f t="shared" si="6"/>
        <v>-1613.2747899999999</v>
      </c>
      <c r="J81" s="7">
        <f t="shared" si="7"/>
        <v>6.6619100692092958</v>
      </c>
      <c r="K81" s="1"/>
      <c r="L81" s="1"/>
      <c r="M81" s="1"/>
      <c r="N81" s="1"/>
      <c r="O81" s="1"/>
      <c r="P81" s="1"/>
      <c r="Q81" s="1"/>
      <c r="R81" s="1"/>
      <c r="S81" s="1"/>
      <c r="T81" s="1"/>
      <c r="U81" s="1"/>
      <c r="V81" s="1"/>
      <c r="W81" s="1"/>
      <c r="X81" s="1"/>
      <c r="Y81" s="1"/>
      <c r="Z81" s="1"/>
    </row>
    <row r="82" spans="1:26" ht="12.75" hidden="1" customHeight="1" outlineLevel="1" x14ac:dyDescent="0.25">
      <c r="A82" s="35" t="s">
        <v>84</v>
      </c>
      <c r="B82" s="35"/>
      <c r="C82" s="36"/>
      <c r="D82" s="38">
        <f>-DATOS!C149</f>
        <v>-3167.7755699999998</v>
      </c>
      <c r="E82" s="39">
        <f t="shared" si="8"/>
        <v>-9.2283736729191594E-3</v>
      </c>
      <c r="F82" s="39"/>
      <c r="G82" s="38">
        <f>-DATOS!F149</f>
        <v>-6018.0617999999995</v>
      </c>
      <c r="H82" s="39">
        <f t="shared" si="5"/>
        <v>-1.1681115148714949E-2</v>
      </c>
      <c r="I82" s="43">
        <f t="shared" si="6"/>
        <v>2850.2862299999997</v>
      </c>
      <c r="J82" s="7">
        <f t="shared" si="7"/>
        <v>-0.47362196081136954</v>
      </c>
      <c r="K82" s="1"/>
      <c r="L82" s="1"/>
      <c r="M82" s="1"/>
      <c r="N82" s="1"/>
      <c r="O82" s="1"/>
      <c r="P82" s="1"/>
      <c r="Q82" s="1"/>
      <c r="R82" s="1"/>
      <c r="S82" s="1"/>
      <c r="T82" s="1"/>
      <c r="U82" s="1"/>
      <c r="V82" s="1"/>
      <c r="W82" s="1"/>
      <c r="X82" s="1"/>
      <c r="Y82" s="1"/>
      <c r="Z82" s="1"/>
    </row>
    <row r="83" spans="1:26" ht="12.75" hidden="1" customHeight="1" outlineLevel="1" x14ac:dyDescent="0.25">
      <c r="A83" s="35" t="s">
        <v>151</v>
      </c>
      <c r="B83" s="35"/>
      <c r="C83" s="36"/>
      <c r="D83" s="38">
        <f>-DATOS!C150</f>
        <v>-10473.432000000001</v>
      </c>
      <c r="E83" s="39">
        <f t="shared" si="8"/>
        <v>-3.0511234775987956E-2</v>
      </c>
      <c r="F83" s="39"/>
      <c r="G83" s="38">
        <f>-DATOS!F150</f>
        <v>-4321</v>
      </c>
      <c r="H83" s="39">
        <f t="shared" si="5"/>
        <v>-8.3871020662495185E-3</v>
      </c>
      <c r="I83" s="43">
        <f t="shared" si="6"/>
        <v>-6152.4320000000007</v>
      </c>
      <c r="J83" s="7">
        <v>0</v>
      </c>
      <c r="K83" s="1"/>
      <c r="L83" s="1"/>
      <c r="M83" s="1"/>
      <c r="N83" s="1"/>
      <c r="O83" s="1"/>
      <c r="P83" s="1"/>
      <c r="Q83" s="1"/>
      <c r="R83" s="1"/>
      <c r="S83" s="1"/>
      <c r="T83" s="1"/>
      <c r="U83" s="1"/>
      <c r="V83" s="1"/>
      <c r="W83" s="1"/>
      <c r="X83" s="1"/>
      <c r="Y83" s="1"/>
      <c r="Z83" s="1"/>
    </row>
    <row r="84" spans="1:26" ht="12.75" hidden="1" customHeight="1" outlineLevel="1" x14ac:dyDescent="0.25">
      <c r="A84" s="35" t="s">
        <v>153</v>
      </c>
      <c r="B84" s="35"/>
      <c r="C84" s="36"/>
      <c r="D84" s="38">
        <f>-DATOS!C151</f>
        <v>0</v>
      </c>
      <c r="E84" s="39">
        <f t="shared" si="8"/>
        <v>0</v>
      </c>
      <c r="F84" s="39"/>
      <c r="G84" s="38">
        <f>-DATOS!F151</f>
        <v>0</v>
      </c>
      <c r="H84" s="39">
        <f t="shared" si="5"/>
        <v>0</v>
      </c>
      <c r="I84" s="43">
        <f t="shared" si="6"/>
        <v>0</v>
      </c>
      <c r="J84" s="7">
        <f>IFERROR(I84/G84,100%)*OR(IF(D84-G84=0,(0%),+I84/G84))</f>
        <v>0</v>
      </c>
      <c r="K84" s="1"/>
      <c r="L84" s="1"/>
      <c r="M84" s="1"/>
      <c r="N84" s="1"/>
      <c r="O84" s="1"/>
      <c r="P84" s="1"/>
      <c r="Q84" s="1"/>
      <c r="R84" s="1"/>
      <c r="S84" s="1"/>
      <c r="T84" s="1"/>
      <c r="U84" s="1"/>
      <c r="V84" s="1"/>
      <c r="W84" s="1"/>
      <c r="X84" s="1"/>
      <c r="Y84" s="1"/>
      <c r="Z84" s="1"/>
    </row>
    <row r="85" spans="1:26" ht="12.75" hidden="1" customHeight="1" outlineLevel="1" x14ac:dyDescent="0.25">
      <c r="A85" s="35" t="s">
        <v>158</v>
      </c>
      <c r="B85" s="35"/>
      <c r="C85" s="61"/>
      <c r="D85" s="38">
        <f>-DATOS!C152</f>
        <v>-543.04949999999997</v>
      </c>
      <c r="E85" s="39">
        <f t="shared" si="8"/>
        <v>-1.5820134975319331E-3</v>
      </c>
      <c r="F85" s="39"/>
      <c r="G85" s="38">
        <f>-DATOS!F152</f>
        <v>-48.841000000000001</v>
      </c>
      <c r="H85" s="39">
        <f t="shared" si="5"/>
        <v>-9.4800845178822667E-5</v>
      </c>
      <c r="I85" s="43">
        <f t="shared" si="6"/>
        <v>-494.20849999999996</v>
      </c>
      <c r="J85" s="7">
        <v>0</v>
      </c>
      <c r="K85" s="1"/>
      <c r="L85" s="1"/>
      <c r="M85" s="1"/>
      <c r="N85" s="1"/>
      <c r="O85" s="1"/>
      <c r="P85" s="1"/>
      <c r="Q85" s="1"/>
      <c r="R85" s="1"/>
      <c r="S85" s="1"/>
      <c r="T85" s="1"/>
      <c r="U85" s="1"/>
      <c r="V85" s="1"/>
      <c r="W85" s="1"/>
      <c r="X85" s="1"/>
      <c r="Y85" s="1"/>
      <c r="Z85" s="1"/>
    </row>
    <row r="86" spans="1:26" ht="12.75" hidden="1" customHeight="1" outlineLevel="1" x14ac:dyDescent="0.25">
      <c r="A86" s="35" t="s">
        <v>160</v>
      </c>
      <c r="B86" s="35"/>
      <c r="C86" s="61"/>
      <c r="D86" s="38">
        <f>-DATOS!C153</f>
        <v>-929.93282499999998</v>
      </c>
      <c r="E86" s="39">
        <f t="shared" si="8"/>
        <v>-2.7090832068678845E-3</v>
      </c>
      <c r="F86" s="39"/>
      <c r="G86" s="38">
        <f>-DATOS!F153</f>
        <v>-1228.4323549999999</v>
      </c>
      <c r="H86" s="39">
        <f t="shared" si="5"/>
        <v>-2.384398875924152E-3</v>
      </c>
      <c r="I86" s="43">
        <f t="shared" si="6"/>
        <v>298.49952999999994</v>
      </c>
      <c r="J86" s="7">
        <f>IFERROR(I86/G86,100%)*OR(IF(D86-G86=0,(0%),+I86/G86))</f>
        <v>-0.24299224030125774</v>
      </c>
      <c r="K86" s="1"/>
      <c r="L86" s="1"/>
      <c r="M86" s="1"/>
      <c r="N86" s="1"/>
      <c r="O86" s="1"/>
      <c r="P86" s="1"/>
      <c r="Q86" s="1"/>
      <c r="R86" s="1"/>
      <c r="S86" s="1"/>
      <c r="T86" s="1"/>
      <c r="U86" s="1"/>
      <c r="V86" s="1"/>
      <c r="W86" s="1"/>
      <c r="X86" s="1"/>
      <c r="Y86" s="1"/>
      <c r="Z86" s="1"/>
    </row>
    <row r="87" spans="1:26" ht="12.75" hidden="1" customHeight="1" outlineLevel="1" x14ac:dyDescent="0.25">
      <c r="A87" s="35" t="s">
        <v>161</v>
      </c>
      <c r="B87" s="35"/>
      <c r="C87" s="61"/>
      <c r="D87" s="38">
        <f>-DATOS!C154</f>
        <v>0</v>
      </c>
      <c r="E87" s="39">
        <f t="shared" si="8"/>
        <v>0</v>
      </c>
      <c r="F87" s="39"/>
      <c r="G87" s="38">
        <f>-DATOS!F154</f>
        <v>-1.0000000002037268E-3</v>
      </c>
      <c r="H87" s="39">
        <f t="shared" si="5"/>
        <v>-1.9410095042717418E-9</v>
      </c>
      <c r="I87" s="43">
        <f t="shared" si="6"/>
        <v>1.0000000002037268E-3</v>
      </c>
      <c r="J87" s="7">
        <f>IFERROR(I87/G87,100%)*OR(IF(D87-G87=0,(0%),+I87/G87))</f>
        <v>-1</v>
      </c>
      <c r="K87" s="1"/>
      <c r="L87" s="1"/>
      <c r="M87" s="1"/>
      <c r="N87" s="1"/>
      <c r="O87" s="1"/>
      <c r="P87" s="1"/>
      <c r="Q87" s="1"/>
      <c r="R87" s="1"/>
      <c r="S87" s="1"/>
      <c r="T87" s="1"/>
      <c r="U87" s="1"/>
      <c r="V87" s="1"/>
      <c r="W87" s="1"/>
      <c r="X87" s="1"/>
      <c r="Y87" s="1"/>
      <c r="Z87" s="1"/>
    </row>
    <row r="88" spans="1:26" ht="12.75" customHeight="1" collapsed="1" x14ac:dyDescent="0.25">
      <c r="A88" s="35"/>
      <c r="B88" s="35"/>
      <c r="C88" s="61"/>
      <c r="D88" s="38"/>
      <c r="E88" s="39"/>
      <c r="F88" s="39"/>
      <c r="G88" s="38"/>
      <c r="H88" s="39"/>
      <c r="I88" s="1"/>
      <c r="J88" s="7"/>
      <c r="K88" s="1"/>
      <c r="L88" s="1"/>
      <c r="M88" s="1"/>
      <c r="N88" s="1"/>
      <c r="O88" s="1"/>
      <c r="P88" s="1"/>
      <c r="Q88" s="1"/>
      <c r="R88" s="1"/>
      <c r="S88" s="1"/>
      <c r="T88" s="1"/>
      <c r="U88" s="1"/>
      <c r="V88" s="1"/>
      <c r="W88" s="1"/>
      <c r="X88" s="1"/>
      <c r="Y88" s="1"/>
      <c r="Z88" s="1"/>
    </row>
    <row r="89" spans="1:26" ht="12.75" customHeight="1" x14ac:dyDescent="0.25">
      <c r="A89" s="45" t="s">
        <v>163</v>
      </c>
      <c r="B89" s="45"/>
      <c r="C89" s="91"/>
      <c r="D89" s="47">
        <f>+D74+D76+D80</f>
        <v>10398.457104999979</v>
      </c>
      <c r="E89" s="48">
        <f>+D89/$D$13</f>
        <v>3.029281767797742E-2</v>
      </c>
      <c r="F89" s="48"/>
      <c r="G89" s="47">
        <f>+G74+G76+G80</f>
        <v>-3993.5437650000695</v>
      </c>
      <c r="H89" s="48">
        <f>+G89/$G$13</f>
        <v>-7.7515064020111006E-3</v>
      </c>
      <c r="I89" s="47">
        <f>+D89-G89</f>
        <v>14392.000870000049</v>
      </c>
      <c r="J89" s="50">
        <f>IFERROR(I89/G89,100%)*OR(IF(D89-G89=0,(0%),+I89/G89))</f>
        <v>-3.603816989845809</v>
      </c>
      <c r="K89" s="1"/>
      <c r="L89" s="1"/>
      <c r="M89" s="1"/>
      <c r="N89" s="1"/>
      <c r="O89" s="1"/>
      <c r="P89" s="1"/>
      <c r="Q89" s="1"/>
      <c r="R89" s="1"/>
      <c r="S89" s="1"/>
      <c r="T89" s="1"/>
      <c r="U89" s="1"/>
      <c r="V89" s="1"/>
      <c r="W89" s="1"/>
      <c r="X89" s="1"/>
      <c r="Y89" s="1"/>
      <c r="Z89" s="1"/>
    </row>
    <row r="90" spans="1:26" ht="12.75" customHeight="1" x14ac:dyDescent="0.25">
      <c r="A90" s="62"/>
      <c r="B90" s="62"/>
      <c r="C90" s="94"/>
      <c r="D90" s="63"/>
      <c r="E90" s="64"/>
      <c r="F90" s="64"/>
      <c r="G90" s="63"/>
      <c r="H90" s="64"/>
      <c r="I90" s="1"/>
      <c r="J90" s="7"/>
      <c r="K90" s="1"/>
      <c r="L90" s="1"/>
      <c r="M90" s="1"/>
      <c r="N90" s="1"/>
      <c r="O90" s="1"/>
      <c r="P90" s="1"/>
      <c r="Q90" s="1"/>
      <c r="R90" s="1"/>
      <c r="S90" s="1"/>
      <c r="T90" s="1"/>
      <c r="U90" s="1"/>
      <c r="V90" s="1"/>
      <c r="W90" s="1"/>
      <c r="X90" s="1"/>
      <c r="Y90" s="1"/>
      <c r="Z90" s="1"/>
    </row>
    <row r="91" spans="1:26" ht="12.75" customHeight="1" x14ac:dyDescent="0.25">
      <c r="A91" s="62" t="s">
        <v>165</v>
      </c>
      <c r="B91" s="62"/>
      <c r="C91" s="94"/>
      <c r="D91" s="63">
        <f>+D93+D92+D94</f>
        <v>-3799</v>
      </c>
      <c r="E91" s="64">
        <f>+D91/$D$13</f>
        <v>-1.1067258651603242E-2</v>
      </c>
      <c r="F91" s="64"/>
      <c r="G91" s="63">
        <f>+G93+G92+G94</f>
        <v>-362.19600000000003</v>
      </c>
      <c r="H91" s="64">
        <f>+G91/$G$13</f>
        <v>-7.0302587826598264E-4</v>
      </c>
      <c r="I91" s="66">
        <f>+D91-G91</f>
        <v>-3436.8040000000001</v>
      </c>
      <c r="J91" s="67">
        <f>IFERROR(I91/G91,100%)*OR(IF(D91-G91=0,(0%),+I91/G91))</f>
        <v>9.4887961214370122</v>
      </c>
      <c r="K91" s="68"/>
      <c r="L91" s="68"/>
      <c r="M91" s="68"/>
      <c r="N91" s="68"/>
      <c r="O91" s="68"/>
      <c r="P91" s="68"/>
      <c r="Q91" s="68"/>
      <c r="R91" s="68"/>
      <c r="S91" s="68"/>
      <c r="T91" s="68"/>
      <c r="U91" s="68"/>
      <c r="V91" s="68"/>
      <c r="W91" s="68"/>
      <c r="X91" s="68"/>
      <c r="Y91" s="68"/>
      <c r="Z91" s="68"/>
    </row>
    <row r="92" spans="1:26" ht="12.75" hidden="1" customHeight="1" outlineLevel="1" x14ac:dyDescent="0.25">
      <c r="A92" s="35" t="s">
        <v>166</v>
      </c>
      <c r="B92" s="35" t="s">
        <v>167</v>
      </c>
      <c r="C92" s="95"/>
      <c r="D92" s="38">
        <f>-+DATOS!C156</f>
        <v>0</v>
      </c>
      <c r="E92" s="39">
        <f>+D92/$D$13</f>
        <v>0</v>
      </c>
      <c r="F92" s="39"/>
      <c r="G92" s="38">
        <f>-DATOS!F156</f>
        <v>0</v>
      </c>
      <c r="H92" s="39">
        <f>+G92/$G$13</f>
        <v>0</v>
      </c>
      <c r="I92" s="43">
        <f>+D92-G92</f>
        <v>0</v>
      </c>
      <c r="J92" s="7">
        <f>IFERROR(I92/G92,100%)*OR(IF(D92-G92=0,(0%),+I92/G92))</f>
        <v>0</v>
      </c>
      <c r="K92" s="1"/>
      <c r="L92" s="1"/>
      <c r="M92" s="1"/>
      <c r="N92" s="1"/>
      <c r="O92" s="1"/>
      <c r="P92" s="1"/>
      <c r="Q92" s="1"/>
      <c r="R92" s="1"/>
      <c r="S92" s="1"/>
      <c r="T92" s="1"/>
      <c r="U92" s="1"/>
      <c r="V92" s="1"/>
      <c r="W92" s="1"/>
      <c r="X92" s="1"/>
      <c r="Y92" s="1"/>
      <c r="Z92" s="1"/>
    </row>
    <row r="93" spans="1:26" ht="12.75" hidden="1" customHeight="1" outlineLevel="1" x14ac:dyDescent="0.25">
      <c r="A93" s="35" t="s">
        <v>169</v>
      </c>
      <c r="B93" s="35"/>
      <c r="C93" s="95"/>
      <c r="D93" s="38">
        <f>-+DATOS!C157</f>
        <v>-3799</v>
      </c>
      <c r="E93" s="39">
        <f>+D93/$D$13</f>
        <v>-1.1067258651603242E-2</v>
      </c>
      <c r="F93" s="39"/>
      <c r="G93" s="38">
        <f>-DATOS!F157</f>
        <v>-362.19600000000003</v>
      </c>
      <c r="H93" s="39">
        <f>+G93/$G$13</f>
        <v>-7.0302587826598264E-4</v>
      </c>
      <c r="I93" s="43">
        <f>+D93-G93</f>
        <v>-3436.8040000000001</v>
      </c>
      <c r="J93" s="7">
        <f>IFERROR(I93/G93,100%)*OR(IF(D93-G93=0,(0%),+I93/G93))</f>
        <v>9.4887961214370122</v>
      </c>
      <c r="K93" s="1"/>
      <c r="L93" s="1"/>
      <c r="M93" s="1"/>
      <c r="N93" s="1"/>
      <c r="O93" s="1"/>
      <c r="P93" s="1"/>
      <c r="Q93" s="1"/>
      <c r="R93" s="1"/>
      <c r="S93" s="1"/>
      <c r="T93" s="1"/>
      <c r="U93" s="1"/>
      <c r="V93" s="1"/>
      <c r="W93" s="1"/>
      <c r="X93" s="1"/>
      <c r="Y93" s="1"/>
      <c r="Z93" s="1"/>
    </row>
    <row r="94" spans="1:26" ht="12.75" hidden="1" customHeight="1" outlineLevel="1" x14ac:dyDescent="0.25">
      <c r="A94" s="1" t="s">
        <v>170</v>
      </c>
      <c r="B94" s="1"/>
      <c r="C94" s="3"/>
      <c r="D94" s="38">
        <f>-+DATOS!C158</f>
        <v>0</v>
      </c>
      <c r="E94" s="39">
        <f>+D94/$D$13</f>
        <v>0</v>
      </c>
      <c r="F94" s="5"/>
      <c r="G94" s="38">
        <f>-DATOS!F158</f>
        <v>0</v>
      </c>
      <c r="H94" s="39">
        <f>+G94/$G$13</f>
        <v>0</v>
      </c>
      <c r="I94" s="43">
        <f>+D94-G94</f>
        <v>0</v>
      </c>
      <c r="J94" s="7">
        <f>IFERROR(I94/G94,100%)*OR(IF(D94-G94=0,(0%),+I94/G94))</f>
        <v>0</v>
      </c>
      <c r="K94" s="1"/>
      <c r="L94" s="1"/>
      <c r="M94" s="1"/>
      <c r="N94" s="1"/>
      <c r="O94" s="1"/>
      <c r="P94" s="1"/>
      <c r="Q94" s="1"/>
      <c r="R94" s="1"/>
      <c r="S94" s="1"/>
      <c r="T94" s="1"/>
      <c r="U94" s="1"/>
      <c r="V94" s="1"/>
      <c r="W94" s="1"/>
      <c r="X94" s="1"/>
      <c r="Y94" s="1"/>
      <c r="Z94" s="1"/>
    </row>
    <row r="95" spans="1:26" ht="12.75" customHeight="1" collapsed="1" x14ac:dyDescent="0.25">
      <c r="A95" s="35"/>
      <c r="B95" s="35"/>
      <c r="C95" s="95"/>
      <c r="D95" s="38"/>
      <c r="E95" s="39"/>
      <c r="F95" s="39"/>
      <c r="G95" s="38"/>
      <c r="H95" s="39"/>
      <c r="I95" s="1"/>
      <c r="J95" s="7"/>
      <c r="K95" s="1"/>
      <c r="L95" s="1"/>
      <c r="M95" s="1"/>
      <c r="N95" s="1"/>
      <c r="O95" s="1"/>
      <c r="P95" s="1"/>
      <c r="Q95" s="1"/>
      <c r="R95" s="1"/>
      <c r="S95" s="1"/>
      <c r="T95" s="1"/>
      <c r="U95" s="1"/>
      <c r="V95" s="1"/>
      <c r="W95" s="1"/>
      <c r="X95" s="1"/>
      <c r="Y95" s="1"/>
      <c r="Z95" s="1"/>
    </row>
    <row r="96" spans="1:26" ht="12.75" customHeight="1" x14ac:dyDescent="0.25">
      <c r="A96" s="45" t="s">
        <v>171</v>
      </c>
      <c r="B96" s="45"/>
      <c r="C96" s="91"/>
      <c r="D96" s="47">
        <f>+D89+D91</f>
        <v>6599.4571049999795</v>
      </c>
      <c r="E96" s="48">
        <f>+D96/$D$13</f>
        <v>1.9225559026374177E-2</v>
      </c>
      <c r="F96" s="48"/>
      <c r="G96" s="47">
        <f>+G89+G91</f>
        <v>-4355.7397650000694</v>
      </c>
      <c r="H96" s="48">
        <f>+G96/$G$13</f>
        <v>-8.4545322802770835E-3</v>
      </c>
      <c r="I96" s="47">
        <f>+D96-G96</f>
        <v>10955.196870000049</v>
      </c>
      <c r="J96" s="50">
        <f>IFERROR(I96/G96,100%)*OR(IF(D96-G96=0,(0%),+I96/G96))</f>
        <v>-2.5151173993517664</v>
      </c>
      <c r="K96" s="1"/>
      <c r="L96" s="1"/>
      <c r="M96" s="1"/>
      <c r="N96" s="1"/>
      <c r="O96" s="1"/>
      <c r="P96" s="1"/>
      <c r="Q96" s="1"/>
      <c r="R96" s="1"/>
      <c r="S96" s="1"/>
      <c r="T96" s="1"/>
      <c r="U96" s="1"/>
      <c r="V96" s="1"/>
      <c r="W96" s="1"/>
      <c r="X96" s="1"/>
      <c r="Y96" s="1"/>
      <c r="Z96" s="1"/>
    </row>
    <row r="97" spans="1:26" ht="12.75" customHeight="1" x14ac:dyDescent="0.25">
      <c r="A97" s="62"/>
      <c r="B97" s="62"/>
      <c r="C97" s="94"/>
      <c r="D97" s="94"/>
      <c r="E97" s="96"/>
      <c r="F97" s="96"/>
      <c r="G97" s="94"/>
      <c r="H97" s="96"/>
      <c r="I97" s="1"/>
      <c r="J97" s="7"/>
      <c r="K97" s="1"/>
      <c r="L97" s="1"/>
      <c r="M97" s="1"/>
      <c r="N97" s="1"/>
      <c r="O97" s="1"/>
      <c r="P97" s="1"/>
      <c r="Q97" s="1"/>
      <c r="R97" s="1"/>
      <c r="S97" s="1"/>
      <c r="T97" s="1"/>
      <c r="U97" s="1"/>
      <c r="V97" s="1"/>
      <c r="W97" s="1"/>
      <c r="X97" s="1"/>
      <c r="Y97" s="1"/>
      <c r="Z97" s="1"/>
    </row>
    <row r="98" spans="1:26" ht="12.75" customHeight="1" x14ac:dyDescent="0.25">
      <c r="A98" s="45" t="s">
        <v>173</v>
      </c>
      <c r="B98" s="45"/>
      <c r="C98" s="91"/>
      <c r="D98" s="47">
        <v>0</v>
      </c>
      <c r="E98" s="48">
        <v>0</v>
      </c>
      <c r="F98" s="48"/>
      <c r="G98" s="47">
        <v>0</v>
      </c>
      <c r="H98" s="48">
        <v>0</v>
      </c>
      <c r="I98" s="47">
        <v>0</v>
      </c>
      <c r="J98" s="50">
        <v>0</v>
      </c>
      <c r="K98" s="1"/>
      <c r="L98" s="1"/>
      <c r="M98" s="1"/>
      <c r="N98" s="1"/>
      <c r="O98" s="1"/>
      <c r="P98" s="1"/>
      <c r="Q98" s="1"/>
      <c r="R98" s="1"/>
      <c r="S98" s="1"/>
      <c r="T98" s="1"/>
      <c r="U98" s="1"/>
      <c r="V98" s="1"/>
      <c r="W98" s="1"/>
      <c r="X98" s="1"/>
      <c r="Y98" s="1"/>
      <c r="Z98" s="1"/>
    </row>
    <row r="99" spans="1:26" ht="15" hidden="1" customHeight="1" outlineLevel="1" x14ac:dyDescent="0.25">
      <c r="A99" s="62"/>
      <c r="B99" s="62"/>
      <c r="C99" s="94"/>
      <c r="D99" s="94"/>
      <c r="E99" s="96"/>
      <c r="F99" s="96"/>
      <c r="G99" s="94"/>
      <c r="H99" s="96"/>
      <c r="I99" s="1"/>
      <c r="J99" s="7"/>
      <c r="K99" s="1"/>
      <c r="L99" s="1"/>
      <c r="M99" s="1"/>
      <c r="N99" s="1"/>
      <c r="O99" s="1"/>
      <c r="P99" s="1"/>
      <c r="Q99" s="1"/>
      <c r="R99" s="1"/>
      <c r="S99" s="1"/>
      <c r="T99" s="1"/>
      <c r="U99" s="1"/>
      <c r="V99" s="1"/>
      <c r="W99" s="1"/>
      <c r="X99" s="1"/>
      <c r="Y99" s="1"/>
      <c r="Z99" s="1"/>
    </row>
    <row r="100" spans="1:26" ht="17.25" hidden="1" customHeight="1" outlineLevel="1" x14ac:dyDescent="0.25">
      <c r="A100" s="406" t="s">
        <v>174</v>
      </c>
      <c r="B100" s="62"/>
      <c r="C100" s="94"/>
      <c r="D100" s="94"/>
      <c r="E100" s="96"/>
      <c r="F100" s="96"/>
      <c r="G100" s="94"/>
      <c r="H100" s="96"/>
      <c r="I100" s="1"/>
      <c r="J100" s="7"/>
      <c r="K100" s="1"/>
      <c r="L100" s="1"/>
      <c r="M100" s="1"/>
      <c r="N100" s="1"/>
      <c r="O100" s="1"/>
      <c r="P100" s="1"/>
      <c r="Q100" s="1"/>
      <c r="R100" s="1"/>
      <c r="S100" s="1"/>
      <c r="T100" s="1"/>
      <c r="U100" s="1"/>
      <c r="V100" s="1"/>
      <c r="W100" s="1"/>
      <c r="X100" s="1"/>
      <c r="Y100" s="1"/>
      <c r="Z100" s="1"/>
    </row>
    <row r="101" spans="1:26" ht="21" hidden="1" customHeight="1" outlineLevel="1" x14ac:dyDescent="0.25">
      <c r="A101" s="400"/>
      <c r="B101" s="62"/>
      <c r="C101" s="94"/>
      <c r="D101" s="97">
        <v>0</v>
      </c>
      <c r="E101" s="99">
        <f>+D101/$D$13</f>
        <v>0</v>
      </c>
      <c r="F101" s="99"/>
      <c r="G101" s="97">
        <v>0</v>
      </c>
      <c r="H101" s="99">
        <f>+G101/$G$13</f>
        <v>0</v>
      </c>
      <c r="I101" s="43">
        <f>+D101-G101</f>
        <v>0</v>
      </c>
      <c r="J101" s="7">
        <f>IFERROR(I101/G101,100%)*OR(IF(D101-G101=0,(0%),+I101/G101))</f>
        <v>0</v>
      </c>
      <c r="K101" s="1"/>
      <c r="L101" s="1"/>
      <c r="M101" s="1"/>
      <c r="N101" s="1"/>
      <c r="O101" s="1"/>
      <c r="P101" s="1"/>
      <c r="Q101" s="1"/>
      <c r="R101" s="1"/>
      <c r="S101" s="1"/>
      <c r="T101" s="1"/>
      <c r="U101" s="1"/>
      <c r="V101" s="1"/>
      <c r="W101" s="1"/>
      <c r="X101" s="1"/>
      <c r="Y101" s="1"/>
      <c r="Z101" s="1"/>
    </row>
    <row r="102" spans="1:26" ht="12.75" hidden="1" customHeight="1" outlineLevel="1" x14ac:dyDescent="0.25">
      <c r="A102" s="62"/>
      <c r="B102" s="62"/>
      <c r="C102" s="94"/>
      <c r="D102" s="97"/>
      <c r="E102" s="99"/>
      <c r="F102" s="99"/>
      <c r="G102" s="97"/>
      <c r="H102" s="99"/>
      <c r="I102" s="1"/>
      <c r="J102" s="7"/>
      <c r="K102" s="1"/>
      <c r="L102" s="1"/>
      <c r="M102" s="1"/>
      <c r="N102" s="1"/>
      <c r="O102" s="1"/>
      <c r="P102" s="1"/>
      <c r="Q102" s="1"/>
      <c r="R102" s="1"/>
      <c r="S102" s="1"/>
      <c r="T102" s="1"/>
      <c r="U102" s="1"/>
      <c r="V102" s="1"/>
      <c r="W102" s="1"/>
      <c r="X102" s="1"/>
      <c r="Y102" s="1"/>
      <c r="Z102" s="1"/>
    </row>
    <row r="103" spans="1:26" ht="12.75" hidden="1" customHeight="1" outlineLevel="1" x14ac:dyDescent="0.25">
      <c r="A103" s="406" t="s">
        <v>177</v>
      </c>
      <c r="B103" s="62"/>
      <c r="C103" s="94"/>
      <c r="D103" s="97">
        <v>0</v>
      </c>
      <c r="E103" s="99">
        <f>+D103/$D$13</f>
        <v>0</v>
      </c>
      <c r="F103" s="99"/>
      <c r="G103" s="97">
        <v>0</v>
      </c>
      <c r="H103" s="99">
        <f>+G103/$G$13</f>
        <v>0</v>
      </c>
      <c r="I103" s="43">
        <f>+D103-G103</f>
        <v>0</v>
      </c>
      <c r="J103" s="7">
        <f>IFERROR(I103/G103,100%)*OR(IF(D103-G103=0,(0%),+I103/G103))</f>
        <v>0</v>
      </c>
      <c r="K103" s="1"/>
      <c r="L103" s="1"/>
      <c r="M103" s="1"/>
      <c r="N103" s="1"/>
      <c r="O103" s="1"/>
      <c r="P103" s="1"/>
      <c r="Q103" s="1"/>
      <c r="R103" s="1"/>
      <c r="S103" s="1"/>
      <c r="T103" s="1"/>
      <c r="U103" s="1"/>
      <c r="V103" s="1"/>
      <c r="W103" s="1"/>
      <c r="X103" s="1"/>
      <c r="Y103" s="1"/>
      <c r="Z103" s="1"/>
    </row>
    <row r="104" spans="1:26" ht="12.75" hidden="1" customHeight="1" outlineLevel="1" x14ac:dyDescent="0.25">
      <c r="A104" s="400"/>
      <c r="B104" s="62"/>
      <c r="C104" s="94"/>
      <c r="D104" s="97"/>
      <c r="E104" s="99"/>
      <c r="F104" s="99"/>
      <c r="G104" s="97"/>
      <c r="H104" s="99"/>
      <c r="I104" s="1"/>
      <c r="J104" s="7"/>
      <c r="K104" s="1"/>
      <c r="L104" s="1"/>
      <c r="M104" s="1"/>
      <c r="N104" s="1"/>
      <c r="O104" s="1"/>
      <c r="P104" s="1"/>
      <c r="Q104" s="1"/>
      <c r="R104" s="1"/>
      <c r="S104" s="1"/>
      <c r="T104" s="1"/>
      <c r="U104" s="1"/>
      <c r="V104" s="1"/>
      <c r="W104" s="1"/>
      <c r="X104" s="1"/>
      <c r="Y104" s="1"/>
      <c r="Z104" s="1"/>
    </row>
    <row r="105" spans="1:26" ht="12.75" hidden="1" customHeight="1" outlineLevel="1" x14ac:dyDescent="0.25">
      <c r="A105" s="62"/>
      <c r="B105" s="62"/>
      <c r="C105" s="94"/>
      <c r="D105" s="97"/>
      <c r="E105" s="99"/>
      <c r="F105" s="99"/>
      <c r="G105" s="97"/>
      <c r="H105" s="99"/>
      <c r="I105" s="1"/>
      <c r="J105" s="7"/>
      <c r="K105" s="1"/>
      <c r="L105" s="1"/>
      <c r="M105" s="1"/>
      <c r="N105" s="1"/>
      <c r="O105" s="1"/>
      <c r="P105" s="1"/>
      <c r="Q105" s="1"/>
      <c r="R105" s="1"/>
      <c r="S105" s="1"/>
      <c r="T105" s="1"/>
      <c r="U105" s="1"/>
      <c r="V105" s="1"/>
      <c r="W105" s="1"/>
      <c r="X105" s="1"/>
      <c r="Y105" s="1"/>
      <c r="Z105" s="1"/>
    </row>
    <row r="106" spans="1:26" ht="21" hidden="1" customHeight="1" outlineLevel="1" x14ac:dyDescent="0.25">
      <c r="A106" s="406" t="s">
        <v>178</v>
      </c>
      <c r="B106" s="62"/>
      <c r="C106" s="94"/>
      <c r="D106" s="97">
        <v>0</v>
      </c>
      <c r="E106" s="99">
        <f>+D106/$D$13</f>
        <v>0</v>
      </c>
      <c r="F106" s="99"/>
      <c r="G106" s="97">
        <v>0</v>
      </c>
      <c r="H106" s="99">
        <f>+G106/$G$13</f>
        <v>0</v>
      </c>
      <c r="I106" s="43">
        <f>+D106-G106</f>
        <v>0</v>
      </c>
      <c r="J106" s="7">
        <f>IFERROR(I106/G106,100%)*OR(IF(D106-G106=0,(0%),+I106/G106))</f>
        <v>0</v>
      </c>
      <c r="K106" s="1"/>
      <c r="L106" s="1"/>
      <c r="M106" s="1"/>
      <c r="N106" s="1"/>
      <c r="O106" s="1"/>
      <c r="P106" s="1"/>
      <c r="Q106" s="1"/>
      <c r="R106" s="1"/>
      <c r="S106" s="1"/>
      <c r="T106" s="1"/>
      <c r="U106" s="1"/>
      <c r="V106" s="1"/>
      <c r="W106" s="1"/>
      <c r="X106" s="1"/>
      <c r="Y106" s="1"/>
      <c r="Z106" s="1"/>
    </row>
    <row r="107" spans="1:26" ht="18" hidden="1" customHeight="1" outlineLevel="1" x14ac:dyDescent="0.25">
      <c r="A107" s="400"/>
      <c r="B107" s="62"/>
      <c r="C107" s="94"/>
      <c r="D107" s="97"/>
      <c r="E107" s="99"/>
      <c r="F107" s="99"/>
      <c r="G107" s="97"/>
      <c r="H107" s="99"/>
      <c r="I107" s="1"/>
      <c r="J107" s="7"/>
      <c r="K107" s="1"/>
      <c r="L107" s="1"/>
      <c r="M107" s="1"/>
      <c r="N107" s="1"/>
      <c r="O107" s="1"/>
      <c r="P107" s="1"/>
      <c r="Q107" s="1"/>
      <c r="R107" s="1"/>
      <c r="S107" s="1"/>
      <c r="T107" s="1"/>
      <c r="U107" s="1"/>
      <c r="V107" s="1"/>
      <c r="W107" s="1"/>
      <c r="X107" s="1"/>
      <c r="Y107" s="1"/>
      <c r="Z107" s="1"/>
    </row>
    <row r="108" spans="1:26" ht="21" customHeight="1" collapsed="1" x14ac:dyDescent="0.25">
      <c r="A108" s="62"/>
      <c r="B108" s="62"/>
      <c r="C108" s="94"/>
      <c r="D108" s="94"/>
      <c r="E108" s="96"/>
      <c r="F108" s="96"/>
      <c r="G108" s="94"/>
      <c r="H108" s="96"/>
      <c r="I108" s="1"/>
      <c r="J108" s="7"/>
      <c r="K108" s="1"/>
      <c r="L108" s="1"/>
      <c r="M108" s="1"/>
      <c r="N108" s="1"/>
      <c r="O108" s="1"/>
      <c r="P108" s="1"/>
      <c r="Q108" s="1"/>
      <c r="R108" s="1"/>
      <c r="S108" s="1"/>
      <c r="T108" s="1"/>
      <c r="U108" s="1"/>
      <c r="V108" s="1"/>
      <c r="W108" s="1"/>
      <c r="X108" s="1"/>
      <c r="Y108" s="1"/>
      <c r="Z108" s="1"/>
    </row>
    <row r="109" spans="1:26" ht="12.75" customHeight="1" x14ac:dyDescent="0.25">
      <c r="A109" s="45" t="s">
        <v>180</v>
      </c>
      <c r="B109" s="45"/>
      <c r="C109" s="91"/>
      <c r="D109" s="47">
        <f>+D96+D98</f>
        <v>6599.4571049999795</v>
      </c>
      <c r="E109" s="48">
        <f>+D109/$D$13</f>
        <v>1.9225559026374177E-2</v>
      </c>
      <c r="F109" s="48"/>
      <c r="G109" s="47">
        <f>+G96+G98</f>
        <v>-4355.7397650000694</v>
      </c>
      <c r="H109" s="48">
        <f>+G109/G13</f>
        <v>-8.4545322802770835E-3</v>
      </c>
      <c r="I109" s="47">
        <v>0</v>
      </c>
      <c r="J109" s="50">
        <f>IFERROR(I109/G109,100%)*OR(IF(D109-G109=0,(0%),+I109/G109))</f>
        <v>0</v>
      </c>
      <c r="K109" s="1"/>
      <c r="L109" s="1"/>
      <c r="M109" s="1"/>
      <c r="N109" s="1"/>
      <c r="O109" s="1"/>
      <c r="P109" s="1"/>
      <c r="Q109" s="1"/>
      <c r="R109" s="1"/>
      <c r="S109" s="1"/>
      <c r="T109" s="1"/>
      <c r="U109" s="1"/>
      <c r="V109" s="1"/>
      <c r="W109" s="1"/>
      <c r="X109" s="1"/>
      <c r="Y109" s="1"/>
      <c r="Z109" s="1"/>
    </row>
    <row r="110" spans="1:26" ht="16.5" customHeight="1" x14ac:dyDescent="0.25">
      <c r="A110" s="62"/>
      <c r="B110" s="62"/>
      <c r="C110" s="94"/>
      <c r="D110" s="3"/>
      <c r="E110" s="96"/>
      <c r="F110" s="96"/>
      <c r="G110" s="94"/>
      <c r="H110" s="96"/>
      <c r="I110" s="1"/>
      <c r="J110" s="7"/>
      <c r="K110" s="1"/>
      <c r="L110" s="1"/>
      <c r="M110" s="1"/>
      <c r="N110" s="1"/>
      <c r="O110" s="1"/>
      <c r="P110" s="1"/>
      <c r="Q110" s="1"/>
      <c r="R110" s="1"/>
      <c r="S110" s="1"/>
      <c r="T110" s="1"/>
      <c r="U110" s="1"/>
      <c r="V110" s="1"/>
      <c r="W110" s="1"/>
      <c r="X110" s="1"/>
      <c r="Y110" s="1"/>
      <c r="Z110" s="1"/>
    </row>
    <row r="111" spans="1:26" ht="16.5" customHeight="1" x14ac:dyDescent="0.25">
      <c r="A111" s="62"/>
      <c r="B111" s="62"/>
      <c r="C111" s="94"/>
      <c r="D111" s="3"/>
      <c r="E111" s="96"/>
      <c r="F111" s="96"/>
      <c r="G111" s="94"/>
      <c r="H111" s="96"/>
      <c r="I111" s="1"/>
      <c r="J111" s="7"/>
      <c r="K111" s="1"/>
      <c r="L111" s="1"/>
      <c r="M111" s="1"/>
      <c r="N111" s="1"/>
      <c r="O111" s="1"/>
      <c r="P111" s="1"/>
      <c r="Q111" s="1"/>
      <c r="R111" s="1"/>
      <c r="S111" s="1"/>
      <c r="T111" s="1"/>
      <c r="U111" s="1"/>
      <c r="V111" s="1"/>
      <c r="W111" s="1"/>
      <c r="X111" s="1"/>
      <c r="Y111" s="1"/>
      <c r="Z111" s="1"/>
    </row>
    <row r="112" spans="1:26" ht="16.5" customHeight="1" x14ac:dyDescent="0.25">
      <c r="A112" s="62"/>
      <c r="B112" s="62"/>
      <c r="C112" s="94"/>
      <c r="D112" s="3"/>
      <c r="E112" s="96"/>
      <c r="F112" s="96"/>
      <c r="G112" s="94"/>
      <c r="H112" s="96"/>
      <c r="I112" s="1"/>
      <c r="J112" s="7"/>
      <c r="K112" s="1"/>
      <c r="L112" s="1"/>
      <c r="M112" s="1"/>
      <c r="N112" s="1"/>
      <c r="O112" s="1"/>
      <c r="P112" s="1"/>
      <c r="Q112" s="1"/>
      <c r="R112" s="1"/>
      <c r="S112" s="1"/>
      <c r="T112" s="1"/>
      <c r="U112" s="1"/>
      <c r="V112" s="1"/>
      <c r="W112" s="1"/>
      <c r="X112" s="1"/>
      <c r="Y112" s="1"/>
      <c r="Z112" s="1"/>
    </row>
    <row r="113" spans="1:26" ht="16.5" customHeight="1" x14ac:dyDescent="0.25">
      <c r="A113" s="62"/>
      <c r="B113" s="62"/>
      <c r="C113" s="101"/>
      <c r="D113" s="102"/>
      <c r="E113" s="103"/>
      <c r="F113" s="104"/>
      <c r="G113" s="102"/>
      <c r="H113" s="408"/>
      <c r="I113" s="409"/>
      <c r="J113" s="409"/>
      <c r="K113" s="1"/>
      <c r="L113" s="1"/>
      <c r="M113" s="1"/>
      <c r="N113" s="1"/>
      <c r="O113" s="1"/>
      <c r="P113" s="1"/>
      <c r="Q113" s="1"/>
      <c r="R113" s="1"/>
      <c r="S113" s="1"/>
      <c r="T113" s="1"/>
      <c r="U113" s="1"/>
      <c r="V113" s="1"/>
      <c r="W113" s="1"/>
      <c r="X113" s="1"/>
      <c r="Y113" s="1"/>
      <c r="Z113" s="1"/>
    </row>
    <row r="114" spans="1:26" ht="14.25" customHeight="1" x14ac:dyDescent="0.25">
      <c r="A114" s="107" t="str">
        <f>+DATOS!H12</f>
        <v>Fernando Filevich Leiva</v>
      </c>
      <c r="B114" s="68"/>
      <c r="C114" s="410" t="str">
        <f>+DATOS!H16</f>
        <v>Fabian Elver Hernandez Garcia</v>
      </c>
      <c r="D114" s="400"/>
      <c r="E114" s="400"/>
      <c r="F114" s="109"/>
      <c r="G114" s="407" t="str">
        <f>+DATOS!H14</f>
        <v>Leidy Yasmin Gomez Toro</v>
      </c>
      <c r="H114" s="400"/>
      <c r="I114" s="400"/>
      <c r="J114" s="400"/>
      <c r="K114" s="68"/>
      <c r="L114" s="68"/>
      <c r="M114" s="68"/>
      <c r="N114" s="68"/>
      <c r="O114" s="68"/>
      <c r="P114" s="68"/>
      <c r="Q114" s="68"/>
      <c r="R114" s="68"/>
      <c r="S114" s="68"/>
      <c r="T114" s="68"/>
      <c r="U114" s="68"/>
      <c r="V114" s="68"/>
      <c r="W114" s="68"/>
      <c r="X114" s="68"/>
      <c r="Y114" s="68"/>
      <c r="Z114" s="68"/>
    </row>
    <row r="115" spans="1:26" ht="12" customHeight="1" x14ac:dyDescent="0.25">
      <c r="A115" s="112" t="s">
        <v>184</v>
      </c>
      <c r="B115" s="1"/>
      <c r="C115" s="411" t="str">
        <f>+DATOS!G16</f>
        <v>Revisor Fiscal</v>
      </c>
      <c r="D115" s="400"/>
      <c r="E115" s="400"/>
      <c r="F115" s="3"/>
      <c r="G115" s="403" t="str">
        <f>+DATOS!G14</f>
        <v>Contador</v>
      </c>
      <c r="H115" s="400"/>
      <c r="I115" s="400"/>
      <c r="J115" s="400"/>
      <c r="K115" s="1"/>
      <c r="L115" s="1"/>
      <c r="M115" s="1"/>
      <c r="N115" s="1"/>
      <c r="O115" s="1"/>
      <c r="P115" s="1"/>
      <c r="Q115" s="1"/>
      <c r="R115" s="1"/>
      <c r="S115" s="1"/>
      <c r="T115" s="1"/>
      <c r="U115" s="1"/>
      <c r="V115" s="1"/>
      <c r="W115" s="1"/>
      <c r="X115" s="1"/>
      <c r="Y115" s="1"/>
      <c r="Z115" s="1"/>
    </row>
    <row r="116" spans="1:26" ht="15" customHeight="1" x14ac:dyDescent="0.25">
      <c r="A116" s="112" t="str">
        <f>+DATOS!H13</f>
        <v>C.E 274.113</v>
      </c>
      <c r="B116" s="1"/>
      <c r="C116" s="411" t="str">
        <f>+DATOS!H17</f>
        <v>333711-T</v>
      </c>
      <c r="D116" s="400"/>
      <c r="E116" s="400"/>
      <c r="F116" s="3"/>
      <c r="G116" s="403" t="str">
        <f>+DATOS!H15</f>
        <v>TP: 318364-T</v>
      </c>
      <c r="H116" s="400"/>
      <c r="I116" s="400"/>
      <c r="J116" s="400"/>
      <c r="K116" s="1"/>
      <c r="L116" s="1"/>
      <c r="M116" s="1"/>
      <c r="N116" s="1"/>
      <c r="O116" s="1"/>
      <c r="P116" s="1"/>
      <c r="Q116" s="1"/>
      <c r="R116" s="1"/>
      <c r="S116" s="1"/>
      <c r="T116" s="1"/>
      <c r="U116" s="1"/>
      <c r="V116" s="1"/>
      <c r="W116" s="1"/>
      <c r="X116" s="1"/>
      <c r="Y116" s="1"/>
      <c r="Z116" s="1"/>
    </row>
    <row r="117" spans="1:26" ht="15" customHeight="1" x14ac:dyDescent="0.25">
      <c r="A117" s="112"/>
      <c r="B117" s="112"/>
      <c r="C117" s="114"/>
      <c r="D117" s="114"/>
      <c r="E117" s="115"/>
      <c r="F117" s="115"/>
      <c r="G117" s="114"/>
      <c r="H117" s="115"/>
      <c r="I117" s="1"/>
      <c r="J117" s="7"/>
      <c r="K117" s="1"/>
      <c r="L117" s="1"/>
      <c r="M117" s="1"/>
      <c r="N117" s="1"/>
      <c r="O117" s="1"/>
      <c r="P117" s="1"/>
      <c r="Q117" s="1"/>
      <c r="R117" s="1"/>
      <c r="S117" s="1"/>
      <c r="T117" s="1"/>
      <c r="U117" s="1"/>
      <c r="V117" s="1"/>
      <c r="W117" s="1"/>
      <c r="X117" s="1"/>
      <c r="Y117" s="1"/>
      <c r="Z117" s="1"/>
    </row>
    <row r="118" spans="1:26" ht="12.75" customHeight="1" x14ac:dyDescent="0.25">
      <c r="A118" s="116" t="s">
        <v>186</v>
      </c>
      <c r="B118" s="116"/>
      <c r="C118" s="117"/>
      <c r="D118" s="118">
        <f>+DATOS!C89-DATOS!C108-DATOS!C164</f>
        <v>6599.4571049999795</v>
      </c>
      <c r="E118" s="119"/>
      <c r="F118" s="119"/>
      <c r="G118" s="117">
        <f>+DATOS!F89-DATOS!F108-DATOS!F164</f>
        <v>-4355.7397650000348</v>
      </c>
      <c r="H118" s="119"/>
      <c r="I118" s="68"/>
      <c r="J118" s="67"/>
      <c r="K118" s="68"/>
      <c r="L118" s="68"/>
      <c r="M118" s="68"/>
      <c r="N118" s="68"/>
      <c r="O118" s="68"/>
      <c r="P118" s="68"/>
      <c r="Q118" s="68"/>
      <c r="R118" s="68"/>
      <c r="S118" s="68"/>
      <c r="T118" s="68"/>
      <c r="U118" s="68"/>
      <c r="V118" s="68"/>
      <c r="W118" s="68"/>
      <c r="X118" s="68"/>
      <c r="Y118" s="68"/>
      <c r="Z118" s="68"/>
    </row>
    <row r="119" spans="1:26" ht="12.75" customHeight="1" x14ac:dyDescent="0.25">
      <c r="A119" s="1" t="s">
        <v>167</v>
      </c>
      <c r="B119" s="1"/>
      <c r="C119" s="3"/>
      <c r="D119" s="3"/>
      <c r="E119" s="5"/>
      <c r="F119" s="5"/>
      <c r="G119" s="3"/>
      <c r="H119" s="5"/>
      <c r="I119" s="1"/>
      <c r="J119" s="7"/>
      <c r="K119" s="1"/>
      <c r="L119" s="1"/>
      <c r="M119" s="1"/>
      <c r="N119" s="1"/>
      <c r="O119" s="1"/>
      <c r="P119" s="1"/>
      <c r="Q119" s="1"/>
      <c r="R119" s="1"/>
      <c r="S119" s="1"/>
      <c r="T119" s="1"/>
      <c r="U119" s="1"/>
      <c r="V119" s="1"/>
      <c r="W119" s="1"/>
      <c r="X119" s="1"/>
      <c r="Y119" s="1"/>
      <c r="Z119" s="1"/>
    </row>
    <row r="120" spans="1:26" ht="12.75" customHeight="1" x14ac:dyDescent="0.25">
      <c r="A120" s="1"/>
      <c r="B120" s="1"/>
      <c r="C120" s="3"/>
      <c r="D120" s="3"/>
      <c r="E120" s="5"/>
      <c r="F120" s="5"/>
      <c r="G120" s="120"/>
      <c r="H120" s="5"/>
      <c r="I120" s="1"/>
      <c r="J120" s="7"/>
      <c r="K120" s="1"/>
      <c r="L120" s="1"/>
      <c r="M120" s="1"/>
      <c r="N120" s="1"/>
      <c r="O120" s="1"/>
      <c r="P120" s="1"/>
      <c r="Q120" s="1"/>
      <c r="R120" s="1"/>
      <c r="S120" s="1"/>
      <c r="T120" s="1"/>
      <c r="U120" s="1"/>
      <c r="V120" s="1"/>
      <c r="W120" s="1"/>
      <c r="X120" s="1"/>
      <c r="Y120" s="1"/>
      <c r="Z120" s="1"/>
    </row>
    <row r="121" spans="1:26" ht="12.75" customHeight="1" x14ac:dyDescent="0.25">
      <c r="A121" s="121"/>
      <c r="B121" s="121"/>
      <c r="C121" s="122"/>
      <c r="D121" s="122"/>
      <c r="E121" s="123"/>
      <c r="F121" s="123"/>
      <c r="G121" s="122"/>
      <c r="H121" s="123"/>
      <c r="I121" s="121"/>
      <c r="J121" s="124"/>
      <c r="K121" s="121"/>
      <c r="L121" s="121"/>
      <c r="M121" s="121"/>
      <c r="N121" s="121"/>
      <c r="O121" s="121"/>
      <c r="P121" s="121"/>
      <c r="Q121" s="121"/>
      <c r="R121" s="121"/>
      <c r="S121" s="121"/>
      <c r="T121" s="121"/>
      <c r="U121" s="121"/>
      <c r="V121" s="121"/>
      <c r="W121" s="121"/>
      <c r="X121" s="121"/>
      <c r="Y121" s="121"/>
      <c r="Z121" s="121"/>
    </row>
    <row r="122" spans="1:26" ht="12.75" customHeight="1" x14ac:dyDescent="0.25">
      <c r="A122" s="121"/>
      <c r="B122" s="121"/>
      <c r="C122" s="122"/>
      <c r="D122" s="122"/>
      <c r="E122" s="123"/>
      <c r="F122" s="123"/>
      <c r="G122" s="122"/>
      <c r="H122" s="123"/>
      <c r="I122" s="121"/>
      <c r="J122" s="124"/>
      <c r="K122" s="121"/>
      <c r="L122" s="121"/>
      <c r="M122" s="121"/>
      <c r="N122" s="121"/>
      <c r="O122" s="121"/>
      <c r="P122" s="121"/>
      <c r="Q122" s="121"/>
      <c r="R122" s="121"/>
      <c r="S122" s="121"/>
      <c r="T122" s="121"/>
      <c r="U122" s="121"/>
      <c r="V122" s="121"/>
      <c r="W122" s="121"/>
      <c r="X122" s="121"/>
      <c r="Y122" s="121"/>
      <c r="Z122" s="121"/>
    </row>
    <row r="123" spans="1:26" ht="12.75" customHeight="1" x14ac:dyDescent="0.25">
      <c r="A123" s="121"/>
      <c r="B123" s="121"/>
      <c r="C123" s="122"/>
      <c r="D123" s="125"/>
      <c r="E123" s="123"/>
      <c r="F123" s="123"/>
      <c r="G123" s="125"/>
      <c r="H123" s="123"/>
      <c r="I123" s="121"/>
      <c r="J123" s="124"/>
      <c r="K123" s="121"/>
      <c r="L123" s="121"/>
      <c r="M123" s="121"/>
      <c r="N123" s="121"/>
      <c r="O123" s="121"/>
      <c r="P123" s="121"/>
      <c r="Q123" s="121"/>
      <c r="R123" s="121"/>
      <c r="S123" s="121"/>
      <c r="T123" s="121"/>
      <c r="U123" s="121"/>
      <c r="V123" s="121"/>
      <c r="W123" s="121"/>
      <c r="X123" s="121"/>
      <c r="Y123" s="121"/>
      <c r="Z123" s="121"/>
    </row>
    <row r="124" spans="1:26" ht="12.75" customHeight="1" x14ac:dyDescent="0.25">
      <c r="A124" s="121"/>
      <c r="B124" s="121"/>
      <c r="C124" s="122"/>
      <c r="D124" s="122"/>
      <c r="E124" s="123"/>
      <c r="F124" s="123"/>
      <c r="G124" s="122"/>
      <c r="H124" s="123"/>
      <c r="I124" s="121"/>
      <c r="J124" s="124"/>
      <c r="K124" s="121"/>
      <c r="L124" s="121"/>
      <c r="M124" s="121"/>
      <c r="N124" s="121"/>
      <c r="O124" s="121"/>
      <c r="P124" s="121"/>
      <c r="Q124" s="121"/>
      <c r="R124" s="121"/>
      <c r="S124" s="121"/>
      <c r="T124" s="121"/>
      <c r="U124" s="121"/>
      <c r="V124" s="121"/>
      <c r="W124" s="121"/>
      <c r="X124" s="121"/>
      <c r="Y124" s="121"/>
      <c r="Z124" s="121"/>
    </row>
    <row r="125" spans="1:26" ht="12.75" customHeight="1" x14ac:dyDescent="0.25">
      <c r="A125" s="121"/>
      <c r="B125" s="121"/>
      <c r="C125" s="122"/>
      <c r="D125" s="125"/>
      <c r="E125" s="123"/>
      <c r="F125" s="123"/>
      <c r="G125" s="125"/>
      <c r="H125" s="123"/>
      <c r="I125" s="121"/>
      <c r="J125" s="124"/>
      <c r="K125" s="121"/>
      <c r="L125" s="121"/>
      <c r="M125" s="121"/>
      <c r="N125" s="121"/>
      <c r="O125" s="121"/>
      <c r="P125" s="121"/>
      <c r="Q125" s="121"/>
      <c r="R125" s="121"/>
      <c r="S125" s="121"/>
      <c r="T125" s="121"/>
      <c r="U125" s="121"/>
      <c r="V125" s="121"/>
      <c r="W125" s="121"/>
      <c r="X125" s="121"/>
      <c r="Y125" s="121"/>
      <c r="Z125" s="121"/>
    </row>
    <row r="126" spans="1:26" ht="12.75" customHeight="1" x14ac:dyDescent="0.25">
      <c r="A126" s="121"/>
      <c r="B126" s="121"/>
      <c r="C126" s="122"/>
      <c r="D126" s="122"/>
      <c r="E126" s="123"/>
      <c r="F126" s="123"/>
      <c r="G126" s="122"/>
      <c r="H126" s="123"/>
      <c r="I126" s="121"/>
      <c r="J126" s="124"/>
      <c r="K126" s="121"/>
      <c r="L126" s="121"/>
      <c r="M126" s="121"/>
      <c r="N126" s="121"/>
      <c r="O126" s="121"/>
      <c r="P126" s="121"/>
      <c r="Q126" s="121"/>
      <c r="R126" s="121"/>
      <c r="S126" s="121"/>
      <c r="T126" s="121"/>
      <c r="U126" s="121"/>
      <c r="V126" s="121"/>
      <c r="W126" s="121"/>
      <c r="X126" s="121"/>
      <c r="Y126" s="121"/>
      <c r="Z126" s="121"/>
    </row>
    <row r="127" spans="1:26" ht="12.75" customHeight="1" x14ac:dyDescent="0.25">
      <c r="A127" s="121"/>
      <c r="B127" s="121"/>
      <c r="C127" s="122"/>
      <c r="D127" s="122"/>
      <c r="E127" s="123"/>
      <c r="F127" s="123"/>
      <c r="G127" s="122"/>
      <c r="H127" s="123"/>
      <c r="I127" s="121"/>
      <c r="J127" s="124"/>
      <c r="K127" s="121"/>
      <c r="L127" s="121"/>
      <c r="M127" s="121"/>
      <c r="N127" s="121"/>
      <c r="O127" s="121"/>
      <c r="P127" s="121"/>
      <c r="Q127" s="121"/>
      <c r="R127" s="121"/>
      <c r="S127" s="121"/>
      <c r="T127" s="121"/>
      <c r="U127" s="121"/>
      <c r="V127" s="121"/>
      <c r="W127" s="121"/>
      <c r="X127" s="121"/>
      <c r="Y127" s="121"/>
      <c r="Z127" s="121"/>
    </row>
    <row r="128" spans="1:26" ht="12.75" customHeight="1" x14ac:dyDescent="0.25">
      <c r="A128" s="1"/>
      <c r="B128" s="1"/>
      <c r="C128" s="3"/>
      <c r="D128" s="3"/>
      <c r="E128" s="5"/>
      <c r="F128" s="5"/>
      <c r="G128" s="3"/>
      <c r="H128" s="5"/>
      <c r="I128" s="1"/>
      <c r="J128" s="7"/>
      <c r="K128" s="1"/>
      <c r="L128" s="1"/>
      <c r="M128" s="1"/>
      <c r="N128" s="1"/>
      <c r="O128" s="1"/>
      <c r="P128" s="1"/>
      <c r="Q128" s="1"/>
      <c r="R128" s="1"/>
      <c r="S128" s="1"/>
      <c r="T128" s="1"/>
      <c r="U128" s="1"/>
      <c r="V128" s="1"/>
      <c r="W128" s="1"/>
      <c r="X128" s="1"/>
      <c r="Y128" s="1"/>
      <c r="Z128" s="1"/>
    </row>
    <row r="129" spans="1:26" ht="12.75" customHeight="1" x14ac:dyDescent="0.25">
      <c r="A129" s="1"/>
      <c r="B129" s="1"/>
      <c r="C129" s="3"/>
      <c r="D129" s="3"/>
      <c r="E129" s="5"/>
      <c r="F129" s="5"/>
      <c r="G129" s="3"/>
      <c r="H129" s="5"/>
      <c r="I129" s="1"/>
      <c r="J129" s="7"/>
      <c r="K129" s="1"/>
      <c r="L129" s="1"/>
      <c r="M129" s="1"/>
      <c r="N129" s="1"/>
      <c r="O129" s="1"/>
      <c r="P129" s="1"/>
      <c r="Q129" s="1"/>
      <c r="R129" s="1"/>
      <c r="S129" s="1"/>
      <c r="T129" s="1"/>
      <c r="U129" s="1"/>
      <c r="V129" s="1"/>
      <c r="W129" s="1"/>
      <c r="X129" s="1"/>
      <c r="Y129" s="1"/>
      <c r="Z129" s="1"/>
    </row>
    <row r="130" spans="1:26" ht="12.75" customHeight="1" x14ac:dyDescent="0.25">
      <c r="A130" s="1"/>
      <c r="B130" s="1"/>
      <c r="C130" s="3"/>
      <c r="D130" s="3"/>
      <c r="E130" s="5"/>
      <c r="F130" s="5"/>
      <c r="G130" s="3"/>
      <c r="H130" s="5"/>
      <c r="I130" s="1"/>
      <c r="J130" s="7"/>
      <c r="K130" s="1"/>
      <c r="L130" s="1"/>
      <c r="M130" s="1"/>
      <c r="N130" s="1"/>
      <c r="O130" s="1"/>
      <c r="P130" s="1"/>
      <c r="Q130" s="1"/>
      <c r="R130" s="1"/>
      <c r="S130" s="1"/>
      <c r="T130" s="1"/>
      <c r="U130" s="1"/>
      <c r="V130" s="1"/>
      <c r="W130" s="1"/>
      <c r="X130" s="1"/>
      <c r="Y130" s="1"/>
      <c r="Z130" s="1"/>
    </row>
    <row r="131" spans="1:26" ht="12.75" customHeight="1" x14ac:dyDescent="0.25">
      <c r="A131" s="1"/>
      <c r="B131" s="1"/>
      <c r="C131" s="3"/>
      <c r="D131" s="3"/>
      <c r="E131" s="5"/>
      <c r="F131" s="5"/>
      <c r="G131" s="3"/>
      <c r="H131" s="5"/>
      <c r="I131" s="1"/>
      <c r="J131" s="7"/>
      <c r="K131" s="1"/>
      <c r="L131" s="1"/>
      <c r="M131" s="1"/>
      <c r="N131" s="1"/>
      <c r="O131" s="1"/>
      <c r="P131" s="1"/>
      <c r="Q131" s="1"/>
      <c r="R131" s="1"/>
      <c r="S131" s="1"/>
      <c r="T131" s="1"/>
      <c r="U131" s="1"/>
      <c r="V131" s="1"/>
      <c r="W131" s="1"/>
      <c r="X131" s="1"/>
      <c r="Y131" s="1"/>
      <c r="Z131" s="1"/>
    </row>
    <row r="132" spans="1:26" ht="12.75" customHeight="1" x14ac:dyDescent="0.25">
      <c r="A132" s="1"/>
      <c r="B132" s="1"/>
      <c r="C132" s="3"/>
      <c r="D132" s="3"/>
      <c r="E132" s="5"/>
      <c r="F132" s="5"/>
      <c r="G132" s="3"/>
      <c r="H132" s="5"/>
      <c r="I132" s="1"/>
      <c r="J132" s="7"/>
      <c r="K132" s="1"/>
      <c r="L132" s="1"/>
      <c r="M132" s="1"/>
      <c r="N132" s="1"/>
      <c r="O132" s="1"/>
      <c r="P132" s="1"/>
      <c r="Q132" s="1"/>
      <c r="R132" s="1"/>
      <c r="S132" s="1"/>
      <c r="T132" s="1"/>
      <c r="U132" s="1"/>
      <c r="V132" s="1"/>
      <c r="W132" s="1"/>
      <c r="X132" s="1"/>
      <c r="Y132" s="1"/>
      <c r="Z132" s="1"/>
    </row>
    <row r="133" spans="1:26" ht="12.75" customHeight="1" x14ac:dyDescent="0.25">
      <c r="A133" s="1"/>
      <c r="B133" s="1"/>
      <c r="C133" s="3"/>
      <c r="D133" s="3"/>
      <c r="E133" s="5"/>
      <c r="F133" s="5"/>
      <c r="G133" s="3"/>
      <c r="H133" s="5"/>
      <c r="I133" s="1"/>
      <c r="J133" s="7"/>
      <c r="K133" s="1"/>
      <c r="L133" s="1"/>
      <c r="M133" s="1"/>
      <c r="N133" s="1"/>
      <c r="O133" s="1"/>
      <c r="P133" s="1"/>
      <c r="Q133" s="1"/>
      <c r="R133" s="1"/>
      <c r="S133" s="1"/>
      <c r="T133" s="1"/>
      <c r="U133" s="1"/>
      <c r="V133" s="1"/>
      <c r="W133" s="1"/>
      <c r="X133" s="1"/>
      <c r="Y133" s="1"/>
      <c r="Z133" s="1"/>
    </row>
    <row r="134" spans="1:26" ht="12.75" customHeight="1" x14ac:dyDescent="0.25">
      <c r="A134" s="1"/>
      <c r="B134" s="1"/>
      <c r="C134" s="3"/>
      <c r="D134" s="3"/>
      <c r="E134" s="5"/>
      <c r="F134" s="5"/>
      <c r="G134" s="3"/>
      <c r="H134" s="5"/>
      <c r="I134" s="1"/>
      <c r="J134" s="7"/>
      <c r="K134" s="1"/>
      <c r="L134" s="1"/>
      <c r="M134" s="1"/>
      <c r="N134" s="1"/>
      <c r="O134" s="1"/>
      <c r="P134" s="1"/>
      <c r="Q134" s="1"/>
      <c r="R134" s="1"/>
      <c r="S134" s="1"/>
      <c r="T134" s="1"/>
      <c r="U134" s="1"/>
      <c r="V134" s="1"/>
      <c r="W134" s="1"/>
      <c r="X134" s="1"/>
      <c r="Y134" s="1"/>
      <c r="Z134" s="1"/>
    </row>
    <row r="135" spans="1:26" ht="12.75" customHeight="1" x14ac:dyDescent="0.25">
      <c r="A135" s="1"/>
      <c r="B135" s="1"/>
      <c r="C135" s="3"/>
      <c r="D135" s="3"/>
      <c r="E135" s="5"/>
      <c r="F135" s="5"/>
      <c r="G135" s="3"/>
      <c r="H135" s="5"/>
      <c r="I135" s="1"/>
      <c r="J135" s="7"/>
      <c r="K135" s="1"/>
      <c r="L135" s="1"/>
      <c r="M135" s="1"/>
      <c r="N135" s="1"/>
      <c r="O135" s="1"/>
      <c r="P135" s="1"/>
      <c r="Q135" s="1"/>
      <c r="R135" s="1"/>
      <c r="S135" s="1"/>
      <c r="T135" s="1"/>
      <c r="U135" s="1"/>
      <c r="V135" s="1"/>
      <c r="W135" s="1"/>
      <c r="X135" s="1"/>
      <c r="Y135" s="1"/>
      <c r="Z135" s="1"/>
    </row>
    <row r="136" spans="1:26" ht="12.75" customHeight="1" x14ac:dyDescent="0.25">
      <c r="A136" s="1"/>
      <c r="B136" s="1"/>
      <c r="C136" s="3"/>
      <c r="D136" s="3"/>
      <c r="E136" s="5"/>
      <c r="F136" s="5"/>
      <c r="G136" s="3"/>
      <c r="H136" s="5"/>
      <c r="I136" s="1"/>
      <c r="J136" s="7"/>
      <c r="K136" s="1"/>
      <c r="L136" s="1"/>
      <c r="M136" s="1"/>
      <c r="N136" s="1"/>
      <c r="O136" s="1"/>
      <c r="P136" s="1"/>
      <c r="Q136" s="1"/>
      <c r="R136" s="1"/>
      <c r="S136" s="1"/>
      <c r="T136" s="1"/>
      <c r="U136" s="1"/>
      <c r="V136" s="1"/>
      <c r="W136" s="1"/>
      <c r="X136" s="1"/>
      <c r="Y136" s="1"/>
      <c r="Z136" s="1"/>
    </row>
    <row r="137" spans="1:26" ht="12.75" customHeight="1" x14ac:dyDescent="0.25">
      <c r="A137" s="1"/>
      <c r="B137" s="1"/>
      <c r="C137" s="3"/>
      <c r="D137" s="3"/>
      <c r="E137" s="5"/>
      <c r="F137" s="5"/>
      <c r="G137" s="3"/>
      <c r="H137" s="5"/>
      <c r="I137" s="1"/>
      <c r="J137" s="7"/>
      <c r="K137" s="1"/>
      <c r="L137" s="1"/>
      <c r="M137" s="1"/>
      <c r="N137" s="1"/>
      <c r="O137" s="1"/>
      <c r="P137" s="1"/>
      <c r="Q137" s="1"/>
      <c r="R137" s="1"/>
      <c r="S137" s="1"/>
      <c r="T137" s="1"/>
      <c r="U137" s="1"/>
      <c r="V137" s="1"/>
      <c r="W137" s="1"/>
      <c r="X137" s="1"/>
      <c r="Y137" s="1"/>
      <c r="Z137" s="1"/>
    </row>
    <row r="138" spans="1:26" ht="12.75" customHeight="1" x14ac:dyDescent="0.25">
      <c r="A138" s="1"/>
      <c r="B138" s="1"/>
      <c r="C138" s="3"/>
      <c r="D138" s="3"/>
      <c r="E138" s="5"/>
      <c r="F138" s="5"/>
      <c r="G138" s="3"/>
      <c r="H138" s="5"/>
      <c r="I138" s="1"/>
      <c r="J138" s="7"/>
      <c r="K138" s="1"/>
      <c r="L138" s="1"/>
      <c r="M138" s="1"/>
      <c r="N138" s="1"/>
      <c r="O138" s="1"/>
      <c r="P138" s="1"/>
      <c r="Q138" s="1"/>
      <c r="R138" s="1"/>
      <c r="S138" s="1"/>
      <c r="T138" s="1"/>
      <c r="U138" s="1"/>
      <c r="V138" s="1"/>
      <c r="W138" s="1"/>
      <c r="X138" s="1"/>
      <c r="Y138" s="1"/>
      <c r="Z138" s="1"/>
    </row>
    <row r="139" spans="1:26" ht="12.75" customHeight="1" x14ac:dyDescent="0.25">
      <c r="A139" s="1"/>
      <c r="B139" s="1"/>
      <c r="C139" s="3"/>
      <c r="D139" s="3"/>
      <c r="E139" s="5"/>
      <c r="F139" s="5"/>
      <c r="G139" s="3"/>
      <c r="H139" s="5"/>
      <c r="I139" s="1"/>
      <c r="J139" s="7"/>
      <c r="K139" s="1"/>
      <c r="L139" s="1"/>
      <c r="M139" s="1"/>
      <c r="N139" s="1"/>
      <c r="O139" s="1"/>
      <c r="P139" s="1"/>
      <c r="Q139" s="1"/>
      <c r="R139" s="1"/>
      <c r="S139" s="1"/>
      <c r="T139" s="1"/>
      <c r="U139" s="1"/>
      <c r="V139" s="1"/>
      <c r="W139" s="1"/>
      <c r="X139" s="1"/>
      <c r="Y139" s="1"/>
      <c r="Z139" s="1"/>
    </row>
    <row r="140" spans="1:26" ht="12.75" customHeight="1" x14ac:dyDescent="0.25">
      <c r="A140" s="1"/>
      <c r="B140" s="1"/>
      <c r="C140" s="3"/>
      <c r="D140" s="3"/>
      <c r="E140" s="5"/>
      <c r="F140" s="5"/>
      <c r="G140" s="3"/>
      <c r="H140" s="5"/>
      <c r="I140" s="1"/>
      <c r="J140" s="7"/>
      <c r="K140" s="1"/>
      <c r="L140" s="1"/>
      <c r="M140" s="1"/>
      <c r="N140" s="1"/>
      <c r="O140" s="1"/>
      <c r="P140" s="1"/>
      <c r="Q140" s="1"/>
      <c r="R140" s="1"/>
      <c r="S140" s="1"/>
      <c r="T140" s="1"/>
      <c r="U140" s="1"/>
      <c r="V140" s="1"/>
      <c r="W140" s="1"/>
      <c r="X140" s="1"/>
      <c r="Y140" s="1"/>
      <c r="Z140" s="1"/>
    </row>
    <row r="141" spans="1:26" ht="12.75" customHeight="1" x14ac:dyDescent="0.25">
      <c r="A141" s="1"/>
      <c r="B141" s="1"/>
      <c r="C141" s="3"/>
      <c r="D141" s="3"/>
      <c r="E141" s="5"/>
      <c r="F141" s="5"/>
      <c r="G141" s="3"/>
      <c r="H141" s="5"/>
      <c r="I141" s="1"/>
      <c r="J141" s="7"/>
      <c r="K141" s="1"/>
      <c r="L141" s="1"/>
      <c r="M141" s="1"/>
      <c r="N141" s="1"/>
      <c r="O141" s="1"/>
      <c r="P141" s="1"/>
      <c r="Q141" s="1"/>
      <c r="R141" s="1"/>
      <c r="S141" s="1"/>
      <c r="T141" s="1"/>
      <c r="U141" s="1"/>
      <c r="V141" s="1"/>
      <c r="W141" s="1"/>
      <c r="X141" s="1"/>
      <c r="Y141" s="1"/>
      <c r="Z141" s="1"/>
    </row>
    <row r="142" spans="1:26" ht="12.75" customHeight="1" x14ac:dyDescent="0.25">
      <c r="A142" s="1"/>
      <c r="B142" s="1"/>
      <c r="C142" s="3"/>
      <c r="D142" s="3"/>
      <c r="E142" s="5"/>
      <c r="F142" s="5"/>
      <c r="G142" s="3"/>
      <c r="H142" s="5"/>
      <c r="I142" s="1"/>
      <c r="J142" s="7"/>
      <c r="K142" s="1"/>
      <c r="L142" s="1"/>
      <c r="M142" s="1"/>
      <c r="N142" s="1"/>
      <c r="O142" s="1"/>
      <c r="P142" s="1"/>
      <c r="Q142" s="1"/>
      <c r="R142" s="1"/>
      <c r="S142" s="1"/>
      <c r="T142" s="1"/>
      <c r="U142" s="1"/>
      <c r="V142" s="1"/>
      <c r="W142" s="1"/>
      <c r="X142" s="1"/>
      <c r="Y142" s="1"/>
      <c r="Z142" s="1"/>
    </row>
    <row r="143" spans="1:26" ht="12.75" customHeight="1" x14ac:dyDescent="0.25">
      <c r="A143" s="1"/>
      <c r="B143" s="1"/>
      <c r="C143" s="3"/>
      <c r="D143" s="3"/>
      <c r="E143" s="5"/>
      <c r="F143" s="5"/>
      <c r="G143" s="3"/>
      <c r="H143" s="5"/>
      <c r="I143" s="1"/>
      <c r="J143" s="7"/>
      <c r="K143" s="1"/>
      <c r="L143" s="1"/>
      <c r="M143" s="1"/>
      <c r="N143" s="1"/>
      <c r="O143" s="1"/>
      <c r="P143" s="1"/>
      <c r="Q143" s="1"/>
      <c r="R143" s="1"/>
      <c r="S143" s="1"/>
      <c r="T143" s="1"/>
      <c r="U143" s="1"/>
      <c r="V143" s="1"/>
      <c r="W143" s="1"/>
      <c r="X143" s="1"/>
      <c r="Y143" s="1"/>
      <c r="Z143" s="1"/>
    </row>
    <row r="144" spans="1:26" ht="12.75" customHeight="1" x14ac:dyDescent="0.25">
      <c r="A144" s="1"/>
      <c r="B144" s="1"/>
      <c r="C144" s="3"/>
      <c r="D144" s="3"/>
      <c r="E144" s="5"/>
      <c r="F144" s="5"/>
      <c r="G144" s="3"/>
      <c r="H144" s="5"/>
      <c r="I144" s="1"/>
      <c r="J144" s="7"/>
      <c r="K144" s="1"/>
      <c r="L144" s="1"/>
      <c r="M144" s="1"/>
      <c r="N144" s="1"/>
      <c r="O144" s="1"/>
      <c r="P144" s="1"/>
      <c r="Q144" s="1"/>
      <c r="R144" s="1"/>
      <c r="S144" s="1"/>
      <c r="T144" s="1"/>
      <c r="U144" s="1"/>
      <c r="V144" s="1"/>
      <c r="W144" s="1"/>
      <c r="X144" s="1"/>
      <c r="Y144" s="1"/>
      <c r="Z144" s="1"/>
    </row>
    <row r="145" spans="1:26" ht="12.75" customHeight="1" x14ac:dyDescent="0.25">
      <c r="A145" s="1"/>
      <c r="B145" s="1"/>
      <c r="C145" s="3"/>
      <c r="D145" s="3"/>
      <c r="E145" s="5"/>
      <c r="F145" s="5"/>
      <c r="G145" s="3"/>
      <c r="H145" s="5"/>
      <c r="I145" s="1"/>
      <c r="J145" s="7"/>
      <c r="K145" s="1"/>
      <c r="L145" s="1"/>
      <c r="M145" s="1"/>
      <c r="N145" s="1"/>
      <c r="O145" s="1"/>
      <c r="P145" s="1"/>
      <c r="Q145" s="1"/>
      <c r="R145" s="1"/>
      <c r="S145" s="1"/>
      <c r="T145" s="1"/>
      <c r="U145" s="1"/>
      <c r="V145" s="1"/>
      <c r="W145" s="1"/>
      <c r="X145" s="1"/>
      <c r="Y145" s="1"/>
      <c r="Z145" s="1"/>
    </row>
    <row r="146" spans="1:26" ht="12.75" customHeight="1" x14ac:dyDescent="0.25">
      <c r="A146" s="1"/>
      <c r="B146" s="1"/>
      <c r="C146" s="3"/>
      <c r="D146" s="3"/>
      <c r="E146" s="5"/>
      <c r="F146" s="5"/>
      <c r="G146" s="3"/>
      <c r="H146" s="5"/>
      <c r="I146" s="1"/>
      <c r="J146" s="7"/>
      <c r="K146" s="1"/>
      <c r="L146" s="1"/>
      <c r="M146" s="1"/>
      <c r="N146" s="1"/>
      <c r="O146" s="1"/>
      <c r="P146" s="1"/>
      <c r="Q146" s="1"/>
      <c r="R146" s="1"/>
      <c r="S146" s="1"/>
      <c r="T146" s="1"/>
      <c r="U146" s="1"/>
      <c r="V146" s="1"/>
      <c r="W146" s="1"/>
      <c r="X146" s="1"/>
      <c r="Y146" s="1"/>
      <c r="Z146" s="1"/>
    </row>
    <row r="147" spans="1:26" ht="12.75" customHeight="1" x14ac:dyDescent="0.25">
      <c r="A147" s="1"/>
      <c r="B147" s="1"/>
      <c r="C147" s="3"/>
      <c r="D147" s="3"/>
      <c r="E147" s="5"/>
      <c r="F147" s="5"/>
      <c r="G147" s="3"/>
      <c r="H147" s="5"/>
      <c r="I147" s="1"/>
      <c r="J147" s="7"/>
      <c r="K147" s="1"/>
      <c r="L147" s="1"/>
      <c r="M147" s="1"/>
      <c r="N147" s="1"/>
      <c r="O147" s="1"/>
      <c r="P147" s="1"/>
      <c r="Q147" s="1"/>
      <c r="R147" s="1"/>
      <c r="S147" s="1"/>
      <c r="T147" s="1"/>
      <c r="U147" s="1"/>
      <c r="V147" s="1"/>
      <c r="W147" s="1"/>
      <c r="X147" s="1"/>
      <c r="Y147" s="1"/>
      <c r="Z147" s="1"/>
    </row>
    <row r="148" spans="1:26" ht="12.75" customHeight="1" x14ac:dyDescent="0.25">
      <c r="A148" s="1"/>
      <c r="B148" s="1"/>
      <c r="C148" s="3"/>
      <c r="D148" s="3"/>
      <c r="E148" s="5"/>
      <c r="F148" s="5"/>
      <c r="G148" s="3"/>
      <c r="H148" s="5"/>
      <c r="I148" s="1"/>
      <c r="J148" s="7"/>
      <c r="K148" s="1"/>
      <c r="L148" s="1"/>
      <c r="M148" s="1"/>
      <c r="N148" s="1"/>
      <c r="O148" s="1"/>
      <c r="P148" s="1"/>
      <c r="Q148" s="1"/>
      <c r="R148" s="1"/>
      <c r="S148" s="1"/>
      <c r="T148" s="1"/>
      <c r="U148" s="1"/>
      <c r="V148" s="1"/>
      <c r="W148" s="1"/>
      <c r="X148" s="1"/>
      <c r="Y148" s="1"/>
      <c r="Z148" s="1"/>
    </row>
    <row r="149" spans="1:26" ht="12.75" customHeight="1" x14ac:dyDescent="0.25">
      <c r="A149" s="1"/>
      <c r="B149" s="1"/>
      <c r="C149" s="3"/>
      <c r="D149" s="3"/>
      <c r="E149" s="5"/>
      <c r="F149" s="5"/>
      <c r="G149" s="3"/>
      <c r="H149" s="5"/>
      <c r="I149" s="1"/>
      <c r="J149" s="7"/>
      <c r="K149" s="1"/>
      <c r="L149" s="1"/>
      <c r="M149" s="1"/>
      <c r="N149" s="1"/>
      <c r="O149" s="1"/>
      <c r="P149" s="1"/>
      <c r="Q149" s="1"/>
      <c r="R149" s="1"/>
      <c r="S149" s="1"/>
      <c r="T149" s="1"/>
      <c r="U149" s="1"/>
      <c r="V149" s="1"/>
      <c r="W149" s="1"/>
      <c r="X149" s="1"/>
      <c r="Y149" s="1"/>
      <c r="Z149" s="1"/>
    </row>
    <row r="150" spans="1:26" ht="12.75" customHeight="1" x14ac:dyDescent="0.25">
      <c r="A150" s="1"/>
      <c r="B150" s="1"/>
      <c r="C150" s="3"/>
      <c r="D150" s="3"/>
      <c r="E150" s="5"/>
      <c r="F150" s="5"/>
      <c r="G150" s="3"/>
      <c r="H150" s="5"/>
      <c r="I150" s="1"/>
      <c r="J150" s="7"/>
      <c r="K150" s="1"/>
      <c r="L150" s="1"/>
      <c r="M150" s="1"/>
      <c r="N150" s="1"/>
      <c r="O150" s="1"/>
      <c r="P150" s="1"/>
      <c r="Q150" s="1"/>
      <c r="R150" s="1"/>
      <c r="S150" s="1"/>
      <c r="T150" s="1"/>
      <c r="U150" s="1"/>
      <c r="V150" s="1"/>
      <c r="W150" s="1"/>
      <c r="X150" s="1"/>
      <c r="Y150" s="1"/>
      <c r="Z150" s="1"/>
    </row>
    <row r="151" spans="1:26" ht="12.75" customHeight="1" x14ac:dyDescent="0.25">
      <c r="A151" s="1"/>
      <c r="B151" s="1"/>
      <c r="C151" s="3"/>
      <c r="D151" s="3"/>
      <c r="E151" s="5"/>
      <c r="F151" s="5"/>
      <c r="G151" s="3"/>
      <c r="H151" s="5"/>
      <c r="I151" s="1"/>
      <c r="J151" s="7"/>
      <c r="K151" s="1"/>
      <c r="L151" s="1"/>
      <c r="M151" s="1"/>
      <c r="N151" s="1"/>
      <c r="O151" s="1"/>
      <c r="P151" s="1"/>
      <c r="Q151" s="1"/>
      <c r="R151" s="1"/>
      <c r="S151" s="1"/>
      <c r="T151" s="1"/>
      <c r="U151" s="1"/>
      <c r="V151" s="1"/>
      <c r="W151" s="1"/>
      <c r="X151" s="1"/>
      <c r="Y151" s="1"/>
      <c r="Z151" s="1"/>
    </row>
    <row r="152" spans="1:26" ht="12.75" customHeight="1" x14ac:dyDescent="0.25">
      <c r="A152" s="1"/>
      <c r="B152" s="1"/>
      <c r="C152" s="3"/>
      <c r="D152" s="3"/>
      <c r="E152" s="5"/>
      <c r="F152" s="5"/>
      <c r="G152" s="3"/>
      <c r="H152" s="5"/>
      <c r="I152" s="1"/>
      <c r="J152" s="7"/>
      <c r="K152" s="1"/>
      <c r="L152" s="1"/>
      <c r="M152" s="1"/>
      <c r="N152" s="1"/>
      <c r="O152" s="1"/>
      <c r="P152" s="1"/>
      <c r="Q152" s="1"/>
      <c r="R152" s="1"/>
      <c r="S152" s="1"/>
      <c r="T152" s="1"/>
      <c r="U152" s="1"/>
      <c r="V152" s="1"/>
      <c r="W152" s="1"/>
      <c r="X152" s="1"/>
      <c r="Y152" s="1"/>
      <c r="Z152" s="1"/>
    </row>
    <row r="153" spans="1:26" ht="12.75" customHeight="1" x14ac:dyDescent="0.25">
      <c r="A153" s="1"/>
      <c r="B153" s="1"/>
      <c r="C153" s="3"/>
      <c r="D153" s="3"/>
      <c r="E153" s="5"/>
      <c r="F153" s="5"/>
      <c r="G153" s="3"/>
      <c r="H153" s="5"/>
      <c r="I153" s="1"/>
      <c r="J153" s="7"/>
      <c r="K153" s="1"/>
      <c r="L153" s="1"/>
      <c r="M153" s="1"/>
      <c r="N153" s="1"/>
      <c r="O153" s="1"/>
      <c r="P153" s="1"/>
      <c r="Q153" s="1"/>
      <c r="R153" s="1"/>
      <c r="S153" s="1"/>
      <c r="T153" s="1"/>
      <c r="U153" s="1"/>
      <c r="V153" s="1"/>
      <c r="W153" s="1"/>
      <c r="X153" s="1"/>
      <c r="Y153" s="1"/>
      <c r="Z153" s="1"/>
    </row>
    <row r="154" spans="1:26" ht="12.75" customHeight="1" x14ac:dyDescent="0.25">
      <c r="A154" s="1"/>
      <c r="B154" s="1"/>
      <c r="C154" s="3"/>
      <c r="D154" s="3"/>
      <c r="E154" s="5"/>
      <c r="F154" s="5"/>
      <c r="G154" s="3"/>
      <c r="H154" s="5"/>
      <c r="I154" s="1"/>
      <c r="J154" s="7"/>
      <c r="K154" s="1"/>
      <c r="L154" s="1"/>
      <c r="M154" s="1"/>
      <c r="N154" s="1"/>
      <c r="O154" s="1"/>
      <c r="P154" s="1"/>
      <c r="Q154" s="1"/>
      <c r="R154" s="1"/>
      <c r="S154" s="1"/>
      <c r="T154" s="1"/>
      <c r="U154" s="1"/>
      <c r="V154" s="1"/>
      <c r="W154" s="1"/>
      <c r="X154" s="1"/>
      <c r="Y154" s="1"/>
      <c r="Z154" s="1"/>
    </row>
    <row r="155" spans="1:26" ht="12.75" customHeight="1" x14ac:dyDescent="0.25">
      <c r="A155" s="1"/>
      <c r="B155" s="1"/>
      <c r="C155" s="3"/>
      <c r="D155" s="3"/>
      <c r="E155" s="5"/>
      <c r="F155" s="5"/>
      <c r="G155" s="3"/>
      <c r="H155" s="5"/>
      <c r="I155" s="1"/>
      <c r="J155" s="7"/>
      <c r="K155" s="1"/>
      <c r="L155" s="1"/>
      <c r="M155" s="1"/>
      <c r="N155" s="1"/>
      <c r="O155" s="1"/>
      <c r="P155" s="1"/>
      <c r="Q155" s="1"/>
      <c r="R155" s="1"/>
      <c r="S155" s="1"/>
      <c r="T155" s="1"/>
      <c r="U155" s="1"/>
      <c r="V155" s="1"/>
      <c r="W155" s="1"/>
      <c r="X155" s="1"/>
      <c r="Y155" s="1"/>
      <c r="Z155" s="1"/>
    </row>
    <row r="156" spans="1:26" ht="12.75" customHeight="1" x14ac:dyDescent="0.25">
      <c r="A156" s="1"/>
      <c r="B156" s="1"/>
      <c r="C156" s="3"/>
      <c r="D156" s="3"/>
      <c r="E156" s="5"/>
      <c r="F156" s="5"/>
      <c r="G156" s="3"/>
      <c r="H156" s="5"/>
      <c r="I156" s="1"/>
      <c r="J156" s="7"/>
      <c r="K156" s="1"/>
      <c r="L156" s="1"/>
      <c r="M156" s="1"/>
      <c r="N156" s="1"/>
      <c r="O156" s="1"/>
      <c r="P156" s="1"/>
      <c r="Q156" s="1"/>
      <c r="R156" s="1"/>
      <c r="S156" s="1"/>
      <c r="T156" s="1"/>
      <c r="U156" s="1"/>
      <c r="V156" s="1"/>
      <c r="W156" s="1"/>
      <c r="X156" s="1"/>
      <c r="Y156" s="1"/>
      <c r="Z156" s="1"/>
    </row>
    <row r="157" spans="1:26" ht="12.75" customHeight="1" x14ac:dyDescent="0.25">
      <c r="A157" s="1"/>
      <c r="B157" s="1"/>
      <c r="C157" s="3"/>
      <c r="D157" s="3"/>
      <c r="E157" s="5"/>
      <c r="F157" s="5"/>
      <c r="G157" s="3"/>
      <c r="H157" s="5"/>
      <c r="I157" s="1"/>
      <c r="J157" s="7"/>
      <c r="K157" s="1"/>
      <c r="L157" s="1"/>
      <c r="M157" s="1"/>
      <c r="N157" s="1"/>
      <c r="O157" s="1"/>
      <c r="P157" s="1"/>
      <c r="Q157" s="1"/>
      <c r="R157" s="1"/>
      <c r="S157" s="1"/>
      <c r="T157" s="1"/>
      <c r="U157" s="1"/>
      <c r="V157" s="1"/>
      <c r="W157" s="1"/>
      <c r="X157" s="1"/>
      <c r="Y157" s="1"/>
      <c r="Z157" s="1"/>
    </row>
    <row r="158" spans="1:26" ht="12.75" customHeight="1" x14ac:dyDescent="0.25">
      <c r="A158" s="1"/>
      <c r="B158" s="1"/>
      <c r="C158" s="3"/>
      <c r="D158" s="3"/>
      <c r="E158" s="5"/>
      <c r="F158" s="5"/>
      <c r="G158" s="3"/>
      <c r="H158" s="5"/>
      <c r="I158" s="1"/>
      <c r="J158" s="7"/>
      <c r="K158" s="1"/>
      <c r="L158" s="1"/>
      <c r="M158" s="1"/>
      <c r="N158" s="1"/>
      <c r="O158" s="1"/>
      <c r="P158" s="1"/>
      <c r="Q158" s="1"/>
      <c r="R158" s="1"/>
      <c r="S158" s="1"/>
      <c r="T158" s="1"/>
      <c r="U158" s="1"/>
      <c r="V158" s="1"/>
      <c r="W158" s="1"/>
      <c r="X158" s="1"/>
      <c r="Y158" s="1"/>
      <c r="Z158" s="1"/>
    </row>
    <row r="159" spans="1:26" ht="12.75" customHeight="1" x14ac:dyDescent="0.25">
      <c r="A159" s="1"/>
      <c r="B159" s="1"/>
      <c r="C159" s="3"/>
      <c r="D159" s="3"/>
      <c r="E159" s="5"/>
      <c r="F159" s="5"/>
      <c r="G159" s="3"/>
      <c r="H159" s="5"/>
      <c r="I159" s="1"/>
      <c r="J159" s="7"/>
      <c r="K159" s="1"/>
      <c r="L159" s="1"/>
      <c r="M159" s="1"/>
      <c r="N159" s="1"/>
      <c r="O159" s="1"/>
      <c r="P159" s="1"/>
      <c r="Q159" s="1"/>
      <c r="R159" s="1"/>
      <c r="S159" s="1"/>
      <c r="T159" s="1"/>
      <c r="U159" s="1"/>
      <c r="V159" s="1"/>
      <c r="W159" s="1"/>
      <c r="X159" s="1"/>
      <c r="Y159" s="1"/>
      <c r="Z159" s="1"/>
    </row>
    <row r="160" spans="1:26" ht="12.75" customHeight="1" x14ac:dyDescent="0.25">
      <c r="A160" s="1"/>
      <c r="B160" s="1"/>
      <c r="C160" s="3"/>
      <c r="D160" s="3"/>
      <c r="E160" s="5"/>
      <c r="F160" s="5"/>
      <c r="G160" s="3"/>
      <c r="H160" s="5"/>
      <c r="I160" s="1"/>
      <c r="J160" s="7"/>
      <c r="K160" s="1"/>
      <c r="L160" s="1"/>
      <c r="M160" s="1"/>
      <c r="N160" s="1"/>
      <c r="O160" s="1"/>
      <c r="P160" s="1"/>
      <c r="Q160" s="1"/>
      <c r="R160" s="1"/>
      <c r="S160" s="1"/>
      <c r="T160" s="1"/>
      <c r="U160" s="1"/>
      <c r="V160" s="1"/>
      <c r="W160" s="1"/>
      <c r="X160" s="1"/>
      <c r="Y160" s="1"/>
      <c r="Z160" s="1"/>
    </row>
    <row r="161" spans="1:26" ht="12.75" customHeight="1" x14ac:dyDescent="0.25">
      <c r="A161" s="1"/>
      <c r="B161" s="1"/>
      <c r="C161" s="3"/>
      <c r="D161" s="3"/>
      <c r="E161" s="5"/>
      <c r="F161" s="5"/>
      <c r="G161" s="3"/>
      <c r="H161" s="5"/>
      <c r="I161" s="1"/>
      <c r="J161" s="7"/>
      <c r="K161" s="1"/>
      <c r="L161" s="1"/>
      <c r="M161" s="1"/>
      <c r="N161" s="1"/>
      <c r="O161" s="1"/>
      <c r="P161" s="1"/>
      <c r="Q161" s="1"/>
      <c r="R161" s="1"/>
      <c r="S161" s="1"/>
      <c r="T161" s="1"/>
      <c r="U161" s="1"/>
      <c r="V161" s="1"/>
      <c r="W161" s="1"/>
      <c r="X161" s="1"/>
      <c r="Y161" s="1"/>
      <c r="Z161" s="1"/>
    </row>
    <row r="162" spans="1:26" ht="12.75" customHeight="1" x14ac:dyDescent="0.25">
      <c r="A162" s="1"/>
      <c r="B162" s="1"/>
      <c r="C162" s="3"/>
      <c r="D162" s="3"/>
      <c r="E162" s="5"/>
      <c r="F162" s="5"/>
      <c r="G162" s="3"/>
      <c r="H162" s="5"/>
      <c r="I162" s="1"/>
      <c r="J162" s="7"/>
      <c r="K162" s="1"/>
      <c r="L162" s="1"/>
      <c r="M162" s="1"/>
      <c r="N162" s="1"/>
      <c r="O162" s="1"/>
      <c r="P162" s="1"/>
      <c r="Q162" s="1"/>
      <c r="R162" s="1"/>
      <c r="S162" s="1"/>
      <c r="T162" s="1"/>
      <c r="U162" s="1"/>
      <c r="V162" s="1"/>
      <c r="W162" s="1"/>
      <c r="X162" s="1"/>
      <c r="Y162" s="1"/>
      <c r="Z162" s="1"/>
    </row>
    <row r="163" spans="1:26" ht="12.75" customHeight="1" x14ac:dyDescent="0.25">
      <c r="A163" s="1"/>
      <c r="B163" s="1"/>
      <c r="C163" s="3"/>
      <c r="D163" s="3"/>
      <c r="E163" s="5"/>
      <c r="F163" s="5"/>
      <c r="G163" s="3"/>
      <c r="H163" s="5"/>
      <c r="I163" s="1"/>
      <c r="J163" s="7"/>
      <c r="K163" s="1"/>
      <c r="L163" s="1"/>
      <c r="M163" s="1"/>
      <c r="N163" s="1"/>
      <c r="O163" s="1"/>
      <c r="P163" s="1"/>
      <c r="Q163" s="1"/>
      <c r="R163" s="1"/>
      <c r="S163" s="1"/>
      <c r="T163" s="1"/>
      <c r="U163" s="1"/>
      <c r="V163" s="1"/>
      <c r="W163" s="1"/>
      <c r="X163" s="1"/>
      <c r="Y163" s="1"/>
      <c r="Z163" s="1"/>
    </row>
    <row r="164" spans="1:26" ht="12.75" customHeight="1" x14ac:dyDescent="0.25">
      <c r="A164" s="1"/>
      <c r="B164" s="1"/>
      <c r="C164" s="3"/>
      <c r="D164" s="3"/>
      <c r="E164" s="5"/>
      <c r="F164" s="5"/>
      <c r="G164" s="3"/>
      <c r="H164" s="5"/>
      <c r="I164" s="1"/>
      <c r="J164" s="7"/>
      <c r="K164" s="1"/>
      <c r="L164" s="1"/>
      <c r="M164" s="1"/>
      <c r="N164" s="1"/>
      <c r="O164" s="1"/>
      <c r="P164" s="1"/>
      <c r="Q164" s="1"/>
      <c r="R164" s="1"/>
      <c r="S164" s="1"/>
      <c r="T164" s="1"/>
      <c r="U164" s="1"/>
      <c r="V164" s="1"/>
      <c r="W164" s="1"/>
      <c r="X164" s="1"/>
      <c r="Y164" s="1"/>
      <c r="Z164" s="1"/>
    </row>
    <row r="165" spans="1:26" ht="12.75" customHeight="1" x14ac:dyDescent="0.25">
      <c r="A165" s="1"/>
      <c r="B165" s="1"/>
      <c r="C165" s="3"/>
      <c r="D165" s="3"/>
      <c r="E165" s="5"/>
      <c r="F165" s="5"/>
      <c r="G165" s="3"/>
      <c r="H165" s="5"/>
      <c r="I165" s="1"/>
      <c r="J165" s="7"/>
      <c r="K165" s="1"/>
      <c r="L165" s="1"/>
      <c r="M165" s="1"/>
      <c r="N165" s="1"/>
      <c r="O165" s="1"/>
      <c r="P165" s="1"/>
      <c r="Q165" s="1"/>
      <c r="R165" s="1"/>
      <c r="S165" s="1"/>
      <c r="T165" s="1"/>
      <c r="U165" s="1"/>
      <c r="V165" s="1"/>
      <c r="W165" s="1"/>
      <c r="X165" s="1"/>
      <c r="Y165" s="1"/>
      <c r="Z165" s="1"/>
    </row>
    <row r="166" spans="1:26" ht="12.75" customHeight="1" x14ac:dyDescent="0.25">
      <c r="A166" s="1"/>
      <c r="B166" s="1"/>
      <c r="C166" s="3"/>
      <c r="D166" s="3"/>
      <c r="E166" s="5"/>
      <c r="F166" s="5"/>
      <c r="G166" s="3"/>
      <c r="H166" s="5"/>
      <c r="I166" s="1"/>
      <c r="J166" s="7"/>
      <c r="K166" s="1"/>
      <c r="L166" s="1"/>
      <c r="M166" s="1"/>
      <c r="N166" s="1"/>
      <c r="O166" s="1"/>
      <c r="P166" s="1"/>
      <c r="Q166" s="1"/>
      <c r="R166" s="1"/>
      <c r="S166" s="1"/>
      <c r="T166" s="1"/>
      <c r="U166" s="1"/>
      <c r="V166" s="1"/>
      <c r="W166" s="1"/>
      <c r="X166" s="1"/>
      <c r="Y166" s="1"/>
      <c r="Z166" s="1"/>
    </row>
    <row r="167" spans="1:26" ht="12.75" customHeight="1" x14ac:dyDescent="0.25">
      <c r="A167" s="1"/>
      <c r="B167" s="1"/>
      <c r="C167" s="3"/>
      <c r="D167" s="3"/>
      <c r="E167" s="5"/>
      <c r="F167" s="5"/>
      <c r="G167" s="3"/>
      <c r="H167" s="5"/>
      <c r="I167" s="1"/>
      <c r="J167" s="7"/>
      <c r="K167" s="1"/>
      <c r="L167" s="1"/>
      <c r="M167" s="1"/>
      <c r="N167" s="1"/>
      <c r="O167" s="1"/>
      <c r="P167" s="1"/>
      <c r="Q167" s="1"/>
      <c r="R167" s="1"/>
      <c r="S167" s="1"/>
      <c r="T167" s="1"/>
      <c r="U167" s="1"/>
      <c r="V167" s="1"/>
      <c r="W167" s="1"/>
      <c r="X167" s="1"/>
      <c r="Y167" s="1"/>
      <c r="Z167" s="1"/>
    </row>
    <row r="168" spans="1:26" ht="12.75" customHeight="1" x14ac:dyDescent="0.25">
      <c r="A168" s="1"/>
      <c r="B168" s="1"/>
      <c r="C168" s="3"/>
      <c r="D168" s="3"/>
      <c r="E168" s="5"/>
      <c r="F168" s="5"/>
      <c r="G168" s="3"/>
      <c r="H168" s="5"/>
      <c r="I168" s="1"/>
      <c r="J168" s="7"/>
      <c r="K168" s="1"/>
      <c r="L168" s="1"/>
      <c r="M168" s="1"/>
      <c r="N168" s="1"/>
      <c r="O168" s="1"/>
      <c r="P168" s="1"/>
      <c r="Q168" s="1"/>
      <c r="R168" s="1"/>
      <c r="S168" s="1"/>
      <c r="T168" s="1"/>
      <c r="U168" s="1"/>
      <c r="V168" s="1"/>
      <c r="W168" s="1"/>
      <c r="X168" s="1"/>
      <c r="Y168" s="1"/>
      <c r="Z168" s="1"/>
    </row>
    <row r="169" spans="1:26" ht="12.75" customHeight="1" x14ac:dyDescent="0.25">
      <c r="A169" s="1"/>
      <c r="B169" s="1"/>
      <c r="C169" s="3"/>
      <c r="D169" s="3"/>
      <c r="E169" s="5"/>
      <c r="F169" s="5"/>
      <c r="G169" s="3"/>
      <c r="H169" s="5"/>
      <c r="I169" s="1"/>
      <c r="J169" s="7"/>
      <c r="K169" s="1"/>
      <c r="L169" s="1"/>
      <c r="M169" s="1"/>
      <c r="N169" s="1"/>
      <c r="O169" s="1"/>
      <c r="P169" s="1"/>
      <c r="Q169" s="1"/>
      <c r="R169" s="1"/>
      <c r="S169" s="1"/>
      <c r="T169" s="1"/>
      <c r="U169" s="1"/>
      <c r="V169" s="1"/>
      <c r="W169" s="1"/>
      <c r="X169" s="1"/>
      <c r="Y169" s="1"/>
      <c r="Z169" s="1"/>
    </row>
    <row r="170" spans="1:26" ht="12.75" customHeight="1" x14ac:dyDescent="0.25">
      <c r="A170" s="1"/>
      <c r="B170" s="1"/>
      <c r="C170" s="3"/>
      <c r="D170" s="3"/>
      <c r="E170" s="5"/>
      <c r="F170" s="5"/>
      <c r="G170" s="3"/>
      <c r="H170" s="5"/>
      <c r="I170" s="1"/>
      <c r="J170" s="7"/>
      <c r="K170" s="1"/>
      <c r="L170" s="1"/>
      <c r="M170" s="1"/>
      <c r="N170" s="1"/>
      <c r="O170" s="1"/>
      <c r="P170" s="1"/>
      <c r="Q170" s="1"/>
      <c r="R170" s="1"/>
      <c r="S170" s="1"/>
      <c r="T170" s="1"/>
      <c r="U170" s="1"/>
      <c r="V170" s="1"/>
      <c r="W170" s="1"/>
      <c r="X170" s="1"/>
      <c r="Y170" s="1"/>
      <c r="Z170" s="1"/>
    </row>
    <row r="171" spans="1:26" ht="12.75" customHeight="1" x14ac:dyDescent="0.25">
      <c r="A171" s="1"/>
      <c r="B171" s="1"/>
      <c r="C171" s="3"/>
      <c r="D171" s="3"/>
      <c r="E171" s="5"/>
      <c r="F171" s="5"/>
      <c r="G171" s="3"/>
      <c r="H171" s="5"/>
      <c r="I171" s="1"/>
      <c r="J171" s="7"/>
      <c r="K171" s="1"/>
      <c r="L171" s="1"/>
      <c r="M171" s="1"/>
      <c r="N171" s="1"/>
      <c r="O171" s="1"/>
      <c r="P171" s="1"/>
      <c r="Q171" s="1"/>
      <c r="R171" s="1"/>
      <c r="S171" s="1"/>
      <c r="T171" s="1"/>
      <c r="U171" s="1"/>
      <c r="V171" s="1"/>
      <c r="W171" s="1"/>
      <c r="X171" s="1"/>
      <c r="Y171" s="1"/>
      <c r="Z171" s="1"/>
    </row>
    <row r="172" spans="1:26" ht="12.75" customHeight="1" x14ac:dyDescent="0.25">
      <c r="A172" s="1"/>
      <c r="B172" s="1"/>
      <c r="C172" s="3"/>
      <c r="D172" s="3"/>
      <c r="E172" s="5"/>
      <c r="F172" s="5"/>
      <c r="G172" s="3"/>
      <c r="H172" s="5"/>
      <c r="I172" s="1"/>
      <c r="J172" s="7"/>
      <c r="K172" s="1"/>
      <c r="L172" s="1"/>
      <c r="M172" s="1"/>
      <c r="N172" s="1"/>
      <c r="O172" s="1"/>
      <c r="P172" s="1"/>
      <c r="Q172" s="1"/>
      <c r="R172" s="1"/>
      <c r="S172" s="1"/>
      <c r="T172" s="1"/>
      <c r="U172" s="1"/>
      <c r="V172" s="1"/>
      <c r="W172" s="1"/>
      <c r="X172" s="1"/>
      <c r="Y172" s="1"/>
      <c r="Z172" s="1"/>
    </row>
    <row r="173" spans="1:26" ht="12.75" customHeight="1" x14ac:dyDescent="0.25">
      <c r="A173" s="1"/>
      <c r="B173" s="1"/>
      <c r="C173" s="3"/>
      <c r="D173" s="3"/>
      <c r="E173" s="5"/>
      <c r="F173" s="5"/>
      <c r="G173" s="3"/>
      <c r="H173" s="5"/>
      <c r="I173" s="1"/>
      <c r="J173" s="7"/>
      <c r="K173" s="1"/>
      <c r="L173" s="1"/>
      <c r="M173" s="1"/>
      <c r="N173" s="1"/>
      <c r="O173" s="1"/>
      <c r="P173" s="1"/>
      <c r="Q173" s="1"/>
      <c r="R173" s="1"/>
      <c r="S173" s="1"/>
      <c r="T173" s="1"/>
      <c r="U173" s="1"/>
      <c r="V173" s="1"/>
      <c r="W173" s="1"/>
      <c r="X173" s="1"/>
      <c r="Y173" s="1"/>
      <c r="Z173" s="1"/>
    </row>
    <row r="174" spans="1:26" ht="12.75" customHeight="1" x14ac:dyDescent="0.25">
      <c r="A174" s="1"/>
      <c r="B174" s="1"/>
      <c r="C174" s="3"/>
      <c r="D174" s="3"/>
      <c r="E174" s="5"/>
      <c r="F174" s="5"/>
      <c r="G174" s="3"/>
      <c r="H174" s="5"/>
      <c r="I174" s="1"/>
      <c r="J174" s="7"/>
      <c r="K174" s="1"/>
      <c r="L174" s="1"/>
      <c r="M174" s="1"/>
      <c r="N174" s="1"/>
      <c r="O174" s="1"/>
      <c r="P174" s="1"/>
      <c r="Q174" s="1"/>
      <c r="R174" s="1"/>
      <c r="S174" s="1"/>
      <c r="T174" s="1"/>
      <c r="U174" s="1"/>
      <c r="V174" s="1"/>
      <c r="W174" s="1"/>
      <c r="X174" s="1"/>
      <c r="Y174" s="1"/>
      <c r="Z174" s="1"/>
    </row>
    <row r="175" spans="1:26" ht="12.75" customHeight="1" x14ac:dyDescent="0.25">
      <c r="A175" s="1"/>
      <c r="B175" s="1"/>
      <c r="C175" s="3"/>
      <c r="D175" s="3"/>
      <c r="E175" s="5"/>
      <c r="F175" s="5"/>
      <c r="G175" s="3"/>
      <c r="H175" s="5"/>
      <c r="I175" s="1"/>
      <c r="J175" s="7"/>
      <c r="K175" s="1"/>
      <c r="L175" s="1"/>
      <c r="M175" s="1"/>
      <c r="N175" s="1"/>
      <c r="O175" s="1"/>
      <c r="P175" s="1"/>
      <c r="Q175" s="1"/>
      <c r="R175" s="1"/>
      <c r="S175" s="1"/>
      <c r="T175" s="1"/>
      <c r="U175" s="1"/>
      <c r="V175" s="1"/>
      <c r="W175" s="1"/>
      <c r="X175" s="1"/>
      <c r="Y175" s="1"/>
      <c r="Z175" s="1"/>
    </row>
    <row r="176" spans="1:26" ht="12.75" customHeight="1" x14ac:dyDescent="0.25">
      <c r="A176" s="1"/>
      <c r="B176" s="1"/>
      <c r="C176" s="3"/>
      <c r="D176" s="3"/>
      <c r="E176" s="5"/>
      <c r="F176" s="5"/>
      <c r="G176" s="3"/>
      <c r="H176" s="5"/>
      <c r="I176" s="1"/>
      <c r="J176" s="7"/>
      <c r="K176" s="1"/>
      <c r="L176" s="1"/>
      <c r="M176" s="1"/>
      <c r="N176" s="1"/>
      <c r="O176" s="1"/>
      <c r="P176" s="1"/>
      <c r="Q176" s="1"/>
      <c r="R176" s="1"/>
      <c r="S176" s="1"/>
      <c r="T176" s="1"/>
      <c r="U176" s="1"/>
      <c r="V176" s="1"/>
      <c r="W176" s="1"/>
      <c r="X176" s="1"/>
      <c r="Y176" s="1"/>
      <c r="Z176" s="1"/>
    </row>
    <row r="177" spans="1:26" ht="12.75" customHeight="1" x14ac:dyDescent="0.25">
      <c r="A177" s="1"/>
      <c r="B177" s="1"/>
      <c r="C177" s="3"/>
      <c r="D177" s="3"/>
      <c r="E177" s="5"/>
      <c r="F177" s="5"/>
      <c r="G177" s="3"/>
      <c r="H177" s="5"/>
      <c r="I177" s="1"/>
      <c r="J177" s="7"/>
      <c r="K177" s="1"/>
      <c r="L177" s="1"/>
      <c r="M177" s="1"/>
      <c r="N177" s="1"/>
      <c r="O177" s="1"/>
      <c r="P177" s="1"/>
      <c r="Q177" s="1"/>
      <c r="R177" s="1"/>
      <c r="S177" s="1"/>
      <c r="T177" s="1"/>
      <c r="U177" s="1"/>
      <c r="V177" s="1"/>
      <c r="W177" s="1"/>
      <c r="X177" s="1"/>
      <c r="Y177" s="1"/>
      <c r="Z177" s="1"/>
    </row>
    <row r="178" spans="1:26" ht="12.75" customHeight="1" x14ac:dyDescent="0.25">
      <c r="A178" s="1"/>
      <c r="B178" s="1"/>
      <c r="C178" s="3"/>
      <c r="D178" s="3"/>
      <c r="E178" s="5"/>
      <c r="F178" s="5"/>
      <c r="G178" s="3"/>
      <c r="H178" s="5"/>
      <c r="I178" s="1"/>
      <c r="J178" s="7"/>
      <c r="K178" s="1"/>
      <c r="L178" s="1"/>
      <c r="M178" s="1"/>
      <c r="N178" s="1"/>
      <c r="O178" s="1"/>
      <c r="P178" s="1"/>
      <c r="Q178" s="1"/>
      <c r="R178" s="1"/>
      <c r="S178" s="1"/>
      <c r="T178" s="1"/>
      <c r="U178" s="1"/>
      <c r="V178" s="1"/>
      <c r="W178" s="1"/>
      <c r="X178" s="1"/>
      <c r="Y178" s="1"/>
      <c r="Z178" s="1"/>
    </row>
    <row r="179" spans="1:26" ht="12.75" customHeight="1" x14ac:dyDescent="0.25">
      <c r="A179" s="1"/>
      <c r="B179" s="1"/>
      <c r="C179" s="3"/>
      <c r="D179" s="3"/>
      <c r="E179" s="5"/>
      <c r="F179" s="5"/>
      <c r="G179" s="3"/>
      <c r="H179" s="5"/>
      <c r="I179" s="1"/>
      <c r="J179" s="7"/>
      <c r="K179" s="1"/>
      <c r="L179" s="1"/>
      <c r="M179" s="1"/>
      <c r="N179" s="1"/>
      <c r="O179" s="1"/>
      <c r="P179" s="1"/>
      <c r="Q179" s="1"/>
      <c r="R179" s="1"/>
      <c r="S179" s="1"/>
      <c r="T179" s="1"/>
      <c r="U179" s="1"/>
      <c r="V179" s="1"/>
      <c r="W179" s="1"/>
      <c r="X179" s="1"/>
      <c r="Y179" s="1"/>
      <c r="Z179" s="1"/>
    </row>
    <row r="180" spans="1:26" ht="12.75" customHeight="1" x14ac:dyDescent="0.25">
      <c r="A180" s="1"/>
      <c r="B180" s="1"/>
      <c r="C180" s="3"/>
      <c r="D180" s="3"/>
      <c r="E180" s="5"/>
      <c r="F180" s="5"/>
      <c r="G180" s="3"/>
      <c r="H180" s="5"/>
      <c r="I180" s="1"/>
      <c r="J180" s="7"/>
      <c r="K180" s="1"/>
      <c r="L180" s="1"/>
      <c r="M180" s="1"/>
      <c r="N180" s="1"/>
      <c r="O180" s="1"/>
      <c r="P180" s="1"/>
      <c r="Q180" s="1"/>
      <c r="R180" s="1"/>
      <c r="S180" s="1"/>
      <c r="T180" s="1"/>
      <c r="U180" s="1"/>
      <c r="V180" s="1"/>
      <c r="W180" s="1"/>
      <c r="X180" s="1"/>
      <c r="Y180" s="1"/>
      <c r="Z180" s="1"/>
    </row>
    <row r="181" spans="1:26" ht="12.75" customHeight="1" x14ac:dyDescent="0.25">
      <c r="A181" s="1"/>
      <c r="B181" s="1"/>
      <c r="C181" s="3"/>
      <c r="D181" s="3"/>
      <c r="E181" s="5"/>
      <c r="F181" s="5"/>
      <c r="G181" s="3"/>
      <c r="H181" s="5"/>
      <c r="I181" s="1"/>
      <c r="J181" s="7"/>
      <c r="K181" s="1"/>
      <c r="L181" s="1"/>
      <c r="M181" s="1"/>
      <c r="N181" s="1"/>
      <c r="O181" s="1"/>
      <c r="P181" s="1"/>
      <c r="Q181" s="1"/>
      <c r="R181" s="1"/>
      <c r="S181" s="1"/>
      <c r="T181" s="1"/>
      <c r="U181" s="1"/>
      <c r="V181" s="1"/>
      <c r="W181" s="1"/>
      <c r="X181" s="1"/>
      <c r="Y181" s="1"/>
      <c r="Z181" s="1"/>
    </row>
    <row r="182" spans="1:26" ht="12.75" customHeight="1" x14ac:dyDescent="0.25">
      <c r="A182" s="1"/>
      <c r="B182" s="1"/>
      <c r="C182" s="3"/>
      <c r="D182" s="3"/>
      <c r="E182" s="5"/>
      <c r="F182" s="5"/>
      <c r="G182" s="3"/>
      <c r="H182" s="5"/>
      <c r="I182" s="1"/>
      <c r="J182" s="7"/>
      <c r="K182" s="1"/>
      <c r="L182" s="1"/>
      <c r="M182" s="1"/>
      <c r="N182" s="1"/>
      <c r="O182" s="1"/>
      <c r="P182" s="1"/>
      <c r="Q182" s="1"/>
      <c r="R182" s="1"/>
      <c r="S182" s="1"/>
      <c r="T182" s="1"/>
      <c r="U182" s="1"/>
      <c r="V182" s="1"/>
      <c r="W182" s="1"/>
      <c r="X182" s="1"/>
      <c r="Y182" s="1"/>
      <c r="Z182" s="1"/>
    </row>
    <row r="183" spans="1:26" ht="12.75" customHeight="1" x14ac:dyDescent="0.25">
      <c r="A183" s="1"/>
      <c r="B183" s="1"/>
      <c r="C183" s="3"/>
      <c r="D183" s="3"/>
      <c r="E183" s="5"/>
      <c r="F183" s="5"/>
      <c r="G183" s="3"/>
      <c r="H183" s="5"/>
      <c r="I183" s="1"/>
      <c r="J183" s="7"/>
      <c r="K183" s="1"/>
      <c r="L183" s="1"/>
      <c r="M183" s="1"/>
      <c r="N183" s="1"/>
      <c r="O183" s="1"/>
      <c r="P183" s="1"/>
      <c r="Q183" s="1"/>
      <c r="R183" s="1"/>
      <c r="S183" s="1"/>
      <c r="T183" s="1"/>
      <c r="U183" s="1"/>
      <c r="V183" s="1"/>
      <c r="W183" s="1"/>
      <c r="X183" s="1"/>
      <c r="Y183" s="1"/>
      <c r="Z183" s="1"/>
    </row>
    <row r="184" spans="1:26" ht="12.75" customHeight="1" x14ac:dyDescent="0.25">
      <c r="A184" s="1"/>
      <c r="B184" s="1"/>
      <c r="C184" s="3"/>
      <c r="D184" s="3"/>
      <c r="E184" s="5"/>
      <c r="F184" s="5"/>
      <c r="G184" s="3"/>
      <c r="H184" s="5"/>
      <c r="I184" s="1"/>
      <c r="J184" s="7"/>
      <c r="K184" s="1"/>
      <c r="L184" s="1"/>
      <c r="M184" s="1"/>
      <c r="N184" s="1"/>
      <c r="O184" s="1"/>
      <c r="P184" s="1"/>
      <c r="Q184" s="1"/>
      <c r="R184" s="1"/>
      <c r="S184" s="1"/>
      <c r="T184" s="1"/>
      <c r="U184" s="1"/>
      <c r="V184" s="1"/>
      <c r="W184" s="1"/>
      <c r="X184" s="1"/>
      <c r="Y184" s="1"/>
      <c r="Z184" s="1"/>
    </row>
    <row r="185" spans="1:26" ht="12.75" customHeight="1" x14ac:dyDescent="0.25">
      <c r="A185" s="1"/>
      <c r="B185" s="1"/>
      <c r="C185" s="3"/>
      <c r="D185" s="3"/>
      <c r="E185" s="5"/>
      <c r="F185" s="5"/>
      <c r="G185" s="3"/>
      <c r="H185" s="5"/>
      <c r="I185" s="1"/>
      <c r="J185" s="7"/>
      <c r="K185" s="1"/>
      <c r="L185" s="1"/>
      <c r="M185" s="1"/>
      <c r="N185" s="1"/>
      <c r="O185" s="1"/>
      <c r="P185" s="1"/>
      <c r="Q185" s="1"/>
      <c r="R185" s="1"/>
      <c r="S185" s="1"/>
      <c r="T185" s="1"/>
      <c r="U185" s="1"/>
      <c r="V185" s="1"/>
      <c r="W185" s="1"/>
      <c r="X185" s="1"/>
      <c r="Y185" s="1"/>
      <c r="Z185" s="1"/>
    </row>
    <row r="186" spans="1:26" ht="12.75" customHeight="1" x14ac:dyDescent="0.25">
      <c r="A186" s="1"/>
      <c r="B186" s="1"/>
      <c r="C186" s="3"/>
      <c r="D186" s="3"/>
      <c r="E186" s="5"/>
      <c r="F186" s="5"/>
      <c r="G186" s="3"/>
      <c r="H186" s="5"/>
      <c r="I186" s="1"/>
      <c r="J186" s="7"/>
      <c r="K186" s="1"/>
      <c r="L186" s="1"/>
      <c r="M186" s="1"/>
      <c r="N186" s="1"/>
      <c r="O186" s="1"/>
      <c r="P186" s="1"/>
      <c r="Q186" s="1"/>
      <c r="R186" s="1"/>
      <c r="S186" s="1"/>
      <c r="T186" s="1"/>
      <c r="U186" s="1"/>
      <c r="V186" s="1"/>
      <c r="W186" s="1"/>
      <c r="X186" s="1"/>
      <c r="Y186" s="1"/>
      <c r="Z186" s="1"/>
    </row>
    <row r="187" spans="1:26" ht="12.75" customHeight="1" x14ac:dyDescent="0.25">
      <c r="A187" s="1"/>
      <c r="B187" s="1"/>
      <c r="C187" s="3"/>
      <c r="D187" s="3"/>
      <c r="E187" s="5"/>
      <c r="F187" s="5"/>
      <c r="G187" s="3"/>
      <c r="H187" s="5"/>
      <c r="I187" s="1"/>
      <c r="J187" s="7"/>
      <c r="K187" s="1"/>
      <c r="L187" s="1"/>
      <c r="M187" s="1"/>
      <c r="N187" s="1"/>
      <c r="O187" s="1"/>
      <c r="P187" s="1"/>
      <c r="Q187" s="1"/>
      <c r="R187" s="1"/>
      <c r="S187" s="1"/>
      <c r="T187" s="1"/>
      <c r="U187" s="1"/>
      <c r="V187" s="1"/>
      <c r="W187" s="1"/>
      <c r="X187" s="1"/>
      <c r="Y187" s="1"/>
      <c r="Z187" s="1"/>
    </row>
    <row r="188" spans="1:26" ht="12.75" customHeight="1" x14ac:dyDescent="0.25">
      <c r="A188" s="1"/>
      <c r="B188" s="1"/>
      <c r="C188" s="3"/>
      <c r="D188" s="3"/>
      <c r="E188" s="5"/>
      <c r="F188" s="5"/>
      <c r="G188" s="3"/>
      <c r="H188" s="5"/>
      <c r="I188" s="1"/>
      <c r="J188" s="7"/>
      <c r="K188" s="1"/>
      <c r="L188" s="1"/>
      <c r="M188" s="1"/>
      <c r="N188" s="1"/>
      <c r="O188" s="1"/>
      <c r="P188" s="1"/>
      <c r="Q188" s="1"/>
      <c r="R188" s="1"/>
      <c r="S188" s="1"/>
      <c r="T188" s="1"/>
      <c r="U188" s="1"/>
      <c r="V188" s="1"/>
      <c r="W188" s="1"/>
      <c r="X188" s="1"/>
      <c r="Y188" s="1"/>
      <c r="Z188" s="1"/>
    </row>
    <row r="189" spans="1:26" ht="12.75" customHeight="1" x14ac:dyDescent="0.25">
      <c r="A189" s="1"/>
      <c r="B189" s="1"/>
      <c r="C189" s="3"/>
      <c r="D189" s="3"/>
      <c r="E189" s="5"/>
      <c r="F189" s="5"/>
      <c r="G189" s="3"/>
      <c r="H189" s="5"/>
      <c r="I189" s="1"/>
      <c r="J189" s="7"/>
      <c r="K189" s="1"/>
      <c r="L189" s="1"/>
      <c r="M189" s="1"/>
      <c r="N189" s="1"/>
      <c r="O189" s="1"/>
      <c r="P189" s="1"/>
      <c r="Q189" s="1"/>
      <c r="R189" s="1"/>
      <c r="S189" s="1"/>
      <c r="T189" s="1"/>
      <c r="U189" s="1"/>
      <c r="V189" s="1"/>
      <c r="W189" s="1"/>
      <c r="X189" s="1"/>
      <c r="Y189" s="1"/>
      <c r="Z189" s="1"/>
    </row>
    <row r="190" spans="1:26" ht="12.75" customHeight="1" x14ac:dyDescent="0.25">
      <c r="A190" s="1"/>
      <c r="B190" s="1"/>
      <c r="C190" s="3"/>
      <c r="D190" s="3"/>
      <c r="E190" s="5"/>
      <c r="F190" s="5"/>
      <c r="G190" s="3"/>
      <c r="H190" s="5"/>
      <c r="I190" s="1"/>
      <c r="J190" s="7"/>
      <c r="K190" s="1"/>
      <c r="L190" s="1"/>
      <c r="M190" s="1"/>
      <c r="N190" s="1"/>
      <c r="O190" s="1"/>
      <c r="P190" s="1"/>
      <c r="Q190" s="1"/>
      <c r="R190" s="1"/>
      <c r="S190" s="1"/>
      <c r="T190" s="1"/>
      <c r="U190" s="1"/>
      <c r="V190" s="1"/>
      <c r="W190" s="1"/>
      <c r="X190" s="1"/>
      <c r="Y190" s="1"/>
      <c r="Z190" s="1"/>
    </row>
    <row r="191" spans="1:26" ht="12.75" customHeight="1" x14ac:dyDescent="0.25">
      <c r="A191" s="1"/>
      <c r="B191" s="1"/>
      <c r="C191" s="3"/>
      <c r="D191" s="3"/>
      <c r="E191" s="5"/>
      <c r="F191" s="5"/>
      <c r="G191" s="3"/>
      <c r="H191" s="5"/>
      <c r="I191" s="1"/>
      <c r="J191" s="7"/>
      <c r="K191" s="1"/>
      <c r="L191" s="1"/>
      <c r="M191" s="1"/>
      <c r="N191" s="1"/>
      <c r="O191" s="1"/>
      <c r="P191" s="1"/>
      <c r="Q191" s="1"/>
      <c r="R191" s="1"/>
      <c r="S191" s="1"/>
      <c r="T191" s="1"/>
      <c r="U191" s="1"/>
      <c r="V191" s="1"/>
      <c r="W191" s="1"/>
      <c r="X191" s="1"/>
      <c r="Y191" s="1"/>
      <c r="Z191" s="1"/>
    </row>
    <row r="192" spans="1:26" ht="12.75" customHeight="1" x14ac:dyDescent="0.25">
      <c r="A192" s="1"/>
      <c r="B192" s="1"/>
      <c r="C192" s="3"/>
      <c r="D192" s="3"/>
      <c r="E192" s="5"/>
      <c r="F192" s="5"/>
      <c r="G192" s="3"/>
      <c r="H192" s="5"/>
      <c r="I192" s="1"/>
      <c r="J192" s="7"/>
      <c r="K192" s="1"/>
      <c r="L192" s="1"/>
      <c r="M192" s="1"/>
      <c r="N192" s="1"/>
      <c r="O192" s="1"/>
      <c r="P192" s="1"/>
      <c r="Q192" s="1"/>
      <c r="R192" s="1"/>
      <c r="S192" s="1"/>
      <c r="T192" s="1"/>
      <c r="U192" s="1"/>
      <c r="V192" s="1"/>
      <c r="W192" s="1"/>
      <c r="X192" s="1"/>
      <c r="Y192" s="1"/>
      <c r="Z192" s="1"/>
    </row>
    <row r="193" spans="1:26" ht="12.75" customHeight="1" x14ac:dyDescent="0.25">
      <c r="A193" s="1"/>
      <c r="B193" s="1"/>
      <c r="C193" s="3"/>
      <c r="D193" s="3"/>
      <c r="E193" s="5"/>
      <c r="F193" s="5"/>
      <c r="G193" s="3"/>
      <c r="H193" s="5"/>
      <c r="I193" s="1"/>
      <c r="J193" s="7"/>
      <c r="K193" s="1"/>
      <c r="L193" s="1"/>
      <c r="M193" s="1"/>
      <c r="N193" s="1"/>
      <c r="O193" s="1"/>
      <c r="P193" s="1"/>
      <c r="Q193" s="1"/>
      <c r="R193" s="1"/>
      <c r="S193" s="1"/>
      <c r="T193" s="1"/>
      <c r="U193" s="1"/>
      <c r="V193" s="1"/>
      <c r="W193" s="1"/>
      <c r="X193" s="1"/>
      <c r="Y193" s="1"/>
      <c r="Z193" s="1"/>
    </row>
    <row r="194" spans="1:26" ht="12.75" customHeight="1" x14ac:dyDescent="0.25">
      <c r="A194" s="1"/>
      <c r="B194" s="1"/>
      <c r="C194" s="3"/>
      <c r="D194" s="3"/>
      <c r="E194" s="5"/>
      <c r="F194" s="5"/>
      <c r="G194" s="3"/>
      <c r="H194" s="5"/>
      <c r="I194" s="1"/>
      <c r="J194" s="7"/>
      <c r="K194" s="1"/>
      <c r="L194" s="1"/>
      <c r="M194" s="1"/>
      <c r="N194" s="1"/>
      <c r="O194" s="1"/>
      <c r="P194" s="1"/>
      <c r="Q194" s="1"/>
      <c r="R194" s="1"/>
      <c r="S194" s="1"/>
      <c r="T194" s="1"/>
      <c r="U194" s="1"/>
      <c r="V194" s="1"/>
      <c r="W194" s="1"/>
      <c r="X194" s="1"/>
      <c r="Y194" s="1"/>
      <c r="Z194" s="1"/>
    </row>
    <row r="195" spans="1:26" ht="12.75" customHeight="1" x14ac:dyDescent="0.25">
      <c r="A195" s="1"/>
      <c r="B195" s="1"/>
      <c r="C195" s="3"/>
      <c r="D195" s="3"/>
      <c r="E195" s="5"/>
      <c r="F195" s="5"/>
      <c r="G195" s="3"/>
      <c r="H195" s="5"/>
      <c r="I195" s="1"/>
      <c r="J195" s="7"/>
      <c r="K195" s="1"/>
      <c r="L195" s="1"/>
      <c r="M195" s="1"/>
      <c r="N195" s="1"/>
      <c r="O195" s="1"/>
      <c r="P195" s="1"/>
      <c r="Q195" s="1"/>
      <c r="R195" s="1"/>
      <c r="S195" s="1"/>
      <c r="T195" s="1"/>
      <c r="U195" s="1"/>
      <c r="V195" s="1"/>
      <c r="W195" s="1"/>
      <c r="X195" s="1"/>
      <c r="Y195" s="1"/>
      <c r="Z195" s="1"/>
    </row>
    <row r="196" spans="1:26" ht="12.75" customHeight="1" x14ac:dyDescent="0.25">
      <c r="A196" s="1"/>
      <c r="B196" s="1"/>
      <c r="C196" s="3"/>
      <c r="D196" s="3"/>
      <c r="E196" s="5"/>
      <c r="F196" s="5"/>
      <c r="G196" s="3"/>
      <c r="H196" s="5"/>
      <c r="I196" s="1"/>
      <c r="J196" s="7"/>
      <c r="K196" s="1"/>
      <c r="L196" s="1"/>
      <c r="M196" s="1"/>
      <c r="N196" s="1"/>
      <c r="O196" s="1"/>
      <c r="P196" s="1"/>
      <c r="Q196" s="1"/>
      <c r="R196" s="1"/>
      <c r="S196" s="1"/>
      <c r="T196" s="1"/>
      <c r="U196" s="1"/>
      <c r="V196" s="1"/>
      <c r="W196" s="1"/>
      <c r="X196" s="1"/>
      <c r="Y196" s="1"/>
      <c r="Z196" s="1"/>
    </row>
    <row r="197" spans="1:26" ht="12.75" customHeight="1" x14ac:dyDescent="0.25">
      <c r="A197" s="1"/>
      <c r="B197" s="1"/>
      <c r="C197" s="3"/>
      <c r="D197" s="3"/>
      <c r="E197" s="5"/>
      <c r="F197" s="5"/>
      <c r="G197" s="3"/>
      <c r="H197" s="5"/>
      <c r="I197" s="1"/>
      <c r="J197" s="7"/>
      <c r="K197" s="1"/>
      <c r="L197" s="1"/>
      <c r="M197" s="1"/>
      <c r="N197" s="1"/>
      <c r="O197" s="1"/>
      <c r="P197" s="1"/>
      <c r="Q197" s="1"/>
      <c r="R197" s="1"/>
      <c r="S197" s="1"/>
      <c r="T197" s="1"/>
      <c r="U197" s="1"/>
      <c r="V197" s="1"/>
      <c r="W197" s="1"/>
      <c r="X197" s="1"/>
      <c r="Y197" s="1"/>
      <c r="Z197" s="1"/>
    </row>
    <row r="198" spans="1:26" ht="12.75" customHeight="1" x14ac:dyDescent="0.25">
      <c r="A198" s="1"/>
      <c r="B198" s="1"/>
      <c r="C198" s="3"/>
      <c r="D198" s="3"/>
      <c r="E198" s="5"/>
      <c r="F198" s="5"/>
      <c r="G198" s="3"/>
      <c r="H198" s="5"/>
      <c r="I198" s="1"/>
      <c r="J198" s="7"/>
      <c r="K198" s="1"/>
      <c r="L198" s="1"/>
      <c r="M198" s="1"/>
      <c r="N198" s="1"/>
      <c r="O198" s="1"/>
      <c r="P198" s="1"/>
      <c r="Q198" s="1"/>
      <c r="R198" s="1"/>
      <c r="S198" s="1"/>
      <c r="T198" s="1"/>
      <c r="U198" s="1"/>
      <c r="V198" s="1"/>
      <c r="W198" s="1"/>
      <c r="X198" s="1"/>
      <c r="Y198" s="1"/>
      <c r="Z198" s="1"/>
    </row>
    <row r="199" spans="1:26" ht="12.75" customHeight="1" x14ac:dyDescent="0.25">
      <c r="A199" s="1"/>
      <c r="B199" s="1"/>
      <c r="C199" s="3"/>
      <c r="D199" s="3"/>
      <c r="E199" s="5"/>
      <c r="F199" s="5"/>
      <c r="G199" s="3"/>
      <c r="H199" s="5"/>
      <c r="I199" s="1"/>
      <c r="J199" s="7"/>
      <c r="K199" s="1"/>
      <c r="L199" s="1"/>
      <c r="M199" s="1"/>
      <c r="N199" s="1"/>
      <c r="O199" s="1"/>
      <c r="P199" s="1"/>
      <c r="Q199" s="1"/>
      <c r="R199" s="1"/>
      <c r="S199" s="1"/>
      <c r="T199" s="1"/>
      <c r="U199" s="1"/>
      <c r="V199" s="1"/>
      <c r="W199" s="1"/>
      <c r="X199" s="1"/>
      <c r="Y199" s="1"/>
      <c r="Z199" s="1"/>
    </row>
    <row r="200" spans="1:26" ht="12.75" customHeight="1" x14ac:dyDescent="0.25">
      <c r="A200" s="1"/>
      <c r="B200" s="1"/>
      <c r="C200" s="3"/>
      <c r="D200" s="3"/>
      <c r="E200" s="5"/>
      <c r="F200" s="5"/>
      <c r="G200" s="3"/>
      <c r="H200" s="5"/>
      <c r="I200" s="1"/>
      <c r="J200" s="7"/>
      <c r="K200" s="1"/>
      <c r="L200" s="1"/>
      <c r="M200" s="1"/>
      <c r="N200" s="1"/>
      <c r="O200" s="1"/>
      <c r="P200" s="1"/>
      <c r="Q200" s="1"/>
      <c r="R200" s="1"/>
      <c r="S200" s="1"/>
      <c r="T200" s="1"/>
      <c r="U200" s="1"/>
      <c r="V200" s="1"/>
      <c r="W200" s="1"/>
      <c r="X200" s="1"/>
      <c r="Y200" s="1"/>
      <c r="Z200" s="1"/>
    </row>
    <row r="201" spans="1:26" ht="12.75" customHeight="1" x14ac:dyDescent="0.25">
      <c r="A201" s="1"/>
      <c r="B201" s="1"/>
      <c r="C201" s="3"/>
      <c r="D201" s="3"/>
      <c r="E201" s="5"/>
      <c r="F201" s="5"/>
      <c r="G201" s="3"/>
      <c r="H201" s="5"/>
      <c r="I201" s="1"/>
      <c r="J201" s="7"/>
      <c r="K201" s="1"/>
      <c r="L201" s="1"/>
      <c r="M201" s="1"/>
      <c r="N201" s="1"/>
      <c r="O201" s="1"/>
      <c r="P201" s="1"/>
      <c r="Q201" s="1"/>
      <c r="R201" s="1"/>
      <c r="S201" s="1"/>
      <c r="T201" s="1"/>
      <c r="U201" s="1"/>
      <c r="V201" s="1"/>
      <c r="W201" s="1"/>
      <c r="X201" s="1"/>
      <c r="Y201" s="1"/>
      <c r="Z201" s="1"/>
    </row>
    <row r="202" spans="1:26" ht="12.75" customHeight="1" x14ac:dyDescent="0.25">
      <c r="A202" s="1"/>
      <c r="B202" s="1"/>
      <c r="C202" s="3"/>
      <c r="D202" s="3"/>
      <c r="E202" s="5"/>
      <c r="F202" s="5"/>
      <c r="G202" s="3"/>
      <c r="H202" s="5"/>
      <c r="I202" s="1"/>
      <c r="J202" s="7"/>
      <c r="K202" s="1"/>
      <c r="L202" s="1"/>
      <c r="M202" s="1"/>
      <c r="N202" s="1"/>
      <c r="O202" s="1"/>
      <c r="P202" s="1"/>
      <c r="Q202" s="1"/>
      <c r="R202" s="1"/>
      <c r="S202" s="1"/>
      <c r="T202" s="1"/>
      <c r="U202" s="1"/>
      <c r="V202" s="1"/>
      <c r="W202" s="1"/>
      <c r="X202" s="1"/>
      <c r="Y202" s="1"/>
      <c r="Z202" s="1"/>
    </row>
    <row r="203" spans="1:26" ht="12.75" customHeight="1" x14ac:dyDescent="0.25">
      <c r="A203" s="1"/>
      <c r="B203" s="1"/>
      <c r="C203" s="3"/>
      <c r="D203" s="3"/>
      <c r="E203" s="5"/>
      <c r="F203" s="5"/>
      <c r="G203" s="3"/>
      <c r="H203" s="5"/>
      <c r="I203" s="1"/>
      <c r="J203" s="7"/>
      <c r="K203" s="1"/>
      <c r="L203" s="1"/>
      <c r="M203" s="1"/>
      <c r="N203" s="1"/>
      <c r="O203" s="1"/>
      <c r="P203" s="1"/>
      <c r="Q203" s="1"/>
      <c r="R203" s="1"/>
      <c r="S203" s="1"/>
      <c r="T203" s="1"/>
      <c r="U203" s="1"/>
      <c r="V203" s="1"/>
      <c r="W203" s="1"/>
      <c r="X203" s="1"/>
      <c r="Y203" s="1"/>
      <c r="Z203" s="1"/>
    </row>
    <row r="204" spans="1:26" ht="12.75" customHeight="1" x14ac:dyDescent="0.25">
      <c r="A204" s="1"/>
      <c r="B204" s="1"/>
      <c r="C204" s="3"/>
      <c r="D204" s="3"/>
      <c r="E204" s="5"/>
      <c r="F204" s="5"/>
      <c r="G204" s="3"/>
      <c r="H204" s="5"/>
      <c r="I204" s="1"/>
      <c r="J204" s="7"/>
      <c r="K204" s="1"/>
      <c r="L204" s="1"/>
      <c r="M204" s="1"/>
      <c r="N204" s="1"/>
      <c r="O204" s="1"/>
      <c r="P204" s="1"/>
      <c r="Q204" s="1"/>
      <c r="R204" s="1"/>
      <c r="S204" s="1"/>
      <c r="T204" s="1"/>
      <c r="U204" s="1"/>
      <c r="V204" s="1"/>
      <c r="W204" s="1"/>
      <c r="X204" s="1"/>
      <c r="Y204" s="1"/>
      <c r="Z204" s="1"/>
    </row>
    <row r="205" spans="1:26" ht="12.75" customHeight="1" x14ac:dyDescent="0.25">
      <c r="A205" s="1"/>
      <c r="B205" s="1"/>
      <c r="C205" s="3"/>
      <c r="D205" s="3"/>
      <c r="E205" s="5"/>
      <c r="F205" s="5"/>
      <c r="G205" s="3"/>
      <c r="H205" s="5"/>
      <c r="I205" s="1"/>
      <c r="J205" s="7"/>
      <c r="K205" s="1"/>
      <c r="L205" s="1"/>
      <c r="M205" s="1"/>
      <c r="N205" s="1"/>
      <c r="O205" s="1"/>
      <c r="P205" s="1"/>
      <c r="Q205" s="1"/>
      <c r="R205" s="1"/>
      <c r="S205" s="1"/>
      <c r="T205" s="1"/>
      <c r="U205" s="1"/>
      <c r="V205" s="1"/>
      <c r="W205" s="1"/>
      <c r="X205" s="1"/>
      <c r="Y205" s="1"/>
      <c r="Z205" s="1"/>
    </row>
    <row r="206" spans="1:26" ht="12.75" customHeight="1" x14ac:dyDescent="0.25">
      <c r="A206" s="1"/>
      <c r="B206" s="1"/>
      <c r="C206" s="3"/>
      <c r="D206" s="3"/>
      <c r="E206" s="5"/>
      <c r="F206" s="5"/>
      <c r="G206" s="3"/>
      <c r="H206" s="5"/>
      <c r="I206" s="1"/>
      <c r="J206" s="7"/>
      <c r="K206" s="1"/>
      <c r="L206" s="1"/>
      <c r="M206" s="1"/>
      <c r="N206" s="1"/>
      <c r="O206" s="1"/>
      <c r="P206" s="1"/>
      <c r="Q206" s="1"/>
      <c r="R206" s="1"/>
      <c r="S206" s="1"/>
      <c r="T206" s="1"/>
      <c r="U206" s="1"/>
      <c r="V206" s="1"/>
      <c r="W206" s="1"/>
      <c r="X206" s="1"/>
      <c r="Y206" s="1"/>
      <c r="Z206" s="1"/>
    </row>
    <row r="207" spans="1:26" ht="12.75" customHeight="1" x14ac:dyDescent="0.25">
      <c r="A207" s="1"/>
      <c r="B207" s="1"/>
      <c r="C207" s="3"/>
      <c r="D207" s="3"/>
      <c r="E207" s="5"/>
      <c r="F207" s="5"/>
      <c r="G207" s="3"/>
      <c r="H207" s="5"/>
      <c r="I207" s="1"/>
      <c r="J207" s="7"/>
      <c r="K207" s="1"/>
      <c r="L207" s="1"/>
      <c r="M207" s="1"/>
      <c r="N207" s="1"/>
      <c r="O207" s="1"/>
      <c r="P207" s="1"/>
      <c r="Q207" s="1"/>
      <c r="R207" s="1"/>
      <c r="S207" s="1"/>
      <c r="T207" s="1"/>
      <c r="U207" s="1"/>
      <c r="V207" s="1"/>
      <c r="W207" s="1"/>
      <c r="X207" s="1"/>
      <c r="Y207" s="1"/>
      <c r="Z207" s="1"/>
    </row>
    <row r="208" spans="1:26" ht="12.75" customHeight="1" x14ac:dyDescent="0.25">
      <c r="A208" s="1"/>
      <c r="B208" s="1"/>
      <c r="C208" s="3"/>
      <c r="D208" s="3"/>
      <c r="E208" s="5"/>
      <c r="F208" s="5"/>
      <c r="G208" s="3"/>
      <c r="H208" s="5"/>
      <c r="I208" s="1"/>
      <c r="J208" s="7"/>
      <c r="K208" s="1"/>
      <c r="L208" s="1"/>
      <c r="M208" s="1"/>
      <c r="N208" s="1"/>
      <c r="O208" s="1"/>
      <c r="P208" s="1"/>
      <c r="Q208" s="1"/>
      <c r="R208" s="1"/>
      <c r="S208" s="1"/>
      <c r="T208" s="1"/>
      <c r="U208" s="1"/>
      <c r="V208" s="1"/>
      <c r="W208" s="1"/>
      <c r="X208" s="1"/>
      <c r="Y208" s="1"/>
      <c r="Z208" s="1"/>
    </row>
    <row r="209" spans="1:26" ht="12.75" customHeight="1" x14ac:dyDescent="0.25">
      <c r="A209" s="1"/>
      <c r="B209" s="1"/>
      <c r="C209" s="3"/>
      <c r="D209" s="3"/>
      <c r="E209" s="5"/>
      <c r="F209" s="5"/>
      <c r="G209" s="3"/>
      <c r="H209" s="5"/>
      <c r="I209" s="1"/>
      <c r="J209" s="7"/>
      <c r="K209" s="1"/>
      <c r="L209" s="1"/>
      <c r="M209" s="1"/>
      <c r="N209" s="1"/>
      <c r="O209" s="1"/>
      <c r="P209" s="1"/>
      <c r="Q209" s="1"/>
      <c r="R209" s="1"/>
      <c r="S209" s="1"/>
      <c r="T209" s="1"/>
      <c r="U209" s="1"/>
      <c r="V209" s="1"/>
      <c r="W209" s="1"/>
      <c r="X209" s="1"/>
      <c r="Y209" s="1"/>
      <c r="Z209" s="1"/>
    </row>
    <row r="210" spans="1:26" ht="12.75" customHeight="1" x14ac:dyDescent="0.25">
      <c r="A210" s="1"/>
      <c r="B210" s="1"/>
      <c r="C210" s="3"/>
      <c r="D210" s="3"/>
      <c r="E210" s="5"/>
      <c r="F210" s="5"/>
      <c r="G210" s="3"/>
      <c r="H210" s="5"/>
      <c r="I210" s="1"/>
      <c r="J210" s="7"/>
      <c r="K210" s="1"/>
      <c r="L210" s="1"/>
      <c r="M210" s="1"/>
      <c r="N210" s="1"/>
      <c r="O210" s="1"/>
      <c r="P210" s="1"/>
      <c r="Q210" s="1"/>
      <c r="R210" s="1"/>
      <c r="S210" s="1"/>
      <c r="T210" s="1"/>
      <c r="U210" s="1"/>
      <c r="V210" s="1"/>
      <c r="W210" s="1"/>
      <c r="X210" s="1"/>
      <c r="Y210" s="1"/>
      <c r="Z210" s="1"/>
    </row>
    <row r="211" spans="1:26" ht="12.75" customHeight="1" x14ac:dyDescent="0.25">
      <c r="A211" s="1"/>
      <c r="B211" s="1"/>
      <c r="C211" s="3"/>
      <c r="D211" s="3"/>
      <c r="E211" s="5"/>
      <c r="F211" s="5"/>
      <c r="G211" s="3"/>
      <c r="H211" s="5"/>
      <c r="I211" s="1"/>
      <c r="J211" s="7"/>
      <c r="K211" s="1"/>
      <c r="L211" s="1"/>
      <c r="M211" s="1"/>
      <c r="N211" s="1"/>
      <c r="O211" s="1"/>
      <c r="P211" s="1"/>
      <c r="Q211" s="1"/>
      <c r="R211" s="1"/>
      <c r="S211" s="1"/>
      <c r="T211" s="1"/>
      <c r="U211" s="1"/>
      <c r="V211" s="1"/>
      <c r="W211" s="1"/>
      <c r="X211" s="1"/>
      <c r="Y211" s="1"/>
      <c r="Z211" s="1"/>
    </row>
    <row r="212" spans="1:26" ht="12.75" customHeight="1" x14ac:dyDescent="0.25">
      <c r="A212" s="1"/>
      <c r="B212" s="1"/>
      <c r="C212" s="3"/>
      <c r="D212" s="3"/>
      <c r="E212" s="5"/>
      <c r="F212" s="5"/>
      <c r="G212" s="3"/>
      <c r="H212" s="5"/>
      <c r="I212" s="1"/>
      <c r="J212" s="7"/>
      <c r="K212" s="1"/>
      <c r="L212" s="1"/>
      <c r="M212" s="1"/>
      <c r="N212" s="1"/>
      <c r="O212" s="1"/>
      <c r="P212" s="1"/>
      <c r="Q212" s="1"/>
      <c r="R212" s="1"/>
      <c r="S212" s="1"/>
      <c r="T212" s="1"/>
      <c r="U212" s="1"/>
      <c r="V212" s="1"/>
      <c r="W212" s="1"/>
      <c r="X212" s="1"/>
      <c r="Y212" s="1"/>
      <c r="Z212" s="1"/>
    </row>
    <row r="213" spans="1:26" ht="12.75" customHeight="1" x14ac:dyDescent="0.25">
      <c r="A213" s="1"/>
      <c r="B213" s="1"/>
      <c r="C213" s="3"/>
      <c r="D213" s="3"/>
      <c r="E213" s="5"/>
      <c r="F213" s="5"/>
      <c r="G213" s="3"/>
      <c r="H213" s="5"/>
      <c r="I213" s="1"/>
      <c r="J213" s="7"/>
      <c r="K213" s="1"/>
      <c r="L213" s="1"/>
      <c r="M213" s="1"/>
      <c r="N213" s="1"/>
      <c r="O213" s="1"/>
      <c r="P213" s="1"/>
      <c r="Q213" s="1"/>
      <c r="R213" s="1"/>
      <c r="S213" s="1"/>
      <c r="T213" s="1"/>
      <c r="U213" s="1"/>
      <c r="V213" s="1"/>
      <c r="W213" s="1"/>
      <c r="X213" s="1"/>
      <c r="Y213" s="1"/>
      <c r="Z213" s="1"/>
    </row>
    <row r="214" spans="1:26" ht="12.75" customHeight="1" x14ac:dyDescent="0.25">
      <c r="A214" s="1"/>
      <c r="B214" s="1"/>
      <c r="C214" s="3"/>
      <c r="D214" s="3"/>
      <c r="E214" s="5"/>
      <c r="F214" s="5"/>
      <c r="G214" s="3"/>
      <c r="H214" s="5"/>
      <c r="I214" s="1"/>
      <c r="J214" s="7"/>
      <c r="K214" s="1"/>
      <c r="L214" s="1"/>
      <c r="M214" s="1"/>
      <c r="N214" s="1"/>
      <c r="O214" s="1"/>
      <c r="P214" s="1"/>
      <c r="Q214" s="1"/>
      <c r="R214" s="1"/>
      <c r="S214" s="1"/>
      <c r="T214" s="1"/>
      <c r="U214" s="1"/>
      <c r="V214" s="1"/>
      <c r="W214" s="1"/>
      <c r="X214" s="1"/>
      <c r="Y214" s="1"/>
      <c r="Z214" s="1"/>
    </row>
    <row r="215" spans="1:26" ht="12.75" customHeight="1" x14ac:dyDescent="0.25">
      <c r="A215" s="1"/>
      <c r="B215" s="1"/>
      <c r="C215" s="3"/>
      <c r="D215" s="3"/>
      <c r="E215" s="5"/>
      <c r="F215" s="5"/>
      <c r="G215" s="3"/>
      <c r="H215" s="5"/>
      <c r="I215" s="1"/>
      <c r="J215" s="7"/>
      <c r="K215" s="1"/>
      <c r="L215" s="1"/>
      <c r="M215" s="1"/>
      <c r="N215" s="1"/>
      <c r="O215" s="1"/>
      <c r="P215" s="1"/>
      <c r="Q215" s="1"/>
      <c r="R215" s="1"/>
      <c r="S215" s="1"/>
      <c r="T215" s="1"/>
      <c r="U215" s="1"/>
      <c r="V215" s="1"/>
      <c r="W215" s="1"/>
      <c r="X215" s="1"/>
      <c r="Y215" s="1"/>
      <c r="Z215" s="1"/>
    </row>
    <row r="216" spans="1:26" ht="12.75" customHeight="1" x14ac:dyDescent="0.25">
      <c r="A216" s="1"/>
      <c r="B216" s="1"/>
      <c r="C216" s="3"/>
      <c r="D216" s="3"/>
      <c r="E216" s="5"/>
      <c r="F216" s="5"/>
      <c r="G216" s="3"/>
      <c r="H216" s="5"/>
      <c r="I216" s="1"/>
      <c r="J216" s="7"/>
      <c r="K216" s="1"/>
      <c r="L216" s="1"/>
      <c r="M216" s="1"/>
      <c r="N216" s="1"/>
      <c r="O216" s="1"/>
      <c r="P216" s="1"/>
      <c r="Q216" s="1"/>
      <c r="R216" s="1"/>
      <c r="S216" s="1"/>
      <c r="T216" s="1"/>
      <c r="U216" s="1"/>
      <c r="V216" s="1"/>
      <c r="W216" s="1"/>
      <c r="X216" s="1"/>
      <c r="Y216" s="1"/>
      <c r="Z216" s="1"/>
    </row>
    <row r="217" spans="1:26" ht="12.75" customHeight="1" x14ac:dyDescent="0.25">
      <c r="A217" s="1"/>
      <c r="B217" s="1"/>
      <c r="C217" s="3"/>
      <c r="D217" s="3"/>
      <c r="E217" s="5"/>
      <c r="F217" s="5"/>
      <c r="G217" s="3"/>
      <c r="H217" s="5"/>
      <c r="I217" s="1"/>
      <c r="J217" s="7"/>
      <c r="K217" s="1"/>
      <c r="L217" s="1"/>
      <c r="M217" s="1"/>
      <c r="N217" s="1"/>
      <c r="O217" s="1"/>
      <c r="P217" s="1"/>
      <c r="Q217" s="1"/>
      <c r="R217" s="1"/>
      <c r="S217" s="1"/>
      <c r="T217" s="1"/>
      <c r="U217" s="1"/>
      <c r="V217" s="1"/>
      <c r="W217" s="1"/>
      <c r="X217" s="1"/>
      <c r="Y217" s="1"/>
      <c r="Z217" s="1"/>
    </row>
    <row r="218" spans="1:26" ht="12.75" customHeight="1" x14ac:dyDescent="0.25">
      <c r="A218" s="1"/>
      <c r="B218" s="1"/>
      <c r="C218" s="3"/>
      <c r="D218" s="3"/>
      <c r="E218" s="5"/>
      <c r="F218" s="5"/>
      <c r="G218" s="3"/>
      <c r="H218" s="5"/>
      <c r="I218" s="1"/>
      <c r="J218" s="7"/>
      <c r="K218" s="1"/>
      <c r="L218" s="1"/>
      <c r="M218" s="1"/>
      <c r="N218" s="1"/>
      <c r="O218" s="1"/>
      <c r="P218" s="1"/>
      <c r="Q218" s="1"/>
      <c r="R218" s="1"/>
      <c r="S218" s="1"/>
      <c r="T218" s="1"/>
      <c r="U218" s="1"/>
      <c r="V218" s="1"/>
      <c r="W218" s="1"/>
      <c r="X218" s="1"/>
      <c r="Y218" s="1"/>
      <c r="Z218" s="1"/>
    </row>
    <row r="219" spans="1:26" ht="12.75" customHeight="1" x14ac:dyDescent="0.25">
      <c r="A219" s="1"/>
      <c r="B219" s="1"/>
      <c r="C219" s="3"/>
      <c r="D219" s="3"/>
      <c r="E219" s="5"/>
      <c r="F219" s="5"/>
      <c r="G219" s="3"/>
      <c r="H219" s="5"/>
      <c r="I219" s="1"/>
      <c r="J219" s="7"/>
      <c r="K219" s="1"/>
      <c r="L219" s="1"/>
      <c r="M219" s="1"/>
      <c r="N219" s="1"/>
      <c r="O219" s="1"/>
      <c r="P219" s="1"/>
      <c r="Q219" s="1"/>
      <c r="R219" s="1"/>
      <c r="S219" s="1"/>
      <c r="T219" s="1"/>
      <c r="U219" s="1"/>
      <c r="V219" s="1"/>
      <c r="W219" s="1"/>
      <c r="X219" s="1"/>
      <c r="Y219" s="1"/>
      <c r="Z219" s="1"/>
    </row>
    <row r="220" spans="1:26" ht="12.75" customHeight="1" x14ac:dyDescent="0.25">
      <c r="A220" s="1"/>
      <c r="B220" s="1"/>
      <c r="C220" s="3"/>
      <c r="D220" s="3"/>
      <c r="E220" s="5"/>
      <c r="F220" s="5"/>
      <c r="G220" s="3"/>
      <c r="H220" s="5"/>
      <c r="I220" s="1"/>
      <c r="J220" s="7"/>
      <c r="K220" s="1"/>
      <c r="L220" s="1"/>
      <c r="M220" s="1"/>
      <c r="N220" s="1"/>
      <c r="O220" s="1"/>
      <c r="P220" s="1"/>
      <c r="Q220" s="1"/>
      <c r="R220" s="1"/>
      <c r="S220" s="1"/>
      <c r="T220" s="1"/>
      <c r="U220" s="1"/>
      <c r="V220" s="1"/>
      <c r="W220" s="1"/>
      <c r="X220" s="1"/>
      <c r="Y220" s="1"/>
      <c r="Z220" s="1"/>
    </row>
    <row r="221" spans="1:26" ht="12.75" customHeight="1" x14ac:dyDescent="0.25">
      <c r="A221" s="1"/>
      <c r="B221" s="1"/>
      <c r="C221" s="3"/>
      <c r="D221" s="3"/>
      <c r="E221" s="5"/>
      <c r="F221" s="5"/>
      <c r="G221" s="3"/>
      <c r="H221" s="5"/>
      <c r="I221" s="1"/>
      <c r="J221" s="7"/>
      <c r="K221" s="1"/>
      <c r="L221" s="1"/>
      <c r="M221" s="1"/>
      <c r="N221" s="1"/>
      <c r="O221" s="1"/>
      <c r="P221" s="1"/>
      <c r="Q221" s="1"/>
      <c r="R221" s="1"/>
      <c r="S221" s="1"/>
      <c r="T221" s="1"/>
      <c r="U221" s="1"/>
      <c r="V221" s="1"/>
      <c r="W221" s="1"/>
      <c r="X221" s="1"/>
      <c r="Y221" s="1"/>
      <c r="Z221" s="1"/>
    </row>
    <row r="222" spans="1:26" ht="12.75" customHeight="1" x14ac:dyDescent="0.25">
      <c r="A222" s="1"/>
      <c r="B222" s="1"/>
      <c r="C222" s="3"/>
      <c r="D222" s="3"/>
      <c r="E222" s="5"/>
      <c r="F222" s="5"/>
      <c r="G222" s="3"/>
      <c r="H222" s="5"/>
      <c r="I222" s="1"/>
      <c r="J222" s="7"/>
      <c r="K222" s="1"/>
      <c r="L222" s="1"/>
      <c r="M222" s="1"/>
      <c r="N222" s="1"/>
      <c r="O222" s="1"/>
      <c r="P222" s="1"/>
      <c r="Q222" s="1"/>
      <c r="R222" s="1"/>
      <c r="S222" s="1"/>
      <c r="T222" s="1"/>
      <c r="U222" s="1"/>
      <c r="V222" s="1"/>
      <c r="W222" s="1"/>
      <c r="X222" s="1"/>
      <c r="Y222" s="1"/>
      <c r="Z222" s="1"/>
    </row>
    <row r="223" spans="1:26" ht="12.75" customHeight="1" x14ac:dyDescent="0.25">
      <c r="A223" s="1"/>
      <c r="B223" s="1"/>
      <c r="C223" s="3"/>
      <c r="D223" s="3"/>
      <c r="E223" s="5"/>
      <c r="F223" s="5"/>
      <c r="G223" s="3"/>
      <c r="H223" s="5"/>
      <c r="I223" s="1"/>
      <c r="J223" s="7"/>
      <c r="K223" s="1"/>
      <c r="L223" s="1"/>
      <c r="M223" s="1"/>
      <c r="N223" s="1"/>
      <c r="O223" s="1"/>
      <c r="P223" s="1"/>
      <c r="Q223" s="1"/>
      <c r="R223" s="1"/>
      <c r="S223" s="1"/>
      <c r="T223" s="1"/>
      <c r="U223" s="1"/>
      <c r="V223" s="1"/>
      <c r="W223" s="1"/>
      <c r="X223" s="1"/>
      <c r="Y223" s="1"/>
      <c r="Z223" s="1"/>
    </row>
    <row r="224" spans="1:26" ht="12.75" customHeight="1" x14ac:dyDescent="0.25">
      <c r="A224" s="1"/>
      <c r="B224" s="1"/>
      <c r="C224" s="3"/>
      <c r="D224" s="3"/>
      <c r="E224" s="5"/>
      <c r="F224" s="5"/>
      <c r="G224" s="3"/>
      <c r="H224" s="5"/>
      <c r="I224" s="1"/>
      <c r="J224" s="7"/>
      <c r="K224" s="1"/>
      <c r="L224" s="1"/>
      <c r="M224" s="1"/>
      <c r="N224" s="1"/>
      <c r="O224" s="1"/>
      <c r="P224" s="1"/>
      <c r="Q224" s="1"/>
      <c r="R224" s="1"/>
      <c r="S224" s="1"/>
      <c r="T224" s="1"/>
      <c r="U224" s="1"/>
      <c r="V224" s="1"/>
      <c r="W224" s="1"/>
      <c r="X224" s="1"/>
      <c r="Y224" s="1"/>
      <c r="Z224" s="1"/>
    </row>
    <row r="225" spans="1:26" ht="12.75" customHeight="1" x14ac:dyDescent="0.25">
      <c r="A225" s="1"/>
      <c r="B225" s="1"/>
      <c r="C225" s="3"/>
      <c r="D225" s="3"/>
      <c r="E225" s="5"/>
      <c r="F225" s="5"/>
      <c r="G225" s="3"/>
      <c r="H225" s="5"/>
      <c r="I225" s="1"/>
      <c r="J225" s="7"/>
      <c r="K225" s="1"/>
      <c r="L225" s="1"/>
      <c r="M225" s="1"/>
      <c r="N225" s="1"/>
      <c r="O225" s="1"/>
      <c r="P225" s="1"/>
      <c r="Q225" s="1"/>
      <c r="R225" s="1"/>
      <c r="S225" s="1"/>
      <c r="T225" s="1"/>
      <c r="U225" s="1"/>
      <c r="V225" s="1"/>
      <c r="W225" s="1"/>
      <c r="X225" s="1"/>
      <c r="Y225" s="1"/>
      <c r="Z225" s="1"/>
    </row>
    <row r="226" spans="1:26" ht="12.75" customHeight="1" x14ac:dyDescent="0.25">
      <c r="A226" s="1"/>
      <c r="B226" s="1"/>
      <c r="C226" s="3"/>
      <c r="D226" s="3"/>
      <c r="E226" s="5"/>
      <c r="F226" s="5"/>
      <c r="G226" s="3"/>
      <c r="H226" s="5"/>
      <c r="I226" s="1"/>
      <c r="J226" s="7"/>
      <c r="K226" s="1"/>
      <c r="L226" s="1"/>
      <c r="M226" s="1"/>
      <c r="N226" s="1"/>
      <c r="O226" s="1"/>
      <c r="P226" s="1"/>
      <c r="Q226" s="1"/>
      <c r="R226" s="1"/>
      <c r="S226" s="1"/>
      <c r="T226" s="1"/>
      <c r="U226" s="1"/>
      <c r="V226" s="1"/>
      <c r="W226" s="1"/>
      <c r="X226" s="1"/>
      <c r="Y226" s="1"/>
      <c r="Z226" s="1"/>
    </row>
    <row r="227" spans="1:26" ht="12.75" customHeight="1" x14ac:dyDescent="0.25">
      <c r="A227" s="1"/>
      <c r="B227" s="1"/>
      <c r="C227" s="3"/>
      <c r="D227" s="3"/>
      <c r="E227" s="5"/>
      <c r="F227" s="5"/>
      <c r="G227" s="3"/>
      <c r="H227" s="5"/>
      <c r="I227" s="1"/>
      <c r="J227" s="7"/>
      <c r="K227" s="1"/>
      <c r="L227" s="1"/>
      <c r="M227" s="1"/>
      <c r="N227" s="1"/>
      <c r="O227" s="1"/>
      <c r="P227" s="1"/>
      <c r="Q227" s="1"/>
      <c r="R227" s="1"/>
      <c r="S227" s="1"/>
      <c r="T227" s="1"/>
      <c r="U227" s="1"/>
      <c r="V227" s="1"/>
      <c r="W227" s="1"/>
      <c r="X227" s="1"/>
      <c r="Y227" s="1"/>
      <c r="Z227" s="1"/>
    </row>
    <row r="228" spans="1:26" ht="12.75" customHeight="1" x14ac:dyDescent="0.25">
      <c r="A228" s="1"/>
      <c r="B228" s="1"/>
      <c r="C228" s="3"/>
      <c r="D228" s="3"/>
      <c r="E228" s="5"/>
      <c r="F228" s="5"/>
      <c r="G228" s="3"/>
      <c r="H228" s="5"/>
      <c r="I228" s="1"/>
      <c r="J228" s="7"/>
      <c r="K228" s="1"/>
      <c r="L228" s="1"/>
      <c r="M228" s="1"/>
      <c r="N228" s="1"/>
      <c r="O228" s="1"/>
      <c r="P228" s="1"/>
      <c r="Q228" s="1"/>
      <c r="R228" s="1"/>
      <c r="S228" s="1"/>
      <c r="T228" s="1"/>
      <c r="U228" s="1"/>
      <c r="V228" s="1"/>
      <c r="W228" s="1"/>
      <c r="X228" s="1"/>
      <c r="Y228" s="1"/>
      <c r="Z228" s="1"/>
    </row>
    <row r="229" spans="1:26" ht="12.75" customHeight="1" x14ac:dyDescent="0.25">
      <c r="A229" s="1"/>
      <c r="B229" s="1"/>
      <c r="C229" s="3"/>
      <c r="D229" s="3"/>
      <c r="E229" s="5"/>
      <c r="F229" s="5"/>
      <c r="G229" s="3"/>
      <c r="H229" s="5"/>
      <c r="I229" s="1"/>
      <c r="J229" s="7"/>
      <c r="K229" s="1"/>
      <c r="L229" s="1"/>
      <c r="M229" s="1"/>
      <c r="N229" s="1"/>
      <c r="O229" s="1"/>
      <c r="P229" s="1"/>
      <c r="Q229" s="1"/>
      <c r="R229" s="1"/>
      <c r="S229" s="1"/>
      <c r="T229" s="1"/>
      <c r="U229" s="1"/>
      <c r="V229" s="1"/>
      <c r="W229" s="1"/>
      <c r="X229" s="1"/>
      <c r="Y229" s="1"/>
      <c r="Z229" s="1"/>
    </row>
    <row r="230" spans="1:26" ht="12.75" customHeight="1" x14ac:dyDescent="0.25">
      <c r="A230" s="1"/>
      <c r="B230" s="1"/>
      <c r="C230" s="3"/>
      <c r="D230" s="3"/>
      <c r="E230" s="5"/>
      <c r="F230" s="5"/>
      <c r="G230" s="3"/>
      <c r="H230" s="5"/>
      <c r="I230" s="1"/>
      <c r="J230" s="7"/>
      <c r="K230" s="1"/>
      <c r="L230" s="1"/>
      <c r="M230" s="1"/>
      <c r="N230" s="1"/>
      <c r="O230" s="1"/>
      <c r="P230" s="1"/>
      <c r="Q230" s="1"/>
      <c r="R230" s="1"/>
      <c r="S230" s="1"/>
      <c r="T230" s="1"/>
      <c r="U230" s="1"/>
      <c r="V230" s="1"/>
      <c r="W230" s="1"/>
      <c r="X230" s="1"/>
      <c r="Y230" s="1"/>
      <c r="Z230" s="1"/>
    </row>
    <row r="231" spans="1:26" ht="12.75" customHeight="1" x14ac:dyDescent="0.25">
      <c r="A231" s="1"/>
      <c r="B231" s="1"/>
      <c r="C231" s="3"/>
      <c r="D231" s="3"/>
      <c r="E231" s="5"/>
      <c r="F231" s="5"/>
      <c r="G231" s="3"/>
      <c r="H231" s="5"/>
      <c r="I231" s="1"/>
      <c r="J231" s="7"/>
      <c r="K231" s="1"/>
      <c r="L231" s="1"/>
      <c r="M231" s="1"/>
      <c r="N231" s="1"/>
      <c r="O231" s="1"/>
      <c r="P231" s="1"/>
      <c r="Q231" s="1"/>
      <c r="R231" s="1"/>
      <c r="S231" s="1"/>
      <c r="T231" s="1"/>
      <c r="U231" s="1"/>
      <c r="V231" s="1"/>
      <c r="W231" s="1"/>
      <c r="X231" s="1"/>
      <c r="Y231" s="1"/>
      <c r="Z231" s="1"/>
    </row>
    <row r="232" spans="1:26" ht="12.75" customHeight="1" x14ac:dyDescent="0.25">
      <c r="A232" s="1"/>
      <c r="B232" s="1"/>
      <c r="C232" s="3"/>
      <c r="D232" s="3"/>
      <c r="E232" s="5"/>
      <c r="F232" s="5"/>
      <c r="G232" s="3"/>
      <c r="H232" s="5"/>
      <c r="I232" s="1"/>
      <c r="J232" s="7"/>
      <c r="K232" s="1"/>
      <c r="L232" s="1"/>
      <c r="M232" s="1"/>
      <c r="N232" s="1"/>
      <c r="O232" s="1"/>
      <c r="P232" s="1"/>
      <c r="Q232" s="1"/>
      <c r="R232" s="1"/>
      <c r="S232" s="1"/>
      <c r="T232" s="1"/>
      <c r="U232" s="1"/>
      <c r="V232" s="1"/>
      <c r="W232" s="1"/>
      <c r="X232" s="1"/>
      <c r="Y232" s="1"/>
      <c r="Z232" s="1"/>
    </row>
    <row r="233" spans="1:26" ht="12.75" customHeight="1" x14ac:dyDescent="0.25">
      <c r="A233" s="1"/>
      <c r="B233" s="1"/>
      <c r="C233" s="3"/>
      <c r="D233" s="3"/>
      <c r="E233" s="5"/>
      <c r="F233" s="5"/>
      <c r="G233" s="3"/>
      <c r="H233" s="5"/>
      <c r="I233" s="1"/>
      <c r="J233" s="7"/>
      <c r="K233" s="1"/>
      <c r="L233" s="1"/>
      <c r="M233" s="1"/>
      <c r="N233" s="1"/>
      <c r="O233" s="1"/>
      <c r="P233" s="1"/>
      <c r="Q233" s="1"/>
      <c r="R233" s="1"/>
      <c r="S233" s="1"/>
      <c r="T233" s="1"/>
      <c r="U233" s="1"/>
      <c r="V233" s="1"/>
      <c r="W233" s="1"/>
      <c r="X233" s="1"/>
      <c r="Y233" s="1"/>
      <c r="Z233" s="1"/>
    </row>
    <row r="234" spans="1:26" ht="12.75" customHeight="1" x14ac:dyDescent="0.25">
      <c r="A234" s="1"/>
      <c r="B234" s="1"/>
      <c r="C234" s="3"/>
      <c r="D234" s="3"/>
      <c r="E234" s="5"/>
      <c r="F234" s="5"/>
      <c r="G234" s="3"/>
      <c r="H234" s="5"/>
      <c r="I234" s="1"/>
      <c r="J234" s="7"/>
      <c r="K234" s="1"/>
      <c r="L234" s="1"/>
      <c r="M234" s="1"/>
      <c r="N234" s="1"/>
      <c r="O234" s="1"/>
      <c r="P234" s="1"/>
      <c r="Q234" s="1"/>
      <c r="R234" s="1"/>
      <c r="S234" s="1"/>
      <c r="T234" s="1"/>
      <c r="U234" s="1"/>
      <c r="V234" s="1"/>
      <c r="W234" s="1"/>
      <c r="X234" s="1"/>
      <c r="Y234" s="1"/>
      <c r="Z234" s="1"/>
    </row>
    <row r="235" spans="1:26" ht="12.75" customHeight="1" x14ac:dyDescent="0.25">
      <c r="A235" s="1"/>
      <c r="B235" s="1"/>
      <c r="C235" s="3"/>
      <c r="D235" s="3"/>
      <c r="E235" s="5"/>
      <c r="F235" s="5"/>
      <c r="G235" s="3"/>
      <c r="H235" s="5"/>
      <c r="I235" s="1"/>
      <c r="J235" s="7"/>
      <c r="K235" s="1"/>
      <c r="L235" s="1"/>
      <c r="M235" s="1"/>
      <c r="N235" s="1"/>
      <c r="O235" s="1"/>
      <c r="P235" s="1"/>
      <c r="Q235" s="1"/>
      <c r="R235" s="1"/>
      <c r="S235" s="1"/>
      <c r="T235" s="1"/>
      <c r="U235" s="1"/>
      <c r="V235" s="1"/>
      <c r="W235" s="1"/>
      <c r="X235" s="1"/>
      <c r="Y235" s="1"/>
      <c r="Z235" s="1"/>
    </row>
    <row r="236" spans="1:26" ht="12.75" customHeight="1" x14ac:dyDescent="0.25">
      <c r="A236" s="1"/>
      <c r="B236" s="1"/>
      <c r="C236" s="3"/>
      <c r="D236" s="3"/>
      <c r="E236" s="5"/>
      <c r="F236" s="5"/>
      <c r="G236" s="3"/>
      <c r="H236" s="5"/>
      <c r="I236" s="1"/>
      <c r="J236" s="7"/>
      <c r="K236" s="1"/>
      <c r="L236" s="1"/>
      <c r="M236" s="1"/>
      <c r="N236" s="1"/>
      <c r="O236" s="1"/>
      <c r="P236" s="1"/>
      <c r="Q236" s="1"/>
      <c r="R236" s="1"/>
      <c r="S236" s="1"/>
      <c r="T236" s="1"/>
      <c r="U236" s="1"/>
      <c r="V236" s="1"/>
      <c r="W236" s="1"/>
      <c r="X236" s="1"/>
      <c r="Y236" s="1"/>
      <c r="Z236" s="1"/>
    </row>
    <row r="237" spans="1:26" ht="12.75" customHeight="1" x14ac:dyDescent="0.25">
      <c r="A237" s="1"/>
      <c r="B237" s="1"/>
      <c r="C237" s="3"/>
      <c r="D237" s="3"/>
      <c r="E237" s="5"/>
      <c r="F237" s="5"/>
      <c r="G237" s="3"/>
      <c r="H237" s="5"/>
      <c r="I237" s="1"/>
      <c r="J237" s="7"/>
      <c r="K237" s="1"/>
      <c r="L237" s="1"/>
      <c r="M237" s="1"/>
      <c r="N237" s="1"/>
      <c r="O237" s="1"/>
      <c r="P237" s="1"/>
      <c r="Q237" s="1"/>
      <c r="R237" s="1"/>
      <c r="S237" s="1"/>
      <c r="T237" s="1"/>
      <c r="U237" s="1"/>
      <c r="V237" s="1"/>
      <c r="W237" s="1"/>
      <c r="X237" s="1"/>
      <c r="Y237" s="1"/>
      <c r="Z237" s="1"/>
    </row>
    <row r="238" spans="1:26" ht="12.75" customHeight="1" x14ac:dyDescent="0.25">
      <c r="A238" s="1"/>
      <c r="B238" s="1"/>
      <c r="C238" s="3"/>
      <c r="D238" s="3"/>
      <c r="E238" s="5"/>
      <c r="F238" s="5"/>
      <c r="G238" s="3"/>
      <c r="H238" s="5"/>
      <c r="I238" s="1"/>
      <c r="J238" s="7"/>
      <c r="K238" s="1"/>
      <c r="L238" s="1"/>
      <c r="M238" s="1"/>
      <c r="N238" s="1"/>
      <c r="O238" s="1"/>
      <c r="P238" s="1"/>
      <c r="Q238" s="1"/>
      <c r="R238" s="1"/>
      <c r="S238" s="1"/>
      <c r="T238" s="1"/>
      <c r="U238" s="1"/>
      <c r="V238" s="1"/>
      <c r="W238" s="1"/>
      <c r="X238" s="1"/>
      <c r="Y238" s="1"/>
      <c r="Z238" s="1"/>
    </row>
    <row r="239" spans="1:26" ht="12.75" customHeight="1" x14ac:dyDescent="0.25">
      <c r="A239" s="1"/>
      <c r="B239" s="1"/>
      <c r="C239" s="3"/>
      <c r="D239" s="3"/>
      <c r="E239" s="5"/>
      <c r="F239" s="5"/>
      <c r="G239" s="3"/>
      <c r="H239" s="5"/>
      <c r="I239" s="1"/>
      <c r="J239" s="7"/>
      <c r="K239" s="1"/>
      <c r="L239" s="1"/>
      <c r="M239" s="1"/>
      <c r="N239" s="1"/>
      <c r="O239" s="1"/>
      <c r="P239" s="1"/>
      <c r="Q239" s="1"/>
      <c r="R239" s="1"/>
      <c r="S239" s="1"/>
      <c r="T239" s="1"/>
      <c r="U239" s="1"/>
      <c r="V239" s="1"/>
      <c r="W239" s="1"/>
      <c r="X239" s="1"/>
      <c r="Y239" s="1"/>
      <c r="Z239" s="1"/>
    </row>
    <row r="240" spans="1:26" ht="12.75" customHeight="1" x14ac:dyDescent="0.25">
      <c r="A240" s="1"/>
      <c r="B240" s="1"/>
      <c r="C240" s="3"/>
      <c r="D240" s="3"/>
      <c r="E240" s="5"/>
      <c r="F240" s="5"/>
      <c r="G240" s="3"/>
      <c r="H240" s="5"/>
      <c r="I240" s="1"/>
      <c r="J240" s="7"/>
      <c r="K240" s="1"/>
      <c r="L240" s="1"/>
      <c r="M240" s="1"/>
      <c r="N240" s="1"/>
      <c r="O240" s="1"/>
      <c r="P240" s="1"/>
      <c r="Q240" s="1"/>
      <c r="R240" s="1"/>
      <c r="S240" s="1"/>
      <c r="T240" s="1"/>
      <c r="U240" s="1"/>
      <c r="V240" s="1"/>
      <c r="W240" s="1"/>
      <c r="X240" s="1"/>
      <c r="Y240" s="1"/>
      <c r="Z240" s="1"/>
    </row>
    <row r="241" spans="1:26" ht="12.75" customHeight="1" x14ac:dyDescent="0.25">
      <c r="A241" s="1"/>
      <c r="B241" s="1"/>
      <c r="C241" s="3"/>
      <c r="D241" s="3"/>
      <c r="E241" s="5"/>
      <c r="F241" s="5"/>
      <c r="G241" s="3"/>
      <c r="H241" s="5"/>
      <c r="I241" s="1"/>
      <c r="J241" s="7"/>
      <c r="K241" s="1"/>
      <c r="L241" s="1"/>
      <c r="M241" s="1"/>
      <c r="N241" s="1"/>
      <c r="O241" s="1"/>
      <c r="P241" s="1"/>
      <c r="Q241" s="1"/>
      <c r="R241" s="1"/>
      <c r="S241" s="1"/>
      <c r="T241" s="1"/>
      <c r="U241" s="1"/>
      <c r="V241" s="1"/>
      <c r="W241" s="1"/>
      <c r="X241" s="1"/>
      <c r="Y241" s="1"/>
      <c r="Z241" s="1"/>
    </row>
    <row r="242" spans="1:26" ht="12.75" customHeight="1" x14ac:dyDescent="0.25">
      <c r="A242" s="1"/>
      <c r="B242" s="1"/>
      <c r="C242" s="3"/>
      <c r="D242" s="3"/>
      <c r="E242" s="5"/>
      <c r="F242" s="5"/>
      <c r="G242" s="3"/>
      <c r="H242" s="5"/>
      <c r="I242" s="1"/>
      <c r="J242" s="7"/>
      <c r="K242" s="1"/>
      <c r="L242" s="1"/>
      <c r="M242" s="1"/>
      <c r="N242" s="1"/>
      <c r="O242" s="1"/>
      <c r="P242" s="1"/>
      <c r="Q242" s="1"/>
      <c r="R242" s="1"/>
      <c r="S242" s="1"/>
      <c r="T242" s="1"/>
      <c r="U242" s="1"/>
      <c r="V242" s="1"/>
      <c r="W242" s="1"/>
      <c r="X242" s="1"/>
      <c r="Y242" s="1"/>
      <c r="Z242" s="1"/>
    </row>
    <row r="243" spans="1:26" ht="12.75" customHeight="1" x14ac:dyDescent="0.25">
      <c r="A243" s="1"/>
      <c r="B243" s="1"/>
      <c r="C243" s="3"/>
      <c r="D243" s="3"/>
      <c r="E243" s="5"/>
      <c r="F243" s="5"/>
      <c r="G243" s="3"/>
      <c r="H243" s="5"/>
      <c r="I243" s="1"/>
      <c r="J243" s="7"/>
      <c r="K243" s="1"/>
      <c r="L243" s="1"/>
      <c r="M243" s="1"/>
      <c r="N243" s="1"/>
      <c r="O243" s="1"/>
      <c r="P243" s="1"/>
      <c r="Q243" s="1"/>
      <c r="R243" s="1"/>
      <c r="S243" s="1"/>
      <c r="T243" s="1"/>
      <c r="U243" s="1"/>
      <c r="V243" s="1"/>
      <c r="W243" s="1"/>
      <c r="X243" s="1"/>
      <c r="Y243" s="1"/>
      <c r="Z243" s="1"/>
    </row>
    <row r="244" spans="1:26" ht="12.75" customHeight="1" x14ac:dyDescent="0.25">
      <c r="A244" s="1"/>
      <c r="B244" s="1"/>
      <c r="C244" s="3"/>
      <c r="D244" s="3"/>
      <c r="E244" s="5"/>
      <c r="F244" s="5"/>
      <c r="G244" s="3"/>
      <c r="H244" s="5"/>
      <c r="I244" s="1"/>
      <c r="J244" s="7"/>
      <c r="K244" s="1"/>
      <c r="L244" s="1"/>
      <c r="M244" s="1"/>
      <c r="N244" s="1"/>
      <c r="O244" s="1"/>
      <c r="P244" s="1"/>
      <c r="Q244" s="1"/>
      <c r="R244" s="1"/>
      <c r="S244" s="1"/>
      <c r="T244" s="1"/>
      <c r="U244" s="1"/>
      <c r="V244" s="1"/>
      <c r="W244" s="1"/>
      <c r="X244" s="1"/>
      <c r="Y244" s="1"/>
      <c r="Z244" s="1"/>
    </row>
    <row r="245" spans="1:26" ht="12.75" customHeight="1" x14ac:dyDescent="0.25">
      <c r="A245" s="1"/>
      <c r="B245" s="1"/>
      <c r="C245" s="3"/>
      <c r="D245" s="3"/>
      <c r="E245" s="5"/>
      <c r="F245" s="5"/>
      <c r="G245" s="3"/>
      <c r="H245" s="5"/>
      <c r="I245" s="1"/>
      <c r="J245" s="7"/>
      <c r="K245" s="1"/>
      <c r="L245" s="1"/>
      <c r="M245" s="1"/>
      <c r="N245" s="1"/>
      <c r="O245" s="1"/>
      <c r="P245" s="1"/>
      <c r="Q245" s="1"/>
      <c r="R245" s="1"/>
      <c r="S245" s="1"/>
      <c r="T245" s="1"/>
      <c r="U245" s="1"/>
      <c r="V245" s="1"/>
      <c r="W245" s="1"/>
      <c r="X245" s="1"/>
      <c r="Y245" s="1"/>
      <c r="Z245" s="1"/>
    </row>
    <row r="246" spans="1:26" ht="12.75" customHeight="1" x14ac:dyDescent="0.25">
      <c r="A246" s="1"/>
      <c r="B246" s="1"/>
      <c r="C246" s="3"/>
      <c r="D246" s="3"/>
      <c r="E246" s="5"/>
      <c r="F246" s="5"/>
      <c r="G246" s="3"/>
      <c r="H246" s="5"/>
      <c r="I246" s="1"/>
      <c r="J246" s="7"/>
      <c r="K246" s="1"/>
      <c r="L246" s="1"/>
      <c r="M246" s="1"/>
      <c r="N246" s="1"/>
      <c r="O246" s="1"/>
      <c r="P246" s="1"/>
      <c r="Q246" s="1"/>
      <c r="R246" s="1"/>
      <c r="S246" s="1"/>
      <c r="T246" s="1"/>
      <c r="U246" s="1"/>
      <c r="V246" s="1"/>
      <c r="W246" s="1"/>
      <c r="X246" s="1"/>
      <c r="Y246" s="1"/>
      <c r="Z246" s="1"/>
    </row>
    <row r="247" spans="1:26" ht="12.75" customHeight="1" x14ac:dyDescent="0.25">
      <c r="A247" s="1"/>
      <c r="B247" s="1"/>
      <c r="C247" s="3"/>
      <c r="D247" s="3"/>
      <c r="E247" s="5"/>
      <c r="F247" s="5"/>
      <c r="G247" s="3"/>
      <c r="H247" s="5"/>
      <c r="I247" s="1"/>
      <c r="J247" s="7"/>
      <c r="K247" s="1"/>
      <c r="L247" s="1"/>
      <c r="M247" s="1"/>
      <c r="N247" s="1"/>
      <c r="O247" s="1"/>
      <c r="P247" s="1"/>
      <c r="Q247" s="1"/>
      <c r="R247" s="1"/>
      <c r="S247" s="1"/>
      <c r="T247" s="1"/>
      <c r="U247" s="1"/>
      <c r="V247" s="1"/>
      <c r="W247" s="1"/>
      <c r="X247" s="1"/>
      <c r="Y247" s="1"/>
      <c r="Z247" s="1"/>
    </row>
    <row r="248" spans="1:26" ht="12.75" customHeight="1" x14ac:dyDescent="0.25">
      <c r="A248" s="1"/>
      <c r="B248" s="1"/>
      <c r="C248" s="3"/>
      <c r="D248" s="3"/>
      <c r="E248" s="5"/>
      <c r="F248" s="5"/>
      <c r="G248" s="3"/>
      <c r="H248" s="5"/>
      <c r="I248" s="1"/>
      <c r="J248" s="7"/>
      <c r="K248" s="1"/>
      <c r="L248" s="1"/>
      <c r="M248" s="1"/>
      <c r="N248" s="1"/>
      <c r="O248" s="1"/>
      <c r="P248" s="1"/>
      <c r="Q248" s="1"/>
      <c r="R248" s="1"/>
      <c r="S248" s="1"/>
      <c r="T248" s="1"/>
      <c r="U248" s="1"/>
      <c r="V248" s="1"/>
      <c r="W248" s="1"/>
      <c r="X248" s="1"/>
      <c r="Y248" s="1"/>
      <c r="Z248" s="1"/>
    </row>
    <row r="249" spans="1:26" ht="12.75" customHeight="1" x14ac:dyDescent="0.25">
      <c r="A249" s="1"/>
      <c r="B249" s="1"/>
      <c r="C249" s="3"/>
      <c r="D249" s="3"/>
      <c r="E249" s="5"/>
      <c r="F249" s="5"/>
      <c r="G249" s="3"/>
      <c r="H249" s="5"/>
      <c r="I249" s="1"/>
      <c r="J249" s="7"/>
      <c r="K249" s="1"/>
      <c r="L249" s="1"/>
      <c r="M249" s="1"/>
      <c r="N249" s="1"/>
      <c r="O249" s="1"/>
      <c r="P249" s="1"/>
      <c r="Q249" s="1"/>
      <c r="R249" s="1"/>
      <c r="S249" s="1"/>
      <c r="T249" s="1"/>
      <c r="U249" s="1"/>
      <c r="V249" s="1"/>
      <c r="W249" s="1"/>
      <c r="X249" s="1"/>
      <c r="Y249" s="1"/>
      <c r="Z249" s="1"/>
    </row>
    <row r="250" spans="1:26" ht="12.75" customHeight="1" x14ac:dyDescent="0.25">
      <c r="A250" s="1"/>
      <c r="B250" s="1"/>
      <c r="C250" s="3"/>
      <c r="D250" s="3"/>
      <c r="E250" s="5"/>
      <c r="F250" s="5"/>
      <c r="G250" s="3"/>
      <c r="H250" s="5"/>
      <c r="I250" s="1"/>
      <c r="J250" s="7"/>
      <c r="K250" s="1"/>
      <c r="L250" s="1"/>
      <c r="M250" s="1"/>
      <c r="N250" s="1"/>
      <c r="O250" s="1"/>
      <c r="P250" s="1"/>
      <c r="Q250" s="1"/>
      <c r="R250" s="1"/>
      <c r="S250" s="1"/>
      <c r="T250" s="1"/>
      <c r="U250" s="1"/>
      <c r="V250" s="1"/>
      <c r="W250" s="1"/>
      <c r="X250" s="1"/>
      <c r="Y250" s="1"/>
      <c r="Z250" s="1"/>
    </row>
    <row r="251" spans="1:26" ht="12.75" customHeight="1" x14ac:dyDescent="0.25">
      <c r="A251" s="1"/>
      <c r="B251" s="1"/>
      <c r="C251" s="3"/>
      <c r="D251" s="3"/>
      <c r="E251" s="5"/>
      <c r="F251" s="5"/>
      <c r="G251" s="3"/>
      <c r="H251" s="5"/>
      <c r="I251" s="1"/>
      <c r="J251" s="7"/>
      <c r="K251" s="1"/>
      <c r="L251" s="1"/>
      <c r="M251" s="1"/>
      <c r="N251" s="1"/>
      <c r="O251" s="1"/>
      <c r="P251" s="1"/>
      <c r="Q251" s="1"/>
      <c r="R251" s="1"/>
      <c r="S251" s="1"/>
      <c r="T251" s="1"/>
      <c r="U251" s="1"/>
      <c r="V251" s="1"/>
      <c r="W251" s="1"/>
      <c r="X251" s="1"/>
      <c r="Y251" s="1"/>
      <c r="Z251" s="1"/>
    </row>
    <row r="252" spans="1:26" ht="12.75" customHeight="1" x14ac:dyDescent="0.25">
      <c r="A252" s="1"/>
      <c r="B252" s="1"/>
      <c r="C252" s="3"/>
      <c r="D252" s="3"/>
      <c r="E252" s="5"/>
      <c r="F252" s="5"/>
      <c r="G252" s="3"/>
      <c r="H252" s="5"/>
      <c r="I252" s="1"/>
      <c r="J252" s="7"/>
      <c r="K252" s="1"/>
      <c r="L252" s="1"/>
      <c r="M252" s="1"/>
      <c r="N252" s="1"/>
      <c r="O252" s="1"/>
      <c r="P252" s="1"/>
      <c r="Q252" s="1"/>
      <c r="R252" s="1"/>
      <c r="S252" s="1"/>
      <c r="T252" s="1"/>
      <c r="U252" s="1"/>
      <c r="V252" s="1"/>
      <c r="W252" s="1"/>
      <c r="X252" s="1"/>
      <c r="Y252" s="1"/>
      <c r="Z252" s="1"/>
    </row>
    <row r="253" spans="1:26" ht="12.75" customHeight="1" x14ac:dyDescent="0.25">
      <c r="A253" s="1"/>
      <c r="B253" s="1"/>
      <c r="C253" s="3"/>
      <c r="D253" s="3"/>
      <c r="E253" s="5"/>
      <c r="F253" s="5"/>
      <c r="G253" s="3"/>
      <c r="H253" s="5"/>
      <c r="I253" s="1"/>
      <c r="J253" s="7"/>
      <c r="K253" s="1"/>
      <c r="L253" s="1"/>
      <c r="M253" s="1"/>
      <c r="N253" s="1"/>
      <c r="O253" s="1"/>
      <c r="P253" s="1"/>
      <c r="Q253" s="1"/>
      <c r="R253" s="1"/>
      <c r="S253" s="1"/>
      <c r="T253" s="1"/>
      <c r="U253" s="1"/>
      <c r="V253" s="1"/>
      <c r="W253" s="1"/>
      <c r="X253" s="1"/>
      <c r="Y253" s="1"/>
      <c r="Z253" s="1"/>
    </row>
    <row r="254" spans="1:26" ht="12.75" customHeight="1" x14ac:dyDescent="0.25">
      <c r="A254" s="1"/>
      <c r="B254" s="1"/>
      <c r="C254" s="3"/>
      <c r="D254" s="3"/>
      <c r="E254" s="5"/>
      <c r="F254" s="5"/>
      <c r="G254" s="3"/>
      <c r="H254" s="5"/>
      <c r="I254" s="1"/>
      <c r="J254" s="7"/>
      <c r="K254" s="1"/>
      <c r="L254" s="1"/>
      <c r="M254" s="1"/>
      <c r="N254" s="1"/>
      <c r="O254" s="1"/>
      <c r="P254" s="1"/>
      <c r="Q254" s="1"/>
      <c r="R254" s="1"/>
      <c r="S254" s="1"/>
      <c r="T254" s="1"/>
      <c r="U254" s="1"/>
      <c r="V254" s="1"/>
      <c r="W254" s="1"/>
      <c r="X254" s="1"/>
      <c r="Y254" s="1"/>
      <c r="Z254" s="1"/>
    </row>
    <row r="255" spans="1:26" ht="12.75" customHeight="1" x14ac:dyDescent="0.25">
      <c r="A255" s="1"/>
      <c r="B255" s="1"/>
      <c r="C255" s="3"/>
      <c r="D255" s="3"/>
      <c r="E255" s="5"/>
      <c r="F255" s="5"/>
      <c r="G255" s="3"/>
      <c r="H255" s="5"/>
      <c r="I255" s="1"/>
      <c r="J255" s="7"/>
      <c r="K255" s="1"/>
      <c r="L255" s="1"/>
      <c r="M255" s="1"/>
      <c r="N255" s="1"/>
      <c r="O255" s="1"/>
      <c r="P255" s="1"/>
      <c r="Q255" s="1"/>
      <c r="R255" s="1"/>
      <c r="S255" s="1"/>
      <c r="T255" s="1"/>
      <c r="U255" s="1"/>
      <c r="V255" s="1"/>
      <c r="W255" s="1"/>
      <c r="X255" s="1"/>
      <c r="Y255" s="1"/>
      <c r="Z255" s="1"/>
    </row>
    <row r="256" spans="1:26" ht="12.75" customHeight="1" x14ac:dyDescent="0.25">
      <c r="A256" s="1"/>
      <c r="B256" s="1"/>
      <c r="C256" s="3"/>
      <c r="D256" s="3"/>
      <c r="E256" s="5"/>
      <c r="F256" s="5"/>
      <c r="G256" s="3"/>
      <c r="H256" s="5"/>
      <c r="I256" s="1"/>
      <c r="J256" s="7"/>
      <c r="K256" s="1"/>
      <c r="L256" s="1"/>
      <c r="M256" s="1"/>
      <c r="N256" s="1"/>
      <c r="O256" s="1"/>
      <c r="P256" s="1"/>
      <c r="Q256" s="1"/>
      <c r="R256" s="1"/>
      <c r="S256" s="1"/>
      <c r="T256" s="1"/>
      <c r="U256" s="1"/>
      <c r="V256" s="1"/>
      <c r="W256" s="1"/>
      <c r="X256" s="1"/>
      <c r="Y256" s="1"/>
      <c r="Z256" s="1"/>
    </row>
    <row r="257" spans="1:26" ht="12.75" customHeight="1" x14ac:dyDescent="0.25">
      <c r="A257" s="1"/>
      <c r="B257" s="1"/>
      <c r="C257" s="3"/>
      <c r="D257" s="3"/>
      <c r="E257" s="5"/>
      <c r="F257" s="5"/>
      <c r="G257" s="3"/>
      <c r="H257" s="5"/>
      <c r="I257" s="1"/>
      <c r="J257" s="7"/>
      <c r="K257" s="1"/>
      <c r="L257" s="1"/>
      <c r="M257" s="1"/>
      <c r="N257" s="1"/>
      <c r="O257" s="1"/>
      <c r="P257" s="1"/>
      <c r="Q257" s="1"/>
      <c r="R257" s="1"/>
      <c r="S257" s="1"/>
      <c r="T257" s="1"/>
      <c r="U257" s="1"/>
      <c r="V257" s="1"/>
      <c r="W257" s="1"/>
      <c r="X257" s="1"/>
      <c r="Y257" s="1"/>
      <c r="Z257" s="1"/>
    </row>
    <row r="258" spans="1:26" ht="12.75" customHeight="1" x14ac:dyDescent="0.25">
      <c r="A258" s="1"/>
      <c r="B258" s="1"/>
      <c r="C258" s="3"/>
      <c r="D258" s="3"/>
      <c r="E258" s="5"/>
      <c r="F258" s="5"/>
      <c r="G258" s="3"/>
      <c r="H258" s="5"/>
      <c r="I258" s="1"/>
      <c r="J258" s="7"/>
      <c r="K258" s="1"/>
      <c r="L258" s="1"/>
      <c r="M258" s="1"/>
      <c r="N258" s="1"/>
      <c r="O258" s="1"/>
      <c r="P258" s="1"/>
      <c r="Q258" s="1"/>
      <c r="R258" s="1"/>
      <c r="S258" s="1"/>
      <c r="T258" s="1"/>
      <c r="U258" s="1"/>
      <c r="V258" s="1"/>
      <c r="W258" s="1"/>
      <c r="X258" s="1"/>
      <c r="Y258" s="1"/>
      <c r="Z258" s="1"/>
    </row>
    <row r="259" spans="1:26" ht="12.75" customHeight="1" x14ac:dyDescent="0.25">
      <c r="A259" s="1"/>
      <c r="B259" s="1"/>
      <c r="C259" s="3"/>
      <c r="D259" s="3"/>
      <c r="E259" s="5"/>
      <c r="F259" s="5"/>
      <c r="G259" s="3"/>
      <c r="H259" s="5"/>
      <c r="I259" s="1"/>
      <c r="J259" s="7"/>
      <c r="K259" s="1"/>
      <c r="L259" s="1"/>
      <c r="M259" s="1"/>
      <c r="N259" s="1"/>
      <c r="O259" s="1"/>
      <c r="P259" s="1"/>
      <c r="Q259" s="1"/>
      <c r="R259" s="1"/>
      <c r="S259" s="1"/>
      <c r="T259" s="1"/>
      <c r="U259" s="1"/>
      <c r="V259" s="1"/>
      <c r="W259" s="1"/>
      <c r="X259" s="1"/>
      <c r="Y259" s="1"/>
      <c r="Z259" s="1"/>
    </row>
    <row r="260" spans="1:26" ht="12.75" customHeight="1" x14ac:dyDescent="0.25">
      <c r="A260" s="1"/>
      <c r="B260" s="1"/>
      <c r="C260" s="3"/>
      <c r="D260" s="3"/>
      <c r="E260" s="5"/>
      <c r="F260" s="5"/>
      <c r="G260" s="3"/>
      <c r="H260" s="5"/>
      <c r="I260" s="1"/>
      <c r="J260" s="7"/>
      <c r="K260" s="1"/>
      <c r="L260" s="1"/>
      <c r="M260" s="1"/>
      <c r="N260" s="1"/>
      <c r="O260" s="1"/>
      <c r="P260" s="1"/>
      <c r="Q260" s="1"/>
      <c r="R260" s="1"/>
      <c r="S260" s="1"/>
      <c r="T260" s="1"/>
      <c r="U260" s="1"/>
      <c r="V260" s="1"/>
      <c r="W260" s="1"/>
      <c r="X260" s="1"/>
      <c r="Y260" s="1"/>
      <c r="Z260" s="1"/>
    </row>
    <row r="261" spans="1:26" ht="12.75" customHeight="1" x14ac:dyDescent="0.25">
      <c r="A261" s="1"/>
      <c r="B261" s="1"/>
      <c r="C261" s="3"/>
      <c r="D261" s="3"/>
      <c r="E261" s="5"/>
      <c r="F261" s="5"/>
      <c r="G261" s="3"/>
      <c r="H261" s="5"/>
      <c r="I261" s="1"/>
      <c r="J261" s="7"/>
      <c r="K261" s="1"/>
      <c r="L261" s="1"/>
      <c r="M261" s="1"/>
      <c r="N261" s="1"/>
      <c r="O261" s="1"/>
      <c r="P261" s="1"/>
      <c r="Q261" s="1"/>
      <c r="R261" s="1"/>
      <c r="S261" s="1"/>
      <c r="T261" s="1"/>
      <c r="U261" s="1"/>
      <c r="V261" s="1"/>
      <c r="W261" s="1"/>
      <c r="X261" s="1"/>
      <c r="Y261" s="1"/>
      <c r="Z261" s="1"/>
    </row>
    <row r="262" spans="1:26" ht="12.75" customHeight="1" x14ac:dyDescent="0.25">
      <c r="A262" s="1"/>
      <c r="B262" s="1"/>
      <c r="C262" s="3"/>
      <c r="D262" s="3"/>
      <c r="E262" s="5"/>
      <c r="F262" s="5"/>
      <c r="G262" s="3"/>
      <c r="H262" s="5"/>
      <c r="I262" s="1"/>
      <c r="J262" s="7"/>
      <c r="K262" s="1"/>
      <c r="L262" s="1"/>
      <c r="M262" s="1"/>
      <c r="N262" s="1"/>
      <c r="O262" s="1"/>
      <c r="P262" s="1"/>
      <c r="Q262" s="1"/>
      <c r="R262" s="1"/>
      <c r="S262" s="1"/>
      <c r="T262" s="1"/>
      <c r="U262" s="1"/>
      <c r="V262" s="1"/>
      <c r="W262" s="1"/>
      <c r="X262" s="1"/>
      <c r="Y262" s="1"/>
      <c r="Z262" s="1"/>
    </row>
    <row r="263" spans="1:26" ht="12.75" customHeight="1" x14ac:dyDescent="0.25">
      <c r="A263" s="1"/>
      <c r="B263" s="1"/>
      <c r="C263" s="3"/>
      <c r="D263" s="3"/>
      <c r="E263" s="5"/>
      <c r="F263" s="5"/>
      <c r="G263" s="3"/>
      <c r="H263" s="5"/>
      <c r="I263" s="1"/>
      <c r="J263" s="7"/>
      <c r="K263" s="1"/>
      <c r="L263" s="1"/>
      <c r="M263" s="1"/>
      <c r="N263" s="1"/>
      <c r="O263" s="1"/>
      <c r="P263" s="1"/>
      <c r="Q263" s="1"/>
      <c r="R263" s="1"/>
      <c r="S263" s="1"/>
      <c r="T263" s="1"/>
      <c r="U263" s="1"/>
      <c r="V263" s="1"/>
      <c r="W263" s="1"/>
      <c r="X263" s="1"/>
      <c r="Y263" s="1"/>
      <c r="Z263" s="1"/>
    </row>
    <row r="264" spans="1:26" ht="12.75" customHeight="1" x14ac:dyDescent="0.25">
      <c r="A264" s="1"/>
      <c r="B264" s="1"/>
      <c r="C264" s="3"/>
      <c r="D264" s="3"/>
      <c r="E264" s="5"/>
      <c r="F264" s="5"/>
      <c r="G264" s="3"/>
      <c r="H264" s="5"/>
      <c r="I264" s="1"/>
      <c r="J264" s="7"/>
      <c r="K264" s="1"/>
      <c r="L264" s="1"/>
      <c r="M264" s="1"/>
      <c r="N264" s="1"/>
      <c r="O264" s="1"/>
      <c r="P264" s="1"/>
      <c r="Q264" s="1"/>
      <c r="R264" s="1"/>
      <c r="S264" s="1"/>
      <c r="T264" s="1"/>
      <c r="U264" s="1"/>
      <c r="V264" s="1"/>
      <c r="W264" s="1"/>
      <c r="X264" s="1"/>
      <c r="Y264" s="1"/>
      <c r="Z264" s="1"/>
    </row>
    <row r="265" spans="1:26" ht="12.75" customHeight="1" x14ac:dyDescent="0.25">
      <c r="A265" s="1"/>
      <c r="B265" s="1"/>
      <c r="C265" s="3"/>
      <c r="D265" s="3"/>
      <c r="E265" s="5"/>
      <c r="F265" s="5"/>
      <c r="G265" s="3"/>
      <c r="H265" s="5"/>
      <c r="I265" s="1"/>
      <c r="J265" s="7"/>
      <c r="K265" s="1"/>
      <c r="L265" s="1"/>
      <c r="M265" s="1"/>
      <c r="N265" s="1"/>
      <c r="O265" s="1"/>
      <c r="P265" s="1"/>
      <c r="Q265" s="1"/>
      <c r="R265" s="1"/>
      <c r="S265" s="1"/>
      <c r="T265" s="1"/>
      <c r="U265" s="1"/>
      <c r="V265" s="1"/>
      <c r="W265" s="1"/>
      <c r="X265" s="1"/>
      <c r="Y265" s="1"/>
      <c r="Z265" s="1"/>
    </row>
    <row r="266" spans="1:26" ht="12.75" customHeight="1" x14ac:dyDescent="0.25">
      <c r="A266" s="1"/>
      <c r="B266" s="1"/>
      <c r="C266" s="3"/>
      <c r="D266" s="3"/>
      <c r="E266" s="5"/>
      <c r="F266" s="5"/>
      <c r="G266" s="3"/>
      <c r="H266" s="5"/>
      <c r="I266" s="1"/>
      <c r="J266" s="7"/>
      <c r="K266" s="1"/>
      <c r="L266" s="1"/>
      <c r="M266" s="1"/>
      <c r="N266" s="1"/>
      <c r="O266" s="1"/>
      <c r="P266" s="1"/>
      <c r="Q266" s="1"/>
      <c r="R266" s="1"/>
      <c r="S266" s="1"/>
      <c r="T266" s="1"/>
      <c r="U266" s="1"/>
      <c r="V266" s="1"/>
      <c r="W266" s="1"/>
      <c r="X266" s="1"/>
      <c r="Y266" s="1"/>
      <c r="Z266" s="1"/>
    </row>
    <row r="267" spans="1:26" ht="12.75" customHeight="1" x14ac:dyDescent="0.25">
      <c r="A267" s="1"/>
      <c r="B267" s="1"/>
      <c r="C267" s="3"/>
      <c r="D267" s="3"/>
      <c r="E267" s="5"/>
      <c r="F267" s="5"/>
      <c r="G267" s="3"/>
      <c r="H267" s="5"/>
      <c r="I267" s="1"/>
      <c r="J267" s="7"/>
      <c r="K267" s="1"/>
      <c r="L267" s="1"/>
      <c r="M267" s="1"/>
      <c r="N267" s="1"/>
      <c r="O267" s="1"/>
      <c r="P267" s="1"/>
      <c r="Q267" s="1"/>
      <c r="R267" s="1"/>
      <c r="S267" s="1"/>
      <c r="T267" s="1"/>
      <c r="U267" s="1"/>
      <c r="V267" s="1"/>
      <c r="W267" s="1"/>
      <c r="X267" s="1"/>
      <c r="Y267" s="1"/>
      <c r="Z267" s="1"/>
    </row>
    <row r="268" spans="1:26" ht="12.75" customHeight="1" x14ac:dyDescent="0.25">
      <c r="A268" s="1"/>
      <c r="B268" s="1"/>
      <c r="C268" s="3"/>
      <c r="D268" s="3"/>
      <c r="E268" s="5"/>
      <c r="F268" s="5"/>
      <c r="G268" s="3"/>
      <c r="H268" s="5"/>
      <c r="I268" s="1"/>
      <c r="J268" s="7"/>
      <c r="K268" s="1"/>
      <c r="L268" s="1"/>
      <c r="M268" s="1"/>
      <c r="N268" s="1"/>
      <c r="O268" s="1"/>
      <c r="P268" s="1"/>
      <c r="Q268" s="1"/>
      <c r="R268" s="1"/>
      <c r="S268" s="1"/>
      <c r="T268" s="1"/>
      <c r="U268" s="1"/>
      <c r="V268" s="1"/>
      <c r="W268" s="1"/>
      <c r="X268" s="1"/>
      <c r="Y268" s="1"/>
      <c r="Z268" s="1"/>
    </row>
    <row r="269" spans="1:26" ht="12.75" customHeight="1" x14ac:dyDescent="0.25">
      <c r="A269" s="1"/>
      <c r="B269" s="1"/>
      <c r="C269" s="3"/>
      <c r="D269" s="3"/>
      <c r="E269" s="5"/>
      <c r="F269" s="5"/>
      <c r="G269" s="3"/>
      <c r="H269" s="5"/>
      <c r="I269" s="1"/>
      <c r="J269" s="7"/>
      <c r="K269" s="1"/>
      <c r="L269" s="1"/>
      <c r="M269" s="1"/>
      <c r="N269" s="1"/>
      <c r="O269" s="1"/>
      <c r="P269" s="1"/>
      <c r="Q269" s="1"/>
      <c r="R269" s="1"/>
      <c r="S269" s="1"/>
      <c r="T269" s="1"/>
      <c r="U269" s="1"/>
      <c r="V269" s="1"/>
      <c r="W269" s="1"/>
      <c r="X269" s="1"/>
      <c r="Y269" s="1"/>
      <c r="Z269" s="1"/>
    </row>
    <row r="270" spans="1:26" ht="12.75" customHeight="1" x14ac:dyDescent="0.25">
      <c r="A270" s="1"/>
      <c r="B270" s="1"/>
      <c r="C270" s="3"/>
      <c r="D270" s="3"/>
      <c r="E270" s="5"/>
      <c r="F270" s="5"/>
      <c r="G270" s="3"/>
      <c r="H270" s="5"/>
      <c r="I270" s="1"/>
      <c r="J270" s="7"/>
      <c r="K270" s="1"/>
      <c r="L270" s="1"/>
      <c r="M270" s="1"/>
      <c r="N270" s="1"/>
      <c r="O270" s="1"/>
      <c r="P270" s="1"/>
      <c r="Q270" s="1"/>
      <c r="R270" s="1"/>
      <c r="S270" s="1"/>
      <c r="T270" s="1"/>
      <c r="U270" s="1"/>
      <c r="V270" s="1"/>
      <c r="W270" s="1"/>
      <c r="X270" s="1"/>
      <c r="Y270" s="1"/>
      <c r="Z270" s="1"/>
    </row>
    <row r="271" spans="1:26" ht="12.75" customHeight="1" x14ac:dyDescent="0.25">
      <c r="A271" s="1"/>
      <c r="B271" s="1"/>
      <c r="C271" s="3"/>
      <c r="D271" s="3"/>
      <c r="E271" s="5"/>
      <c r="F271" s="5"/>
      <c r="G271" s="3"/>
      <c r="H271" s="5"/>
      <c r="I271" s="1"/>
      <c r="J271" s="7"/>
      <c r="K271" s="1"/>
      <c r="L271" s="1"/>
      <c r="M271" s="1"/>
      <c r="N271" s="1"/>
      <c r="O271" s="1"/>
      <c r="P271" s="1"/>
      <c r="Q271" s="1"/>
      <c r="R271" s="1"/>
      <c r="S271" s="1"/>
      <c r="T271" s="1"/>
      <c r="U271" s="1"/>
      <c r="V271" s="1"/>
      <c r="W271" s="1"/>
      <c r="X271" s="1"/>
      <c r="Y271" s="1"/>
      <c r="Z271" s="1"/>
    </row>
    <row r="272" spans="1:26" ht="12.75" customHeight="1" x14ac:dyDescent="0.25">
      <c r="A272" s="1"/>
      <c r="B272" s="1"/>
      <c r="C272" s="3"/>
      <c r="D272" s="3"/>
      <c r="E272" s="5"/>
      <c r="F272" s="5"/>
      <c r="G272" s="3"/>
      <c r="H272" s="5"/>
      <c r="I272" s="1"/>
      <c r="J272" s="7"/>
      <c r="K272" s="1"/>
      <c r="L272" s="1"/>
      <c r="M272" s="1"/>
      <c r="N272" s="1"/>
      <c r="O272" s="1"/>
      <c r="P272" s="1"/>
      <c r="Q272" s="1"/>
      <c r="R272" s="1"/>
      <c r="S272" s="1"/>
      <c r="T272" s="1"/>
      <c r="U272" s="1"/>
      <c r="V272" s="1"/>
      <c r="W272" s="1"/>
      <c r="X272" s="1"/>
      <c r="Y272" s="1"/>
      <c r="Z272" s="1"/>
    </row>
    <row r="273" spans="1:26" ht="12.75" customHeight="1" x14ac:dyDescent="0.25">
      <c r="A273" s="1"/>
      <c r="B273" s="1"/>
      <c r="C273" s="3"/>
      <c r="D273" s="3"/>
      <c r="E273" s="5"/>
      <c r="F273" s="5"/>
      <c r="G273" s="3"/>
      <c r="H273" s="5"/>
      <c r="I273" s="1"/>
      <c r="J273" s="7"/>
      <c r="K273" s="1"/>
      <c r="L273" s="1"/>
      <c r="M273" s="1"/>
      <c r="N273" s="1"/>
      <c r="O273" s="1"/>
      <c r="P273" s="1"/>
      <c r="Q273" s="1"/>
      <c r="R273" s="1"/>
      <c r="S273" s="1"/>
      <c r="T273" s="1"/>
      <c r="U273" s="1"/>
      <c r="V273" s="1"/>
      <c r="W273" s="1"/>
      <c r="X273" s="1"/>
      <c r="Y273" s="1"/>
      <c r="Z273" s="1"/>
    </row>
    <row r="274" spans="1:26" ht="12.75" customHeight="1" x14ac:dyDescent="0.25">
      <c r="A274" s="1"/>
      <c r="B274" s="1"/>
      <c r="C274" s="3"/>
      <c r="D274" s="3"/>
      <c r="E274" s="5"/>
      <c r="F274" s="5"/>
      <c r="G274" s="3"/>
      <c r="H274" s="5"/>
      <c r="I274" s="1"/>
      <c r="J274" s="7"/>
      <c r="K274" s="1"/>
      <c r="L274" s="1"/>
      <c r="M274" s="1"/>
      <c r="N274" s="1"/>
      <c r="O274" s="1"/>
      <c r="P274" s="1"/>
      <c r="Q274" s="1"/>
      <c r="R274" s="1"/>
      <c r="S274" s="1"/>
      <c r="T274" s="1"/>
      <c r="U274" s="1"/>
      <c r="V274" s="1"/>
      <c r="W274" s="1"/>
      <c r="X274" s="1"/>
      <c r="Y274" s="1"/>
      <c r="Z274" s="1"/>
    </row>
    <row r="275" spans="1:26" ht="12.75" customHeight="1" x14ac:dyDescent="0.25">
      <c r="A275" s="1"/>
      <c r="B275" s="1"/>
      <c r="C275" s="3"/>
      <c r="D275" s="3"/>
      <c r="E275" s="5"/>
      <c r="F275" s="5"/>
      <c r="G275" s="3"/>
      <c r="H275" s="5"/>
      <c r="I275" s="1"/>
      <c r="J275" s="7"/>
      <c r="K275" s="1"/>
      <c r="L275" s="1"/>
      <c r="M275" s="1"/>
      <c r="N275" s="1"/>
      <c r="O275" s="1"/>
      <c r="P275" s="1"/>
      <c r="Q275" s="1"/>
      <c r="R275" s="1"/>
      <c r="S275" s="1"/>
      <c r="T275" s="1"/>
      <c r="U275" s="1"/>
      <c r="V275" s="1"/>
      <c r="W275" s="1"/>
      <c r="X275" s="1"/>
      <c r="Y275" s="1"/>
      <c r="Z275" s="1"/>
    </row>
    <row r="276" spans="1:26" ht="12.75" customHeight="1" x14ac:dyDescent="0.25">
      <c r="A276" s="1"/>
      <c r="B276" s="1"/>
      <c r="C276" s="3"/>
      <c r="D276" s="3"/>
      <c r="E276" s="5"/>
      <c r="F276" s="5"/>
      <c r="G276" s="3"/>
      <c r="H276" s="5"/>
      <c r="I276" s="1"/>
      <c r="J276" s="7"/>
      <c r="K276" s="1"/>
      <c r="L276" s="1"/>
      <c r="M276" s="1"/>
      <c r="N276" s="1"/>
      <c r="O276" s="1"/>
      <c r="P276" s="1"/>
      <c r="Q276" s="1"/>
      <c r="R276" s="1"/>
      <c r="S276" s="1"/>
      <c r="T276" s="1"/>
      <c r="U276" s="1"/>
      <c r="V276" s="1"/>
      <c r="W276" s="1"/>
      <c r="X276" s="1"/>
      <c r="Y276" s="1"/>
      <c r="Z276" s="1"/>
    </row>
    <row r="277" spans="1:26" ht="12.75" customHeight="1" x14ac:dyDescent="0.25">
      <c r="A277" s="1"/>
      <c r="B277" s="1"/>
      <c r="C277" s="3"/>
      <c r="D277" s="3"/>
      <c r="E277" s="5"/>
      <c r="F277" s="5"/>
      <c r="G277" s="3"/>
      <c r="H277" s="5"/>
      <c r="I277" s="1"/>
      <c r="J277" s="7"/>
      <c r="K277" s="1"/>
      <c r="L277" s="1"/>
      <c r="M277" s="1"/>
      <c r="N277" s="1"/>
      <c r="O277" s="1"/>
      <c r="P277" s="1"/>
      <c r="Q277" s="1"/>
      <c r="R277" s="1"/>
      <c r="S277" s="1"/>
      <c r="T277" s="1"/>
      <c r="U277" s="1"/>
      <c r="V277" s="1"/>
      <c r="W277" s="1"/>
      <c r="X277" s="1"/>
      <c r="Y277" s="1"/>
      <c r="Z277" s="1"/>
    </row>
    <row r="278" spans="1:26" ht="12.75" customHeight="1" x14ac:dyDescent="0.25">
      <c r="A278" s="1"/>
      <c r="B278" s="1"/>
      <c r="C278" s="3"/>
      <c r="D278" s="3"/>
      <c r="E278" s="5"/>
      <c r="F278" s="5"/>
      <c r="G278" s="3"/>
      <c r="H278" s="5"/>
      <c r="I278" s="1"/>
      <c r="J278" s="7"/>
      <c r="K278" s="1"/>
      <c r="L278" s="1"/>
      <c r="M278" s="1"/>
      <c r="N278" s="1"/>
      <c r="O278" s="1"/>
      <c r="P278" s="1"/>
      <c r="Q278" s="1"/>
      <c r="R278" s="1"/>
      <c r="S278" s="1"/>
      <c r="T278" s="1"/>
      <c r="U278" s="1"/>
      <c r="V278" s="1"/>
      <c r="W278" s="1"/>
      <c r="X278" s="1"/>
      <c r="Y278" s="1"/>
      <c r="Z278" s="1"/>
    </row>
    <row r="279" spans="1:26" ht="12.75" customHeight="1" x14ac:dyDescent="0.25">
      <c r="A279" s="1"/>
      <c r="B279" s="1"/>
      <c r="C279" s="3"/>
      <c r="D279" s="3"/>
      <c r="E279" s="5"/>
      <c r="F279" s="5"/>
      <c r="G279" s="3"/>
      <c r="H279" s="5"/>
      <c r="I279" s="1"/>
      <c r="J279" s="7"/>
      <c r="K279" s="1"/>
      <c r="L279" s="1"/>
      <c r="M279" s="1"/>
      <c r="N279" s="1"/>
      <c r="O279" s="1"/>
      <c r="P279" s="1"/>
      <c r="Q279" s="1"/>
      <c r="R279" s="1"/>
      <c r="S279" s="1"/>
      <c r="T279" s="1"/>
      <c r="U279" s="1"/>
      <c r="V279" s="1"/>
      <c r="W279" s="1"/>
      <c r="X279" s="1"/>
      <c r="Y279" s="1"/>
      <c r="Z279" s="1"/>
    </row>
    <row r="280" spans="1:26" ht="12.75" customHeight="1" x14ac:dyDescent="0.25">
      <c r="A280" s="1"/>
      <c r="B280" s="1"/>
      <c r="C280" s="3"/>
      <c r="D280" s="3"/>
      <c r="E280" s="5"/>
      <c r="F280" s="5"/>
      <c r="G280" s="3"/>
      <c r="H280" s="5"/>
      <c r="I280" s="1"/>
      <c r="J280" s="7"/>
      <c r="K280" s="1"/>
      <c r="L280" s="1"/>
      <c r="M280" s="1"/>
      <c r="N280" s="1"/>
      <c r="O280" s="1"/>
      <c r="P280" s="1"/>
      <c r="Q280" s="1"/>
      <c r="R280" s="1"/>
      <c r="S280" s="1"/>
      <c r="T280" s="1"/>
      <c r="U280" s="1"/>
      <c r="V280" s="1"/>
      <c r="W280" s="1"/>
      <c r="X280" s="1"/>
      <c r="Y280" s="1"/>
      <c r="Z280" s="1"/>
    </row>
    <row r="281" spans="1:26" ht="12.75" customHeight="1" x14ac:dyDescent="0.25">
      <c r="A281" s="1"/>
      <c r="B281" s="1"/>
      <c r="C281" s="3"/>
      <c r="D281" s="3"/>
      <c r="E281" s="5"/>
      <c r="F281" s="5"/>
      <c r="G281" s="3"/>
      <c r="H281" s="5"/>
      <c r="I281" s="1"/>
      <c r="J281" s="7"/>
      <c r="K281" s="1"/>
      <c r="L281" s="1"/>
      <c r="M281" s="1"/>
      <c r="N281" s="1"/>
      <c r="O281" s="1"/>
      <c r="P281" s="1"/>
      <c r="Q281" s="1"/>
      <c r="R281" s="1"/>
      <c r="S281" s="1"/>
      <c r="T281" s="1"/>
      <c r="U281" s="1"/>
      <c r="V281" s="1"/>
      <c r="W281" s="1"/>
      <c r="X281" s="1"/>
      <c r="Y281" s="1"/>
      <c r="Z281" s="1"/>
    </row>
    <row r="282" spans="1:26" ht="12.75" customHeight="1" x14ac:dyDescent="0.25">
      <c r="A282" s="1"/>
      <c r="B282" s="1"/>
      <c r="C282" s="3"/>
      <c r="D282" s="3"/>
      <c r="E282" s="5"/>
      <c r="F282" s="5"/>
      <c r="G282" s="3"/>
      <c r="H282" s="5"/>
      <c r="I282" s="1"/>
      <c r="J282" s="7"/>
      <c r="K282" s="1"/>
      <c r="L282" s="1"/>
      <c r="M282" s="1"/>
      <c r="N282" s="1"/>
      <c r="O282" s="1"/>
      <c r="P282" s="1"/>
      <c r="Q282" s="1"/>
      <c r="R282" s="1"/>
      <c r="S282" s="1"/>
      <c r="T282" s="1"/>
      <c r="U282" s="1"/>
      <c r="V282" s="1"/>
      <c r="W282" s="1"/>
      <c r="X282" s="1"/>
      <c r="Y282" s="1"/>
      <c r="Z282" s="1"/>
    </row>
    <row r="283" spans="1:26" ht="12.75" customHeight="1" x14ac:dyDescent="0.25">
      <c r="A283" s="1"/>
      <c r="B283" s="1"/>
      <c r="C283" s="3"/>
      <c r="D283" s="3"/>
      <c r="E283" s="5"/>
      <c r="F283" s="5"/>
      <c r="G283" s="3"/>
      <c r="H283" s="5"/>
      <c r="I283" s="1"/>
      <c r="J283" s="7"/>
      <c r="K283" s="1"/>
      <c r="L283" s="1"/>
      <c r="M283" s="1"/>
      <c r="N283" s="1"/>
      <c r="O283" s="1"/>
      <c r="P283" s="1"/>
      <c r="Q283" s="1"/>
      <c r="R283" s="1"/>
      <c r="S283" s="1"/>
      <c r="T283" s="1"/>
      <c r="U283" s="1"/>
      <c r="V283" s="1"/>
      <c r="W283" s="1"/>
      <c r="X283" s="1"/>
      <c r="Y283" s="1"/>
      <c r="Z283" s="1"/>
    </row>
    <row r="284" spans="1:26" ht="12.75" customHeight="1" x14ac:dyDescent="0.25">
      <c r="A284" s="1"/>
      <c r="B284" s="1"/>
      <c r="C284" s="3"/>
      <c r="D284" s="3"/>
      <c r="E284" s="5"/>
      <c r="F284" s="5"/>
      <c r="G284" s="3"/>
      <c r="H284" s="5"/>
      <c r="I284" s="1"/>
      <c r="J284" s="7"/>
      <c r="K284" s="1"/>
      <c r="L284" s="1"/>
      <c r="M284" s="1"/>
      <c r="N284" s="1"/>
      <c r="O284" s="1"/>
      <c r="P284" s="1"/>
      <c r="Q284" s="1"/>
      <c r="R284" s="1"/>
      <c r="S284" s="1"/>
      <c r="T284" s="1"/>
      <c r="U284" s="1"/>
      <c r="V284" s="1"/>
      <c r="W284" s="1"/>
      <c r="X284" s="1"/>
      <c r="Y284" s="1"/>
      <c r="Z284" s="1"/>
    </row>
    <row r="285" spans="1:26" ht="12.75" customHeight="1" x14ac:dyDescent="0.25">
      <c r="A285" s="1"/>
      <c r="B285" s="1"/>
      <c r="C285" s="3"/>
      <c r="D285" s="3"/>
      <c r="E285" s="5"/>
      <c r="F285" s="5"/>
      <c r="G285" s="3"/>
      <c r="H285" s="5"/>
      <c r="I285" s="1"/>
      <c r="J285" s="7"/>
      <c r="K285" s="1"/>
      <c r="L285" s="1"/>
      <c r="M285" s="1"/>
      <c r="N285" s="1"/>
      <c r="O285" s="1"/>
      <c r="P285" s="1"/>
      <c r="Q285" s="1"/>
      <c r="R285" s="1"/>
      <c r="S285" s="1"/>
      <c r="T285" s="1"/>
      <c r="U285" s="1"/>
      <c r="V285" s="1"/>
      <c r="W285" s="1"/>
      <c r="X285" s="1"/>
      <c r="Y285" s="1"/>
      <c r="Z285" s="1"/>
    </row>
    <row r="286" spans="1:26" ht="12.75" customHeight="1" x14ac:dyDescent="0.25">
      <c r="A286" s="1"/>
      <c r="B286" s="1"/>
      <c r="C286" s="3"/>
      <c r="D286" s="3"/>
      <c r="E286" s="5"/>
      <c r="F286" s="5"/>
      <c r="G286" s="3"/>
      <c r="H286" s="5"/>
      <c r="I286" s="1"/>
      <c r="J286" s="7"/>
      <c r="K286" s="1"/>
      <c r="L286" s="1"/>
      <c r="M286" s="1"/>
      <c r="N286" s="1"/>
      <c r="O286" s="1"/>
      <c r="P286" s="1"/>
      <c r="Q286" s="1"/>
      <c r="R286" s="1"/>
      <c r="S286" s="1"/>
      <c r="T286" s="1"/>
      <c r="U286" s="1"/>
      <c r="V286" s="1"/>
      <c r="W286" s="1"/>
      <c r="X286" s="1"/>
      <c r="Y286" s="1"/>
      <c r="Z286" s="1"/>
    </row>
    <row r="287" spans="1:26" ht="12.75" customHeight="1" x14ac:dyDescent="0.25">
      <c r="A287" s="1"/>
      <c r="B287" s="1"/>
      <c r="C287" s="3"/>
      <c r="D287" s="3"/>
      <c r="E287" s="5"/>
      <c r="F287" s="5"/>
      <c r="G287" s="3"/>
      <c r="H287" s="5"/>
      <c r="I287" s="1"/>
      <c r="J287" s="7"/>
      <c r="K287" s="1"/>
      <c r="L287" s="1"/>
      <c r="M287" s="1"/>
      <c r="N287" s="1"/>
      <c r="O287" s="1"/>
      <c r="P287" s="1"/>
      <c r="Q287" s="1"/>
      <c r="R287" s="1"/>
      <c r="S287" s="1"/>
      <c r="T287" s="1"/>
      <c r="U287" s="1"/>
      <c r="V287" s="1"/>
      <c r="W287" s="1"/>
      <c r="X287" s="1"/>
      <c r="Y287" s="1"/>
      <c r="Z287" s="1"/>
    </row>
    <row r="288" spans="1:26" ht="12.75" customHeight="1" x14ac:dyDescent="0.25">
      <c r="A288" s="1"/>
      <c r="B288" s="1"/>
      <c r="C288" s="3"/>
      <c r="D288" s="3"/>
      <c r="E288" s="5"/>
      <c r="F288" s="5"/>
      <c r="G288" s="3"/>
      <c r="H288" s="5"/>
      <c r="I288" s="1"/>
      <c r="J288" s="7"/>
      <c r="K288" s="1"/>
      <c r="L288" s="1"/>
      <c r="M288" s="1"/>
      <c r="N288" s="1"/>
      <c r="O288" s="1"/>
      <c r="P288" s="1"/>
      <c r="Q288" s="1"/>
      <c r="R288" s="1"/>
      <c r="S288" s="1"/>
      <c r="T288" s="1"/>
      <c r="U288" s="1"/>
      <c r="V288" s="1"/>
      <c r="W288" s="1"/>
      <c r="X288" s="1"/>
      <c r="Y288" s="1"/>
      <c r="Z288" s="1"/>
    </row>
    <row r="289" spans="1:26" ht="12.75" customHeight="1" x14ac:dyDescent="0.25">
      <c r="A289" s="1"/>
      <c r="B289" s="1"/>
      <c r="C289" s="3"/>
      <c r="D289" s="3"/>
      <c r="E289" s="5"/>
      <c r="F289" s="5"/>
      <c r="G289" s="3"/>
      <c r="H289" s="5"/>
      <c r="I289" s="1"/>
      <c r="J289" s="7"/>
      <c r="K289" s="1"/>
      <c r="L289" s="1"/>
      <c r="M289" s="1"/>
      <c r="N289" s="1"/>
      <c r="O289" s="1"/>
      <c r="P289" s="1"/>
      <c r="Q289" s="1"/>
      <c r="R289" s="1"/>
      <c r="S289" s="1"/>
      <c r="T289" s="1"/>
      <c r="U289" s="1"/>
      <c r="V289" s="1"/>
      <c r="W289" s="1"/>
      <c r="X289" s="1"/>
      <c r="Y289" s="1"/>
      <c r="Z289" s="1"/>
    </row>
    <row r="290" spans="1:26" ht="12.75" customHeight="1" x14ac:dyDescent="0.25">
      <c r="A290" s="1"/>
      <c r="B290" s="1"/>
      <c r="C290" s="3"/>
      <c r="D290" s="3"/>
      <c r="E290" s="5"/>
      <c r="F290" s="5"/>
      <c r="G290" s="3"/>
      <c r="H290" s="5"/>
      <c r="I290" s="1"/>
      <c r="J290" s="7"/>
      <c r="K290" s="1"/>
      <c r="L290" s="1"/>
      <c r="M290" s="1"/>
      <c r="N290" s="1"/>
      <c r="O290" s="1"/>
      <c r="P290" s="1"/>
      <c r="Q290" s="1"/>
      <c r="R290" s="1"/>
      <c r="S290" s="1"/>
      <c r="T290" s="1"/>
      <c r="U290" s="1"/>
      <c r="V290" s="1"/>
      <c r="W290" s="1"/>
      <c r="X290" s="1"/>
      <c r="Y290" s="1"/>
      <c r="Z290" s="1"/>
    </row>
    <row r="291" spans="1:26" ht="12.75" customHeight="1" x14ac:dyDescent="0.25">
      <c r="A291" s="1"/>
      <c r="B291" s="1"/>
      <c r="C291" s="3"/>
      <c r="D291" s="3"/>
      <c r="E291" s="5"/>
      <c r="F291" s="5"/>
      <c r="G291" s="3"/>
      <c r="H291" s="5"/>
      <c r="I291" s="1"/>
      <c r="J291" s="7"/>
      <c r="K291" s="1"/>
      <c r="L291" s="1"/>
      <c r="M291" s="1"/>
      <c r="N291" s="1"/>
      <c r="O291" s="1"/>
      <c r="P291" s="1"/>
      <c r="Q291" s="1"/>
      <c r="R291" s="1"/>
      <c r="S291" s="1"/>
      <c r="T291" s="1"/>
      <c r="U291" s="1"/>
      <c r="V291" s="1"/>
      <c r="W291" s="1"/>
      <c r="X291" s="1"/>
      <c r="Y291" s="1"/>
      <c r="Z291" s="1"/>
    </row>
    <row r="292" spans="1:26" ht="12.75" customHeight="1" x14ac:dyDescent="0.25">
      <c r="A292" s="1"/>
      <c r="B292" s="1"/>
      <c r="C292" s="3"/>
      <c r="D292" s="3"/>
      <c r="E292" s="5"/>
      <c r="F292" s="5"/>
      <c r="G292" s="3"/>
      <c r="H292" s="5"/>
      <c r="I292" s="1"/>
      <c r="J292" s="7"/>
      <c r="K292" s="1"/>
      <c r="L292" s="1"/>
      <c r="M292" s="1"/>
      <c r="N292" s="1"/>
      <c r="O292" s="1"/>
      <c r="P292" s="1"/>
      <c r="Q292" s="1"/>
      <c r="R292" s="1"/>
      <c r="S292" s="1"/>
      <c r="T292" s="1"/>
      <c r="U292" s="1"/>
      <c r="V292" s="1"/>
      <c r="W292" s="1"/>
      <c r="X292" s="1"/>
      <c r="Y292" s="1"/>
      <c r="Z292" s="1"/>
    </row>
    <row r="293" spans="1:26" ht="12.75" customHeight="1" x14ac:dyDescent="0.25">
      <c r="A293" s="1"/>
      <c r="B293" s="1"/>
      <c r="C293" s="3"/>
      <c r="D293" s="3"/>
      <c r="E293" s="5"/>
      <c r="F293" s="5"/>
      <c r="G293" s="3"/>
      <c r="H293" s="5"/>
      <c r="I293" s="1"/>
      <c r="J293" s="7"/>
      <c r="K293" s="1"/>
      <c r="L293" s="1"/>
      <c r="M293" s="1"/>
      <c r="N293" s="1"/>
      <c r="O293" s="1"/>
      <c r="P293" s="1"/>
      <c r="Q293" s="1"/>
      <c r="R293" s="1"/>
      <c r="S293" s="1"/>
      <c r="T293" s="1"/>
      <c r="U293" s="1"/>
      <c r="V293" s="1"/>
      <c r="W293" s="1"/>
      <c r="X293" s="1"/>
      <c r="Y293" s="1"/>
      <c r="Z293" s="1"/>
    </row>
    <row r="294" spans="1:26" ht="12.75" customHeight="1" x14ac:dyDescent="0.25">
      <c r="A294" s="1"/>
      <c r="B294" s="1"/>
      <c r="C294" s="3"/>
      <c r="D294" s="3"/>
      <c r="E294" s="5"/>
      <c r="F294" s="5"/>
      <c r="G294" s="3"/>
      <c r="H294" s="5"/>
      <c r="I294" s="1"/>
      <c r="J294" s="7"/>
      <c r="K294" s="1"/>
      <c r="L294" s="1"/>
      <c r="M294" s="1"/>
      <c r="N294" s="1"/>
      <c r="O294" s="1"/>
      <c r="P294" s="1"/>
      <c r="Q294" s="1"/>
      <c r="R294" s="1"/>
      <c r="S294" s="1"/>
      <c r="T294" s="1"/>
      <c r="U294" s="1"/>
      <c r="V294" s="1"/>
      <c r="W294" s="1"/>
      <c r="X294" s="1"/>
      <c r="Y294" s="1"/>
      <c r="Z294" s="1"/>
    </row>
    <row r="295" spans="1:26" ht="12.75" customHeight="1" x14ac:dyDescent="0.25">
      <c r="A295" s="1"/>
      <c r="B295" s="1"/>
      <c r="C295" s="3"/>
      <c r="D295" s="3"/>
      <c r="E295" s="5"/>
      <c r="F295" s="5"/>
      <c r="G295" s="3"/>
      <c r="H295" s="5"/>
      <c r="I295" s="1"/>
      <c r="J295" s="7"/>
      <c r="K295" s="1"/>
      <c r="L295" s="1"/>
      <c r="M295" s="1"/>
      <c r="N295" s="1"/>
      <c r="O295" s="1"/>
      <c r="P295" s="1"/>
      <c r="Q295" s="1"/>
      <c r="R295" s="1"/>
      <c r="S295" s="1"/>
      <c r="T295" s="1"/>
      <c r="U295" s="1"/>
      <c r="V295" s="1"/>
      <c r="W295" s="1"/>
      <c r="X295" s="1"/>
      <c r="Y295" s="1"/>
      <c r="Z295" s="1"/>
    </row>
    <row r="296" spans="1:26" ht="12.75" customHeight="1" x14ac:dyDescent="0.25">
      <c r="A296" s="1"/>
      <c r="B296" s="1"/>
      <c r="C296" s="3"/>
      <c r="D296" s="3"/>
      <c r="E296" s="5"/>
      <c r="F296" s="5"/>
      <c r="G296" s="3"/>
      <c r="H296" s="5"/>
      <c r="I296" s="1"/>
      <c r="J296" s="7"/>
      <c r="K296" s="1"/>
      <c r="L296" s="1"/>
      <c r="M296" s="1"/>
      <c r="N296" s="1"/>
      <c r="O296" s="1"/>
      <c r="P296" s="1"/>
      <c r="Q296" s="1"/>
      <c r="R296" s="1"/>
      <c r="S296" s="1"/>
      <c r="T296" s="1"/>
      <c r="U296" s="1"/>
      <c r="V296" s="1"/>
      <c r="W296" s="1"/>
      <c r="X296" s="1"/>
      <c r="Y296" s="1"/>
      <c r="Z296" s="1"/>
    </row>
    <row r="297" spans="1:26" ht="12.75" customHeight="1" x14ac:dyDescent="0.25">
      <c r="A297" s="1"/>
      <c r="B297" s="1"/>
      <c r="C297" s="3"/>
      <c r="D297" s="3"/>
      <c r="E297" s="5"/>
      <c r="F297" s="5"/>
      <c r="G297" s="3"/>
      <c r="H297" s="5"/>
      <c r="I297" s="1"/>
      <c r="J297" s="7"/>
      <c r="K297" s="1"/>
      <c r="L297" s="1"/>
      <c r="M297" s="1"/>
      <c r="N297" s="1"/>
      <c r="O297" s="1"/>
      <c r="P297" s="1"/>
      <c r="Q297" s="1"/>
      <c r="R297" s="1"/>
      <c r="S297" s="1"/>
      <c r="T297" s="1"/>
      <c r="U297" s="1"/>
      <c r="V297" s="1"/>
      <c r="W297" s="1"/>
      <c r="X297" s="1"/>
      <c r="Y297" s="1"/>
      <c r="Z297" s="1"/>
    </row>
    <row r="298" spans="1:26" ht="12.75" customHeight="1" x14ac:dyDescent="0.25">
      <c r="A298" s="1"/>
      <c r="B298" s="1"/>
      <c r="C298" s="3"/>
      <c r="D298" s="3"/>
      <c r="E298" s="5"/>
      <c r="F298" s="5"/>
      <c r="G298" s="3"/>
      <c r="H298" s="5"/>
      <c r="I298" s="1"/>
      <c r="J298" s="7"/>
      <c r="K298" s="1"/>
      <c r="L298" s="1"/>
      <c r="M298" s="1"/>
      <c r="N298" s="1"/>
      <c r="O298" s="1"/>
      <c r="P298" s="1"/>
      <c r="Q298" s="1"/>
      <c r="R298" s="1"/>
      <c r="S298" s="1"/>
      <c r="T298" s="1"/>
      <c r="U298" s="1"/>
      <c r="V298" s="1"/>
      <c r="W298" s="1"/>
      <c r="X298" s="1"/>
      <c r="Y298" s="1"/>
      <c r="Z298" s="1"/>
    </row>
    <row r="299" spans="1:26" ht="12.75" customHeight="1" x14ac:dyDescent="0.25">
      <c r="A299" s="1"/>
      <c r="B299" s="1"/>
      <c r="C299" s="3"/>
      <c r="D299" s="3"/>
      <c r="E299" s="5"/>
      <c r="F299" s="5"/>
      <c r="G299" s="3"/>
      <c r="H299" s="5"/>
      <c r="I299" s="1"/>
      <c r="J299" s="7"/>
      <c r="K299" s="1"/>
      <c r="L299" s="1"/>
      <c r="M299" s="1"/>
      <c r="N299" s="1"/>
      <c r="O299" s="1"/>
      <c r="P299" s="1"/>
      <c r="Q299" s="1"/>
      <c r="R299" s="1"/>
      <c r="S299" s="1"/>
      <c r="T299" s="1"/>
      <c r="U299" s="1"/>
      <c r="V299" s="1"/>
      <c r="W299" s="1"/>
      <c r="X299" s="1"/>
      <c r="Y299" s="1"/>
      <c r="Z299" s="1"/>
    </row>
    <row r="300" spans="1:26" ht="12.75" customHeight="1" x14ac:dyDescent="0.25">
      <c r="A300" s="1"/>
      <c r="B300" s="1"/>
      <c r="C300" s="3"/>
      <c r="D300" s="3"/>
      <c r="E300" s="5"/>
      <c r="F300" s="5"/>
      <c r="G300" s="3"/>
      <c r="H300" s="5"/>
      <c r="I300" s="1"/>
      <c r="J300" s="7"/>
      <c r="K300" s="1"/>
      <c r="L300" s="1"/>
      <c r="M300" s="1"/>
      <c r="N300" s="1"/>
      <c r="O300" s="1"/>
      <c r="P300" s="1"/>
      <c r="Q300" s="1"/>
      <c r="R300" s="1"/>
      <c r="S300" s="1"/>
      <c r="T300" s="1"/>
      <c r="U300" s="1"/>
      <c r="V300" s="1"/>
      <c r="W300" s="1"/>
      <c r="X300" s="1"/>
      <c r="Y300" s="1"/>
      <c r="Z300" s="1"/>
    </row>
    <row r="301" spans="1:26" ht="12.75" customHeight="1" x14ac:dyDescent="0.25">
      <c r="A301" s="1"/>
      <c r="B301" s="1"/>
      <c r="C301" s="3"/>
      <c r="D301" s="3"/>
      <c r="E301" s="5"/>
      <c r="F301" s="5"/>
      <c r="G301" s="3"/>
      <c r="H301" s="5"/>
      <c r="I301" s="1"/>
      <c r="J301" s="7"/>
      <c r="K301" s="1"/>
      <c r="L301" s="1"/>
      <c r="M301" s="1"/>
      <c r="N301" s="1"/>
      <c r="O301" s="1"/>
      <c r="P301" s="1"/>
      <c r="Q301" s="1"/>
      <c r="R301" s="1"/>
      <c r="S301" s="1"/>
      <c r="T301" s="1"/>
      <c r="U301" s="1"/>
      <c r="V301" s="1"/>
      <c r="W301" s="1"/>
      <c r="X301" s="1"/>
      <c r="Y301" s="1"/>
      <c r="Z301" s="1"/>
    </row>
    <row r="302" spans="1:26" ht="12.75" customHeight="1" x14ac:dyDescent="0.25">
      <c r="A302" s="1"/>
      <c r="B302" s="1"/>
      <c r="C302" s="3"/>
      <c r="D302" s="3"/>
      <c r="E302" s="5"/>
      <c r="F302" s="5"/>
      <c r="G302" s="3"/>
      <c r="H302" s="5"/>
      <c r="I302" s="1"/>
      <c r="J302" s="7"/>
      <c r="K302" s="1"/>
      <c r="L302" s="1"/>
      <c r="M302" s="1"/>
      <c r="N302" s="1"/>
      <c r="O302" s="1"/>
      <c r="P302" s="1"/>
      <c r="Q302" s="1"/>
      <c r="R302" s="1"/>
      <c r="S302" s="1"/>
      <c r="T302" s="1"/>
      <c r="U302" s="1"/>
      <c r="V302" s="1"/>
      <c r="W302" s="1"/>
      <c r="X302" s="1"/>
      <c r="Y302" s="1"/>
      <c r="Z302" s="1"/>
    </row>
    <row r="303" spans="1:26" ht="12.75" customHeight="1" x14ac:dyDescent="0.25">
      <c r="A303" s="1"/>
      <c r="B303" s="1"/>
      <c r="C303" s="3"/>
      <c r="D303" s="3"/>
      <c r="E303" s="5"/>
      <c r="F303" s="5"/>
      <c r="G303" s="3"/>
      <c r="H303" s="5"/>
      <c r="I303" s="1"/>
      <c r="J303" s="7"/>
      <c r="K303" s="1"/>
      <c r="L303" s="1"/>
      <c r="M303" s="1"/>
      <c r="N303" s="1"/>
      <c r="O303" s="1"/>
      <c r="P303" s="1"/>
      <c r="Q303" s="1"/>
      <c r="R303" s="1"/>
      <c r="S303" s="1"/>
      <c r="T303" s="1"/>
      <c r="U303" s="1"/>
      <c r="V303" s="1"/>
      <c r="W303" s="1"/>
      <c r="X303" s="1"/>
      <c r="Y303" s="1"/>
      <c r="Z303" s="1"/>
    </row>
    <row r="304" spans="1:26" ht="12.75" customHeight="1" x14ac:dyDescent="0.25">
      <c r="A304" s="1"/>
      <c r="B304" s="1"/>
      <c r="C304" s="3"/>
      <c r="D304" s="3"/>
      <c r="E304" s="5"/>
      <c r="F304" s="5"/>
      <c r="G304" s="3"/>
      <c r="H304" s="5"/>
      <c r="I304" s="1"/>
      <c r="J304" s="7"/>
      <c r="K304" s="1"/>
      <c r="L304" s="1"/>
      <c r="M304" s="1"/>
      <c r="N304" s="1"/>
      <c r="O304" s="1"/>
      <c r="P304" s="1"/>
      <c r="Q304" s="1"/>
      <c r="R304" s="1"/>
      <c r="S304" s="1"/>
      <c r="T304" s="1"/>
      <c r="U304" s="1"/>
      <c r="V304" s="1"/>
      <c r="W304" s="1"/>
      <c r="X304" s="1"/>
      <c r="Y304" s="1"/>
      <c r="Z304" s="1"/>
    </row>
    <row r="305" spans="1:26" ht="12.75" customHeight="1" x14ac:dyDescent="0.25">
      <c r="A305" s="1"/>
      <c r="B305" s="1"/>
      <c r="C305" s="3"/>
      <c r="D305" s="3"/>
      <c r="E305" s="5"/>
      <c r="F305" s="5"/>
      <c r="G305" s="3"/>
      <c r="H305" s="5"/>
      <c r="I305" s="1"/>
      <c r="J305" s="7"/>
      <c r="K305" s="1"/>
      <c r="L305" s="1"/>
      <c r="M305" s="1"/>
      <c r="N305" s="1"/>
      <c r="O305" s="1"/>
      <c r="P305" s="1"/>
      <c r="Q305" s="1"/>
      <c r="R305" s="1"/>
      <c r="S305" s="1"/>
      <c r="T305" s="1"/>
      <c r="U305" s="1"/>
      <c r="V305" s="1"/>
      <c r="W305" s="1"/>
      <c r="X305" s="1"/>
      <c r="Y305" s="1"/>
      <c r="Z305" s="1"/>
    </row>
    <row r="306" spans="1:26" ht="12.75" customHeight="1" x14ac:dyDescent="0.25">
      <c r="A306" s="1"/>
      <c r="B306" s="1"/>
      <c r="C306" s="3"/>
      <c r="D306" s="3"/>
      <c r="E306" s="5"/>
      <c r="F306" s="5"/>
      <c r="G306" s="3"/>
      <c r="H306" s="5"/>
      <c r="I306" s="1"/>
      <c r="J306" s="7"/>
      <c r="K306" s="1"/>
      <c r="L306" s="1"/>
      <c r="M306" s="1"/>
      <c r="N306" s="1"/>
      <c r="O306" s="1"/>
      <c r="P306" s="1"/>
      <c r="Q306" s="1"/>
      <c r="R306" s="1"/>
      <c r="S306" s="1"/>
      <c r="T306" s="1"/>
      <c r="U306" s="1"/>
      <c r="V306" s="1"/>
      <c r="W306" s="1"/>
      <c r="X306" s="1"/>
      <c r="Y306" s="1"/>
      <c r="Z306" s="1"/>
    </row>
    <row r="307" spans="1:26" ht="12.75" customHeight="1" x14ac:dyDescent="0.25">
      <c r="A307" s="1"/>
      <c r="B307" s="1"/>
      <c r="C307" s="3"/>
      <c r="D307" s="3"/>
      <c r="E307" s="5"/>
      <c r="F307" s="5"/>
      <c r="G307" s="3"/>
      <c r="H307" s="5"/>
      <c r="I307" s="1"/>
      <c r="J307" s="7"/>
      <c r="K307" s="1"/>
      <c r="L307" s="1"/>
      <c r="M307" s="1"/>
      <c r="N307" s="1"/>
      <c r="O307" s="1"/>
      <c r="P307" s="1"/>
      <c r="Q307" s="1"/>
      <c r="R307" s="1"/>
      <c r="S307" s="1"/>
      <c r="T307" s="1"/>
      <c r="U307" s="1"/>
      <c r="V307" s="1"/>
      <c r="W307" s="1"/>
      <c r="X307" s="1"/>
      <c r="Y307" s="1"/>
      <c r="Z307" s="1"/>
    </row>
    <row r="308" spans="1:26" ht="12.75" customHeight="1" x14ac:dyDescent="0.25">
      <c r="A308" s="1"/>
      <c r="B308" s="1"/>
      <c r="C308" s="3"/>
      <c r="D308" s="3"/>
      <c r="E308" s="5"/>
      <c r="F308" s="5"/>
      <c r="G308" s="3"/>
      <c r="H308" s="5"/>
      <c r="I308" s="1"/>
      <c r="J308" s="7"/>
      <c r="K308" s="1"/>
      <c r="L308" s="1"/>
      <c r="M308" s="1"/>
      <c r="N308" s="1"/>
      <c r="O308" s="1"/>
      <c r="P308" s="1"/>
      <c r="Q308" s="1"/>
      <c r="R308" s="1"/>
      <c r="S308" s="1"/>
      <c r="T308" s="1"/>
      <c r="U308" s="1"/>
      <c r="V308" s="1"/>
      <c r="W308" s="1"/>
      <c r="X308" s="1"/>
      <c r="Y308" s="1"/>
      <c r="Z308" s="1"/>
    </row>
    <row r="309" spans="1:26" ht="12.75" customHeight="1" x14ac:dyDescent="0.25">
      <c r="A309" s="1"/>
      <c r="B309" s="1"/>
      <c r="C309" s="3"/>
      <c r="D309" s="3"/>
      <c r="E309" s="5"/>
      <c r="F309" s="5"/>
      <c r="G309" s="3"/>
      <c r="H309" s="5"/>
      <c r="I309" s="1"/>
      <c r="J309" s="7"/>
      <c r="K309" s="1"/>
      <c r="L309" s="1"/>
      <c r="M309" s="1"/>
      <c r="N309" s="1"/>
      <c r="O309" s="1"/>
      <c r="P309" s="1"/>
      <c r="Q309" s="1"/>
      <c r="R309" s="1"/>
      <c r="S309" s="1"/>
      <c r="T309" s="1"/>
      <c r="U309" s="1"/>
      <c r="V309" s="1"/>
      <c r="W309" s="1"/>
      <c r="X309" s="1"/>
      <c r="Y309" s="1"/>
      <c r="Z309" s="1"/>
    </row>
    <row r="310" spans="1:26" ht="12.75" customHeight="1" x14ac:dyDescent="0.25">
      <c r="A310" s="1"/>
      <c r="B310" s="1"/>
      <c r="C310" s="3"/>
      <c r="D310" s="3"/>
      <c r="E310" s="5"/>
      <c r="F310" s="5"/>
      <c r="G310" s="3"/>
      <c r="H310" s="5"/>
      <c r="I310" s="1"/>
      <c r="J310" s="7"/>
      <c r="K310" s="1"/>
      <c r="L310" s="1"/>
      <c r="M310" s="1"/>
      <c r="N310" s="1"/>
      <c r="O310" s="1"/>
      <c r="P310" s="1"/>
      <c r="Q310" s="1"/>
      <c r="R310" s="1"/>
      <c r="S310" s="1"/>
      <c r="T310" s="1"/>
      <c r="U310" s="1"/>
      <c r="V310" s="1"/>
      <c r="W310" s="1"/>
      <c r="X310" s="1"/>
      <c r="Y310" s="1"/>
      <c r="Z310" s="1"/>
    </row>
    <row r="311" spans="1:26" ht="12.75" customHeight="1" x14ac:dyDescent="0.25">
      <c r="A311" s="1"/>
      <c r="B311" s="1"/>
      <c r="C311" s="3"/>
      <c r="D311" s="3"/>
      <c r="E311" s="5"/>
      <c r="F311" s="5"/>
      <c r="G311" s="3"/>
      <c r="H311" s="5"/>
      <c r="I311" s="1"/>
      <c r="J311" s="7"/>
      <c r="K311" s="1"/>
      <c r="L311" s="1"/>
      <c r="M311" s="1"/>
      <c r="N311" s="1"/>
      <c r="O311" s="1"/>
      <c r="P311" s="1"/>
      <c r="Q311" s="1"/>
      <c r="R311" s="1"/>
      <c r="S311" s="1"/>
      <c r="T311" s="1"/>
      <c r="U311" s="1"/>
      <c r="V311" s="1"/>
      <c r="W311" s="1"/>
      <c r="X311" s="1"/>
      <c r="Y311" s="1"/>
      <c r="Z311" s="1"/>
    </row>
    <row r="312" spans="1:26" ht="12.75" customHeight="1" x14ac:dyDescent="0.25">
      <c r="A312" s="1"/>
      <c r="B312" s="1"/>
      <c r="C312" s="3"/>
      <c r="D312" s="3"/>
      <c r="E312" s="5"/>
      <c r="F312" s="5"/>
      <c r="G312" s="3"/>
      <c r="H312" s="5"/>
      <c r="I312" s="1"/>
      <c r="J312" s="7"/>
      <c r="K312" s="1"/>
      <c r="L312" s="1"/>
      <c r="M312" s="1"/>
      <c r="N312" s="1"/>
      <c r="O312" s="1"/>
      <c r="P312" s="1"/>
      <c r="Q312" s="1"/>
      <c r="R312" s="1"/>
      <c r="S312" s="1"/>
      <c r="T312" s="1"/>
      <c r="U312" s="1"/>
      <c r="V312" s="1"/>
      <c r="W312" s="1"/>
      <c r="X312" s="1"/>
      <c r="Y312" s="1"/>
      <c r="Z312" s="1"/>
    </row>
    <row r="313" spans="1:26" ht="12.75" customHeight="1" x14ac:dyDescent="0.25">
      <c r="A313" s="1"/>
      <c r="B313" s="1"/>
      <c r="C313" s="3"/>
      <c r="D313" s="3"/>
      <c r="E313" s="5"/>
      <c r="F313" s="5"/>
      <c r="G313" s="3"/>
      <c r="H313" s="5"/>
      <c r="I313" s="1"/>
      <c r="J313" s="7"/>
      <c r="K313" s="1"/>
      <c r="L313" s="1"/>
      <c r="M313" s="1"/>
      <c r="N313" s="1"/>
      <c r="O313" s="1"/>
      <c r="P313" s="1"/>
      <c r="Q313" s="1"/>
      <c r="R313" s="1"/>
      <c r="S313" s="1"/>
      <c r="T313" s="1"/>
      <c r="U313" s="1"/>
      <c r="V313" s="1"/>
      <c r="W313" s="1"/>
      <c r="X313" s="1"/>
      <c r="Y313" s="1"/>
      <c r="Z313" s="1"/>
    </row>
    <row r="314" spans="1:26" ht="12.75" customHeight="1" x14ac:dyDescent="0.25">
      <c r="A314" s="1"/>
      <c r="B314" s="1"/>
      <c r="C314" s="3"/>
      <c r="D314" s="3"/>
      <c r="E314" s="5"/>
      <c r="F314" s="5"/>
      <c r="G314" s="3"/>
      <c r="H314" s="5"/>
      <c r="I314" s="1"/>
      <c r="J314" s="7"/>
      <c r="K314" s="1"/>
      <c r="L314" s="1"/>
      <c r="M314" s="1"/>
      <c r="N314" s="1"/>
      <c r="O314" s="1"/>
      <c r="P314" s="1"/>
      <c r="Q314" s="1"/>
      <c r="R314" s="1"/>
      <c r="S314" s="1"/>
      <c r="T314" s="1"/>
      <c r="U314" s="1"/>
      <c r="V314" s="1"/>
      <c r="W314" s="1"/>
      <c r="X314" s="1"/>
      <c r="Y314" s="1"/>
      <c r="Z314" s="1"/>
    </row>
    <row r="315" spans="1:26" ht="12.75" customHeight="1" x14ac:dyDescent="0.25">
      <c r="A315" s="1"/>
      <c r="B315" s="1"/>
      <c r="C315" s="3"/>
      <c r="D315" s="3"/>
      <c r="E315" s="5"/>
      <c r="F315" s="5"/>
      <c r="G315" s="3"/>
      <c r="H315" s="5"/>
      <c r="I315" s="1"/>
      <c r="J315" s="7"/>
      <c r="K315" s="1"/>
      <c r="L315" s="1"/>
      <c r="M315" s="1"/>
      <c r="N315" s="1"/>
      <c r="O315" s="1"/>
      <c r="P315" s="1"/>
      <c r="Q315" s="1"/>
      <c r="R315" s="1"/>
      <c r="S315" s="1"/>
      <c r="T315" s="1"/>
      <c r="U315" s="1"/>
      <c r="V315" s="1"/>
      <c r="W315" s="1"/>
      <c r="X315" s="1"/>
      <c r="Y315" s="1"/>
      <c r="Z315" s="1"/>
    </row>
    <row r="316" spans="1:26" ht="12.75" customHeight="1" x14ac:dyDescent="0.25">
      <c r="A316" s="1"/>
      <c r="B316" s="1"/>
      <c r="C316" s="3"/>
      <c r="D316" s="3"/>
      <c r="E316" s="5"/>
      <c r="F316" s="5"/>
      <c r="G316" s="3"/>
      <c r="H316" s="5"/>
      <c r="I316" s="1"/>
      <c r="J316" s="7"/>
      <c r="K316" s="1"/>
      <c r="L316" s="1"/>
      <c r="M316" s="1"/>
      <c r="N316" s="1"/>
      <c r="O316" s="1"/>
      <c r="P316" s="1"/>
      <c r="Q316" s="1"/>
      <c r="R316" s="1"/>
      <c r="S316" s="1"/>
      <c r="T316" s="1"/>
      <c r="U316" s="1"/>
      <c r="V316" s="1"/>
      <c r="W316" s="1"/>
      <c r="X316" s="1"/>
      <c r="Y316" s="1"/>
      <c r="Z316" s="1"/>
    </row>
    <row r="317" spans="1:26" ht="12.75" customHeight="1" x14ac:dyDescent="0.25">
      <c r="A317" s="1"/>
      <c r="B317" s="1"/>
      <c r="C317" s="3"/>
      <c r="D317" s="3"/>
      <c r="E317" s="5"/>
      <c r="F317" s="5"/>
      <c r="G317" s="3"/>
      <c r="H317" s="5"/>
      <c r="I317" s="1"/>
      <c r="J317" s="7"/>
      <c r="K317" s="1"/>
      <c r="L317" s="1"/>
      <c r="M317" s="1"/>
      <c r="N317" s="1"/>
      <c r="O317" s="1"/>
      <c r="P317" s="1"/>
      <c r="Q317" s="1"/>
      <c r="R317" s="1"/>
      <c r="S317" s="1"/>
      <c r="T317" s="1"/>
      <c r="U317" s="1"/>
      <c r="V317" s="1"/>
      <c r="W317" s="1"/>
      <c r="X317" s="1"/>
      <c r="Y317" s="1"/>
      <c r="Z317" s="1"/>
    </row>
    <row r="318" spans="1:26" ht="12.75" customHeight="1" x14ac:dyDescent="0.25">
      <c r="A318" s="1"/>
      <c r="B318" s="1"/>
      <c r="C318" s="3"/>
      <c r="D318" s="3"/>
      <c r="E318" s="5"/>
      <c r="F318" s="5"/>
      <c r="G318" s="3"/>
      <c r="H318" s="5"/>
      <c r="I318" s="1"/>
      <c r="J318" s="7"/>
      <c r="K318" s="1"/>
      <c r="L318" s="1"/>
      <c r="M318" s="1"/>
      <c r="N318" s="1"/>
      <c r="O318" s="1"/>
      <c r="P318" s="1"/>
      <c r="Q318" s="1"/>
      <c r="R318" s="1"/>
      <c r="S318" s="1"/>
      <c r="T318" s="1"/>
      <c r="U318" s="1"/>
      <c r="V318" s="1"/>
      <c r="W318" s="1"/>
      <c r="X318" s="1"/>
      <c r="Y318" s="1"/>
      <c r="Z318" s="1"/>
    </row>
    <row r="319" spans="1:26" ht="12.75" customHeight="1" x14ac:dyDescent="0.25">
      <c r="A319" s="1"/>
      <c r="B319" s="1"/>
      <c r="C319" s="3"/>
      <c r="D319" s="3"/>
      <c r="E319" s="5"/>
      <c r="F319" s="5"/>
      <c r="G319" s="3"/>
      <c r="H319" s="5"/>
      <c r="I319" s="1"/>
      <c r="J319" s="7"/>
      <c r="K319" s="1"/>
      <c r="L319" s="1"/>
      <c r="M319" s="1"/>
      <c r="N319" s="1"/>
      <c r="O319" s="1"/>
      <c r="P319" s="1"/>
      <c r="Q319" s="1"/>
      <c r="R319" s="1"/>
      <c r="S319" s="1"/>
      <c r="T319" s="1"/>
      <c r="U319" s="1"/>
      <c r="V319" s="1"/>
      <c r="W319" s="1"/>
      <c r="X319" s="1"/>
      <c r="Y319" s="1"/>
      <c r="Z319" s="1"/>
    </row>
    <row r="320" spans="1:26" ht="12.75" customHeight="1" x14ac:dyDescent="0.25">
      <c r="A320" s="1"/>
      <c r="B320" s="1"/>
      <c r="C320" s="3"/>
      <c r="D320" s="3"/>
      <c r="E320" s="5"/>
      <c r="F320" s="5"/>
      <c r="G320" s="3"/>
      <c r="H320" s="5"/>
      <c r="I320" s="1"/>
      <c r="J320" s="7"/>
      <c r="K320" s="1"/>
      <c r="L320" s="1"/>
      <c r="M320" s="1"/>
      <c r="N320" s="1"/>
      <c r="O320" s="1"/>
      <c r="P320" s="1"/>
      <c r="Q320" s="1"/>
      <c r="R320" s="1"/>
      <c r="S320" s="1"/>
      <c r="T320" s="1"/>
      <c r="U320" s="1"/>
      <c r="V320" s="1"/>
      <c r="W320" s="1"/>
      <c r="X320" s="1"/>
      <c r="Y320" s="1"/>
      <c r="Z320" s="1"/>
    </row>
    <row r="321" spans="1:26" ht="12.75" customHeight="1" x14ac:dyDescent="0.25">
      <c r="A321" s="1"/>
      <c r="B321" s="1"/>
      <c r="C321" s="3"/>
      <c r="D321" s="3"/>
      <c r="E321" s="5"/>
      <c r="F321" s="5"/>
      <c r="G321" s="3"/>
      <c r="H321" s="5"/>
      <c r="I321" s="1"/>
      <c r="J321" s="7"/>
      <c r="K321" s="1"/>
      <c r="L321" s="1"/>
      <c r="M321" s="1"/>
      <c r="N321" s="1"/>
      <c r="O321" s="1"/>
      <c r="P321" s="1"/>
      <c r="Q321" s="1"/>
      <c r="R321" s="1"/>
      <c r="S321" s="1"/>
      <c r="T321" s="1"/>
      <c r="U321" s="1"/>
      <c r="V321" s="1"/>
      <c r="W321" s="1"/>
      <c r="X321" s="1"/>
      <c r="Y321" s="1"/>
      <c r="Z321" s="1"/>
    </row>
    <row r="322" spans="1:26" ht="12.75" customHeight="1" x14ac:dyDescent="0.25">
      <c r="A322" s="1"/>
      <c r="B322" s="1"/>
      <c r="C322" s="3"/>
      <c r="D322" s="3"/>
      <c r="E322" s="5"/>
      <c r="F322" s="5"/>
      <c r="G322" s="3"/>
      <c r="H322" s="5"/>
      <c r="I322" s="1"/>
      <c r="J322" s="7"/>
      <c r="K322" s="1"/>
      <c r="L322" s="1"/>
      <c r="M322" s="1"/>
      <c r="N322" s="1"/>
      <c r="O322" s="1"/>
      <c r="P322" s="1"/>
      <c r="Q322" s="1"/>
      <c r="R322" s="1"/>
      <c r="S322" s="1"/>
      <c r="T322" s="1"/>
      <c r="U322" s="1"/>
      <c r="V322" s="1"/>
      <c r="W322" s="1"/>
      <c r="X322" s="1"/>
      <c r="Y322" s="1"/>
      <c r="Z322" s="1"/>
    </row>
    <row r="323" spans="1:26" ht="12.75" customHeight="1" x14ac:dyDescent="0.25">
      <c r="A323" s="1"/>
      <c r="B323" s="1"/>
      <c r="C323" s="3"/>
      <c r="D323" s="3"/>
      <c r="E323" s="5"/>
      <c r="F323" s="5"/>
      <c r="G323" s="3"/>
      <c r="H323" s="5"/>
      <c r="I323" s="1"/>
      <c r="J323" s="7"/>
      <c r="K323" s="1"/>
      <c r="L323" s="1"/>
      <c r="M323" s="1"/>
      <c r="N323" s="1"/>
      <c r="O323" s="1"/>
      <c r="P323" s="1"/>
      <c r="Q323" s="1"/>
      <c r="R323" s="1"/>
      <c r="S323" s="1"/>
      <c r="T323" s="1"/>
      <c r="U323" s="1"/>
      <c r="V323" s="1"/>
      <c r="W323" s="1"/>
      <c r="X323" s="1"/>
      <c r="Y323" s="1"/>
      <c r="Z323" s="1"/>
    </row>
    <row r="324" spans="1:26" ht="12.75" customHeight="1" x14ac:dyDescent="0.25">
      <c r="A324" s="1"/>
      <c r="B324" s="1"/>
      <c r="C324" s="3"/>
      <c r="D324" s="3"/>
      <c r="E324" s="5"/>
      <c r="F324" s="5"/>
      <c r="G324" s="3"/>
      <c r="H324" s="5"/>
      <c r="I324" s="1"/>
      <c r="J324" s="7"/>
      <c r="K324" s="1"/>
      <c r="L324" s="1"/>
      <c r="M324" s="1"/>
      <c r="N324" s="1"/>
      <c r="O324" s="1"/>
      <c r="P324" s="1"/>
      <c r="Q324" s="1"/>
      <c r="R324" s="1"/>
      <c r="S324" s="1"/>
      <c r="T324" s="1"/>
      <c r="U324" s="1"/>
      <c r="V324" s="1"/>
      <c r="W324" s="1"/>
      <c r="X324" s="1"/>
      <c r="Y324" s="1"/>
      <c r="Z324" s="1"/>
    </row>
    <row r="325" spans="1:26" ht="12.75" customHeight="1" x14ac:dyDescent="0.25">
      <c r="A325" s="1"/>
      <c r="B325" s="1"/>
      <c r="C325" s="3"/>
      <c r="D325" s="3"/>
      <c r="E325" s="5"/>
      <c r="F325" s="5"/>
      <c r="G325" s="3"/>
      <c r="H325" s="5"/>
      <c r="I325" s="1"/>
      <c r="J325" s="7"/>
      <c r="K325" s="1"/>
      <c r="L325" s="1"/>
      <c r="M325" s="1"/>
      <c r="N325" s="1"/>
      <c r="O325" s="1"/>
      <c r="P325" s="1"/>
      <c r="Q325" s="1"/>
      <c r="R325" s="1"/>
      <c r="S325" s="1"/>
      <c r="T325" s="1"/>
      <c r="U325" s="1"/>
      <c r="V325" s="1"/>
      <c r="W325" s="1"/>
      <c r="X325" s="1"/>
      <c r="Y325" s="1"/>
      <c r="Z325" s="1"/>
    </row>
    <row r="326" spans="1:26" ht="12.75" customHeight="1" x14ac:dyDescent="0.25">
      <c r="A326" s="1"/>
      <c r="B326" s="1"/>
      <c r="C326" s="3"/>
      <c r="D326" s="3"/>
      <c r="E326" s="5"/>
      <c r="F326" s="5"/>
      <c r="G326" s="3"/>
      <c r="H326" s="5"/>
      <c r="I326" s="1"/>
      <c r="J326" s="7"/>
      <c r="K326" s="1"/>
      <c r="L326" s="1"/>
      <c r="M326" s="1"/>
      <c r="N326" s="1"/>
      <c r="O326" s="1"/>
      <c r="P326" s="1"/>
      <c r="Q326" s="1"/>
      <c r="R326" s="1"/>
      <c r="S326" s="1"/>
      <c r="T326" s="1"/>
      <c r="U326" s="1"/>
      <c r="V326" s="1"/>
      <c r="W326" s="1"/>
      <c r="X326" s="1"/>
      <c r="Y326" s="1"/>
      <c r="Z326" s="1"/>
    </row>
    <row r="327" spans="1:26" ht="12.75" customHeight="1" x14ac:dyDescent="0.25">
      <c r="A327" s="1"/>
      <c r="B327" s="1"/>
      <c r="C327" s="3"/>
      <c r="D327" s="3"/>
      <c r="E327" s="5"/>
      <c r="F327" s="5"/>
      <c r="G327" s="3"/>
      <c r="H327" s="5"/>
      <c r="I327" s="1"/>
      <c r="J327" s="7"/>
      <c r="K327" s="1"/>
      <c r="L327" s="1"/>
      <c r="M327" s="1"/>
      <c r="N327" s="1"/>
      <c r="O327" s="1"/>
      <c r="P327" s="1"/>
      <c r="Q327" s="1"/>
      <c r="R327" s="1"/>
      <c r="S327" s="1"/>
      <c r="T327" s="1"/>
      <c r="U327" s="1"/>
      <c r="V327" s="1"/>
      <c r="W327" s="1"/>
      <c r="X327" s="1"/>
      <c r="Y327" s="1"/>
      <c r="Z327" s="1"/>
    </row>
    <row r="328" spans="1:26" ht="12.75" customHeight="1" x14ac:dyDescent="0.25">
      <c r="A328" s="1"/>
      <c r="B328" s="1"/>
      <c r="C328" s="3"/>
      <c r="D328" s="3"/>
      <c r="E328" s="5"/>
      <c r="F328" s="5"/>
      <c r="G328" s="3"/>
      <c r="H328" s="5"/>
      <c r="I328" s="1"/>
      <c r="J328" s="7"/>
      <c r="K328" s="1"/>
      <c r="L328" s="1"/>
      <c r="M328" s="1"/>
      <c r="N328" s="1"/>
      <c r="O328" s="1"/>
      <c r="P328" s="1"/>
      <c r="Q328" s="1"/>
      <c r="R328" s="1"/>
      <c r="S328" s="1"/>
      <c r="T328" s="1"/>
      <c r="U328" s="1"/>
      <c r="V328" s="1"/>
      <c r="W328" s="1"/>
      <c r="X328" s="1"/>
      <c r="Y328" s="1"/>
      <c r="Z328" s="1"/>
    </row>
    <row r="329" spans="1:26" ht="12.75" customHeight="1" x14ac:dyDescent="0.25">
      <c r="A329" s="1"/>
      <c r="B329" s="1"/>
      <c r="C329" s="3"/>
      <c r="D329" s="3"/>
      <c r="E329" s="5"/>
      <c r="F329" s="5"/>
      <c r="G329" s="3"/>
      <c r="H329" s="5"/>
      <c r="I329" s="1"/>
      <c r="J329" s="7"/>
      <c r="K329" s="1"/>
      <c r="L329" s="1"/>
      <c r="M329" s="1"/>
      <c r="N329" s="1"/>
      <c r="O329" s="1"/>
      <c r="P329" s="1"/>
      <c r="Q329" s="1"/>
      <c r="R329" s="1"/>
      <c r="S329" s="1"/>
      <c r="T329" s="1"/>
      <c r="U329" s="1"/>
      <c r="V329" s="1"/>
      <c r="W329" s="1"/>
      <c r="X329" s="1"/>
      <c r="Y329" s="1"/>
      <c r="Z329" s="1"/>
    </row>
    <row r="330" spans="1:26" ht="12.75" customHeight="1" x14ac:dyDescent="0.25">
      <c r="A330" s="1"/>
      <c r="B330" s="1"/>
      <c r="C330" s="3"/>
      <c r="D330" s="3"/>
      <c r="E330" s="5"/>
      <c r="F330" s="5"/>
      <c r="G330" s="3"/>
      <c r="H330" s="5"/>
      <c r="I330" s="1"/>
      <c r="J330" s="7"/>
      <c r="K330" s="1"/>
      <c r="L330" s="1"/>
      <c r="M330" s="1"/>
      <c r="N330" s="1"/>
      <c r="O330" s="1"/>
      <c r="P330" s="1"/>
      <c r="Q330" s="1"/>
      <c r="R330" s="1"/>
      <c r="S330" s="1"/>
      <c r="T330" s="1"/>
      <c r="U330" s="1"/>
      <c r="V330" s="1"/>
      <c r="W330" s="1"/>
      <c r="X330" s="1"/>
      <c r="Y330" s="1"/>
      <c r="Z330" s="1"/>
    </row>
    <row r="331" spans="1:26" ht="12.75" customHeight="1" x14ac:dyDescent="0.25">
      <c r="A331" s="1"/>
      <c r="B331" s="1"/>
      <c r="C331" s="3"/>
      <c r="D331" s="3"/>
      <c r="E331" s="5"/>
      <c r="F331" s="5"/>
      <c r="G331" s="3"/>
      <c r="H331" s="5"/>
      <c r="I331" s="1"/>
      <c r="J331" s="7"/>
      <c r="K331" s="1"/>
      <c r="L331" s="1"/>
      <c r="M331" s="1"/>
      <c r="N331" s="1"/>
      <c r="O331" s="1"/>
      <c r="P331" s="1"/>
      <c r="Q331" s="1"/>
      <c r="R331" s="1"/>
      <c r="S331" s="1"/>
      <c r="T331" s="1"/>
      <c r="U331" s="1"/>
      <c r="V331" s="1"/>
      <c r="W331" s="1"/>
      <c r="X331" s="1"/>
      <c r="Y331" s="1"/>
      <c r="Z331" s="1"/>
    </row>
    <row r="332" spans="1:26" ht="12.75" customHeight="1" x14ac:dyDescent="0.25">
      <c r="A332" s="1"/>
      <c r="B332" s="1"/>
      <c r="C332" s="3"/>
      <c r="D332" s="3"/>
      <c r="E332" s="5"/>
      <c r="F332" s="5"/>
      <c r="G332" s="3"/>
      <c r="H332" s="5"/>
      <c r="I332" s="1"/>
      <c r="J332" s="7"/>
      <c r="K332" s="1"/>
      <c r="L332" s="1"/>
      <c r="M332" s="1"/>
      <c r="N332" s="1"/>
      <c r="O332" s="1"/>
      <c r="P332" s="1"/>
      <c r="Q332" s="1"/>
      <c r="R332" s="1"/>
      <c r="S332" s="1"/>
      <c r="T332" s="1"/>
      <c r="U332" s="1"/>
      <c r="V332" s="1"/>
      <c r="W332" s="1"/>
      <c r="X332" s="1"/>
      <c r="Y332" s="1"/>
      <c r="Z332" s="1"/>
    </row>
    <row r="333" spans="1:26" ht="12.75" customHeight="1" x14ac:dyDescent="0.25">
      <c r="A333" s="1"/>
      <c r="B333" s="1"/>
      <c r="C333" s="3"/>
      <c r="D333" s="3"/>
      <c r="E333" s="5"/>
      <c r="F333" s="5"/>
      <c r="G333" s="3"/>
      <c r="H333" s="5"/>
      <c r="I333" s="1"/>
      <c r="J333" s="7"/>
      <c r="K333" s="1"/>
      <c r="L333" s="1"/>
      <c r="M333" s="1"/>
      <c r="N333" s="1"/>
      <c r="O333" s="1"/>
      <c r="P333" s="1"/>
      <c r="Q333" s="1"/>
      <c r="R333" s="1"/>
      <c r="S333" s="1"/>
      <c r="T333" s="1"/>
      <c r="U333" s="1"/>
      <c r="V333" s="1"/>
      <c r="W333" s="1"/>
      <c r="X333" s="1"/>
      <c r="Y333" s="1"/>
      <c r="Z333" s="1"/>
    </row>
    <row r="334" spans="1:26" ht="12.75" customHeight="1" x14ac:dyDescent="0.25">
      <c r="A334" s="1"/>
      <c r="B334" s="1"/>
      <c r="C334" s="3"/>
      <c r="D334" s="3"/>
      <c r="E334" s="5"/>
      <c r="F334" s="5"/>
      <c r="G334" s="3"/>
      <c r="H334" s="5"/>
      <c r="I334" s="1"/>
      <c r="J334" s="7"/>
      <c r="K334" s="1"/>
      <c r="L334" s="1"/>
      <c r="M334" s="1"/>
      <c r="N334" s="1"/>
      <c r="O334" s="1"/>
      <c r="P334" s="1"/>
      <c r="Q334" s="1"/>
      <c r="R334" s="1"/>
      <c r="S334" s="1"/>
      <c r="T334" s="1"/>
      <c r="U334" s="1"/>
      <c r="V334" s="1"/>
      <c r="W334" s="1"/>
      <c r="X334" s="1"/>
      <c r="Y334" s="1"/>
      <c r="Z334" s="1"/>
    </row>
    <row r="335" spans="1:26" ht="12.75" customHeight="1" x14ac:dyDescent="0.25">
      <c r="A335" s="1"/>
      <c r="B335" s="1"/>
      <c r="C335" s="3"/>
      <c r="D335" s="3"/>
      <c r="E335" s="5"/>
      <c r="F335" s="5"/>
      <c r="G335" s="3"/>
      <c r="H335" s="5"/>
      <c r="I335" s="1"/>
      <c r="J335" s="7"/>
      <c r="K335" s="1"/>
      <c r="L335" s="1"/>
      <c r="M335" s="1"/>
      <c r="N335" s="1"/>
      <c r="O335" s="1"/>
      <c r="P335" s="1"/>
      <c r="Q335" s="1"/>
      <c r="R335" s="1"/>
      <c r="S335" s="1"/>
      <c r="T335" s="1"/>
      <c r="U335" s="1"/>
      <c r="V335" s="1"/>
      <c r="W335" s="1"/>
      <c r="X335" s="1"/>
      <c r="Y335" s="1"/>
      <c r="Z335" s="1"/>
    </row>
    <row r="336" spans="1:26" ht="12.75" customHeight="1" x14ac:dyDescent="0.25">
      <c r="A336" s="1"/>
      <c r="B336" s="1"/>
      <c r="C336" s="3"/>
      <c r="D336" s="3"/>
      <c r="E336" s="5"/>
      <c r="F336" s="5"/>
      <c r="G336" s="3"/>
      <c r="H336" s="5"/>
      <c r="I336" s="1"/>
      <c r="J336" s="7"/>
      <c r="K336" s="1"/>
      <c r="L336" s="1"/>
      <c r="M336" s="1"/>
      <c r="N336" s="1"/>
      <c r="O336" s="1"/>
      <c r="P336" s="1"/>
      <c r="Q336" s="1"/>
      <c r="R336" s="1"/>
      <c r="S336" s="1"/>
      <c r="T336" s="1"/>
      <c r="U336" s="1"/>
      <c r="V336" s="1"/>
      <c r="W336" s="1"/>
      <c r="X336" s="1"/>
      <c r="Y336" s="1"/>
      <c r="Z336" s="1"/>
    </row>
    <row r="337" spans="1:26" ht="12.75" customHeight="1" x14ac:dyDescent="0.25">
      <c r="A337" s="1"/>
      <c r="B337" s="1"/>
      <c r="C337" s="3"/>
      <c r="D337" s="3"/>
      <c r="E337" s="5"/>
      <c r="F337" s="5"/>
      <c r="G337" s="3"/>
      <c r="H337" s="5"/>
      <c r="I337" s="1"/>
      <c r="J337" s="7"/>
      <c r="K337" s="1"/>
      <c r="L337" s="1"/>
      <c r="M337" s="1"/>
      <c r="N337" s="1"/>
      <c r="O337" s="1"/>
      <c r="P337" s="1"/>
      <c r="Q337" s="1"/>
      <c r="R337" s="1"/>
      <c r="S337" s="1"/>
      <c r="T337" s="1"/>
      <c r="U337" s="1"/>
      <c r="V337" s="1"/>
      <c r="W337" s="1"/>
      <c r="X337" s="1"/>
      <c r="Y337" s="1"/>
      <c r="Z337" s="1"/>
    </row>
    <row r="338" spans="1:26" ht="12.75" customHeight="1" x14ac:dyDescent="0.25">
      <c r="A338" s="1"/>
      <c r="B338" s="1"/>
      <c r="C338" s="3"/>
      <c r="D338" s="3"/>
      <c r="E338" s="5"/>
      <c r="F338" s="5"/>
      <c r="G338" s="3"/>
      <c r="H338" s="5"/>
      <c r="I338" s="1"/>
      <c r="J338" s="7"/>
      <c r="K338" s="1"/>
      <c r="L338" s="1"/>
      <c r="M338" s="1"/>
      <c r="N338" s="1"/>
      <c r="O338" s="1"/>
      <c r="P338" s="1"/>
      <c r="Q338" s="1"/>
      <c r="R338" s="1"/>
      <c r="S338" s="1"/>
      <c r="T338" s="1"/>
      <c r="U338" s="1"/>
      <c r="V338" s="1"/>
      <c r="W338" s="1"/>
      <c r="X338" s="1"/>
      <c r="Y338" s="1"/>
      <c r="Z338" s="1"/>
    </row>
    <row r="339" spans="1:26" ht="12.75" customHeight="1" x14ac:dyDescent="0.25">
      <c r="A339" s="1"/>
      <c r="B339" s="1"/>
      <c r="C339" s="3"/>
      <c r="D339" s="3"/>
      <c r="E339" s="5"/>
      <c r="F339" s="5"/>
      <c r="G339" s="3"/>
      <c r="H339" s="5"/>
      <c r="I339" s="1"/>
      <c r="J339" s="7"/>
      <c r="K339" s="1"/>
      <c r="L339" s="1"/>
      <c r="M339" s="1"/>
      <c r="N339" s="1"/>
      <c r="O339" s="1"/>
      <c r="P339" s="1"/>
      <c r="Q339" s="1"/>
      <c r="R339" s="1"/>
      <c r="S339" s="1"/>
      <c r="T339" s="1"/>
      <c r="U339" s="1"/>
      <c r="V339" s="1"/>
      <c r="W339" s="1"/>
      <c r="X339" s="1"/>
      <c r="Y339" s="1"/>
      <c r="Z339" s="1"/>
    </row>
    <row r="340" spans="1:26" ht="12.75" customHeight="1" x14ac:dyDescent="0.25">
      <c r="A340" s="1"/>
      <c r="B340" s="1"/>
      <c r="C340" s="3"/>
      <c r="D340" s="3"/>
      <c r="E340" s="5"/>
      <c r="F340" s="5"/>
      <c r="G340" s="3"/>
      <c r="H340" s="5"/>
      <c r="I340" s="1"/>
      <c r="J340" s="7"/>
      <c r="K340" s="1"/>
      <c r="L340" s="1"/>
      <c r="M340" s="1"/>
      <c r="N340" s="1"/>
      <c r="O340" s="1"/>
      <c r="P340" s="1"/>
      <c r="Q340" s="1"/>
      <c r="R340" s="1"/>
      <c r="S340" s="1"/>
      <c r="T340" s="1"/>
      <c r="U340" s="1"/>
      <c r="V340" s="1"/>
      <c r="W340" s="1"/>
      <c r="X340" s="1"/>
      <c r="Y340" s="1"/>
      <c r="Z340" s="1"/>
    </row>
    <row r="341" spans="1:26" ht="12.75" customHeight="1" x14ac:dyDescent="0.25">
      <c r="A341" s="1"/>
      <c r="B341" s="1"/>
      <c r="C341" s="3"/>
      <c r="D341" s="3"/>
      <c r="E341" s="5"/>
      <c r="F341" s="5"/>
      <c r="G341" s="3"/>
      <c r="H341" s="5"/>
      <c r="I341" s="1"/>
      <c r="J341" s="7"/>
      <c r="K341" s="1"/>
      <c r="L341" s="1"/>
      <c r="M341" s="1"/>
      <c r="N341" s="1"/>
      <c r="O341" s="1"/>
      <c r="P341" s="1"/>
      <c r="Q341" s="1"/>
      <c r="R341" s="1"/>
      <c r="S341" s="1"/>
      <c r="T341" s="1"/>
      <c r="U341" s="1"/>
      <c r="V341" s="1"/>
      <c r="W341" s="1"/>
      <c r="X341" s="1"/>
      <c r="Y341" s="1"/>
      <c r="Z341" s="1"/>
    </row>
    <row r="342" spans="1:26" ht="12.75" customHeight="1" x14ac:dyDescent="0.25">
      <c r="A342" s="1"/>
      <c r="B342" s="1"/>
      <c r="C342" s="3"/>
      <c r="D342" s="3"/>
      <c r="E342" s="5"/>
      <c r="F342" s="5"/>
      <c r="G342" s="3"/>
      <c r="H342" s="5"/>
      <c r="I342" s="1"/>
      <c r="J342" s="7"/>
      <c r="K342" s="1"/>
      <c r="L342" s="1"/>
      <c r="M342" s="1"/>
      <c r="N342" s="1"/>
      <c r="O342" s="1"/>
      <c r="P342" s="1"/>
      <c r="Q342" s="1"/>
      <c r="R342" s="1"/>
      <c r="S342" s="1"/>
      <c r="T342" s="1"/>
      <c r="U342" s="1"/>
      <c r="V342" s="1"/>
      <c r="W342" s="1"/>
      <c r="X342" s="1"/>
      <c r="Y342" s="1"/>
      <c r="Z342" s="1"/>
    </row>
    <row r="343" spans="1:26" ht="12.75" customHeight="1" x14ac:dyDescent="0.25">
      <c r="A343" s="1"/>
      <c r="B343" s="1"/>
      <c r="C343" s="3"/>
      <c r="D343" s="3"/>
      <c r="E343" s="5"/>
      <c r="F343" s="5"/>
      <c r="G343" s="3"/>
      <c r="H343" s="5"/>
      <c r="I343" s="1"/>
      <c r="J343" s="7"/>
      <c r="K343" s="1"/>
      <c r="L343" s="1"/>
      <c r="M343" s="1"/>
      <c r="N343" s="1"/>
      <c r="O343" s="1"/>
      <c r="P343" s="1"/>
      <c r="Q343" s="1"/>
      <c r="R343" s="1"/>
      <c r="S343" s="1"/>
      <c r="T343" s="1"/>
      <c r="U343" s="1"/>
      <c r="V343" s="1"/>
      <c r="W343" s="1"/>
      <c r="X343" s="1"/>
      <c r="Y343" s="1"/>
      <c r="Z343" s="1"/>
    </row>
    <row r="344" spans="1:26" ht="12.75" customHeight="1" x14ac:dyDescent="0.25">
      <c r="A344" s="1"/>
      <c r="B344" s="1"/>
      <c r="C344" s="3"/>
      <c r="D344" s="3"/>
      <c r="E344" s="5"/>
      <c r="F344" s="5"/>
      <c r="G344" s="3"/>
      <c r="H344" s="5"/>
      <c r="I344" s="1"/>
      <c r="J344" s="7"/>
      <c r="K344" s="1"/>
      <c r="L344" s="1"/>
      <c r="M344" s="1"/>
      <c r="N344" s="1"/>
      <c r="O344" s="1"/>
      <c r="P344" s="1"/>
      <c r="Q344" s="1"/>
      <c r="R344" s="1"/>
      <c r="S344" s="1"/>
      <c r="T344" s="1"/>
      <c r="U344" s="1"/>
      <c r="V344" s="1"/>
      <c r="W344" s="1"/>
      <c r="X344" s="1"/>
      <c r="Y344" s="1"/>
      <c r="Z344" s="1"/>
    </row>
    <row r="345" spans="1:26" ht="12.75" customHeight="1" x14ac:dyDescent="0.25">
      <c r="A345" s="1"/>
      <c r="B345" s="1"/>
      <c r="C345" s="3"/>
      <c r="D345" s="3"/>
      <c r="E345" s="5"/>
      <c r="F345" s="5"/>
      <c r="G345" s="3"/>
      <c r="H345" s="5"/>
      <c r="I345" s="1"/>
      <c r="J345" s="7"/>
      <c r="K345" s="1"/>
      <c r="L345" s="1"/>
      <c r="M345" s="1"/>
      <c r="N345" s="1"/>
      <c r="O345" s="1"/>
      <c r="P345" s="1"/>
      <c r="Q345" s="1"/>
      <c r="R345" s="1"/>
      <c r="S345" s="1"/>
      <c r="T345" s="1"/>
      <c r="U345" s="1"/>
      <c r="V345" s="1"/>
      <c r="W345" s="1"/>
      <c r="X345" s="1"/>
      <c r="Y345" s="1"/>
      <c r="Z345" s="1"/>
    </row>
    <row r="346" spans="1:26" ht="12.75" customHeight="1" x14ac:dyDescent="0.25">
      <c r="A346" s="1"/>
      <c r="B346" s="1"/>
      <c r="C346" s="3"/>
      <c r="D346" s="3"/>
      <c r="E346" s="5"/>
      <c r="F346" s="5"/>
      <c r="G346" s="3"/>
      <c r="H346" s="5"/>
      <c r="I346" s="1"/>
      <c r="J346" s="7"/>
      <c r="K346" s="1"/>
      <c r="L346" s="1"/>
      <c r="M346" s="1"/>
      <c r="N346" s="1"/>
      <c r="O346" s="1"/>
      <c r="P346" s="1"/>
      <c r="Q346" s="1"/>
      <c r="R346" s="1"/>
      <c r="S346" s="1"/>
      <c r="T346" s="1"/>
      <c r="U346" s="1"/>
      <c r="V346" s="1"/>
      <c r="W346" s="1"/>
      <c r="X346" s="1"/>
      <c r="Y346" s="1"/>
      <c r="Z346" s="1"/>
    </row>
    <row r="347" spans="1:26" ht="12.75" customHeight="1" x14ac:dyDescent="0.25">
      <c r="A347" s="1"/>
      <c r="B347" s="1"/>
      <c r="C347" s="3"/>
      <c r="D347" s="3"/>
      <c r="E347" s="5"/>
      <c r="F347" s="5"/>
      <c r="G347" s="3"/>
      <c r="H347" s="5"/>
      <c r="I347" s="1"/>
      <c r="J347" s="7"/>
      <c r="K347" s="1"/>
      <c r="L347" s="1"/>
      <c r="M347" s="1"/>
      <c r="N347" s="1"/>
      <c r="O347" s="1"/>
      <c r="P347" s="1"/>
      <c r="Q347" s="1"/>
      <c r="R347" s="1"/>
      <c r="S347" s="1"/>
      <c r="T347" s="1"/>
      <c r="U347" s="1"/>
      <c r="V347" s="1"/>
      <c r="W347" s="1"/>
      <c r="X347" s="1"/>
      <c r="Y347" s="1"/>
      <c r="Z347" s="1"/>
    </row>
    <row r="348" spans="1:26" ht="12.75" customHeight="1" x14ac:dyDescent="0.25">
      <c r="A348" s="1"/>
      <c r="B348" s="1"/>
      <c r="C348" s="3"/>
      <c r="D348" s="3"/>
      <c r="E348" s="5"/>
      <c r="F348" s="5"/>
      <c r="G348" s="3"/>
      <c r="H348" s="5"/>
      <c r="I348" s="1"/>
      <c r="J348" s="7"/>
      <c r="K348" s="1"/>
      <c r="L348" s="1"/>
      <c r="M348" s="1"/>
      <c r="N348" s="1"/>
      <c r="O348" s="1"/>
      <c r="P348" s="1"/>
      <c r="Q348" s="1"/>
      <c r="R348" s="1"/>
      <c r="S348" s="1"/>
      <c r="T348" s="1"/>
      <c r="U348" s="1"/>
      <c r="V348" s="1"/>
      <c r="W348" s="1"/>
      <c r="X348" s="1"/>
      <c r="Y348" s="1"/>
      <c r="Z348" s="1"/>
    </row>
    <row r="349" spans="1:26" ht="12.75" customHeight="1" x14ac:dyDescent="0.25">
      <c r="A349" s="1"/>
      <c r="B349" s="1"/>
      <c r="C349" s="3"/>
      <c r="D349" s="3"/>
      <c r="E349" s="5"/>
      <c r="F349" s="5"/>
      <c r="G349" s="3"/>
      <c r="H349" s="5"/>
      <c r="I349" s="1"/>
      <c r="J349" s="7"/>
      <c r="K349" s="1"/>
      <c r="L349" s="1"/>
      <c r="M349" s="1"/>
      <c r="N349" s="1"/>
      <c r="O349" s="1"/>
      <c r="P349" s="1"/>
      <c r="Q349" s="1"/>
      <c r="R349" s="1"/>
      <c r="S349" s="1"/>
      <c r="T349" s="1"/>
      <c r="U349" s="1"/>
      <c r="V349" s="1"/>
      <c r="W349" s="1"/>
      <c r="X349" s="1"/>
      <c r="Y349" s="1"/>
      <c r="Z349" s="1"/>
    </row>
    <row r="350" spans="1:26" ht="12.75" customHeight="1" x14ac:dyDescent="0.25">
      <c r="A350" s="1"/>
      <c r="B350" s="1"/>
      <c r="C350" s="3"/>
      <c r="D350" s="3"/>
      <c r="E350" s="5"/>
      <c r="F350" s="5"/>
      <c r="G350" s="3"/>
      <c r="H350" s="5"/>
      <c r="I350" s="1"/>
      <c r="J350" s="7"/>
      <c r="K350" s="1"/>
      <c r="L350" s="1"/>
      <c r="M350" s="1"/>
      <c r="N350" s="1"/>
      <c r="O350" s="1"/>
      <c r="P350" s="1"/>
      <c r="Q350" s="1"/>
      <c r="R350" s="1"/>
      <c r="S350" s="1"/>
      <c r="T350" s="1"/>
      <c r="U350" s="1"/>
      <c r="V350" s="1"/>
      <c r="W350" s="1"/>
      <c r="X350" s="1"/>
      <c r="Y350" s="1"/>
      <c r="Z350" s="1"/>
    </row>
    <row r="351" spans="1:26" ht="12.75" customHeight="1" x14ac:dyDescent="0.25">
      <c r="A351" s="1"/>
      <c r="B351" s="1"/>
      <c r="C351" s="3"/>
      <c r="D351" s="3"/>
      <c r="E351" s="5"/>
      <c r="F351" s="5"/>
      <c r="G351" s="3"/>
      <c r="H351" s="5"/>
      <c r="I351" s="1"/>
      <c r="J351" s="7"/>
      <c r="K351" s="1"/>
      <c r="L351" s="1"/>
      <c r="M351" s="1"/>
      <c r="N351" s="1"/>
      <c r="O351" s="1"/>
      <c r="P351" s="1"/>
      <c r="Q351" s="1"/>
      <c r="R351" s="1"/>
      <c r="S351" s="1"/>
      <c r="T351" s="1"/>
      <c r="U351" s="1"/>
      <c r="V351" s="1"/>
      <c r="W351" s="1"/>
      <c r="X351" s="1"/>
      <c r="Y351" s="1"/>
      <c r="Z351" s="1"/>
    </row>
    <row r="352" spans="1:26" ht="12.75" customHeight="1" x14ac:dyDescent="0.25">
      <c r="A352" s="1"/>
      <c r="B352" s="1"/>
      <c r="C352" s="3"/>
      <c r="D352" s="3"/>
      <c r="E352" s="5"/>
      <c r="F352" s="5"/>
      <c r="G352" s="3"/>
      <c r="H352" s="5"/>
      <c r="I352" s="1"/>
      <c r="J352" s="7"/>
      <c r="K352" s="1"/>
      <c r="L352" s="1"/>
      <c r="M352" s="1"/>
      <c r="N352" s="1"/>
      <c r="O352" s="1"/>
      <c r="P352" s="1"/>
      <c r="Q352" s="1"/>
      <c r="R352" s="1"/>
      <c r="S352" s="1"/>
      <c r="T352" s="1"/>
      <c r="U352" s="1"/>
      <c r="V352" s="1"/>
      <c r="W352" s="1"/>
      <c r="X352" s="1"/>
      <c r="Y352" s="1"/>
      <c r="Z352" s="1"/>
    </row>
    <row r="353" spans="1:26" ht="12.75" customHeight="1" x14ac:dyDescent="0.25">
      <c r="A353" s="1"/>
      <c r="B353" s="1"/>
      <c r="C353" s="3"/>
      <c r="D353" s="3"/>
      <c r="E353" s="5"/>
      <c r="F353" s="5"/>
      <c r="G353" s="3"/>
      <c r="H353" s="5"/>
      <c r="I353" s="1"/>
      <c r="J353" s="7"/>
      <c r="K353" s="1"/>
      <c r="L353" s="1"/>
      <c r="M353" s="1"/>
      <c r="N353" s="1"/>
      <c r="O353" s="1"/>
      <c r="P353" s="1"/>
      <c r="Q353" s="1"/>
      <c r="R353" s="1"/>
      <c r="S353" s="1"/>
      <c r="T353" s="1"/>
      <c r="U353" s="1"/>
      <c r="V353" s="1"/>
      <c r="W353" s="1"/>
      <c r="X353" s="1"/>
      <c r="Y353" s="1"/>
      <c r="Z353" s="1"/>
    </row>
    <row r="354" spans="1:26" ht="12.75" customHeight="1" x14ac:dyDescent="0.25">
      <c r="A354" s="1"/>
      <c r="B354" s="1"/>
      <c r="C354" s="3"/>
      <c r="D354" s="3"/>
      <c r="E354" s="5"/>
      <c r="F354" s="5"/>
      <c r="G354" s="3"/>
      <c r="H354" s="5"/>
      <c r="I354" s="1"/>
      <c r="J354" s="7"/>
      <c r="K354" s="1"/>
      <c r="L354" s="1"/>
      <c r="M354" s="1"/>
      <c r="N354" s="1"/>
      <c r="O354" s="1"/>
      <c r="P354" s="1"/>
      <c r="Q354" s="1"/>
      <c r="R354" s="1"/>
      <c r="S354" s="1"/>
      <c r="T354" s="1"/>
      <c r="U354" s="1"/>
      <c r="V354" s="1"/>
      <c r="W354" s="1"/>
      <c r="X354" s="1"/>
      <c r="Y354" s="1"/>
      <c r="Z354" s="1"/>
    </row>
    <row r="355" spans="1:26" ht="12.75" customHeight="1" x14ac:dyDescent="0.25">
      <c r="A355" s="1"/>
      <c r="B355" s="1"/>
      <c r="C355" s="3"/>
      <c r="D355" s="3"/>
      <c r="E355" s="5"/>
      <c r="F355" s="5"/>
      <c r="G355" s="3"/>
      <c r="H355" s="5"/>
      <c r="I355" s="1"/>
      <c r="J355" s="7"/>
      <c r="K355" s="1"/>
      <c r="L355" s="1"/>
      <c r="M355" s="1"/>
      <c r="N355" s="1"/>
      <c r="O355" s="1"/>
      <c r="P355" s="1"/>
      <c r="Q355" s="1"/>
      <c r="R355" s="1"/>
      <c r="S355" s="1"/>
      <c r="T355" s="1"/>
      <c r="U355" s="1"/>
      <c r="V355" s="1"/>
      <c r="W355" s="1"/>
      <c r="X355" s="1"/>
      <c r="Y355" s="1"/>
      <c r="Z355" s="1"/>
    </row>
    <row r="356" spans="1:26" ht="12.75" customHeight="1" x14ac:dyDescent="0.25">
      <c r="A356" s="1"/>
      <c r="B356" s="1"/>
      <c r="C356" s="3"/>
      <c r="D356" s="3"/>
      <c r="E356" s="5"/>
      <c r="F356" s="5"/>
      <c r="G356" s="3"/>
      <c r="H356" s="5"/>
      <c r="I356" s="1"/>
      <c r="J356" s="7"/>
      <c r="K356" s="1"/>
      <c r="L356" s="1"/>
      <c r="M356" s="1"/>
      <c r="N356" s="1"/>
      <c r="O356" s="1"/>
      <c r="P356" s="1"/>
      <c r="Q356" s="1"/>
      <c r="R356" s="1"/>
      <c r="S356" s="1"/>
      <c r="T356" s="1"/>
      <c r="U356" s="1"/>
      <c r="V356" s="1"/>
      <c r="W356" s="1"/>
      <c r="X356" s="1"/>
      <c r="Y356" s="1"/>
      <c r="Z356" s="1"/>
    </row>
    <row r="357" spans="1:26" ht="12.75" customHeight="1" x14ac:dyDescent="0.25">
      <c r="A357" s="1"/>
      <c r="B357" s="1"/>
      <c r="C357" s="3"/>
      <c r="D357" s="3"/>
      <c r="E357" s="5"/>
      <c r="F357" s="5"/>
      <c r="G357" s="3"/>
      <c r="H357" s="5"/>
      <c r="I357" s="1"/>
      <c r="J357" s="7"/>
      <c r="K357" s="1"/>
      <c r="L357" s="1"/>
      <c r="M357" s="1"/>
      <c r="N357" s="1"/>
      <c r="O357" s="1"/>
      <c r="P357" s="1"/>
      <c r="Q357" s="1"/>
      <c r="R357" s="1"/>
      <c r="S357" s="1"/>
      <c r="T357" s="1"/>
      <c r="U357" s="1"/>
      <c r="V357" s="1"/>
      <c r="W357" s="1"/>
      <c r="X357" s="1"/>
      <c r="Y357" s="1"/>
      <c r="Z357" s="1"/>
    </row>
    <row r="358" spans="1:26" ht="12.75" customHeight="1" x14ac:dyDescent="0.25">
      <c r="A358" s="1"/>
      <c r="B358" s="1"/>
      <c r="C358" s="3"/>
      <c r="D358" s="3"/>
      <c r="E358" s="5"/>
      <c r="F358" s="5"/>
      <c r="G358" s="3"/>
      <c r="H358" s="5"/>
      <c r="I358" s="1"/>
      <c r="J358" s="7"/>
      <c r="K358" s="1"/>
      <c r="L358" s="1"/>
      <c r="M358" s="1"/>
      <c r="N358" s="1"/>
      <c r="O358" s="1"/>
      <c r="P358" s="1"/>
      <c r="Q358" s="1"/>
      <c r="R358" s="1"/>
      <c r="S358" s="1"/>
      <c r="T358" s="1"/>
      <c r="U358" s="1"/>
      <c r="V358" s="1"/>
      <c r="W358" s="1"/>
      <c r="X358" s="1"/>
      <c r="Y358" s="1"/>
      <c r="Z358" s="1"/>
    </row>
    <row r="359" spans="1:26" ht="12.75" customHeight="1" x14ac:dyDescent="0.25">
      <c r="A359" s="1"/>
      <c r="B359" s="1"/>
      <c r="C359" s="3"/>
      <c r="D359" s="3"/>
      <c r="E359" s="5"/>
      <c r="F359" s="5"/>
      <c r="G359" s="3"/>
      <c r="H359" s="5"/>
      <c r="I359" s="1"/>
      <c r="J359" s="7"/>
      <c r="K359" s="1"/>
      <c r="L359" s="1"/>
      <c r="M359" s="1"/>
      <c r="N359" s="1"/>
      <c r="O359" s="1"/>
      <c r="P359" s="1"/>
      <c r="Q359" s="1"/>
      <c r="R359" s="1"/>
      <c r="S359" s="1"/>
      <c r="T359" s="1"/>
      <c r="U359" s="1"/>
      <c r="V359" s="1"/>
      <c r="W359" s="1"/>
      <c r="X359" s="1"/>
      <c r="Y359" s="1"/>
      <c r="Z359" s="1"/>
    </row>
    <row r="360" spans="1:26" ht="12.75" customHeight="1" x14ac:dyDescent="0.25">
      <c r="A360" s="1"/>
      <c r="B360" s="1"/>
      <c r="C360" s="3"/>
      <c r="D360" s="3"/>
      <c r="E360" s="5"/>
      <c r="F360" s="5"/>
      <c r="G360" s="3"/>
      <c r="H360" s="5"/>
      <c r="I360" s="1"/>
      <c r="J360" s="7"/>
      <c r="K360" s="1"/>
      <c r="L360" s="1"/>
      <c r="M360" s="1"/>
      <c r="N360" s="1"/>
      <c r="O360" s="1"/>
      <c r="P360" s="1"/>
      <c r="Q360" s="1"/>
      <c r="R360" s="1"/>
      <c r="S360" s="1"/>
      <c r="T360" s="1"/>
      <c r="U360" s="1"/>
      <c r="V360" s="1"/>
      <c r="W360" s="1"/>
      <c r="X360" s="1"/>
      <c r="Y360" s="1"/>
      <c r="Z360" s="1"/>
    </row>
    <row r="361" spans="1:26" ht="12.75" customHeight="1" x14ac:dyDescent="0.25">
      <c r="A361" s="1"/>
      <c r="B361" s="1"/>
      <c r="C361" s="3"/>
      <c r="D361" s="3"/>
      <c r="E361" s="5"/>
      <c r="F361" s="5"/>
      <c r="G361" s="3"/>
      <c r="H361" s="5"/>
      <c r="I361" s="1"/>
      <c r="J361" s="7"/>
      <c r="K361" s="1"/>
      <c r="L361" s="1"/>
      <c r="M361" s="1"/>
      <c r="N361" s="1"/>
      <c r="O361" s="1"/>
      <c r="P361" s="1"/>
      <c r="Q361" s="1"/>
      <c r="R361" s="1"/>
      <c r="S361" s="1"/>
      <c r="T361" s="1"/>
      <c r="U361" s="1"/>
      <c r="V361" s="1"/>
      <c r="W361" s="1"/>
      <c r="X361" s="1"/>
      <c r="Y361" s="1"/>
      <c r="Z361" s="1"/>
    </row>
    <row r="362" spans="1:26" ht="12.75" customHeight="1" x14ac:dyDescent="0.25">
      <c r="A362" s="1"/>
      <c r="B362" s="1"/>
      <c r="C362" s="3"/>
      <c r="D362" s="3"/>
      <c r="E362" s="5"/>
      <c r="F362" s="5"/>
      <c r="G362" s="3"/>
      <c r="H362" s="5"/>
      <c r="I362" s="1"/>
      <c r="J362" s="7"/>
      <c r="K362" s="1"/>
      <c r="L362" s="1"/>
      <c r="M362" s="1"/>
      <c r="N362" s="1"/>
      <c r="O362" s="1"/>
      <c r="P362" s="1"/>
      <c r="Q362" s="1"/>
      <c r="R362" s="1"/>
      <c r="S362" s="1"/>
      <c r="T362" s="1"/>
      <c r="U362" s="1"/>
      <c r="V362" s="1"/>
      <c r="W362" s="1"/>
      <c r="X362" s="1"/>
      <c r="Y362" s="1"/>
      <c r="Z362" s="1"/>
    </row>
    <row r="363" spans="1:26" ht="12.75" customHeight="1" x14ac:dyDescent="0.25">
      <c r="A363" s="1"/>
      <c r="B363" s="1"/>
      <c r="C363" s="3"/>
      <c r="D363" s="3"/>
      <c r="E363" s="5"/>
      <c r="F363" s="5"/>
      <c r="G363" s="3"/>
      <c r="H363" s="5"/>
      <c r="I363" s="1"/>
      <c r="J363" s="7"/>
      <c r="K363" s="1"/>
      <c r="L363" s="1"/>
      <c r="M363" s="1"/>
      <c r="N363" s="1"/>
      <c r="O363" s="1"/>
      <c r="P363" s="1"/>
      <c r="Q363" s="1"/>
      <c r="R363" s="1"/>
      <c r="S363" s="1"/>
      <c r="T363" s="1"/>
      <c r="U363" s="1"/>
      <c r="V363" s="1"/>
      <c r="W363" s="1"/>
      <c r="X363" s="1"/>
      <c r="Y363" s="1"/>
      <c r="Z363" s="1"/>
    </row>
    <row r="364" spans="1:26" ht="12.75" customHeight="1" x14ac:dyDescent="0.25">
      <c r="A364" s="1"/>
      <c r="B364" s="1"/>
      <c r="C364" s="3"/>
      <c r="D364" s="3"/>
      <c r="E364" s="5"/>
      <c r="F364" s="5"/>
      <c r="G364" s="3"/>
      <c r="H364" s="5"/>
      <c r="I364" s="1"/>
      <c r="J364" s="7"/>
      <c r="K364" s="1"/>
      <c r="L364" s="1"/>
      <c r="M364" s="1"/>
      <c r="N364" s="1"/>
      <c r="O364" s="1"/>
      <c r="P364" s="1"/>
      <c r="Q364" s="1"/>
      <c r="R364" s="1"/>
      <c r="S364" s="1"/>
      <c r="T364" s="1"/>
      <c r="U364" s="1"/>
      <c r="V364" s="1"/>
      <c r="W364" s="1"/>
      <c r="X364" s="1"/>
      <c r="Y364" s="1"/>
      <c r="Z364" s="1"/>
    </row>
    <row r="365" spans="1:26" ht="12.75" customHeight="1" x14ac:dyDescent="0.25">
      <c r="A365" s="1"/>
      <c r="B365" s="1"/>
      <c r="C365" s="3"/>
      <c r="D365" s="3"/>
      <c r="E365" s="5"/>
      <c r="F365" s="5"/>
      <c r="G365" s="3"/>
      <c r="H365" s="5"/>
      <c r="I365" s="1"/>
      <c r="J365" s="7"/>
      <c r="K365" s="1"/>
      <c r="L365" s="1"/>
      <c r="M365" s="1"/>
      <c r="N365" s="1"/>
      <c r="O365" s="1"/>
      <c r="P365" s="1"/>
      <c r="Q365" s="1"/>
      <c r="R365" s="1"/>
      <c r="S365" s="1"/>
      <c r="T365" s="1"/>
      <c r="U365" s="1"/>
      <c r="V365" s="1"/>
      <c r="W365" s="1"/>
      <c r="X365" s="1"/>
      <c r="Y365" s="1"/>
      <c r="Z365" s="1"/>
    </row>
    <row r="366" spans="1:26" ht="12.75" customHeight="1" x14ac:dyDescent="0.25">
      <c r="A366" s="1"/>
      <c r="B366" s="1"/>
      <c r="C366" s="3"/>
      <c r="D366" s="3"/>
      <c r="E366" s="5"/>
      <c r="F366" s="5"/>
      <c r="G366" s="3"/>
      <c r="H366" s="5"/>
      <c r="I366" s="1"/>
      <c r="J366" s="7"/>
      <c r="K366" s="1"/>
      <c r="L366" s="1"/>
      <c r="M366" s="1"/>
      <c r="N366" s="1"/>
      <c r="O366" s="1"/>
      <c r="P366" s="1"/>
      <c r="Q366" s="1"/>
      <c r="R366" s="1"/>
      <c r="S366" s="1"/>
      <c r="T366" s="1"/>
      <c r="U366" s="1"/>
      <c r="V366" s="1"/>
      <c r="W366" s="1"/>
      <c r="X366" s="1"/>
      <c r="Y366" s="1"/>
      <c r="Z366" s="1"/>
    </row>
    <row r="367" spans="1:26" ht="12.75" customHeight="1" x14ac:dyDescent="0.25">
      <c r="A367" s="1"/>
      <c r="B367" s="1"/>
      <c r="C367" s="3"/>
      <c r="D367" s="3"/>
      <c r="E367" s="5"/>
      <c r="F367" s="5"/>
      <c r="G367" s="3"/>
      <c r="H367" s="5"/>
      <c r="I367" s="1"/>
      <c r="J367" s="7"/>
      <c r="K367" s="1"/>
      <c r="L367" s="1"/>
      <c r="M367" s="1"/>
      <c r="N367" s="1"/>
      <c r="O367" s="1"/>
      <c r="P367" s="1"/>
      <c r="Q367" s="1"/>
      <c r="R367" s="1"/>
      <c r="S367" s="1"/>
      <c r="T367" s="1"/>
      <c r="U367" s="1"/>
      <c r="V367" s="1"/>
      <c r="W367" s="1"/>
      <c r="X367" s="1"/>
      <c r="Y367" s="1"/>
      <c r="Z367" s="1"/>
    </row>
    <row r="368" spans="1:26" ht="12.75" customHeight="1" x14ac:dyDescent="0.25">
      <c r="A368" s="1"/>
      <c r="B368" s="1"/>
      <c r="C368" s="3"/>
      <c r="D368" s="3"/>
      <c r="E368" s="5"/>
      <c r="F368" s="5"/>
      <c r="G368" s="3"/>
      <c r="H368" s="5"/>
      <c r="I368" s="1"/>
      <c r="J368" s="7"/>
      <c r="K368" s="1"/>
      <c r="L368" s="1"/>
      <c r="M368" s="1"/>
      <c r="N368" s="1"/>
      <c r="O368" s="1"/>
      <c r="P368" s="1"/>
      <c r="Q368" s="1"/>
      <c r="R368" s="1"/>
      <c r="S368" s="1"/>
      <c r="T368" s="1"/>
      <c r="U368" s="1"/>
      <c r="V368" s="1"/>
      <c r="W368" s="1"/>
      <c r="X368" s="1"/>
      <c r="Y368" s="1"/>
      <c r="Z368" s="1"/>
    </row>
    <row r="369" spans="1:26" ht="12.75" customHeight="1" x14ac:dyDescent="0.25">
      <c r="A369" s="1"/>
      <c r="B369" s="1"/>
      <c r="C369" s="3"/>
      <c r="D369" s="3"/>
      <c r="E369" s="5"/>
      <c r="F369" s="5"/>
      <c r="G369" s="3"/>
      <c r="H369" s="5"/>
      <c r="I369" s="1"/>
      <c r="J369" s="7"/>
      <c r="K369" s="1"/>
      <c r="L369" s="1"/>
      <c r="M369" s="1"/>
      <c r="N369" s="1"/>
      <c r="O369" s="1"/>
      <c r="P369" s="1"/>
      <c r="Q369" s="1"/>
      <c r="R369" s="1"/>
      <c r="S369" s="1"/>
      <c r="T369" s="1"/>
      <c r="U369" s="1"/>
      <c r="V369" s="1"/>
      <c r="W369" s="1"/>
      <c r="X369" s="1"/>
      <c r="Y369" s="1"/>
      <c r="Z369" s="1"/>
    </row>
    <row r="370" spans="1:26" ht="12.75" customHeight="1" x14ac:dyDescent="0.25">
      <c r="A370" s="1"/>
      <c r="B370" s="1"/>
      <c r="C370" s="3"/>
      <c r="D370" s="3"/>
      <c r="E370" s="5"/>
      <c r="F370" s="5"/>
      <c r="G370" s="3"/>
      <c r="H370" s="5"/>
      <c r="I370" s="1"/>
      <c r="J370" s="7"/>
      <c r="K370" s="1"/>
      <c r="L370" s="1"/>
      <c r="M370" s="1"/>
      <c r="N370" s="1"/>
      <c r="O370" s="1"/>
      <c r="P370" s="1"/>
      <c r="Q370" s="1"/>
      <c r="R370" s="1"/>
      <c r="S370" s="1"/>
      <c r="T370" s="1"/>
      <c r="U370" s="1"/>
      <c r="V370" s="1"/>
      <c r="W370" s="1"/>
      <c r="X370" s="1"/>
      <c r="Y370" s="1"/>
      <c r="Z370" s="1"/>
    </row>
    <row r="371" spans="1:26" ht="12.75" customHeight="1" x14ac:dyDescent="0.25">
      <c r="A371" s="1"/>
      <c r="B371" s="1"/>
      <c r="C371" s="3"/>
      <c r="D371" s="3"/>
      <c r="E371" s="5"/>
      <c r="F371" s="5"/>
      <c r="G371" s="3"/>
      <c r="H371" s="5"/>
      <c r="I371" s="1"/>
      <c r="J371" s="7"/>
      <c r="K371" s="1"/>
      <c r="L371" s="1"/>
      <c r="M371" s="1"/>
      <c r="N371" s="1"/>
      <c r="O371" s="1"/>
      <c r="P371" s="1"/>
      <c r="Q371" s="1"/>
      <c r="R371" s="1"/>
      <c r="S371" s="1"/>
      <c r="T371" s="1"/>
      <c r="U371" s="1"/>
      <c r="V371" s="1"/>
      <c r="W371" s="1"/>
      <c r="X371" s="1"/>
      <c r="Y371" s="1"/>
      <c r="Z371" s="1"/>
    </row>
    <row r="372" spans="1:26" ht="12.75" customHeight="1" x14ac:dyDescent="0.25">
      <c r="A372" s="1"/>
      <c r="B372" s="1"/>
      <c r="C372" s="3"/>
      <c r="D372" s="3"/>
      <c r="E372" s="5"/>
      <c r="F372" s="5"/>
      <c r="G372" s="3"/>
      <c r="H372" s="5"/>
      <c r="I372" s="1"/>
      <c r="J372" s="7"/>
      <c r="K372" s="1"/>
      <c r="L372" s="1"/>
      <c r="M372" s="1"/>
      <c r="N372" s="1"/>
      <c r="O372" s="1"/>
      <c r="P372" s="1"/>
      <c r="Q372" s="1"/>
      <c r="R372" s="1"/>
      <c r="S372" s="1"/>
      <c r="T372" s="1"/>
      <c r="U372" s="1"/>
      <c r="V372" s="1"/>
      <c r="W372" s="1"/>
      <c r="X372" s="1"/>
      <c r="Y372" s="1"/>
      <c r="Z372" s="1"/>
    </row>
    <row r="373" spans="1:26" ht="12.75" customHeight="1" x14ac:dyDescent="0.25">
      <c r="A373" s="1"/>
      <c r="B373" s="1"/>
      <c r="C373" s="3"/>
      <c r="D373" s="3"/>
      <c r="E373" s="5"/>
      <c r="F373" s="5"/>
      <c r="G373" s="3"/>
      <c r="H373" s="5"/>
      <c r="I373" s="1"/>
      <c r="J373" s="7"/>
      <c r="K373" s="1"/>
      <c r="L373" s="1"/>
      <c r="M373" s="1"/>
      <c r="N373" s="1"/>
      <c r="O373" s="1"/>
      <c r="P373" s="1"/>
      <c r="Q373" s="1"/>
      <c r="R373" s="1"/>
      <c r="S373" s="1"/>
      <c r="T373" s="1"/>
      <c r="U373" s="1"/>
      <c r="V373" s="1"/>
      <c r="W373" s="1"/>
      <c r="X373" s="1"/>
      <c r="Y373" s="1"/>
      <c r="Z373" s="1"/>
    </row>
    <row r="374" spans="1:26" ht="12.75" customHeight="1" x14ac:dyDescent="0.25">
      <c r="A374" s="1"/>
      <c r="B374" s="1"/>
      <c r="C374" s="3"/>
      <c r="D374" s="3"/>
      <c r="E374" s="5"/>
      <c r="F374" s="5"/>
      <c r="G374" s="3"/>
      <c r="H374" s="5"/>
      <c r="I374" s="1"/>
      <c r="J374" s="7"/>
      <c r="K374" s="1"/>
      <c r="L374" s="1"/>
      <c r="M374" s="1"/>
      <c r="N374" s="1"/>
      <c r="O374" s="1"/>
      <c r="P374" s="1"/>
      <c r="Q374" s="1"/>
      <c r="R374" s="1"/>
      <c r="S374" s="1"/>
      <c r="T374" s="1"/>
      <c r="U374" s="1"/>
      <c r="V374" s="1"/>
      <c r="W374" s="1"/>
      <c r="X374" s="1"/>
      <c r="Y374" s="1"/>
      <c r="Z374" s="1"/>
    </row>
    <row r="375" spans="1:26" ht="12.75" customHeight="1" x14ac:dyDescent="0.25">
      <c r="A375" s="1"/>
      <c r="B375" s="1"/>
      <c r="C375" s="3"/>
      <c r="D375" s="3"/>
      <c r="E375" s="5"/>
      <c r="F375" s="5"/>
      <c r="G375" s="3"/>
      <c r="H375" s="5"/>
      <c r="I375" s="1"/>
      <c r="J375" s="7"/>
      <c r="K375" s="1"/>
      <c r="L375" s="1"/>
      <c r="M375" s="1"/>
      <c r="N375" s="1"/>
      <c r="O375" s="1"/>
      <c r="P375" s="1"/>
      <c r="Q375" s="1"/>
      <c r="R375" s="1"/>
      <c r="S375" s="1"/>
      <c r="T375" s="1"/>
      <c r="U375" s="1"/>
      <c r="V375" s="1"/>
      <c r="W375" s="1"/>
      <c r="X375" s="1"/>
      <c r="Y375" s="1"/>
      <c r="Z375" s="1"/>
    </row>
    <row r="376" spans="1:26" ht="12.75" customHeight="1" x14ac:dyDescent="0.25">
      <c r="A376" s="1"/>
      <c r="B376" s="1"/>
      <c r="C376" s="3"/>
      <c r="D376" s="3"/>
      <c r="E376" s="5"/>
      <c r="F376" s="5"/>
      <c r="G376" s="3"/>
      <c r="H376" s="5"/>
      <c r="I376" s="1"/>
      <c r="J376" s="7"/>
      <c r="K376" s="1"/>
      <c r="L376" s="1"/>
      <c r="M376" s="1"/>
      <c r="N376" s="1"/>
      <c r="O376" s="1"/>
      <c r="P376" s="1"/>
      <c r="Q376" s="1"/>
      <c r="R376" s="1"/>
      <c r="S376" s="1"/>
      <c r="T376" s="1"/>
      <c r="U376" s="1"/>
      <c r="V376" s="1"/>
      <c r="W376" s="1"/>
      <c r="X376" s="1"/>
      <c r="Y376" s="1"/>
      <c r="Z376" s="1"/>
    </row>
    <row r="377" spans="1:26" ht="12.75" customHeight="1" x14ac:dyDescent="0.25">
      <c r="A377" s="1"/>
      <c r="B377" s="1"/>
      <c r="C377" s="3"/>
      <c r="D377" s="3"/>
      <c r="E377" s="5"/>
      <c r="F377" s="5"/>
      <c r="G377" s="3"/>
      <c r="H377" s="5"/>
      <c r="I377" s="1"/>
      <c r="J377" s="7"/>
      <c r="K377" s="1"/>
      <c r="L377" s="1"/>
      <c r="M377" s="1"/>
      <c r="N377" s="1"/>
      <c r="O377" s="1"/>
      <c r="P377" s="1"/>
      <c r="Q377" s="1"/>
      <c r="R377" s="1"/>
      <c r="S377" s="1"/>
      <c r="T377" s="1"/>
      <c r="U377" s="1"/>
      <c r="V377" s="1"/>
      <c r="W377" s="1"/>
      <c r="X377" s="1"/>
      <c r="Y377" s="1"/>
      <c r="Z377" s="1"/>
    </row>
    <row r="378" spans="1:26" ht="12.75" customHeight="1" x14ac:dyDescent="0.25">
      <c r="A378" s="1"/>
      <c r="B378" s="1"/>
      <c r="C378" s="3"/>
      <c r="D378" s="3"/>
      <c r="E378" s="5"/>
      <c r="F378" s="5"/>
      <c r="G378" s="3"/>
      <c r="H378" s="5"/>
      <c r="I378" s="1"/>
      <c r="J378" s="7"/>
      <c r="K378" s="1"/>
      <c r="L378" s="1"/>
      <c r="M378" s="1"/>
      <c r="N378" s="1"/>
      <c r="O378" s="1"/>
      <c r="P378" s="1"/>
      <c r="Q378" s="1"/>
      <c r="R378" s="1"/>
      <c r="S378" s="1"/>
      <c r="T378" s="1"/>
      <c r="U378" s="1"/>
      <c r="V378" s="1"/>
      <c r="W378" s="1"/>
      <c r="X378" s="1"/>
      <c r="Y378" s="1"/>
      <c r="Z378" s="1"/>
    </row>
    <row r="379" spans="1:26" ht="12.75" customHeight="1" x14ac:dyDescent="0.25">
      <c r="A379" s="1"/>
      <c r="B379" s="1"/>
      <c r="C379" s="3"/>
      <c r="D379" s="3"/>
      <c r="E379" s="5"/>
      <c r="F379" s="5"/>
      <c r="G379" s="3"/>
      <c r="H379" s="5"/>
      <c r="I379" s="1"/>
      <c r="J379" s="7"/>
      <c r="K379" s="1"/>
      <c r="L379" s="1"/>
      <c r="M379" s="1"/>
      <c r="N379" s="1"/>
      <c r="O379" s="1"/>
      <c r="P379" s="1"/>
      <c r="Q379" s="1"/>
      <c r="R379" s="1"/>
      <c r="S379" s="1"/>
      <c r="T379" s="1"/>
      <c r="U379" s="1"/>
      <c r="V379" s="1"/>
      <c r="W379" s="1"/>
      <c r="X379" s="1"/>
      <c r="Y379" s="1"/>
      <c r="Z379" s="1"/>
    </row>
    <row r="380" spans="1:26" ht="12.75" customHeight="1" x14ac:dyDescent="0.25">
      <c r="A380" s="1"/>
      <c r="B380" s="1"/>
      <c r="C380" s="3"/>
      <c r="D380" s="3"/>
      <c r="E380" s="5"/>
      <c r="F380" s="5"/>
      <c r="G380" s="3"/>
      <c r="H380" s="5"/>
      <c r="I380" s="1"/>
      <c r="J380" s="7"/>
      <c r="K380" s="1"/>
      <c r="L380" s="1"/>
      <c r="M380" s="1"/>
      <c r="N380" s="1"/>
      <c r="O380" s="1"/>
      <c r="P380" s="1"/>
      <c r="Q380" s="1"/>
      <c r="R380" s="1"/>
      <c r="S380" s="1"/>
      <c r="T380" s="1"/>
      <c r="U380" s="1"/>
      <c r="V380" s="1"/>
      <c r="W380" s="1"/>
      <c r="X380" s="1"/>
      <c r="Y380" s="1"/>
      <c r="Z380" s="1"/>
    </row>
    <row r="381" spans="1:26" ht="12.75" customHeight="1" x14ac:dyDescent="0.25">
      <c r="A381" s="1"/>
      <c r="B381" s="1"/>
      <c r="C381" s="3"/>
      <c r="D381" s="3"/>
      <c r="E381" s="5"/>
      <c r="F381" s="5"/>
      <c r="G381" s="3"/>
      <c r="H381" s="5"/>
      <c r="I381" s="1"/>
      <c r="J381" s="7"/>
      <c r="K381" s="1"/>
      <c r="L381" s="1"/>
      <c r="M381" s="1"/>
      <c r="N381" s="1"/>
      <c r="O381" s="1"/>
      <c r="P381" s="1"/>
      <c r="Q381" s="1"/>
      <c r="R381" s="1"/>
      <c r="S381" s="1"/>
      <c r="T381" s="1"/>
      <c r="U381" s="1"/>
      <c r="V381" s="1"/>
      <c r="W381" s="1"/>
      <c r="X381" s="1"/>
      <c r="Y381" s="1"/>
      <c r="Z381" s="1"/>
    </row>
    <row r="382" spans="1:26" ht="12.75" customHeight="1" x14ac:dyDescent="0.25">
      <c r="A382" s="1"/>
      <c r="B382" s="1"/>
      <c r="C382" s="3"/>
      <c r="D382" s="3"/>
      <c r="E382" s="5"/>
      <c r="F382" s="5"/>
      <c r="G382" s="3"/>
      <c r="H382" s="5"/>
      <c r="I382" s="1"/>
      <c r="J382" s="7"/>
      <c r="K382" s="1"/>
      <c r="L382" s="1"/>
      <c r="M382" s="1"/>
      <c r="N382" s="1"/>
      <c r="O382" s="1"/>
      <c r="P382" s="1"/>
      <c r="Q382" s="1"/>
      <c r="R382" s="1"/>
      <c r="S382" s="1"/>
      <c r="T382" s="1"/>
      <c r="U382" s="1"/>
      <c r="V382" s="1"/>
      <c r="W382" s="1"/>
      <c r="X382" s="1"/>
      <c r="Y382" s="1"/>
      <c r="Z382" s="1"/>
    </row>
    <row r="383" spans="1:26" ht="12.75" customHeight="1" x14ac:dyDescent="0.25">
      <c r="A383" s="1"/>
      <c r="B383" s="1"/>
      <c r="C383" s="3"/>
      <c r="D383" s="3"/>
      <c r="E383" s="5"/>
      <c r="F383" s="5"/>
      <c r="G383" s="3"/>
      <c r="H383" s="5"/>
      <c r="I383" s="1"/>
      <c r="J383" s="7"/>
      <c r="K383" s="1"/>
      <c r="L383" s="1"/>
      <c r="M383" s="1"/>
      <c r="N383" s="1"/>
      <c r="O383" s="1"/>
      <c r="P383" s="1"/>
      <c r="Q383" s="1"/>
      <c r="R383" s="1"/>
      <c r="S383" s="1"/>
      <c r="T383" s="1"/>
      <c r="U383" s="1"/>
      <c r="V383" s="1"/>
      <c r="W383" s="1"/>
      <c r="X383" s="1"/>
      <c r="Y383" s="1"/>
      <c r="Z383" s="1"/>
    </row>
    <row r="384" spans="1:26" ht="12.75" customHeight="1" x14ac:dyDescent="0.25">
      <c r="A384" s="1"/>
      <c r="B384" s="1"/>
      <c r="C384" s="3"/>
      <c r="D384" s="3"/>
      <c r="E384" s="5"/>
      <c r="F384" s="5"/>
      <c r="G384" s="3"/>
      <c r="H384" s="5"/>
      <c r="I384" s="1"/>
      <c r="J384" s="7"/>
      <c r="K384" s="1"/>
      <c r="L384" s="1"/>
      <c r="M384" s="1"/>
      <c r="N384" s="1"/>
      <c r="O384" s="1"/>
      <c r="P384" s="1"/>
      <c r="Q384" s="1"/>
      <c r="R384" s="1"/>
      <c r="S384" s="1"/>
      <c r="T384" s="1"/>
      <c r="U384" s="1"/>
      <c r="V384" s="1"/>
      <c r="W384" s="1"/>
      <c r="X384" s="1"/>
      <c r="Y384" s="1"/>
      <c r="Z384" s="1"/>
    </row>
    <row r="385" spans="1:26" ht="12.75" customHeight="1" x14ac:dyDescent="0.25">
      <c r="A385" s="1"/>
      <c r="B385" s="1"/>
      <c r="C385" s="3"/>
      <c r="D385" s="3"/>
      <c r="E385" s="5"/>
      <c r="F385" s="5"/>
      <c r="G385" s="3"/>
      <c r="H385" s="5"/>
      <c r="I385" s="1"/>
      <c r="J385" s="7"/>
      <c r="K385" s="1"/>
      <c r="L385" s="1"/>
      <c r="M385" s="1"/>
      <c r="N385" s="1"/>
      <c r="O385" s="1"/>
      <c r="P385" s="1"/>
      <c r="Q385" s="1"/>
      <c r="R385" s="1"/>
      <c r="S385" s="1"/>
      <c r="T385" s="1"/>
      <c r="U385" s="1"/>
      <c r="V385" s="1"/>
      <c r="W385" s="1"/>
      <c r="X385" s="1"/>
      <c r="Y385" s="1"/>
      <c r="Z385" s="1"/>
    </row>
    <row r="386" spans="1:26" ht="12.75" customHeight="1" x14ac:dyDescent="0.25">
      <c r="A386" s="1"/>
      <c r="B386" s="1"/>
      <c r="C386" s="3"/>
      <c r="D386" s="3"/>
      <c r="E386" s="5"/>
      <c r="F386" s="5"/>
      <c r="G386" s="3"/>
      <c r="H386" s="5"/>
      <c r="I386" s="1"/>
      <c r="J386" s="7"/>
      <c r="K386" s="1"/>
      <c r="L386" s="1"/>
      <c r="M386" s="1"/>
      <c r="N386" s="1"/>
      <c r="O386" s="1"/>
      <c r="P386" s="1"/>
      <c r="Q386" s="1"/>
      <c r="R386" s="1"/>
      <c r="S386" s="1"/>
      <c r="T386" s="1"/>
      <c r="U386" s="1"/>
      <c r="V386" s="1"/>
      <c r="W386" s="1"/>
      <c r="X386" s="1"/>
      <c r="Y386" s="1"/>
      <c r="Z386" s="1"/>
    </row>
    <row r="387" spans="1:26" ht="12.75" customHeight="1" x14ac:dyDescent="0.25">
      <c r="A387" s="1"/>
      <c r="B387" s="1"/>
      <c r="C387" s="3"/>
      <c r="D387" s="3"/>
      <c r="E387" s="5"/>
      <c r="F387" s="5"/>
      <c r="G387" s="3"/>
      <c r="H387" s="5"/>
      <c r="I387" s="1"/>
      <c r="J387" s="7"/>
      <c r="K387" s="1"/>
      <c r="L387" s="1"/>
      <c r="M387" s="1"/>
      <c r="N387" s="1"/>
      <c r="O387" s="1"/>
      <c r="P387" s="1"/>
      <c r="Q387" s="1"/>
      <c r="R387" s="1"/>
      <c r="S387" s="1"/>
      <c r="T387" s="1"/>
      <c r="U387" s="1"/>
      <c r="V387" s="1"/>
      <c r="W387" s="1"/>
      <c r="X387" s="1"/>
      <c r="Y387" s="1"/>
      <c r="Z387" s="1"/>
    </row>
    <row r="388" spans="1:26" ht="12.75" customHeight="1" x14ac:dyDescent="0.25">
      <c r="A388" s="1"/>
      <c r="B388" s="1"/>
      <c r="C388" s="3"/>
      <c r="D388" s="3"/>
      <c r="E388" s="5"/>
      <c r="F388" s="5"/>
      <c r="G388" s="3"/>
      <c r="H388" s="5"/>
      <c r="I388" s="1"/>
      <c r="J388" s="7"/>
      <c r="K388" s="1"/>
      <c r="L388" s="1"/>
      <c r="M388" s="1"/>
      <c r="N388" s="1"/>
      <c r="O388" s="1"/>
      <c r="P388" s="1"/>
      <c r="Q388" s="1"/>
      <c r="R388" s="1"/>
      <c r="S388" s="1"/>
      <c r="T388" s="1"/>
      <c r="U388" s="1"/>
      <c r="V388" s="1"/>
      <c r="W388" s="1"/>
      <c r="X388" s="1"/>
      <c r="Y388" s="1"/>
      <c r="Z388" s="1"/>
    </row>
    <row r="389" spans="1:26" ht="12.75" customHeight="1" x14ac:dyDescent="0.25">
      <c r="A389" s="1"/>
      <c r="B389" s="1"/>
      <c r="C389" s="3"/>
      <c r="D389" s="3"/>
      <c r="E389" s="5"/>
      <c r="F389" s="5"/>
      <c r="G389" s="3"/>
      <c r="H389" s="5"/>
      <c r="I389" s="1"/>
      <c r="J389" s="7"/>
      <c r="K389" s="1"/>
      <c r="L389" s="1"/>
      <c r="M389" s="1"/>
      <c r="N389" s="1"/>
      <c r="O389" s="1"/>
      <c r="P389" s="1"/>
      <c r="Q389" s="1"/>
      <c r="R389" s="1"/>
      <c r="S389" s="1"/>
      <c r="T389" s="1"/>
      <c r="U389" s="1"/>
      <c r="V389" s="1"/>
      <c r="W389" s="1"/>
      <c r="X389" s="1"/>
      <c r="Y389" s="1"/>
      <c r="Z389" s="1"/>
    </row>
    <row r="390" spans="1:26" ht="12.75" customHeight="1" x14ac:dyDescent="0.25">
      <c r="A390" s="1"/>
      <c r="B390" s="1"/>
      <c r="C390" s="3"/>
      <c r="D390" s="3"/>
      <c r="E390" s="5"/>
      <c r="F390" s="5"/>
      <c r="G390" s="3"/>
      <c r="H390" s="5"/>
      <c r="I390" s="1"/>
      <c r="J390" s="7"/>
      <c r="K390" s="1"/>
      <c r="L390" s="1"/>
      <c r="M390" s="1"/>
      <c r="N390" s="1"/>
      <c r="O390" s="1"/>
      <c r="P390" s="1"/>
      <c r="Q390" s="1"/>
      <c r="R390" s="1"/>
      <c r="S390" s="1"/>
      <c r="T390" s="1"/>
      <c r="U390" s="1"/>
      <c r="V390" s="1"/>
      <c r="W390" s="1"/>
      <c r="X390" s="1"/>
      <c r="Y390" s="1"/>
      <c r="Z390" s="1"/>
    </row>
    <row r="391" spans="1:26" ht="12.75" customHeight="1" x14ac:dyDescent="0.25">
      <c r="A391" s="1"/>
      <c r="B391" s="1"/>
      <c r="C391" s="3"/>
      <c r="D391" s="3"/>
      <c r="E391" s="5"/>
      <c r="F391" s="5"/>
      <c r="G391" s="3"/>
      <c r="H391" s="5"/>
      <c r="I391" s="1"/>
      <c r="J391" s="7"/>
      <c r="K391" s="1"/>
      <c r="L391" s="1"/>
      <c r="M391" s="1"/>
      <c r="N391" s="1"/>
      <c r="O391" s="1"/>
      <c r="P391" s="1"/>
      <c r="Q391" s="1"/>
      <c r="R391" s="1"/>
      <c r="S391" s="1"/>
      <c r="T391" s="1"/>
      <c r="U391" s="1"/>
      <c r="V391" s="1"/>
      <c r="W391" s="1"/>
      <c r="X391" s="1"/>
      <c r="Y391" s="1"/>
      <c r="Z391" s="1"/>
    </row>
    <row r="392" spans="1:26" ht="12.75" customHeight="1" x14ac:dyDescent="0.25">
      <c r="A392" s="1"/>
      <c r="B392" s="1"/>
      <c r="C392" s="3"/>
      <c r="D392" s="3"/>
      <c r="E392" s="5"/>
      <c r="F392" s="5"/>
      <c r="G392" s="3"/>
      <c r="H392" s="5"/>
      <c r="I392" s="1"/>
      <c r="J392" s="7"/>
      <c r="K392" s="1"/>
      <c r="L392" s="1"/>
      <c r="M392" s="1"/>
      <c r="N392" s="1"/>
      <c r="O392" s="1"/>
      <c r="P392" s="1"/>
      <c r="Q392" s="1"/>
      <c r="R392" s="1"/>
      <c r="S392" s="1"/>
      <c r="T392" s="1"/>
      <c r="U392" s="1"/>
      <c r="V392" s="1"/>
      <c r="W392" s="1"/>
      <c r="X392" s="1"/>
      <c r="Y392" s="1"/>
      <c r="Z392" s="1"/>
    </row>
    <row r="393" spans="1:26" ht="12.75" customHeight="1" x14ac:dyDescent="0.25">
      <c r="A393" s="1"/>
      <c r="B393" s="1"/>
      <c r="C393" s="3"/>
      <c r="D393" s="3"/>
      <c r="E393" s="5"/>
      <c r="F393" s="5"/>
      <c r="G393" s="3"/>
      <c r="H393" s="5"/>
      <c r="I393" s="1"/>
      <c r="J393" s="7"/>
      <c r="K393" s="1"/>
      <c r="L393" s="1"/>
      <c r="M393" s="1"/>
      <c r="N393" s="1"/>
      <c r="O393" s="1"/>
      <c r="P393" s="1"/>
      <c r="Q393" s="1"/>
      <c r="R393" s="1"/>
      <c r="S393" s="1"/>
      <c r="T393" s="1"/>
      <c r="U393" s="1"/>
      <c r="V393" s="1"/>
      <c r="W393" s="1"/>
      <c r="X393" s="1"/>
      <c r="Y393" s="1"/>
      <c r="Z393" s="1"/>
    </row>
    <row r="394" spans="1:26" ht="12.75" customHeight="1" x14ac:dyDescent="0.25">
      <c r="A394" s="1"/>
      <c r="B394" s="1"/>
      <c r="C394" s="3"/>
      <c r="D394" s="3"/>
      <c r="E394" s="5"/>
      <c r="F394" s="5"/>
      <c r="G394" s="3"/>
      <c r="H394" s="5"/>
      <c r="I394" s="1"/>
      <c r="J394" s="7"/>
      <c r="K394" s="1"/>
      <c r="L394" s="1"/>
      <c r="M394" s="1"/>
      <c r="N394" s="1"/>
      <c r="O394" s="1"/>
      <c r="P394" s="1"/>
      <c r="Q394" s="1"/>
      <c r="R394" s="1"/>
      <c r="S394" s="1"/>
      <c r="T394" s="1"/>
      <c r="U394" s="1"/>
      <c r="V394" s="1"/>
      <c r="W394" s="1"/>
      <c r="X394" s="1"/>
      <c r="Y394" s="1"/>
      <c r="Z394" s="1"/>
    </row>
    <row r="395" spans="1:26" ht="12.75" customHeight="1" x14ac:dyDescent="0.25">
      <c r="A395" s="1"/>
      <c r="B395" s="1"/>
      <c r="C395" s="3"/>
      <c r="D395" s="3"/>
      <c r="E395" s="5"/>
      <c r="F395" s="5"/>
      <c r="G395" s="3"/>
      <c r="H395" s="5"/>
      <c r="I395" s="1"/>
      <c r="J395" s="7"/>
      <c r="K395" s="1"/>
      <c r="L395" s="1"/>
      <c r="M395" s="1"/>
      <c r="N395" s="1"/>
      <c r="O395" s="1"/>
      <c r="P395" s="1"/>
      <c r="Q395" s="1"/>
      <c r="R395" s="1"/>
      <c r="S395" s="1"/>
      <c r="T395" s="1"/>
      <c r="U395" s="1"/>
      <c r="V395" s="1"/>
      <c r="W395" s="1"/>
      <c r="X395" s="1"/>
      <c r="Y395" s="1"/>
      <c r="Z395" s="1"/>
    </row>
    <row r="396" spans="1:26" ht="12.75" customHeight="1" x14ac:dyDescent="0.25">
      <c r="A396" s="1"/>
      <c r="B396" s="1"/>
      <c r="C396" s="3"/>
      <c r="D396" s="3"/>
      <c r="E396" s="5"/>
      <c r="F396" s="5"/>
      <c r="G396" s="3"/>
      <c r="H396" s="5"/>
      <c r="I396" s="1"/>
      <c r="J396" s="7"/>
      <c r="K396" s="1"/>
      <c r="L396" s="1"/>
      <c r="M396" s="1"/>
      <c r="N396" s="1"/>
      <c r="O396" s="1"/>
      <c r="P396" s="1"/>
      <c r="Q396" s="1"/>
      <c r="R396" s="1"/>
      <c r="S396" s="1"/>
      <c r="T396" s="1"/>
      <c r="U396" s="1"/>
      <c r="V396" s="1"/>
      <c r="W396" s="1"/>
      <c r="X396" s="1"/>
      <c r="Y396" s="1"/>
      <c r="Z396" s="1"/>
    </row>
    <row r="397" spans="1:26" ht="12.75" customHeight="1" x14ac:dyDescent="0.25">
      <c r="A397" s="1"/>
      <c r="B397" s="1"/>
      <c r="C397" s="3"/>
      <c r="D397" s="3"/>
      <c r="E397" s="5"/>
      <c r="F397" s="5"/>
      <c r="G397" s="3"/>
      <c r="H397" s="5"/>
      <c r="I397" s="1"/>
      <c r="J397" s="7"/>
      <c r="K397" s="1"/>
      <c r="L397" s="1"/>
      <c r="M397" s="1"/>
      <c r="N397" s="1"/>
      <c r="O397" s="1"/>
      <c r="P397" s="1"/>
      <c r="Q397" s="1"/>
      <c r="R397" s="1"/>
      <c r="S397" s="1"/>
      <c r="T397" s="1"/>
      <c r="U397" s="1"/>
      <c r="V397" s="1"/>
      <c r="W397" s="1"/>
      <c r="X397" s="1"/>
      <c r="Y397" s="1"/>
      <c r="Z397" s="1"/>
    </row>
    <row r="398" spans="1:26" ht="12.75" customHeight="1" x14ac:dyDescent="0.25">
      <c r="A398" s="1"/>
      <c r="B398" s="1"/>
      <c r="C398" s="3"/>
      <c r="D398" s="3"/>
      <c r="E398" s="5"/>
      <c r="F398" s="5"/>
      <c r="G398" s="3"/>
      <c r="H398" s="5"/>
      <c r="I398" s="1"/>
      <c r="J398" s="7"/>
      <c r="K398" s="1"/>
      <c r="L398" s="1"/>
      <c r="M398" s="1"/>
      <c r="N398" s="1"/>
      <c r="O398" s="1"/>
      <c r="P398" s="1"/>
      <c r="Q398" s="1"/>
      <c r="R398" s="1"/>
      <c r="S398" s="1"/>
      <c r="T398" s="1"/>
      <c r="U398" s="1"/>
      <c r="V398" s="1"/>
      <c r="W398" s="1"/>
      <c r="X398" s="1"/>
      <c r="Y398" s="1"/>
      <c r="Z398" s="1"/>
    </row>
    <row r="399" spans="1:26" ht="12.75" customHeight="1" x14ac:dyDescent="0.25">
      <c r="A399" s="1"/>
      <c r="B399" s="1"/>
      <c r="C399" s="3"/>
      <c r="D399" s="3"/>
      <c r="E399" s="5"/>
      <c r="F399" s="5"/>
      <c r="G399" s="3"/>
      <c r="H399" s="5"/>
      <c r="I399" s="1"/>
      <c r="J399" s="7"/>
      <c r="K399" s="1"/>
      <c r="L399" s="1"/>
      <c r="M399" s="1"/>
      <c r="N399" s="1"/>
      <c r="O399" s="1"/>
      <c r="P399" s="1"/>
      <c r="Q399" s="1"/>
      <c r="R399" s="1"/>
      <c r="S399" s="1"/>
      <c r="T399" s="1"/>
      <c r="U399" s="1"/>
      <c r="V399" s="1"/>
      <c r="W399" s="1"/>
      <c r="X399" s="1"/>
      <c r="Y399" s="1"/>
      <c r="Z399" s="1"/>
    </row>
    <row r="400" spans="1:26" ht="12.75" customHeight="1" x14ac:dyDescent="0.25">
      <c r="A400" s="1"/>
      <c r="B400" s="1"/>
      <c r="C400" s="3"/>
      <c r="D400" s="3"/>
      <c r="E400" s="5"/>
      <c r="F400" s="5"/>
      <c r="G400" s="3"/>
      <c r="H400" s="5"/>
      <c r="I400" s="1"/>
      <c r="J400" s="7"/>
      <c r="K400" s="1"/>
      <c r="L400" s="1"/>
      <c r="M400" s="1"/>
      <c r="N400" s="1"/>
      <c r="O400" s="1"/>
      <c r="P400" s="1"/>
      <c r="Q400" s="1"/>
      <c r="R400" s="1"/>
      <c r="S400" s="1"/>
      <c r="T400" s="1"/>
      <c r="U400" s="1"/>
      <c r="V400" s="1"/>
      <c r="W400" s="1"/>
      <c r="X400" s="1"/>
      <c r="Y400" s="1"/>
      <c r="Z400" s="1"/>
    </row>
    <row r="401" spans="1:26" ht="12.75" customHeight="1" x14ac:dyDescent="0.25">
      <c r="A401" s="1"/>
      <c r="B401" s="1"/>
      <c r="C401" s="3"/>
      <c r="D401" s="3"/>
      <c r="E401" s="5"/>
      <c r="F401" s="5"/>
      <c r="G401" s="3"/>
      <c r="H401" s="5"/>
      <c r="I401" s="1"/>
      <c r="J401" s="7"/>
      <c r="K401" s="1"/>
      <c r="L401" s="1"/>
      <c r="M401" s="1"/>
      <c r="N401" s="1"/>
      <c r="O401" s="1"/>
      <c r="P401" s="1"/>
      <c r="Q401" s="1"/>
      <c r="R401" s="1"/>
      <c r="S401" s="1"/>
      <c r="T401" s="1"/>
      <c r="U401" s="1"/>
      <c r="V401" s="1"/>
      <c r="W401" s="1"/>
      <c r="X401" s="1"/>
      <c r="Y401" s="1"/>
      <c r="Z401" s="1"/>
    </row>
    <row r="402" spans="1:26" ht="12.75" customHeight="1" x14ac:dyDescent="0.25">
      <c r="A402" s="1"/>
      <c r="B402" s="1"/>
      <c r="C402" s="3"/>
      <c r="D402" s="3"/>
      <c r="E402" s="5"/>
      <c r="F402" s="5"/>
      <c r="G402" s="3"/>
      <c r="H402" s="5"/>
      <c r="I402" s="1"/>
      <c r="J402" s="7"/>
      <c r="K402" s="1"/>
      <c r="L402" s="1"/>
      <c r="M402" s="1"/>
      <c r="N402" s="1"/>
      <c r="O402" s="1"/>
      <c r="P402" s="1"/>
      <c r="Q402" s="1"/>
      <c r="R402" s="1"/>
      <c r="S402" s="1"/>
      <c r="T402" s="1"/>
      <c r="U402" s="1"/>
      <c r="V402" s="1"/>
      <c r="W402" s="1"/>
      <c r="X402" s="1"/>
      <c r="Y402" s="1"/>
      <c r="Z402" s="1"/>
    </row>
    <row r="403" spans="1:26" ht="12.75" customHeight="1" x14ac:dyDescent="0.25">
      <c r="A403" s="1"/>
      <c r="B403" s="1"/>
      <c r="C403" s="3"/>
      <c r="D403" s="3"/>
      <c r="E403" s="5"/>
      <c r="F403" s="5"/>
      <c r="G403" s="3"/>
      <c r="H403" s="5"/>
      <c r="I403" s="1"/>
      <c r="J403" s="7"/>
      <c r="K403" s="1"/>
      <c r="L403" s="1"/>
      <c r="M403" s="1"/>
      <c r="N403" s="1"/>
      <c r="O403" s="1"/>
      <c r="P403" s="1"/>
      <c r="Q403" s="1"/>
      <c r="R403" s="1"/>
      <c r="S403" s="1"/>
      <c r="T403" s="1"/>
      <c r="U403" s="1"/>
      <c r="V403" s="1"/>
      <c r="W403" s="1"/>
      <c r="X403" s="1"/>
      <c r="Y403" s="1"/>
      <c r="Z403" s="1"/>
    </row>
    <row r="404" spans="1:26" ht="12.75" customHeight="1" x14ac:dyDescent="0.25">
      <c r="A404" s="1"/>
      <c r="B404" s="1"/>
      <c r="C404" s="3"/>
      <c r="D404" s="3"/>
      <c r="E404" s="5"/>
      <c r="F404" s="5"/>
      <c r="G404" s="3"/>
      <c r="H404" s="5"/>
      <c r="I404" s="1"/>
      <c r="J404" s="7"/>
      <c r="K404" s="1"/>
      <c r="L404" s="1"/>
      <c r="M404" s="1"/>
      <c r="N404" s="1"/>
      <c r="O404" s="1"/>
      <c r="P404" s="1"/>
      <c r="Q404" s="1"/>
      <c r="R404" s="1"/>
      <c r="S404" s="1"/>
      <c r="T404" s="1"/>
      <c r="U404" s="1"/>
      <c r="V404" s="1"/>
      <c r="W404" s="1"/>
      <c r="X404" s="1"/>
      <c r="Y404" s="1"/>
      <c r="Z404" s="1"/>
    </row>
    <row r="405" spans="1:26" ht="12.75" customHeight="1" x14ac:dyDescent="0.25">
      <c r="A405" s="1"/>
      <c r="B405" s="1"/>
      <c r="C405" s="3"/>
      <c r="D405" s="3"/>
      <c r="E405" s="5"/>
      <c r="F405" s="5"/>
      <c r="G405" s="3"/>
      <c r="H405" s="5"/>
      <c r="I405" s="1"/>
      <c r="J405" s="7"/>
      <c r="K405" s="1"/>
      <c r="L405" s="1"/>
      <c r="M405" s="1"/>
      <c r="N405" s="1"/>
      <c r="O405" s="1"/>
      <c r="P405" s="1"/>
      <c r="Q405" s="1"/>
      <c r="R405" s="1"/>
      <c r="S405" s="1"/>
      <c r="T405" s="1"/>
      <c r="U405" s="1"/>
      <c r="V405" s="1"/>
      <c r="W405" s="1"/>
      <c r="X405" s="1"/>
      <c r="Y405" s="1"/>
      <c r="Z405" s="1"/>
    </row>
    <row r="406" spans="1:26" ht="12.75" customHeight="1" x14ac:dyDescent="0.25">
      <c r="A406" s="1"/>
      <c r="B406" s="1"/>
      <c r="C406" s="3"/>
      <c r="D406" s="3"/>
      <c r="E406" s="5"/>
      <c r="F406" s="5"/>
      <c r="G406" s="3"/>
      <c r="H406" s="5"/>
      <c r="I406" s="1"/>
      <c r="J406" s="7"/>
      <c r="K406" s="1"/>
      <c r="L406" s="1"/>
      <c r="M406" s="1"/>
      <c r="N406" s="1"/>
      <c r="O406" s="1"/>
      <c r="P406" s="1"/>
      <c r="Q406" s="1"/>
      <c r="R406" s="1"/>
      <c r="S406" s="1"/>
      <c r="T406" s="1"/>
      <c r="U406" s="1"/>
      <c r="V406" s="1"/>
      <c r="W406" s="1"/>
      <c r="X406" s="1"/>
      <c r="Y406" s="1"/>
      <c r="Z406" s="1"/>
    </row>
    <row r="407" spans="1:26" ht="12.75" customHeight="1" x14ac:dyDescent="0.25">
      <c r="A407" s="1"/>
      <c r="B407" s="1"/>
      <c r="C407" s="3"/>
      <c r="D407" s="3"/>
      <c r="E407" s="5"/>
      <c r="F407" s="5"/>
      <c r="G407" s="3"/>
      <c r="H407" s="5"/>
      <c r="I407" s="1"/>
      <c r="J407" s="7"/>
      <c r="K407" s="1"/>
      <c r="L407" s="1"/>
      <c r="M407" s="1"/>
      <c r="N407" s="1"/>
      <c r="O407" s="1"/>
      <c r="P407" s="1"/>
      <c r="Q407" s="1"/>
      <c r="R407" s="1"/>
      <c r="S407" s="1"/>
      <c r="T407" s="1"/>
      <c r="U407" s="1"/>
      <c r="V407" s="1"/>
      <c r="W407" s="1"/>
      <c r="X407" s="1"/>
      <c r="Y407" s="1"/>
      <c r="Z407" s="1"/>
    </row>
    <row r="408" spans="1:26" ht="12.75" customHeight="1" x14ac:dyDescent="0.25">
      <c r="A408" s="1"/>
      <c r="B408" s="1"/>
      <c r="C408" s="3"/>
      <c r="D408" s="3"/>
      <c r="E408" s="5"/>
      <c r="F408" s="5"/>
      <c r="G408" s="3"/>
      <c r="H408" s="5"/>
      <c r="I408" s="1"/>
      <c r="J408" s="7"/>
      <c r="K408" s="1"/>
      <c r="L408" s="1"/>
      <c r="M408" s="1"/>
      <c r="N408" s="1"/>
      <c r="O408" s="1"/>
      <c r="P408" s="1"/>
      <c r="Q408" s="1"/>
      <c r="R408" s="1"/>
      <c r="S408" s="1"/>
      <c r="T408" s="1"/>
      <c r="U408" s="1"/>
      <c r="V408" s="1"/>
      <c r="W408" s="1"/>
      <c r="X408" s="1"/>
      <c r="Y408" s="1"/>
      <c r="Z408" s="1"/>
    </row>
    <row r="409" spans="1:26" ht="12.75" customHeight="1" x14ac:dyDescent="0.25">
      <c r="A409" s="1"/>
      <c r="B409" s="1"/>
      <c r="C409" s="3"/>
      <c r="D409" s="3"/>
      <c r="E409" s="5"/>
      <c r="F409" s="5"/>
      <c r="G409" s="3"/>
      <c r="H409" s="5"/>
      <c r="I409" s="1"/>
      <c r="J409" s="7"/>
      <c r="K409" s="1"/>
      <c r="L409" s="1"/>
      <c r="M409" s="1"/>
      <c r="N409" s="1"/>
      <c r="O409" s="1"/>
      <c r="P409" s="1"/>
      <c r="Q409" s="1"/>
      <c r="R409" s="1"/>
      <c r="S409" s="1"/>
      <c r="T409" s="1"/>
      <c r="U409" s="1"/>
      <c r="V409" s="1"/>
      <c r="W409" s="1"/>
      <c r="X409" s="1"/>
      <c r="Y409" s="1"/>
      <c r="Z409" s="1"/>
    </row>
    <row r="410" spans="1:26" ht="12.75" customHeight="1" x14ac:dyDescent="0.25">
      <c r="A410" s="1"/>
      <c r="B410" s="1"/>
      <c r="C410" s="3"/>
      <c r="D410" s="3"/>
      <c r="E410" s="5"/>
      <c r="F410" s="5"/>
      <c r="G410" s="3"/>
      <c r="H410" s="5"/>
      <c r="I410" s="1"/>
      <c r="J410" s="7"/>
      <c r="K410" s="1"/>
      <c r="L410" s="1"/>
      <c r="M410" s="1"/>
      <c r="N410" s="1"/>
      <c r="O410" s="1"/>
      <c r="P410" s="1"/>
      <c r="Q410" s="1"/>
      <c r="R410" s="1"/>
      <c r="S410" s="1"/>
      <c r="T410" s="1"/>
      <c r="U410" s="1"/>
      <c r="V410" s="1"/>
      <c r="W410" s="1"/>
      <c r="X410" s="1"/>
      <c r="Y410" s="1"/>
      <c r="Z410" s="1"/>
    </row>
    <row r="411" spans="1:26" ht="12.75" customHeight="1" x14ac:dyDescent="0.25">
      <c r="A411" s="1"/>
      <c r="B411" s="1"/>
      <c r="C411" s="3"/>
      <c r="D411" s="3"/>
      <c r="E411" s="5"/>
      <c r="F411" s="5"/>
      <c r="G411" s="3"/>
      <c r="H411" s="5"/>
      <c r="I411" s="1"/>
      <c r="J411" s="7"/>
      <c r="K411" s="1"/>
      <c r="L411" s="1"/>
      <c r="M411" s="1"/>
      <c r="N411" s="1"/>
      <c r="O411" s="1"/>
      <c r="P411" s="1"/>
      <c r="Q411" s="1"/>
      <c r="R411" s="1"/>
      <c r="S411" s="1"/>
      <c r="T411" s="1"/>
      <c r="U411" s="1"/>
      <c r="V411" s="1"/>
      <c r="W411" s="1"/>
      <c r="X411" s="1"/>
      <c r="Y411" s="1"/>
      <c r="Z411" s="1"/>
    </row>
    <row r="412" spans="1:26" ht="12.75" customHeight="1" x14ac:dyDescent="0.25">
      <c r="A412" s="1"/>
      <c r="B412" s="1"/>
      <c r="C412" s="3"/>
      <c r="D412" s="3"/>
      <c r="E412" s="5"/>
      <c r="F412" s="5"/>
      <c r="G412" s="3"/>
      <c r="H412" s="5"/>
      <c r="I412" s="1"/>
      <c r="J412" s="7"/>
      <c r="K412" s="1"/>
      <c r="L412" s="1"/>
      <c r="M412" s="1"/>
      <c r="N412" s="1"/>
      <c r="O412" s="1"/>
      <c r="P412" s="1"/>
      <c r="Q412" s="1"/>
      <c r="R412" s="1"/>
      <c r="S412" s="1"/>
      <c r="T412" s="1"/>
      <c r="U412" s="1"/>
      <c r="V412" s="1"/>
      <c r="W412" s="1"/>
      <c r="X412" s="1"/>
      <c r="Y412" s="1"/>
      <c r="Z412" s="1"/>
    </row>
    <row r="413" spans="1:26" ht="12.75" customHeight="1" x14ac:dyDescent="0.25">
      <c r="A413" s="1"/>
      <c r="B413" s="1"/>
      <c r="C413" s="3"/>
      <c r="D413" s="3"/>
      <c r="E413" s="5"/>
      <c r="F413" s="5"/>
      <c r="G413" s="3"/>
      <c r="H413" s="5"/>
      <c r="I413" s="1"/>
      <c r="J413" s="7"/>
      <c r="K413" s="1"/>
      <c r="L413" s="1"/>
      <c r="M413" s="1"/>
      <c r="N413" s="1"/>
      <c r="O413" s="1"/>
      <c r="P413" s="1"/>
      <c r="Q413" s="1"/>
      <c r="R413" s="1"/>
      <c r="S413" s="1"/>
      <c r="T413" s="1"/>
      <c r="U413" s="1"/>
      <c r="V413" s="1"/>
      <c r="W413" s="1"/>
      <c r="X413" s="1"/>
      <c r="Y413" s="1"/>
      <c r="Z413" s="1"/>
    </row>
    <row r="414" spans="1:26" ht="12.75" customHeight="1" x14ac:dyDescent="0.25">
      <c r="A414" s="1"/>
      <c r="B414" s="1"/>
      <c r="C414" s="3"/>
      <c r="D414" s="3"/>
      <c r="E414" s="5"/>
      <c r="F414" s="5"/>
      <c r="G414" s="3"/>
      <c r="H414" s="5"/>
      <c r="I414" s="1"/>
      <c r="J414" s="7"/>
      <c r="K414" s="1"/>
      <c r="L414" s="1"/>
      <c r="M414" s="1"/>
      <c r="N414" s="1"/>
      <c r="O414" s="1"/>
      <c r="P414" s="1"/>
      <c r="Q414" s="1"/>
      <c r="R414" s="1"/>
      <c r="S414" s="1"/>
      <c r="T414" s="1"/>
      <c r="U414" s="1"/>
      <c r="V414" s="1"/>
      <c r="W414" s="1"/>
      <c r="X414" s="1"/>
      <c r="Y414" s="1"/>
      <c r="Z414" s="1"/>
    </row>
    <row r="415" spans="1:26" ht="12.75" customHeight="1" x14ac:dyDescent="0.25">
      <c r="A415" s="1"/>
      <c r="B415" s="1"/>
      <c r="C415" s="3"/>
      <c r="D415" s="3"/>
      <c r="E415" s="5"/>
      <c r="F415" s="5"/>
      <c r="G415" s="3"/>
      <c r="H415" s="5"/>
      <c r="I415" s="1"/>
      <c r="J415" s="7"/>
      <c r="K415" s="1"/>
      <c r="L415" s="1"/>
      <c r="M415" s="1"/>
      <c r="N415" s="1"/>
      <c r="O415" s="1"/>
      <c r="P415" s="1"/>
      <c r="Q415" s="1"/>
      <c r="R415" s="1"/>
      <c r="S415" s="1"/>
      <c r="T415" s="1"/>
      <c r="U415" s="1"/>
      <c r="V415" s="1"/>
      <c r="W415" s="1"/>
      <c r="X415" s="1"/>
      <c r="Y415" s="1"/>
      <c r="Z415" s="1"/>
    </row>
    <row r="416" spans="1:26" ht="12.75" customHeight="1" x14ac:dyDescent="0.25">
      <c r="A416" s="1"/>
      <c r="B416" s="1"/>
      <c r="C416" s="3"/>
      <c r="D416" s="3"/>
      <c r="E416" s="5"/>
      <c r="F416" s="5"/>
      <c r="G416" s="3"/>
      <c r="H416" s="5"/>
      <c r="I416" s="1"/>
      <c r="J416" s="7"/>
      <c r="K416" s="1"/>
      <c r="L416" s="1"/>
      <c r="M416" s="1"/>
      <c r="N416" s="1"/>
      <c r="O416" s="1"/>
      <c r="P416" s="1"/>
      <c r="Q416" s="1"/>
      <c r="R416" s="1"/>
      <c r="S416" s="1"/>
      <c r="T416" s="1"/>
      <c r="U416" s="1"/>
      <c r="V416" s="1"/>
      <c r="W416" s="1"/>
      <c r="X416" s="1"/>
      <c r="Y416" s="1"/>
      <c r="Z416" s="1"/>
    </row>
    <row r="417" spans="1:26" ht="12.75" customHeight="1" x14ac:dyDescent="0.25">
      <c r="A417" s="1"/>
      <c r="B417" s="1"/>
      <c r="C417" s="3"/>
      <c r="D417" s="3"/>
      <c r="E417" s="5"/>
      <c r="F417" s="5"/>
      <c r="G417" s="3"/>
      <c r="H417" s="5"/>
      <c r="I417" s="1"/>
      <c r="J417" s="7"/>
      <c r="K417" s="1"/>
      <c r="L417" s="1"/>
      <c r="M417" s="1"/>
      <c r="N417" s="1"/>
      <c r="O417" s="1"/>
      <c r="P417" s="1"/>
      <c r="Q417" s="1"/>
      <c r="R417" s="1"/>
      <c r="S417" s="1"/>
      <c r="T417" s="1"/>
      <c r="U417" s="1"/>
      <c r="V417" s="1"/>
      <c r="W417" s="1"/>
      <c r="X417" s="1"/>
      <c r="Y417" s="1"/>
      <c r="Z417" s="1"/>
    </row>
    <row r="418" spans="1:26" ht="12.75" customHeight="1" x14ac:dyDescent="0.25">
      <c r="A418" s="1"/>
      <c r="B418" s="1"/>
      <c r="C418" s="3"/>
      <c r="D418" s="3"/>
      <c r="E418" s="5"/>
      <c r="F418" s="5"/>
      <c r="G418" s="3"/>
      <c r="H418" s="5"/>
      <c r="I418" s="1"/>
      <c r="J418" s="7"/>
      <c r="K418" s="1"/>
      <c r="L418" s="1"/>
      <c r="M418" s="1"/>
      <c r="N418" s="1"/>
      <c r="O418" s="1"/>
      <c r="P418" s="1"/>
      <c r="Q418" s="1"/>
      <c r="R418" s="1"/>
      <c r="S418" s="1"/>
      <c r="T418" s="1"/>
      <c r="U418" s="1"/>
      <c r="V418" s="1"/>
      <c r="W418" s="1"/>
      <c r="X418" s="1"/>
      <c r="Y418" s="1"/>
      <c r="Z418" s="1"/>
    </row>
    <row r="419" spans="1:26" ht="12.75" customHeight="1" x14ac:dyDescent="0.25">
      <c r="A419" s="1"/>
      <c r="B419" s="1"/>
      <c r="C419" s="3"/>
      <c r="D419" s="3"/>
      <c r="E419" s="5"/>
      <c r="F419" s="5"/>
      <c r="G419" s="3"/>
      <c r="H419" s="5"/>
      <c r="I419" s="1"/>
      <c r="J419" s="7"/>
      <c r="K419" s="1"/>
      <c r="L419" s="1"/>
      <c r="M419" s="1"/>
      <c r="N419" s="1"/>
      <c r="O419" s="1"/>
      <c r="P419" s="1"/>
      <c r="Q419" s="1"/>
      <c r="R419" s="1"/>
      <c r="S419" s="1"/>
      <c r="T419" s="1"/>
      <c r="U419" s="1"/>
      <c r="V419" s="1"/>
      <c r="W419" s="1"/>
      <c r="X419" s="1"/>
      <c r="Y419" s="1"/>
      <c r="Z419" s="1"/>
    </row>
    <row r="420" spans="1:26" ht="12.75" customHeight="1" x14ac:dyDescent="0.25">
      <c r="A420" s="1"/>
      <c r="B420" s="1"/>
      <c r="C420" s="3"/>
      <c r="D420" s="3"/>
      <c r="E420" s="5"/>
      <c r="F420" s="5"/>
      <c r="G420" s="3"/>
      <c r="H420" s="5"/>
      <c r="I420" s="1"/>
      <c r="J420" s="7"/>
      <c r="K420" s="1"/>
      <c r="L420" s="1"/>
      <c r="M420" s="1"/>
      <c r="N420" s="1"/>
      <c r="O420" s="1"/>
      <c r="P420" s="1"/>
      <c r="Q420" s="1"/>
      <c r="R420" s="1"/>
      <c r="S420" s="1"/>
      <c r="T420" s="1"/>
      <c r="U420" s="1"/>
      <c r="V420" s="1"/>
      <c r="W420" s="1"/>
      <c r="X420" s="1"/>
      <c r="Y420" s="1"/>
      <c r="Z420" s="1"/>
    </row>
    <row r="421" spans="1:26" ht="12.75" customHeight="1" x14ac:dyDescent="0.25">
      <c r="A421" s="1"/>
      <c r="B421" s="1"/>
      <c r="C421" s="3"/>
      <c r="D421" s="3"/>
      <c r="E421" s="5"/>
      <c r="F421" s="5"/>
      <c r="G421" s="3"/>
      <c r="H421" s="5"/>
      <c r="I421" s="1"/>
      <c r="J421" s="7"/>
      <c r="K421" s="1"/>
      <c r="L421" s="1"/>
      <c r="M421" s="1"/>
      <c r="N421" s="1"/>
      <c r="O421" s="1"/>
      <c r="P421" s="1"/>
      <c r="Q421" s="1"/>
      <c r="R421" s="1"/>
      <c r="S421" s="1"/>
      <c r="T421" s="1"/>
      <c r="U421" s="1"/>
      <c r="V421" s="1"/>
      <c r="W421" s="1"/>
      <c r="X421" s="1"/>
      <c r="Y421" s="1"/>
      <c r="Z421" s="1"/>
    </row>
    <row r="422" spans="1:26" ht="12.75" customHeight="1" x14ac:dyDescent="0.25">
      <c r="A422" s="1"/>
      <c r="B422" s="1"/>
      <c r="C422" s="3"/>
      <c r="D422" s="3"/>
      <c r="E422" s="5"/>
      <c r="F422" s="5"/>
      <c r="G422" s="3"/>
      <c r="H422" s="5"/>
      <c r="I422" s="1"/>
      <c r="J422" s="7"/>
      <c r="K422" s="1"/>
      <c r="L422" s="1"/>
      <c r="M422" s="1"/>
      <c r="N422" s="1"/>
      <c r="O422" s="1"/>
      <c r="P422" s="1"/>
      <c r="Q422" s="1"/>
      <c r="R422" s="1"/>
      <c r="S422" s="1"/>
      <c r="T422" s="1"/>
      <c r="U422" s="1"/>
      <c r="V422" s="1"/>
      <c r="W422" s="1"/>
      <c r="X422" s="1"/>
      <c r="Y422" s="1"/>
      <c r="Z422" s="1"/>
    </row>
    <row r="423" spans="1:26" ht="12.75" customHeight="1" x14ac:dyDescent="0.25">
      <c r="A423" s="1"/>
      <c r="B423" s="1"/>
      <c r="C423" s="3"/>
      <c r="D423" s="3"/>
      <c r="E423" s="5"/>
      <c r="F423" s="5"/>
      <c r="G423" s="3"/>
      <c r="H423" s="5"/>
      <c r="I423" s="1"/>
      <c r="J423" s="7"/>
      <c r="K423" s="1"/>
      <c r="L423" s="1"/>
      <c r="M423" s="1"/>
      <c r="N423" s="1"/>
      <c r="O423" s="1"/>
      <c r="P423" s="1"/>
      <c r="Q423" s="1"/>
      <c r="R423" s="1"/>
      <c r="S423" s="1"/>
      <c r="T423" s="1"/>
      <c r="U423" s="1"/>
      <c r="V423" s="1"/>
      <c r="W423" s="1"/>
      <c r="X423" s="1"/>
      <c r="Y423" s="1"/>
      <c r="Z423" s="1"/>
    </row>
    <row r="424" spans="1:26" ht="12.75" customHeight="1" x14ac:dyDescent="0.25">
      <c r="A424" s="1"/>
      <c r="B424" s="1"/>
      <c r="C424" s="3"/>
      <c r="D424" s="3"/>
      <c r="E424" s="5"/>
      <c r="F424" s="5"/>
      <c r="G424" s="3"/>
      <c r="H424" s="5"/>
      <c r="I424" s="1"/>
      <c r="J424" s="7"/>
      <c r="K424" s="1"/>
      <c r="L424" s="1"/>
      <c r="M424" s="1"/>
      <c r="N424" s="1"/>
      <c r="O424" s="1"/>
      <c r="P424" s="1"/>
      <c r="Q424" s="1"/>
      <c r="R424" s="1"/>
      <c r="S424" s="1"/>
      <c r="T424" s="1"/>
      <c r="U424" s="1"/>
      <c r="V424" s="1"/>
      <c r="W424" s="1"/>
      <c r="X424" s="1"/>
      <c r="Y424" s="1"/>
      <c r="Z424" s="1"/>
    </row>
    <row r="425" spans="1:26" ht="12.75" customHeight="1" x14ac:dyDescent="0.25">
      <c r="A425" s="1"/>
      <c r="B425" s="1"/>
      <c r="C425" s="3"/>
      <c r="D425" s="3"/>
      <c r="E425" s="5"/>
      <c r="F425" s="5"/>
      <c r="G425" s="3"/>
      <c r="H425" s="5"/>
      <c r="I425" s="1"/>
      <c r="J425" s="7"/>
      <c r="K425" s="1"/>
      <c r="L425" s="1"/>
      <c r="M425" s="1"/>
      <c r="N425" s="1"/>
      <c r="O425" s="1"/>
      <c r="P425" s="1"/>
      <c r="Q425" s="1"/>
      <c r="R425" s="1"/>
      <c r="S425" s="1"/>
      <c r="T425" s="1"/>
      <c r="U425" s="1"/>
      <c r="V425" s="1"/>
      <c r="W425" s="1"/>
      <c r="X425" s="1"/>
      <c r="Y425" s="1"/>
      <c r="Z425" s="1"/>
    </row>
    <row r="426" spans="1:26" ht="12.75" customHeight="1" x14ac:dyDescent="0.25">
      <c r="A426" s="1"/>
      <c r="B426" s="1"/>
      <c r="C426" s="3"/>
      <c r="D426" s="3"/>
      <c r="E426" s="5"/>
      <c r="F426" s="5"/>
      <c r="G426" s="3"/>
      <c r="H426" s="5"/>
      <c r="I426" s="1"/>
      <c r="J426" s="7"/>
      <c r="K426" s="1"/>
      <c r="L426" s="1"/>
      <c r="M426" s="1"/>
      <c r="N426" s="1"/>
      <c r="O426" s="1"/>
      <c r="P426" s="1"/>
      <c r="Q426" s="1"/>
      <c r="R426" s="1"/>
      <c r="S426" s="1"/>
      <c r="T426" s="1"/>
      <c r="U426" s="1"/>
      <c r="V426" s="1"/>
      <c r="W426" s="1"/>
      <c r="X426" s="1"/>
      <c r="Y426" s="1"/>
      <c r="Z426" s="1"/>
    </row>
    <row r="427" spans="1:26" ht="12.75" customHeight="1" x14ac:dyDescent="0.25">
      <c r="A427" s="1"/>
      <c r="B427" s="1"/>
      <c r="C427" s="3"/>
      <c r="D427" s="3"/>
      <c r="E427" s="5"/>
      <c r="F427" s="5"/>
      <c r="G427" s="3"/>
      <c r="H427" s="5"/>
      <c r="I427" s="1"/>
      <c r="J427" s="7"/>
      <c r="K427" s="1"/>
      <c r="L427" s="1"/>
      <c r="M427" s="1"/>
      <c r="N427" s="1"/>
      <c r="O427" s="1"/>
      <c r="P427" s="1"/>
      <c r="Q427" s="1"/>
      <c r="R427" s="1"/>
      <c r="S427" s="1"/>
      <c r="T427" s="1"/>
      <c r="U427" s="1"/>
      <c r="V427" s="1"/>
      <c r="W427" s="1"/>
      <c r="X427" s="1"/>
      <c r="Y427" s="1"/>
      <c r="Z427" s="1"/>
    </row>
    <row r="428" spans="1:26" ht="12.75" customHeight="1" x14ac:dyDescent="0.25">
      <c r="A428" s="1"/>
      <c r="B428" s="1"/>
      <c r="C428" s="3"/>
      <c r="D428" s="3"/>
      <c r="E428" s="5"/>
      <c r="F428" s="5"/>
      <c r="G428" s="3"/>
      <c r="H428" s="5"/>
      <c r="I428" s="1"/>
      <c r="J428" s="7"/>
      <c r="K428" s="1"/>
      <c r="L428" s="1"/>
      <c r="M428" s="1"/>
      <c r="N428" s="1"/>
      <c r="O428" s="1"/>
      <c r="P428" s="1"/>
      <c r="Q428" s="1"/>
      <c r="R428" s="1"/>
      <c r="S428" s="1"/>
      <c r="T428" s="1"/>
      <c r="U428" s="1"/>
      <c r="V428" s="1"/>
      <c r="W428" s="1"/>
      <c r="X428" s="1"/>
      <c r="Y428" s="1"/>
      <c r="Z428" s="1"/>
    </row>
    <row r="429" spans="1:26" ht="12.75" customHeight="1" x14ac:dyDescent="0.25">
      <c r="A429" s="1"/>
      <c r="B429" s="1"/>
      <c r="C429" s="3"/>
      <c r="D429" s="3"/>
      <c r="E429" s="5"/>
      <c r="F429" s="5"/>
      <c r="G429" s="3"/>
      <c r="H429" s="5"/>
      <c r="I429" s="1"/>
      <c r="J429" s="7"/>
      <c r="K429" s="1"/>
      <c r="L429" s="1"/>
      <c r="M429" s="1"/>
      <c r="N429" s="1"/>
      <c r="O429" s="1"/>
      <c r="P429" s="1"/>
      <c r="Q429" s="1"/>
      <c r="R429" s="1"/>
      <c r="S429" s="1"/>
      <c r="T429" s="1"/>
      <c r="U429" s="1"/>
      <c r="V429" s="1"/>
      <c r="W429" s="1"/>
      <c r="X429" s="1"/>
      <c r="Y429" s="1"/>
      <c r="Z429" s="1"/>
    </row>
    <row r="430" spans="1:26" ht="12.75" customHeight="1" x14ac:dyDescent="0.25">
      <c r="A430" s="1"/>
      <c r="B430" s="1"/>
      <c r="C430" s="3"/>
      <c r="D430" s="3"/>
      <c r="E430" s="5"/>
      <c r="F430" s="5"/>
      <c r="G430" s="3"/>
      <c r="H430" s="5"/>
      <c r="I430" s="1"/>
      <c r="J430" s="7"/>
      <c r="K430" s="1"/>
      <c r="L430" s="1"/>
      <c r="M430" s="1"/>
      <c r="N430" s="1"/>
      <c r="O430" s="1"/>
      <c r="P430" s="1"/>
      <c r="Q430" s="1"/>
      <c r="R430" s="1"/>
      <c r="S430" s="1"/>
      <c r="T430" s="1"/>
      <c r="U430" s="1"/>
      <c r="V430" s="1"/>
      <c r="W430" s="1"/>
      <c r="X430" s="1"/>
      <c r="Y430" s="1"/>
      <c r="Z430" s="1"/>
    </row>
    <row r="431" spans="1:26" ht="12.75" customHeight="1" x14ac:dyDescent="0.25">
      <c r="A431" s="1"/>
      <c r="B431" s="1"/>
      <c r="C431" s="3"/>
      <c r="D431" s="3"/>
      <c r="E431" s="5"/>
      <c r="F431" s="5"/>
      <c r="G431" s="3"/>
      <c r="H431" s="5"/>
      <c r="I431" s="1"/>
      <c r="J431" s="7"/>
      <c r="K431" s="1"/>
      <c r="L431" s="1"/>
      <c r="M431" s="1"/>
      <c r="N431" s="1"/>
      <c r="O431" s="1"/>
      <c r="P431" s="1"/>
      <c r="Q431" s="1"/>
      <c r="R431" s="1"/>
      <c r="S431" s="1"/>
      <c r="T431" s="1"/>
      <c r="U431" s="1"/>
      <c r="V431" s="1"/>
      <c r="W431" s="1"/>
      <c r="X431" s="1"/>
      <c r="Y431" s="1"/>
      <c r="Z431" s="1"/>
    </row>
    <row r="432" spans="1:26" ht="12.75" customHeight="1" x14ac:dyDescent="0.25">
      <c r="A432" s="1"/>
      <c r="B432" s="1"/>
      <c r="C432" s="3"/>
      <c r="D432" s="3"/>
      <c r="E432" s="5"/>
      <c r="F432" s="5"/>
      <c r="G432" s="3"/>
      <c r="H432" s="5"/>
      <c r="I432" s="1"/>
      <c r="J432" s="7"/>
      <c r="K432" s="1"/>
      <c r="L432" s="1"/>
      <c r="M432" s="1"/>
      <c r="N432" s="1"/>
      <c r="O432" s="1"/>
      <c r="P432" s="1"/>
      <c r="Q432" s="1"/>
      <c r="R432" s="1"/>
      <c r="S432" s="1"/>
      <c r="T432" s="1"/>
      <c r="U432" s="1"/>
      <c r="V432" s="1"/>
      <c r="W432" s="1"/>
      <c r="X432" s="1"/>
      <c r="Y432" s="1"/>
      <c r="Z432" s="1"/>
    </row>
    <row r="433" spans="1:26" ht="12.75" customHeight="1" x14ac:dyDescent="0.25">
      <c r="A433" s="1"/>
      <c r="B433" s="1"/>
      <c r="C433" s="3"/>
      <c r="D433" s="3"/>
      <c r="E433" s="5"/>
      <c r="F433" s="5"/>
      <c r="G433" s="3"/>
      <c r="H433" s="5"/>
      <c r="I433" s="1"/>
      <c r="J433" s="7"/>
      <c r="K433" s="1"/>
      <c r="L433" s="1"/>
      <c r="M433" s="1"/>
      <c r="N433" s="1"/>
      <c r="O433" s="1"/>
      <c r="P433" s="1"/>
      <c r="Q433" s="1"/>
      <c r="R433" s="1"/>
      <c r="S433" s="1"/>
      <c r="T433" s="1"/>
      <c r="U433" s="1"/>
      <c r="V433" s="1"/>
      <c r="W433" s="1"/>
      <c r="X433" s="1"/>
      <c r="Y433" s="1"/>
      <c r="Z433" s="1"/>
    </row>
    <row r="434" spans="1:26" ht="12.75" customHeight="1" x14ac:dyDescent="0.25">
      <c r="A434" s="1"/>
      <c r="B434" s="1"/>
      <c r="C434" s="3"/>
      <c r="D434" s="3"/>
      <c r="E434" s="5"/>
      <c r="F434" s="5"/>
      <c r="G434" s="3"/>
      <c r="H434" s="5"/>
      <c r="I434" s="1"/>
      <c r="J434" s="7"/>
      <c r="K434" s="1"/>
      <c r="L434" s="1"/>
      <c r="M434" s="1"/>
      <c r="N434" s="1"/>
      <c r="O434" s="1"/>
      <c r="P434" s="1"/>
      <c r="Q434" s="1"/>
      <c r="R434" s="1"/>
      <c r="S434" s="1"/>
      <c r="T434" s="1"/>
      <c r="U434" s="1"/>
      <c r="V434" s="1"/>
      <c r="W434" s="1"/>
      <c r="X434" s="1"/>
      <c r="Y434" s="1"/>
      <c r="Z434" s="1"/>
    </row>
    <row r="435" spans="1:26" ht="12.75" customHeight="1" x14ac:dyDescent="0.25">
      <c r="A435" s="1"/>
      <c r="B435" s="1"/>
      <c r="C435" s="3"/>
      <c r="D435" s="3"/>
      <c r="E435" s="5"/>
      <c r="F435" s="5"/>
      <c r="G435" s="3"/>
      <c r="H435" s="5"/>
      <c r="I435" s="1"/>
      <c r="J435" s="7"/>
      <c r="K435" s="1"/>
      <c r="L435" s="1"/>
      <c r="M435" s="1"/>
      <c r="N435" s="1"/>
      <c r="O435" s="1"/>
      <c r="P435" s="1"/>
      <c r="Q435" s="1"/>
      <c r="R435" s="1"/>
      <c r="S435" s="1"/>
      <c r="T435" s="1"/>
      <c r="U435" s="1"/>
      <c r="V435" s="1"/>
      <c r="W435" s="1"/>
      <c r="X435" s="1"/>
      <c r="Y435" s="1"/>
      <c r="Z435" s="1"/>
    </row>
    <row r="436" spans="1:26" ht="12.75" customHeight="1" x14ac:dyDescent="0.25">
      <c r="A436" s="1"/>
      <c r="B436" s="1"/>
      <c r="C436" s="3"/>
      <c r="D436" s="3"/>
      <c r="E436" s="5"/>
      <c r="F436" s="5"/>
      <c r="G436" s="3"/>
      <c r="H436" s="5"/>
      <c r="I436" s="1"/>
      <c r="J436" s="7"/>
      <c r="K436" s="1"/>
      <c r="L436" s="1"/>
      <c r="M436" s="1"/>
      <c r="N436" s="1"/>
      <c r="O436" s="1"/>
      <c r="P436" s="1"/>
      <c r="Q436" s="1"/>
      <c r="R436" s="1"/>
      <c r="S436" s="1"/>
      <c r="T436" s="1"/>
      <c r="U436" s="1"/>
      <c r="V436" s="1"/>
      <c r="W436" s="1"/>
      <c r="X436" s="1"/>
      <c r="Y436" s="1"/>
      <c r="Z436" s="1"/>
    </row>
    <row r="437" spans="1:26" ht="12.75" customHeight="1" x14ac:dyDescent="0.25">
      <c r="A437" s="1"/>
      <c r="B437" s="1"/>
      <c r="C437" s="3"/>
      <c r="D437" s="3"/>
      <c r="E437" s="5"/>
      <c r="F437" s="5"/>
      <c r="G437" s="3"/>
      <c r="H437" s="5"/>
      <c r="I437" s="1"/>
      <c r="J437" s="7"/>
      <c r="K437" s="1"/>
      <c r="L437" s="1"/>
      <c r="M437" s="1"/>
      <c r="N437" s="1"/>
      <c r="O437" s="1"/>
      <c r="P437" s="1"/>
      <c r="Q437" s="1"/>
      <c r="R437" s="1"/>
      <c r="S437" s="1"/>
      <c r="T437" s="1"/>
      <c r="U437" s="1"/>
      <c r="V437" s="1"/>
      <c r="W437" s="1"/>
      <c r="X437" s="1"/>
      <c r="Y437" s="1"/>
      <c r="Z437" s="1"/>
    </row>
    <row r="438" spans="1:26" ht="12.75" customHeight="1" x14ac:dyDescent="0.25">
      <c r="A438" s="1"/>
      <c r="B438" s="1"/>
      <c r="C438" s="3"/>
      <c r="D438" s="3"/>
      <c r="E438" s="5"/>
      <c r="F438" s="5"/>
      <c r="G438" s="3"/>
      <c r="H438" s="5"/>
      <c r="I438" s="1"/>
      <c r="J438" s="7"/>
      <c r="K438" s="1"/>
      <c r="L438" s="1"/>
      <c r="M438" s="1"/>
      <c r="N438" s="1"/>
      <c r="O438" s="1"/>
      <c r="P438" s="1"/>
      <c r="Q438" s="1"/>
      <c r="R438" s="1"/>
      <c r="S438" s="1"/>
      <c r="T438" s="1"/>
      <c r="U438" s="1"/>
      <c r="V438" s="1"/>
      <c r="W438" s="1"/>
      <c r="X438" s="1"/>
      <c r="Y438" s="1"/>
      <c r="Z438" s="1"/>
    </row>
    <row r="439" spans="1:26" ht="12.75" customHeight="1" x14ac:dyDescent="0.25">
      <c r="A439" s="1"/>
      <c r="B439" s="1"/>
      <c r="C439" s="3"/>
      <c r="D439" s="3"/>
      <c r="E439" s="5"/>
      <c r="F439" s="5"/>
      <c r="G439" s="3"/>
      <c r="H439" s="5"/>
      <c r="I439" s="1"/>
      <c r="J439" s="7"/>
      <c r="K439" s="1"/>
      <c r="L439" s="1"/>
      <c r="M439" s="1"/>
      <c r="N439" s="1"/>
      <c r="O439" s="1"/>
      <c r="P439" s="1"/>
      <c r="Q439" s="1"/>
      <c r="R439" s="1"/>
      <c r="S439" s="1"/>
      <c r="T439" s="1"/>
      <c r="U439" s="1"/>
      <c r="V439" s="1"/>
      <c r="W439" s="1"/>
      <c r="X439" s="1"/>
      <c r="Y439" s="1"/>
      <c r="Z439" s="1"/>
    </row>
    <row r="440" spans="1:26" ht="12.75" customHeight="1" x14ac:dyDescent="0.25">
      <c r="A440" s="1"/>
      <c r="B440" s="1"/>
      <c r="C440" s="3"/>
      <c r="D440" s="3"/>
      <c r="E440" s="5"/>
      <c r="F440" s="5"/>
      <c r="G440" s="3"/>
      <c r="H440" s="5"/>
      <c r="I440" s="1"/>
      <c r="J440" s="7"/>
      <c r="K440" s="1"/>
      <c r="L440" s="1"/>
      <c r="M440" s="1"/>
      <c r="N440" s="1"/>
      <c r="O440" s="1"/>
      <c r="P440" s="1"/>
      <c r="Q440" s="1"/>
      <c r="R440" s="1"/>
      <c r="S440" s="1"/>
      <c r="T440" s="1"/>
      <c r="U440" s="1"/>
      <c r="V440" s="1"/>
      <c r="W440" s="1"/>
      <c r="X440" s="1"/>
      <c r="Y440" s="1"/>
      <c r="Z440" s="1"/>
    </row>
    <row r="441" spans="1:26" ht="12.75" customHeight="1" x14ac:dyDescent="0.25">
      <c r="A441" s="1"/>
      <c r="B441" s="1"/>
      <c r="C441" s="3"/>
      <c r="D441" s="3"/>
      <c r="E441" s="5"/>
      <c r="F441" s="5"/>
      <c r="G441" s="3"/>
      <c r="H441" s="5"/>
      <c r="I441" s="1"/>
      <c r="J441" s="7"/>
      <c r="K441" s="1"/>
      <c r="L441" s="1"/>
      <c r="M441" s="1"/>
      <c r="N441" s="1"/>
      <c r="O441" s="1"/>
      <c r="P441" s="1"/>
      <c r="Q441" s="1"/>
      <c r="R441" s="1"/>
      <c r="S441" s="1"/>
      <c r="T441" s="1"/>
      <c r="U441" s="1"/>
      <c r="V441" s="1"/>
      <c r="W441" s="1"/>
      <c r="X441" s="1"/>
      <c r="Y441" s="1"/>
      <c r="Z441" s="1"/>
    </row>
    <row r="442" spans="1:26" ht="12.75" customHeight="1" x14ac:dyDescent="0.25">
      <c r="A442" s="1"/>
      <c r="B442" s="1"/>
      <c r="C442" s="3"/>
      <c r="D442" s="3"/>
      <c r="E442" s="5"/>
      <c r="F442" s="5"/>
      <c r="G442" s="3"/>
      <c r="H442" s="5"/>
      <c r="I442" s="1"/>
      <c r="J442" s="7"/>
      <c r="K442" s="1"/>
      <c r="L442" s="1"/>
      <c r="M442" s="1"/>
      <c r="N442" s="1"/>
      <c r="O442" s="1"/>
      <c r="P442" s="1"/>
      <c r="Q442" s="1"/>
      <c r="R442" s="1"/>
      <c r="S442" s="1"/>
      <c r="T442" s="1"/>
      <c r="U442" s="1"/>
      <c r="V442" s="1"/>
      <c r="W442" s="1"/>
      <c r="X442" s="1"/>
      <c r="Y442" s="1"/>
      <c r="Z442" s="1"/>
    </row>
    <row r="443" spans="1:26" ht="12.75" customHeight="1" x14ac:dyDescent="0.25">
      <c r="A443" s="1"/>
      <c r="B443" s="1"/>
      <c r="C443" s="3"/>
      <c r="D443" s="3"/>
      <c r="E443" s="5"/>
      <c r="F443" s="5"/>
      <c r="G443" s="3"/>
      <c r="H443" s="5"/>
      <c r="I443" s="1"/>
      <c r="J443" s="7"/>
      <c r="K443" s="1"/>
      <c r="L443" s="1"/>
      <c r="M443" s="1"/>
      <c r="N443" s="1"/>
      <c r="O443" s="1"/>
      <c r="P443" s="1"/>
      <c r="Q443" s="1"/>
      <c r="R443" s="1"/>
      <c r="S443" s="1"/>
      <c r="T443" s="1"/>
      <c r="U443" s="1"/>
      <c r="V443" s="1"/>
      <c r="W443" s="1"/>
      <c r="X443" s="1"/>
      <c r="Y443" s="1"/>
      <c r="Z443" s="1"/>
    </row>
    <row r="444" spans="1:26" ht="12.75" customHeight="1" x14ac:dyDescent="0.25">
      <c r="A444" s="1"/>
      <c r="B444" s="1"/>
      <c r="C444" s="3"/>
      <c r="D444" s="3"/>
      <c r="E444" s="5"/>
      <c r="F444" s="5"/>
      <c r="G444" s="3"/>
      <c r="H444" s="5"/>
      <c r="I444" s="1"/>
      <c r="J444" s="7"/>
      <c r="K444" s="1"/>
      <c r="L444" s="1"/>
      <c r="M444" s="1"/>
      <c r="N444" s="1"/>
      <c r="O444" s="1"/>
      <c r="P444" s="1"/>
      <c r="Q444" s="1"/>
      <c r="R444" s="1"/>
      <c r="S444" s="1"/>
      <c r="T444" s="1"/>
      <c r="U444" s="1"/>
      <c r="V444" s="1"/>
      <c r="W444" s="1"/>
      <c r="X444" s="1"/>
      <c r="Y444" s="1"/>
      <c r="Z444" s="1"/>
    </row>
    <row r="445" spans="1:26" ht="12.75" customHeight="1" x14ac:dyDescent="0.25">
      <c r="A445" s="1"/>
      <c r="B445" s="1"/>
      <c r="C445" s="3"/>
      <c r="D445" s="3"/>
      <c r="E445" s="5"/>
      <c r="F445" s="5"/>
      <c r="G445" s="3"/>
      <c r="H445" s="5"/>
      <c r="I445" s="1"/>
      <c r="J445" s="7"/>
      <c r="K445" s="1"/>
      <c r="L445" s="1"/>
      <c r="M445" s="1"/>
      <c r="N445" s="1"/>
      <c r="O445" s="1"/>
      <c r="P445" s="1"/>
      <c r="Q445" s="1"/>
      <c r="R445" s="1"/>
      <c r="S445" s="1"/>
      <c r="T445" s="1"/>
      <c r="U445" s="1"/>
      <c r="V445" s="1"/>
      <c r="W445" s="1"/>
      <c r="X445" s="1"/>
      <c r="Y445" s="1"/>
      <c r="Z445" s="1"/>
    </row>
    <row r="446" spans="1:26" ht="12.75" customHeight="1" x14ac:dyDescent="0.25">
      <c r="A446" s="1"/>
      <c r="B446" s="1"/>
      <c r="C446" s="3"/>
      <c r="D446" s="3"/>
      <c r="E446" s="5"/>
      <c r="F446" s="5"/>
      <c r="G446" s="3"/>
      <c r="H446" s="5"/>
      <c r="I446" s="1"/>
      <c r="J446" s="7"/>
      <c r="K446" s="1"/>
      <c r="L446" s="1"/>
      <c r="M446" s="1"/>
      <c r="N446" s="1"/>
      <c r="O446" s="1"/>
      <c r="P446" s="1"/>
      <c r="Q446" s="1"/>
      <c r="R446" s="1"/>
      <c r="S446" s="1"/>
      <c r="T446" s="1"/>
      <c r="U446" s="1"/>
      <c r="V446" s="1"/>
      <c r="W446" s="1"/>
      <c r="X446" s="1"/>
      <c r="Y446" s="1"/>
      <c r="Z446" s="1"/>
    </row>
    <row r="447" spans="1:26" ht="12.75" customHeight="1" x14ac:dyDescent="0.25">
      <c r="A447" s="1"/>
      <c r="B447" s="1"/>
      <c r="C447" s="3"/>
      <c r="D447" s="3"/>
      <c r="E447" s="5"/>
      <c r="F447" s="5"/>
      <c r="G447" s="3"/>
      <c r="H447" s="5"/>
      <c r="I447" s="1"/>
      <c r="J447" s="7"/>
      <c r="K447" s="1"/>
      <c r="L447" s="1"/>
      <c r="M447" s="1"/>
      <c r="N447" s="1"/>
      <c r="O447" s="1"/>
      <c r="P447" s="1"/>
      <c r="Q447" s="1"/>
      <c r="R447" s="1"/>
      <c r="S447" s="1"/>
      <c r="T447" s="1"/>
      <c r="U447" s="1"/>
      <c r="V447" s="1"/>
      <c r="W447" s="1"/>
      <c r="X447" s="1"/>
      <c r="Y447" s="1"/>
      <c r="Z447" s="1"/>
    </row>
    <row r="448" spans="1:26" ht="12.75" customHeight="1" x14ac:dyDescent="0.25">
      <c r="A448" s="1"/>
      <c r="B448" s="1"/>
      <c r="C448" s="3"/>
      <c r="D448" s="3"/>
      <c r="E448" s="5"/>
      <c r="F448" s="5"/>
      <c r="G448" s="3"/>
      <c r="H448" s="5"/>
      <c r="I448" s="1"/>
      <c r="J448" s="7"/>
      <c r="K448" s="1"/>
      <c r="L448" s="1"/>
      <c r="M448" s="1"/>
      <c r="N448" s="1"/>
      <c r="O448" s="1"/>
      <c r="P448" s="1"/>
      <c r="Q448" s="1"/>
      <c r="R448" s="1"/>
      <c r="S448" s="1"/>
      <c r="T448" s="1"/>
      <c r="U448" s="1"/>
      <c r="V448" s="1"/>
      <c r="W448" s="1"/>
      <c r="X448" s="1"/>
      <c r="Y448" s="1"/>
      <c r="Z448" s="1"/>
    </row>
    <row r="449" spans="1:26" ht="12.75" customHeight="1" x14ac:dyDescent="0.25">
      <c r="A449" s="1"/>
      <c r="B449" s="1"/>
      <c r="C449" s="3"/>
      <c r="D449" s="3"/>
      <c r="E449" s="5"/>
      <c r="F449" s="5"/>
      <c r="G449" s="3"/>
      <c r="H449" s="5"/>
      <c r="I449" s="1"/>
      <c r="J449" s="7"/>
      <c r="K449" s="1"/>
      <c r="L449" s="1"/>
      <c r="M449" s="1"/>
      <c r="N449" s="1"/>
      <c r="O449" s="1"/>
      <c r="P449" s="1"/>
      <c r="Q449" s="1"/>
      <c r="R449" s="1"/>
      <c r="S449" s="1"/>
      <c r="T449" s="1"/>
      <c r="U449" s="1"/>
      <c r="V449" s="1"/>
      <c r="W449" s="1"/>
      <c r="X449" s="1"/>
      <c r="Y449" s="1"/>
      <c r="Z449" s="1"/>
    </row>
    <row r="450" spans="1:26" ht="12.75" customHeight="1" x14ac:dyDescent="0.25">
      <c r="A450" s="1"/>
      <c r="B450" s="1"/>
      <c r="C450" s="3"/>
      <c r="D450" s="3"/>
      <c r="E450" s="5"/>
      <c r="F450" s="5"/>
      <c r="G450" s="3"/>
      <c r="H450" s="5"/>
      <c r="I450" s="1"/>
      <c r="J450" s="7"/>
      <c r="K450" s="1"/>
      <c r="L450" s="1"/>
      <c r="M450" s="1"/>
      <c r="N450" s="1"/>
      <c r="O450" s="1"/>
      <c r="P450" s="1"/>
      <c r="Q450" s="1"/>
      <c r="R450" s="1"/>
      <c r="S450" s="1"/>
      <c r="T450" s="1"/>
      <c r="U450" s="1"/>
      <c r="V450" s="1"/>
      <c r="W450" s="1"/>
      <c r="X450" s="1"/>
      <c r="Y450" s="1"/>
      <c r="Z450" s="1"/>
    </row>
    <row r="451" spans="1:26" ht="12.75" customHeight="1" x14ac:dyDescent="0.25">
      <c r="A451" s="1"/>
      <c r="B451" s="1"/>
      <c r="C451" s="3"/>
      <c r="D451" s="3"/>
      <c r="E451" s="5"/>
      <c r="F451" s="5"/>
      <c r="G451" s="3"/>
      <c r="H451" s="5"/>
      <c r="I451" s="1"/>
      <c r="J451" s="7"/>
      <c r="K451" s="1"/>
      <c r="L451" s="1"/>
      <c r="M451" s="1"/>
      <c r="N451" s="1"/>
      <c r="O451" s="1"/>
      <c r="P451" s="1"/>
      <c r="Q451" s="1"/>
      <c r="R451" s="1"/>
      <c r="S451" s="1"/>
      <c r="T451" s="1"/>
      <c r="U451" s="1"/>
      <c r="V451" s="1"/>
      <c r="W451" s="1"/>
      <c r="X451" s="1"/>
      <c r="Y451" s="1"/>
      <c r="Z451" s="1"/>
    </row>
    <row r="452" spans="1:26" ht="12.75" customHeight="1" x14ac:dyDescent="0.25">
      <c r="A452" s="1"/>
      <c r="B452" s="1"/>
      <c r="C452" s="3"/>
      <c r="D452" s="3"/>
      <c r="E452" s="5"/>
      <c r="F452" s="5"/>
      <c r="G452" s="3"/>
      <c r="H452" s="5"/>
      <c r="I452" s="1"/>
      <c r="J452" s="7"/>
      <c r="K452" s="1"/>
      <c r="L452" s="1"/>
      <c r="M452" s="1"/>
      <c r="N452" s="1"/>
      <c r="O452" s="1"/>
      <c r="P452" s="1"/>
      <c r="Q452" s="1"/>
      <c r="R452" s="1"/>
      <c r="S452" s="1"/>
      <c r="T452" s="1"/>
      <c r="U452" s="1"/>
      <c r="V452" s="1"/>
      <c r="W452" s="1"/>
      <c r="X452" s="1"/>
      <c r="Y452" s="1"/>
      <c r="Z452" s="1"/>
    </row>
    <row r="453" spans="1:26" ht="12.75" customHeight="1" x14ac:dyDescent="0.25">
      <c r="A453" s="1"/>
      <c r="B453" s="1"/>
      <c r="C453" s="3"/>
      <c r="D453" s="3"/>
      <c r="E453" s="5"/>
      <c r="F453" s="5"/>
      <c r="G453" s="3"/>
      <c r="H453" s="5"/>
      <c r="I453" s="1"/>
      <c r="J453" s="7"/>
      <c r="K453" s="1"/>
      <c r="L453" s="1"/>
      <c r="M453" s="1"/>
      <c r="N453" s="1"/>
      <c r="O453" s="1"/>
      <c r="P453" s="1"/>
      <c r="Q453" s="1"/>
      <c r="R453" s="1"/>
      <c r="S453" s="1"/>
      <c r="T453" s="1"/>
      <c r="U453" s="1"/>
      <c r="V453" s="1"/>
      <c r="W453" s="1"/>
      <c r="X453" s="1"/>
      <c r="Y453" s="1"/>
      <c r="Z453" s="1"/>
    </row>
    <row r="454" spans="1:26" ht="12.75" customHeight="1" x14ac:dyDescent="0.25">
      <c r="A454" s="1"/>
      <c r="B454" s="1"/>
      <c r="C454" s="3"/>
      <c r="D454" s="3"/>
      <c r="E454" s="5"/>
      <c r="F454" s="5"/>
      <c r="G454" s="3"/>
      <c r="H454" s="5"/>
      <c r="I454" s="1"/>
      <c r="J454" s="7"/>
      <c r="K454" s="1"/>
      <c r="L454" s="1"/>
      <c r="M454" s="1"/>
      <c r="N454" s="1"/>
      <c r="O454" s="1"/>
      <c r="P454" s="1"/>
      <c r="Q454" s="1"/>
      <c r="R454" s="1"/>
      <c r="S454" s="1"/>
      <c r="T454" s="1"/>
      <c r="U454" s="1"/>
      <c r="V454" s="1"/>
      <c r="W454" s="1"/>
      <c r="X454" s="1"/>
      <c r="Y454" s="1"/>
      <c r="Z454" s="1"/>
    </row>
    <row r="455" spans="1:26" ht="12.75" customHeight="1" x14ac:dyDescent="0.25">
      <c r="A455" s="1"/>
      <c r="B455" s="1"/>
      <c r="C455" s="3"/>
      <c r="D455" s="3"/>
      <c r="E455" s="5"/>
      <c r="F455" s="5"/>
      <c r="G455" s="3"/>
      <c r="H455" s="5"/>
      <c r="I455" s="1"/>
      <c r="J455" s="7"/>
      <c r="K455" s="1"/>
      <c r="L455" s="1"/>
      <c r="M455" s="1"/>
      <c r="N455" s="1"/>
      <c r="O455" s="1"/>
      <c r="P455" s="1"/>
      <c r="Q455" s="1"/>
      <c r="R455" s="1"/>
      <c r="S455" s="1"/>
      <c r="T455" s="1"/>
      <c r="U455" s="1"/>
      <c r="V455" s="1"/>
      <c r="W455" s="1"/>
      <c r="X455" s="1"/>
      <c r="Y455" s="1"/>
      <c r="Z455" s="1"/>
    </row>
    <row r="456" spans="1:26" ht="12.75" customHeight="1" x14ac:dyDescent="0.25">
      <c r="A456" s="1"/>
      <c r="B456" s="1"/>
      <c r="C456" s="3"/>
      <c r="D456" s="3"/>
      <c r="E456" s="5"/>
      <c r="F456" s="5"/>
      <c r="G456" s="3"/>
      <c r="H456" s="5"/>
      <c r="I456" s="1"/>
      <c r="J456" s="7"/>
      <c r="K456" s="1"/>
      <c r="L456" s="1"/>
      <c r="M456" s="1"/>
      <c r="N456" s="1"/>
      <c r="O456" s="1"/>
      <c r="P456" s="1"/>
      <c r="Q456" s="1"/>
      <c r="R456" s="1"/>
      <c r="S456" s="1"/>
      <c r="T456" s="1"/>
      <c r="U456" s="1"/>
      <c r="V456" s="1"/>
      <c r="W456" s="1"/>
      <c r="X456" s="1"/>
      <c r="Y456" s="1"/>
      <c r="Z456" s="1"/>
    </row>
    <row r="457" spans="1:26" ht="12.75" customHeight="1" x14ac:dyDescent="0.25">
      <c r="A457" s="1"/>
      <c r="B457" s="1"/>
      <c r="C457" s="3"/>
      <c r="D457" s="3"/>
      <c r="E457" s="5"/>
      <c r="F457" s="5"/>
      <c r="G457" s="3"/>
      <c r="H457" s="5"/>
      <c r="I457" s="1"/>
      <c r="J457" s="7"/>
      <c r="K457" s="1"/>
      <c r="L457" s="1"/>
      <c r="M457" s="1"/>
      <c r="N457" s="1"/>
      <c r="O457" s="1"/>
      <c r="P457" s="1"/>
      <c r="Q457" s="1"/>
      <c r="R457" s="1"/>
      <c r="S457" s="1"/>
      <c r="T457" s="1"/>
      <c r="U457" s="1"/>
      <c r="V457" s="1"/>
      <c r="W457" s="1"/>
      <c r="X457" s="1"/>
      <c r="Y457" s="1"/>
      <c r="Z457" s="1"/>
    </row>
    <row r="458" spans="1:26" ht="12.75" customHeight="1" x14ac:dyDescent="0.25">
      <c r="A458" s="1"/>
      <c r="B458" s="1"/>
      <c r="C458" s="3"/>
      <c r="D458" s="3"/>
      <c r="E458" s="5"/>
      <c r="F458" s="5"/>
      <c r="G458" s="3"/>
      <c r="H458" s="5"/>
      <c r="I458" s="1"/>
      <c r="J458" s="7"/>
      <c r="K458" s="1"/>
      <c r="L458" s="1"/>
      <c r="M458" s="1"/>
      <c r="N458" s="1"/>
      <c r="O458" s="1"/>
      <c r="P458" s="1"/>
      <c r="Q458" s="1"/>
      <c r="R458" s="1"/>
      <c r="S458" s="1"/>
      <c r="T458" s="1"/>
      <c r="U458" s="1"/>
      <c r="V458" s="1"/>
      <c r="W458" s="1"/>
      <c r="X458" s="1"/>
      <c r="Y458" s="1"/>
      <c r="Z458" s="1"/>
    </row>
    <row r="459" spans="1:26" ht="12.75" customHeight="1" x14ac:dyDescent="0.25">
      <c r="A459" s="1"/>
      <c r="B459" s="1"/>
      <c r="C459" s="3"/>
      <c r="D459" s="3"/>
      <c r="E459" s="5"/>
      <c r="F459" s="5"/>
      <c r="G459" s="3"/>
      <c r="H459" s="5"/>
      <c r="I459" s="1"/>
      <c r="J459" s="7"/>
      <c r="K459" s="1"/>
      <c r="L459" s="1"/>
      <c r="M459" s="1"/>
      <c r="N459" s="1"/>
      <c r="O459" s="1"/>
      <c r="P459" s="1"/>
      <c r="Q459" s="1"/>
      <c r="R459" s="1"/>
      <c r="S459" s="1"/>
      <c r="T459" s="1"/>
      <c r="U459" s="1"/>
      <c r="V459" s="1"/>
      <c r="W459" s="1"/>
      <c r="X459" s="1"/>
      <c r="Y459" s="1"/>
      <c r="Z459" s="1"/>
    </row>
    <row r="460" spans="1:26" ht="12.75" customHeight="1" x14ac:dyDescent="0.25">
      <c r="A460" s="1"/>
      <c r="B460" s="1"/>
      <c r="C460" s="3"/>
      <c r="D460" s="3"/>
      <c r="E460" s="5"/>
      <c r="F460" s="5"/>
      <c r="G460" s="3"/>
      <c r="H460" s="5"/>
      <c r="I460" s="1"/>
      <c r="J460" s="7"/>
      <c r="K460" s="1"/>
      <c r="L460" s="1"/>
      <c r="M460" s="1"/>
      <c r="N460" s="1"/>
      <c r="O460" s="1"/>
      <c r="P460" s="1"/>
      <c r="Q460" s="1"/>
      <c r="R460" s="1"/>
      <c r="S460" s="1"/>
      <c r="T460" s="1"/>
      <c r="U460" s="1"/>
      <c r="V460" s="1"/>
      <c r="W460" s="1"/>
      <c r="X460" s="1"/>
      <c r="Y460" s="1"/>
      <c r="Z460" s="1"/>
    </row>
    <row r="461" spans="1:26" ht="12.75" customHeight="1" x14ac:dyDescent="0.25">
      <c r="A461" s="1"/>
      <c r="B461" s="1"/>
      <c r="C461" s="3"/>
      <c r="D461" s="3"/>
      <c r="E461" s="5"/>
      <c r="F461" s="5"/>
      <c r="G461" s="3"/>
      <c r="H461" s="5"/>
      <c r="I461" s="1"/>
      <c r="J461" s="7"/>
      <c r="K461" s="1"/>
      <c r="L461" s="1"/>
      <c r="M461" s="1"/>
      <c r="N461" s="1"/>
      <c r="O461" s="1"/>
      <c r="P461" s="1"/>
      <c r="Q461" s="1"/>
      <c r="R461" s="1"/>
      <c r="S461" s="1"/>
      <c r="T461" s="1"/>
      <c r="U461" s="1"/>
      <c r="V461" s="1"/>
      <c r="W461" s="1"/>
      <c r="X461" s="1"/>
      <c r="Y461" s="1"/>
      <c r="Z461" s="1"/>
    </row>
    <row r="462" spans="1:26" ht="12.75" customHeight="1" x14ac:dyDescent="0.25">
      <c r="A462" s="1"/>
      <c r="B462" s="1"/>
      <c r="C462" s="3"/>
      <c r="D462" s="3"/>
      <c r="E462" s="5"/>
      <c r="F462" s="5"/>
      <c r="G462" s="3"/>
      <c r="H462" s="5"/>
      <c r="I462" s="1"/>
      <c r="J462" s="7"/>
      <c r="K462" s="1"/>
      <c r="L462" s="1"/>
      <c r="M462" s="1"/>
      <c r="N462" s="1"/>
      <c r="O462" s="1"/>
      <c r="P462" s="1"/>
      <c r="Q462" s="1"/>
      <c r="R462" s="1"/>
      <c r="S462" s="1"/>
      <c r="T462" s="1"/>
      <c r="U462" s="1"/>
      <c r="V462" s="1"/>
      <c r="W462" s="1"/>
      <c r="X462" s="1"/>
      <c r="Y462" s="1"/>
      <c r="Z462" s="1"/>
    </row>
    <row r="463" spans="1:26" ht="12.75" customHeight="1" x14ac:dyDescent="0.25">
      <c r="A463" s="1"/>
      <c r="B463" s="1"/>
      <c r="C463" s="3"/>
      <c r="D463" s="3"/>
      <c r="E463" s="5"/>
      <c r="F463" s="5"/>
      <c r="G463" s="3"/>
      <c r="H463" s="5"/>
      <c r="I463" s="1"/>
      <c r="J463" s="7"/>
      <c r="K463" s="1"/>
      <c r="L463" s="1"/>
      <c r="M463" s="1"/>
      <c r="N463" s="1"/>
      <c r="O463" s="1"/>
      <c r="P463" s="1"/>
      <c r="Q463" s="1"/>
      <c r="R463" s="1"/>
      <c r="S463" s="1"/>
      <c r="T463" s="1"/>
      <c r="U463" s="1"/>
      <c r="V463" s="1"/>
      <c r="W463" s="1"/>
      <c r="X463" s="1"/>
      <c r="Y463" s="1"/>
      <c r="Z463" s="1"/>
    </row>
    <row r="464" spans="1:26" ht="12.75" customHeight="1" x14ac:dyDescent="0.25">
      <c r="A464" s="1"/>
      <c r="B464" s="1"/>
      <c r="C464" s="3"/>
      <c r="D464" s="3"/>
      <c r="E464" s="5"/>
      <c r="F464" s="5"/>
      <c r="G464" s="3"/>
      <c r="H464" s="5"/>
      <c r="I464" s="1"/>
      <c r="J464" s="7"/>
      <c r="K464" s="1"/>
      <c r="L464" s="1"/>
      <c r="M464" s="1"/>
      <c r="N464" s="1"/>
      <c r="O464" s="1"/>
      <c r="P464" s="1"/>
      <c r="Q464" s="1"/>
      <c r="R464" s="1"/>
      <c r="S464" s="1"/>
      <c r="T464" s="1"/>
      <c r="U464" s="1"/>
      <c r="V464" s="1"/>
      <c r="W464" s="1"/>
      <c r="X464" s="1"/>
      <c r="Y464" s="1"/>
      <c r="Z464" s="1"/>
    </row>
    <row r="465" spans="1:26" ht="12.75" customHeight="1" x14ac:dyDescent="0.25">
      <c r="A465" s="1"/>
      <c r="B465" s="1"/>
      <c r="C465" s="3"/>
      <c r="D465" s="3"/>
      <c r="E465" s="5"/>
      <c r="F465" s="5"/>
      <c r="G465" s="3"/>
      <c r="H465" s="5"/>
      <c r="I465" s="1"/>
      <c r="J465" s="7"/>
      <c r="K465" s="1"/>
      <c r="L465" s="1"/>
      <c r="M465" s="1"/>
      <c r="N465" s="1"/>
      <c r="O465" s="1"/>
      <c r="P465" s="1"/>
      <c r="Q465" s="1"/>
      <c r="R465" s="1"/>
      <c r="S465" s="1"/>
      <c r="T465" s="1"/>
      <c r="U465" s="1"/>
      <c r="V465" s="1"/>
      <c r="W465" s="1"/>
      <c r="X465" s="1"/>
      <c r="Y465" s="1"/>
      <c r="Z465" s="1"/>
    </row>
    <row r="466" spans="1:26" ht="12.75" customHeight="1" x14ac:dyDescent="0.25">
      <c r="A466" s="1"/>
      <c r="B466" s="1"/>
      <c r="C466" s="3"/>
      <c r="D466" s="3"/>
      <c r="E466" s="5"/>
      <c r="F466" s="5"/>
      <c r="G466" s="3"/>
      <c r="H466" s="5"/>
      <c r="I466" s="1"/>
      <c r="J466" s="7"/>
      <c r="K466" s="1"/>
      <c r="L466" s="1"/>
      <c r="M466" s="1"/>
      <c r="N466" s="1"/>
      <c r="O466" s="1"/>
      <c r="P466" s="1"/>
      <c r="Q466" s="1"/>
      <c r="R466" s="1"/>
      <c r="S466" s="1"/>
      <c r="T466" s="1"/>
      <c r="U466" s="1"/>
      <c r="V466" s="1"/>
      <c r="W466" s="1"/>
      <c r="X466" s="1"/>
      <c r="Y466" s="1"/>
      <c r="Z466" s="1"/>
    </row>
    <row r="467" spans="1:26" ht="12.75" customHeight="1" x14ac:dyDescent="0.25">
      <c r="A467" s="1"/>
      <c r="B467" s="1"/>
      <c r="C467" s="3"/>
      <c r="D467" s="3"/>
      <c r="E467" s="5"/>
      <c r="F467" s="5"/>
      <c r="G467" s="3"/>
      <c r="H467" s="5"/>
      <c r="I467" s="1"/>
      <c r="J467" s="7"/>
      <c r="K467" s="1"/>
      <c r="L467" s="1"/>
      <c r="M467" s="1"/>
      <c r="N467" s="1"/>
      <c r="O467" s="1"/>
      <c r="P467" s="1"/>
      <c r="Q467" s="1"/>
      <c r="R467" s="1"/>
      <c r="S467" s="1"/>
      <c r="T467" s="1"/>
      <c r="U467" s="1"/>
      <c r="V467" s="1"/>
      <c r="W467" s="1"/>
      <c r="X467" s="1"/>
      <c r="Y467" s="1"/>
      <c r="Z467" s="1"/>
    </row>
    <row r="468" spans="1:26" ht="12.75" customHeight="1" x14ac:dyDescent="0.25">
      <c r="A468" s="1"/>
      <c r="B468" s="1"/>
      <c r="C468" s="3"/>
      <c r="D468" s="3"/>
      <c r="E468" s="5"/>
      <c r="F468" s="5"/>
      <c r="G468" s="3"/>
      <c r="H468" s="5"/>
      <c r="I468" s="1"/>
      <c r="J468" s="7"/>
      <c r="K468" s="1"/>
      <c r="L468" s="1"/>
      <c r="M468" s="1"/>
      <c r="N468" s="1"/>
      <c r="O468" s="1"/>
      <c r="P468" s="1"/>
      <c r="Q468" s="1"/>
      <c r="R468" s="1"/>
      <c r="S468" s="1"/>
      <c r="T468" s="1"/>
      <c r="U468" s="1"/>
      <c r="V468" s="1"/>
      <c r="W468" s="1"/>
      <c r="X468" s="1"/>
      <c r="Y468" s="1"/>
      <c r="Z468" s="1"/>
    </row>
    <row r="469" spans="1:26" ht="12.75" customHeight="1" x14ac:dyDescent="0.25">
      <c r="A469" s="1"/>
      <c r="B469" s="1"/>
      <c r="C469" s="3"/>
      <c r="D469" s="3"/>
      <c r="E469" s="5"/>
      <c r="F469" s="5"/>
      <c r="G469" s="3"/>
      <c r="H469" s="5"/>
      <c r="I469" s="1"/>
      <c r="J469" s="7"/>
      <c r="K469" s="1"/>
      <c r="L469" s="1"/>
      <c r="M469" s="1"/>
      <c r="N469" s="1"/>
      <c r="O469" s="1"/>
      <c r="P469" s="1"/>
      <c r="Q469" s="1"/>
      <c r="R469" s="1"/>
      <c r="S469" s="1"/>
      <c r="T469" s="1"/>
      <c r="U469" s="1"/>
      <c r="V469" s="1"/>
      <c r="W469" s="1"/>
      <c r="X469" s="1"/>
      <c r="Y469" s="1"/>
      <c r="Z469" s="1"/>
    </row>
    <row r="470" spans="1:26" ht="12.75" customHeight="1" x14ac:dyDescent="0.25">
      <c r="A470" s="1"/>
      <c r="B470" s="1"/>
      <c r="C470" s="3"/>
      <c r="D470" s="3"/>
      <c r="E470" s="5"/>
      <c r="F470" s="5"/>
      <c r="G470" s="3"/>
      <c r="H470" s="5"/>
      <c r="I470" s="1"/>
      <c r="J470" s="7"/>
      <c r="K470" s="1"/>
      <c r="L470" s="1"/>
      <c r="M470" s="1"/>
      <c r="N470" s="1"/>
      <c r="O470" s="1"/>
      <c r="P470" s="1"/>
      <c r="Q470" s="1"/>
      <c r="R470" s="1"/>
      <c r="S470" s="1"/>
      <c r="T470" s="1"/>
      <c r="U470" s="1"/>
      <c r="V470" s="1"/>
      <c r="W470" s="1"/>
      <c r="X470" s="1"/>
      <c r="Y470" s="1"/>
      <c r="Z470" s="1"/>
    </row>
    <row r="471" spans="1:26" ht="12.75" customHeight="1" x14ac:dyDescent="0.25">
      <c r="A471" s="1"/>
      <c r="B471" s="1"/>
      <c r="C471" s="3"/>
      <c r="D471" s="3"/>
      <c r="E471" s="5"/>
      <c r="F471" s="5"/>
      <c r="G471" s="3"/>
      <c r="H471" s="5"/>
      <c r="I471" s="1"/>
      <c r="J471" s="7"/>
      <c r="K471" s="1"/>
      <c r="L471" s="1"/>
      <c r="M471" s="1"/>
      <c r="N471" s="1"/>
      <c r="O471" s="1"/>
      <c r="P471" s="1"/>
      <c r="Q471" s="1"/>
      <c r="R471" s="1"/>
      <c r="S471" s="1"/>
      <c r="T471" s="1"/>
      <c r="U471" s="1"/>
      <c r="V471" s="1"/>
      <c r="W471" s="1"/>
      <c r="X471" s="1"/>
      <c r="Y471" s="1"/>
      <c r="Z471" s="1"/>
    </row>
    <row r="472" spans="1:26" ht="12.75" customHeight="1" x14ac:dyDescent="0.25">
      <c r="A472" s="1"/>
      <c r="B472" s="1"/>
      <c r="C472" s="3"/>
      <c r="D472" s="3"/>
      <c r="E472" s="5"/>
      <c r="F472" s="5"/>
      <c r="G472" s="3"/>
      <c r="H472" s="5"/>
      <c r="I472" s="1"/>
      <c r="J472" s="7"/>
      <c r="K472" s="1"/>
      <c r="L472" s="1"/>
      <c r="M472" s="1"/>
      <c r="N472" s="1"/>
      <c r="O472" s="1"/>
      <c r="P472" s="1"/>
      <c r="Q472" s="1"/>
      <c r="R472" s="1"/>
      <c r="S472" s="1"/>
      <c r="T472" s="1"/>
      <c r="U472" s="1"/>
      <c r="V472" s="1"/>
      <c r="W472" s="1"/>
      <c r="X472" s="1"/>
      <c r="Y472" s="1"/>
      <c r="Z472" s="1"/>
    </row>
    <row r="473" spans="1:26" ht="12.75" customHeight="1" x14ac:dyDescent="0.25">
      <c r="A473" s="1"/>
      <c r="B473" s="1"/>
      <c r="C473" s="3"/>
      <c r="D473" s="3"/>
      <c r="E473" s="5"/>
      <c r="F473" s="5"/>
      <c r="G473" s="3"/>
      <c r="H473" s="5"/>
      <c r="I473" s="1"/>
      <c r="J473" s="7"/>
      <c r="K473" s="1"/>
      <c r="L473" s="1"/>
      <c r="M473" s="1"/>
      <c r="N473" s="1"/>
      <c r="O473" s="1"/>
      <c r="P473" s="1"/>
      <c r="Q473" s="1"/>
      <c r="R473" s="1"/>
      <c r="S473" s="1"/>
      <c r="T473" s="1"/>
      <c r="U473" s="1"/>
      <c r="V473" s="1"/>
      <c r="W473" s="1"/>
      <c r="X473" s="1"/>
      <c r="Y473" s="1"/>
      <c r="Z473" s="1"/>
    </row>
    <row r="474" spans="1:26" ht="12.75" customHeight="1" x14ac:dyDescent="0.25">
      <c r="A474" s="1"/>
      <c r="B474" s="1"/>
      <c r="C474" s="3"/>
      <c r="D474" s="3"/>
      <c r="E474" s="5"/>
      <c r="F474" s="5"/>
      <c r="G474" s="3"/>
      <c r="H474" s="5"/>
      <c r="I474" s="1"/>
      <c r="J474" s="7"/>
      <c r="K474" s="1"/>
      <c r="L474" s="1"/>
      <c r="M474" s="1"/>
      <c r="N474" s="1"/>
      <c r="O474" s="1"/>
      <c r="P474" s="1"/>
      <c r="Q474" s="1"/>
      <c r="R474" s="1"/>
      <c r="S474" s="1"/>
      <c r="T474" s="1"/>
      <c r="U474" s="1"/>
      <c r="V474" s="1"/>
      <c r="W474" s="1"/>
      <c r="X474" s="1"/>
      <c r="Y474" s="1"/>
      <c r="Z474" s="1"/>
    </row>
    <row r="475" spans="1:26" ht="12.75" customHeight="1" x14ac:dyDescent="0.25">
      <c r="A475" s="1"/>
      <c r="B475" s="1"/>
      <c r="C475" s="3"/>
      <c r="D475" s="3"/>
      <c r="E475" s="5"/>
      <c r="F475" s="5"/>
      <c r="G475" s="3"/>
      <c r="H475" s="5"/>
      <c r="I475" s="1"/>
      <c r="J475" s="7"/>
      <c r="K475" s="1"/>
      <c r="L475" s="1"/>
      <c r="M475" s="1"/>
      <c r="N475" s="1"/>
      <c r="O475" s="1"/>
      <c r="P475" s="1"/>
      <c r="Q475" s="1"/>
      <c r="R475" s="1"/>
      <c r="S475" s="1"/>
      <c r="T475" s="1"/>
      <c r="U475" s="1"/>
      <c r="V475" s="1"/>
      <c r="W475" s="1"/>
      <c r="X475" s="1"/>
      <c r="Y475" s="1"/>
      <c r="Z475" s="1"/>
    </row>
    <row r="476" spans="1:26" ht="12.75" customHeight="1" x14ac:dyDescent="0.25">
      <c r="A476" s="1"/>
      <c r="B476" s="1"/>
      <c r="C476" s="3"/>
      <c r="D476" s="3"/>
      <c r="E476" s="5"/>
      <c r="F476" s="5"/>
      <c r="G476" s="3"/>
      <c r="H476" s="5"/>
      <c r="I476" s="1"/>
      <c r="J476" s="7"/>
      <c r="K476" s="1"/>
      <c r="L476" s="1"/>
      <c r="M476" s="1"/>
      <c r="N476" s="1"/>
      <c r="O476" s="1"/>
      <c r="P476" s="1"/>
      <c r="Q476" s="1"/>
      <c r="R476" s="1"/>
      <c r="S476" s="1"/>
      <c r="T476" s="1"/>
      <c r="U476" s="1"/>
      <c r="V476" s="1"/>
      <c r="W476" s="1"/>
      <c r="X476" s="1"/>
      <c r="Y476" s="1"/>
      <c r="Z476" s="1"/>
    </row>
    <row r="477" spans="1:26" ht="12.75" customHeight="1" x14ac:dyDescent="0.25">
      <c r="A477" s="1"/>
      <c r="B477" s="1"/>
      <c r="C477" s="3"/>
      <c r="D477" s="3"/>
      <c r="E477" s="5"/>
      <c r="F477" s="5"/>
      <c r="G477" s="3"/>
      <c r="H477" s="5"/>
      <c r="I477" s="1"/>
      <c r="J477" s="7"/>
      <c r="K477" s="1"/>
      <c r="L477" s="1"/>
      <c r="M477" s="1"/>
      <c r="N477" s="1"/>
      <c r="O477" s="1"/>
      <c r="P477" s="1"/>
      <c r="Q477" s="1"/>
      <c r="R477" s="1"/>
      <c r="S477" s="1"/>
      <c r="T477" s="1"/>
      <c r="U477" s="1"/>
      <c r="V477" s="1"/>
      <c r="W477" s="1"/>
      <c r="X477" s="1"/>
      <c r="Y477" s="1"/>
      <c r="Z477" s="1"/>
    </row>
    <row r="478" spans="1:26" ht="12.75" customHeight="1" x14ac:dyDescent="0.25">
      <c r="A478" s="1"/>
      <c r="B478" s="1"/>
      <c r="C478" s="3"/>
      <c r="D478" s="3"/>
      <c r="E478" s="5"/>
      <c r="F478" s="5"/>
      <c r="G478" s="3"/>
      <c r="H478" s="5"/>
      <c r="I478" s="1"/>
      <c r="J478" s="7"/>
      <c r="K478" s="1"/>
      <c r="L478" s="1"/>
      <c r="M478" s="1"/>
      <c r="N478" s="1"/>
      <c r="O478" s="1"/>
      <c r="P478" s="1"/>
      <c r="Q478" s="1"/>
      <c r="R478" s="1"/>
      <c r="S478" s="1"/>
      <c r="T478" s="1"/>
      <c r="U478" s="1"/>
      <c r="V478" s="1"/>
      <c r="W478" s="1"/>
      <c r="X478" s="1"/>
      <c r="Y478" s="1"/>
      <c r="Z478" s="1"/>
    </row>
    <row r="479" spans="1:26" ht="12.75" customHeight="1" x14ac:dyDescent="0.25">
      <c r="A479" s="1"/>
      <c r="B479" s="1"/>
      <c r="C479" s="3"/>
      <c r="D479" s="3"/>
      <c r="E479" s="5"/>
      <c r="F479" s="5"/>
      <c r="G479" s="3"/>
      <c r="H479" s="5"/>
      <c r="I479" s="1"/>
      <c r="J479" s="7"/>
      <c r="K479" s="1"/>
      <c r="L479" s="1"/>
      <c r="M479" s="1"/>
      <c r="N479" s="1"/>
      <c r="O479" s="1"/>
      <c r="P479" s="1"/>
      <c r="Q479" s="1"/>
      <c r="R479" s="1"/>
      <c r="S479" s="1"/>
      <c r="T479" s="1"/>
      <c r="U479" s="1"/>
      <c r="V479" s="1"/>
      <c r="W479" s="1"/>
      <c r="X479" s="1"/>
      <c r="Y479" s="1"/>
      <c r="Z479" s="1"/>
    </row>
    <row r="480" spans="1:26" ht="12.75" customHeight="1" x14ac:dyDescent="0.25">
      <c r="A480" s="1"/>
      <c r="B480" s="1"/>
      <c r="C480" s="3"/>
      <c r="D480" s="3"/>
      <c r="E480" s="5"/>
      <c r="F480" s="5"/>
      <c r="G480" s="3"/>
      <c r="H480" s="5"/>
      <c r="I480" s="1"/>
      <c r="J480" s="7"/>
      <c r="K480" s="1"/>
      <c r="L480" s="1"/>
      <c r="M480" s="1"/>
      <c r="N480" s="1"/>
      <c r="O480" s="1"/>
      <c r="P480" s="1"/>
      <c r="Q480" s="1"/>
      <c r="R480" s="1"/>
      <c r="S480" s="1"/>
      <c r="T480" s="1"/>
      <c r="U480" s="1"/>
      <c r="V480" s="1"/>
      <c r="W480" s="1"/>
      <c r="X480" s="1"/>
      <c r="Y480" s="1"/>
      <c r="Z480" s="1"/>
    </row>
    <row r="481" spans="1:26" ht="12.75" customHeight="1" x14ac:dyDescent="0.25">
      <c r="A481" s="1"/>
      <c r="B481" s="1"/>
      <c r="C481" s="3"/>
      <c r="D481" s="3"/>
      <c r="E481" s="5"/>
      <c r="F481" s="5"/>
      <c r="G481" s="3"/>
      <c r="H481" s="5"/>
      <c r="I481" s="1"/>
      <c r="J481" s="7"/>
      <c r="K481" s="1"/>
      <c r="L481" s="1"/>
      <c r="M481" s="1"/>
      <c r="N481" s="1"/>
      <c r="O481" s="1"/>
      <c r="P481" s="1"/>
      <c r="Q481" s="1"/>
      <c r="R481" s="1"/>
      <c r="S481" s="1"/>
      <c r="T481" s="1"/>
      <c r="U481" s="1"/>
      <c r="V481" s="1"/>
      <c r="W481" s="1"/>
      <c r="X481" s="1"/>
      <c r="Y481" s="1"/>
      <c r="Z481" s="1"/>
    </row>
    <row r="482" spans="1:26" ht="12.75" customHeight="1" x14ac:dyDescent="0.25">
      <c r="A482" s="1"/>
      <c r="B482" s="1"/>
      <c r="C482" s="3"/>
      <c r="D482" s="3"/>
      <c r="E482" s="5"/>
      <c r="F482" s="5"/>
      <c r="G482" s="3"/>
      <c r="H482" s="5"/>
      <c r="I482" s="1"/>
      <c r="J482" s="7"/>
      <c r="K482" s="1"/>
      <c r="L482" s="1"/>
      <c r="M482" s="1"/>
      <c r="N482" s="1"/>
      <c r="O482" s="1"/>
      <c r="P482" s="1"/>
      <c r="Q482" s="1"/>
      <c r="R482" s="1"/>
      <c r="S482" s="1"/>
      <c r="T482" s="1"/>
      <c r="U482" s="1"/>
      <c r="V482" s="1"/>
      <c r="W482" s="1"/>
      <c r="X482" s="1"/>
      <c r="Y482" s="1"/>
      <c r="Z482" s="1"/>
    </row>
    <row r="483" spans="1:26" ht="12.75" customHeight="1" x14ac:dyDescent="0.25">
      <c r="A483" s="1"/>
      <c r="B483" s="1"/>
      <c r="C483" s="3"/>
      <c r="D483" s="3"/>
      <c r="E483" s="5"/>
      <c r="F483" s="5"/>
      <c r="G483" s="3"/>
      <c r="H483" s="5"/>
      <c r="I483" s="1"/>
      <c r="J483" s="7"/>
      <c r="K483" s="1"/>
      <c r="L483" s="1"/>
      <c r="M483" s="1"/>
      <c r="N483" s="1"/>
      <c r="O483" s="1"/>
      <c r="P483" s="1"/>
      <c r="Q483" s="1"/>
      <c r="R483" s="1"/>
      <c r="S483" s="1"/>
      <c r="T483" s="1"/>
      <c r="U483" s="1"/>
      <c r="V483" s="1"/>
      <c r="W483" s="1"/>
      <c r="X483" s="1"/>
      <c r="Y483" s="1"/>
      <c r="Z483" s="1"/>
    </row>
    <row r="484" spans="1:26" ht="12.75" customHeight="1" x14ac:dyDescent="0.25">
      <c r="A484" s="1"/>
      <c r="B484" s="1"/>
      <c r="C484" s="3"/>
      <c r="D484" s="3"/>
      <c r="E484" s="5"/>
      <c r="F484" s="5"/>
      <c r="G484" s="3"/>
      <c r="H484" s="5"/>
      <c r="I484" s="1"/>
      <c r="J484" s="7"/>
      <c r="K484" s="1"/>
      <c r="L484" s="1"/>
      <c r="M484" s="1"/>
      <c r="N484" s="1"/>
      <c r="O484" s="1"/>
      <c r="P484" s="1"/>
      <c r="Q484" s="1"/>
      <c r="R484" s="1"/>
      <c r="S484" s="1"/>
      <c r="T484" s="1"/>
      <c r="U484" s="1"/>
      <c r="V484" s="1"/>
      <c r="W484" s="1"/>
      <c r="X484" s="1"/>
      <c r="Y484" s="1"/>
      <c r="Z484" s="1"/>
    </row>
    <row r="485" spans="1:26" ht="12.75" customHeight="1" x14ac:dyDescent="0.25">
      <c r="A485" s="1"/>
      <c r="B485" s="1"/>
      <c r="C485" s="3"/>
      <c r="D485" s="3"/>
      <c r="E485" s="5"/>
      <c r="F485" s="5"/>
      <c r="G485" s="3"/>
      <c r="H485" s="5"/>
      <c r="I485" s="1"/>
      <c r="J485" s="7"/>
      <c r="K485" s="1"/>
      <c r="L485" s="1"/>
      <c r="M485" s="1"/>
      <c r="N485" s="1"/>
      <c r="O485" s="1"/>
      <c r="P485" s="1"/>
      <c r="Q485" s="1"/>
      <c r="R485" s="1"/>
      <c r="S485" s="1"/>
      <c r="T485" s="1"/>
      <c r="U485" s="1"/>
      <c r="V485" s="1"/>
      <c r="W485" s="1"/>
      <c r="X485" s="1"/>
      <c r="Y485" s="1"/>
      <c r="Z485" s="1"/>
    </row>
    <row r="486" spans="1:26" ht="12.75" customHeight="1" x14ac:dyDescent="0.25">
      <c r="A486" s="1"/>
      <c r="B486" s="1"/>
      <c r="C486" s="3"/>
      <c r="D486" s="3"/>
      <c r="E486" s="5"/>
      <c r="F486" s="5"/>
      <c r="G486" s="3"/>
      <c r="H486" s="5"/>
      <c r="I486" s="1"/>
      <c r="J486" s="7"/>
      <c r="K486" s="1"/>
      <c r="L486" s="1"/>
      <c r="M486" s="1"/>
      <c r="N486" s="1"/>
      <c r="O486" s="1"/>
      <c r="P486" s="1"/>
      <c r="Q486" s="1"/>
      <c r="R486" s="1"/>
      <c r="S486" s="1"/>
      <c r="T486" s="1"/>
      <c r="U486" s="1"/>
      <c r="V486" s="1"/>
      <c r="W486" s="1"/>
      <c r="X486" s="1"/>
      <c r="Y486" s="1"/>
      <c r="Z486" s="1"/>
    </row>
    <row r="487" spans="1:26" ht="12.75" customHeight="1" x14ac:dyDescent="0.25">
      <c r="A487" s="1"/>
      <c r="B487" s="1"/>
      <c r="C487" s="3"/>
      <c r="D487" s="3"/>
      <c r="E487" s="5"/>
      <c r="F487" s="5"/>
      <c r="G487" s="3"/>
      <c r="H487" s="5"/>
      <c r="I487" s="1"/>
      <c r="J487" s="7"/>
      <c r="K487" s="1"/>
      <c r="L487" s="1"/>
      <c r="M487" s="1"/>
      <c r="N487" s="1"/>
      <c r="O487" s="1"/>
      <c r="P487" s="1"/>
      <c r="Q487" s="1"/>
      <c r="R487" s="1"/>
      <c r="S487" s="1"/>
      <c r="T487" s="1"/>
      <c r="U487" s="1"/>
      <c r="V487" s="1"/>
      <c r="W487" s="1"/>
      <c r="X487" s="1"/>
      <c r="Y487" s="1"/>
      <c r="Z487" s="1"/>
    </row>
    <row r="488" spans="1:26" ht="12.75" customHeight="1" x14ac:dyDescent="0.25">
      <c r="A488" s="1"/>
      <c r="B488" s="1"/>
      <c r="C488" s="3"/>
      <c r="D488" s="3"/>
      <c r="E488" s="5"/>
      <c r="F488" s="5"/>
      <c r="G488" s="3"/>
      <c r="H488" s="5"/>
      <c r="I488" s="1"/>
      <c r="J488" s="7"/>
      <c r="K488" s="1"/>
      <c r="L488" s="1"/>
      <c r="M488" s="1"/>
      <c r="N488" s="1"/>
      <c r="O488" s="1"/>
      <c r="P488" s="1"/>
      <c r="Q488" s="1"/>
      <c r="R488" s="1"/>
      <c r="S488" s="1"/>
      <c r="T488" s="1"/>
      <c r="U488" s="1"/>
      <c r="V488" s="1"/>
      <c r="W488" s="1"/>
      <c r="X488" s="1"/>
      <c r="Y488" s="1"/>
      <c r="Z488" s="1"/>
    </row>
    <row r="489" spans="1:26" ht="12.75" customHeight="1" x14ac:dyDescent="0.25">
      <c r="A489" s="1"/>
      <c r="B489" s="1"/>
      <c r="C489" s="3"/>
      <c r="D489" s="3"/>
      <c r="E489" s="5"/>
      <c r="F489" s="5"/>
      <c r="G489" s="3"/>
      <c r="H489" s="5"/>
      <c r="I489" s="1"/>
      <c r="J489" s="7"/>
      <c r="K489" s="1"/>
      <c r="L489" s="1"/>
      <c r="M489" s="1"/>
      <c r="N489" s="1"/>
      <c r="O489" s="1"/>
      <c r="P489" s="1"/>
      <c r="Q489" s="1"/>
      <c r="R489" s="1"/>
      <c r="S489" s="1"/>
      <c r="T489" s="1"/>
      <c r="U489" s="1"/>
      <c r="V489" s="1"/>
      <c r="W489" s="1"/>
      <c r="X489" s="1"/>
      <c r="Y489" s="1"/>
      <c r="Z489" s="1"/>
    </row>
    <row r="490" spans="1:26" ht="12.75" customHeight="1" x14ac:dyDescent="0.25">
      <c r="A490" s="1"/>
      <c r="B490" s="1"/>
      <c r="C490" s="3"/>
      <c r="D490" s="3"/>
      <c r="E490" s="5"/>
      <c r="F490" s="5"/>
      <c r="G490" s="3"/>
      <c r="H490" s="5"/>
      <c r="I490" s="1"/>
      <c r="J490" s="7"/>
      <c r="K490" s="1"/>
      <c r="L490" s="1"/>
      <c r="M490" s="1"/>
      <c r="N490" s="1"/>
      <c r="O490" s="1"/>
      <c r="P490" s="1"/>
      <c r="Q490" s="1"/>
      <c r="R490" s="1"/>
      <c r="S490" s="1"/>
      <c r="T490" s="1"/>
      <c r="U490" s="1"/>
      <c r="V490" s="1"/>
      <c r="W490" s="1"/>
      <c r="X490" s="1"/>
      <c r="Y490" s="1"/>
      <c r="Z490" s="1"/>
    </row>
    <row r="491" spans="1:26" ht="12.75" customHeight="1" x14ac:dyDescent="0.25">
      <c r="A491" s="1"/>
      <c r="B491" s="1"/>
      <c r="C491" s="3"/>
      <c r="D491" s="3"/>
      <c r="E491" s="5"/>
      <c r="F491" s="5"/>
      <c r="G491" s="3"/>
      <c r="H491" s="5"/>
      <c r="I491" s="1"/>
      <c r="J491" s="7"/>
      <c r="K491" s="1"/>
      <c r="L491" s="1"/>
      <c r="M491" s="1"/>
      <c r="N491" s="1"/>
      <c r="O491" s="1"/>
      <c r="P491" s="1"/>
      <c r="Q491" s="1"/>
      <c r="R491" s="1"/>
      <c r="S491" s="1"/>
      <c r="T491" s="1"/>
      <c r="U491" s="1"/>
      <c r="V491" s="1"/>
      <c r="W491" s="1"/>
      <c r="X491" s="1"/>
      <c r="Y491" s="1"/>
      <c r="Z491" s="1"/>
    </row>
    <row r="492" spans="1:26" ht="12.75" customHeight="1" x14ac:dyDescent="0.25">
      <c r="A492" s="1"/>
      <c r="B492" s="1"/>
      <c r="C492" s="3"/>
      <c r="D492" s="3"/>
      <c r="E492" s="5"/>
      <c r="F492" s="5"/>
      <c r="G492" s="3"/>
      <c r="H492" s="5"/>
      <c r="I492" s="1"/>
      <c r="J492" s="7"/>
      <c r="K492" s="1"/>
      <c r="L492" s="1"/>
      <c r="M492" s="1"/>
      <c r="N492" s="1"/>
      <c r="O492" s="1"/>
      <c r="P492" s="1"/>
      <c r="Q492" s="1"/>
      <c r="R492" s="1"/>
      <c r="S492" s="1"/>
      <c r="T492" s="1"/>
      <c r="U492" s="1"/>
      <c r="V492" s="1"/>
      <c r="W492" s="1"/>
      <c r="X492" s="1"/>
      <c r="Y492" s="1"/>
      <c r="Z492" s="1"/>
    </row>
    <row r="493" spans="1:26" ht="12.75" customHeight="1" x14ac:dyDescent="0.25">
      <c r="A493" s="1"/>
      <c r="B493" s="1"/>
      <c r="C493" s="3"/>
      <c r="D493" s="3"/>
      <c r="E493" s="5"/>
      <c r="F493" s="5"/>
      <c r="G493" s="3"/>
      <c r="H493" s="5"/>
      <c r="I493" s="1"/>
      <c r="J493" s="7"/>
      <c r="K493" s="1"/>
      <c r="L493" s="1"/>
      <c r="M493" s="1"/>
      <c r="N493" s="1"/>
      <c r="O493" s="1"/>
      <c r="P493" s="1"/>
      <c r="Q493" s="1"/>
      <c r="R493" s="1"/>
      <c r="S493" s="1"/>
      <c r="T493" s="1"/>
      <c r="U493" s="1"/>
      <c r="V493" s="1"/>
      <c r="W493" s="1"/>
      <c r="X493" s="1"/>
      <c r="Y493" s="1"/>
      <c r="Z493" s="1"/>
    </row>
    <row r="494" spans="1:26" ht="12.75" customHeight="1" x14ac:dyDescent="0.25">
      <c r="A494" s="1"/>
      <c r="B494" s="1"/>
      <c r="C494" s="3"/>
      <c r="D494" s="3"/>
      <c r="E494" s="5"/>
      <c r="F494" s="5"/>
      <c r="G494" s="3"/>
      <c r="H494" s="5"/>
      <c r="I494" s="1"/>
      <c r="J494" s="7"/>
      <c r="K494" s="1"/>
      <c r="L494" s="1"/>
      <c r="M494" s="1"/>
      <c r="N494" s="1"/>
      <c r="O494" s="1"/>
      <c r="P494" s="1"/>
      <c r="Q494" s="1"/>
      <c r="R494" s="1"/>
      <c r="S494" s="1"/>
      <c r="T494" s="1"/>
      <c r="U494" s="1"/>
      <c r="V494" s="1"/>
      <c r="W494" s="1"/>
      <c r="X494" s="1"/>
      <c r="Y494" s="1"/>
      <c r="Z494" s="1"/>
    </row>
    <row r="495" spans="1:26" ht="12.75" customHeight="1" x14ac:dyDescent="0.25">
      <c r="A495" s="1"/>
      <c r="B495" s="1"/>
      <c r="C495" s="3"/>
      <c r="D495" s="3"/>
      <c r="E495" s="5"/>
      <c r="F495" s="5"/>
      <c r="G495" s="3"/>
      <c r="H495" s="5"/>
      <c r="I495" s="1"/>
      <c r="J495" s="7"/>
      <c r="K495" s="1"/>
      <c r="L495" s="1"/>
      <c r="M495" s="1"/>
      <c r="N495" s="1"/>
      <c r="O495" s="1"/>
      <c r="P495" s="1"/>
      <c r="Q495" s="1"/>
      <c r="R495" s="1"/>
      <c r="S495" s="1"/>
      <c r="T495" s="1"/>
      <c r="U495" s="1"/>
      <c r="V495" s="1"/>
      <c r="W495" s="1"/>
      <c r="X495" s="1"/>
      <c r="Y495" s="1"/>
      <c r="Z495" s="1"/>
    </row>
    <row r="496" spans="1:26" ht="12.75" customHeight="1" x14ac:dyDescent="0.25">
      <c r="A496" s="1"/>
      <c r="B496" s="1"/>
      <c r="C496" s="3"/>
      <c r="D496" s="3"/>
      <c r="E496" s="5"/>
      <c r="F496" s="5"/>
      <c r="G496" s="3"/>
      <c r="H496" s="5"/>
      <c r="I496" s="1"/>
      <c r="J496" s="7"/>
      <c r="K496" s="1"/>
      <c r="L496" s="1"/>
      <c r="M496" s="1"/>
      <c r="N496" s="1"/>
      <c r="O496" s="1"/>
      <c r="P496" s="1"/>
      <c r="Q496" s="1"/>
      <c r="R496" s="1"/>
      <c r="S496" s="1"/>
      <c r="T496" s="1"/>
      <c r="U496" s="1"/>
      <c r="V496" s="1"/>
      <c r="W496" s="1"/>
      <c r="X496" s="1"/>
      <c r="Y496" s="1"/>
      <c r="Z496" s="1"/>
    </row>
    <row r="497" spans="1:26" ht="12.75" customHeight="1" x14ac:dyDescent="0.25">
      <c r="A497" s="1"/>
      <c r="B497" s="1"/>
      <c r="C497" s="3"/>
      <c r="D497" s="3"/>
      <c r="E497" s="5"/>
      <c r="F497" s="5"/>
      <c r="G497" s="3"/>
      <c r="H497" s="5"/>
      <c r="I497" s="1"/>
      <c r="J497" s="7"/>
      <c r="K497" s="1"/>
      <c r="L497" s="1"/>
      <c r="M497" s="1"/>
      <c r="N497" s="1"/>
      <c r="O497" s="1"/>
      <c r="P497" s="1"/>
      <c r="Q497" s="1"/>
      <c r="R497" s="1"/>
      <c r="S497" s="1"/>
      <c r="T497" s="1"/>
      <c r="U497" s="1"/>
      <c r="V497" s="1"/>
      <c r="W497" s="1"/>
      <c r="X497" s="1"/>
      <c r="Y497" s="1"/>
      <c r="Z497" s="1"/>
    </row>
    <row r="498" spans="1:26" ht="12.75" customHeight="1" x14ac:dyDescent="0.25">
      <c r="A498" s="1"/>
      <c r="B498" s="1"/>
      <c r="C498" s="3"/>
      <c r="D498" s="3"/>
      <c r="E498" s="5"/>
      <c r="F498" s="5"/>
      <c r="G498" s="3"/>
      <c r="H498" s="5"/>
      <c r="I498" s="1"/>
      <c r="J498" s="7"/>
      <c r="K498" s="1"/>
      <c r="L498" s="1"/>
      <c r="M498" s="1"/>
      <c r="N498" s="1"/>
      <c r="O498" s="1"/>
      <c r="P498" s="1"/>
      <c r="Q498" s="1"/>
      <c r="R498" s="1"/>
      <c r="S498" s="1"/>
      <c r="T498" s="1"/>
      <c r="U498" s="1"/>
      <c r="V498" s="1"/>
      <c r="W498" s="1"/>
      <c r="X498" s="1"/>
      <c r="Y498" s="1"/>
      <c r="Z498" s="1"/>
    </row>
    <row r="499" spans="1:26" ht="12.75" customHeight="1" x14ac:dyDescent="0.25">
      <c r="A499" s="1"/>
      <c r="B499" s="1"/>
      <c r="C499" s="3"/>
      <c r="D499" s="3"/>
      <c r="E499" s="5"/>
      <c r="F499" s="5"/>
      <c r="G499" s="3"/>
      <c r="H499" s="5"/>
      <c r="I499" s="1"/>
      <c r="J499" s="7"/>
      <c r="K499" s="1"/>
      <c r="L499" s="1"/>
      <c r="M499" s="1"/>
      <c r="N499" s="1"/>
      <c r="O499" s="1"/>
      <c r="P499" s="1"/>
      <c r="Q499" s="1"/>
      <c r="R499" s="1"/>
      <c r="S499" s="1"/>
      <c r="T499" s="1"/>
      <c r="U499" s="1"/>
      <c r="V499" s="1"/>
      <c r="W499" s="1"/>
      <c r="X499" s="1"/>
      <c r="Y499" s="1"/>
      <c r="Z499" s="1"/>
    </row>
    <row r="500" spans="1:26" ht="12.75" customHeight="1" x14ac:dyDescent="0.25">
      <c r="A500" s="1"/>
      <c r="B500" s="1"/>
      <c r="C500" s="3"/>
      <c r="D500" s="3"/>
      <c r="E500" s="5"/>
      <c r="F500" s="5"/>
      <c r="G500" s="3"/>
      <c r="H500" s="5"/>
      <c r="I500" s="1"/>
      <c r="J500" s="7"/>
      <c r="K500" s="1"/>
      <c r="L500" s="1"/>
      <c r="M500" s="1"/>
      <c r="N500" s="1"/>
      <c r="O500" s="1"/>
      <c r="P500" s="1"/>
      <c r="Q500" s="1"/>
      <c r="R500" s="1"/>
      <c r="S500" s="1"/>
      <c r="T500" s="1"/>
      <c r="U500" s="1"/>
      <c r="V500" s="1"/>
      <c r="W500" s="1"/>
      <c r="X500" s="1"/>
      <c r="Y500" s="1"/>
      <c r="Z500" s="1"/>
    </row>
    <row r="501" spans="1:26" ht="12.75" customHeight="1" x14ac:dyDescent="0.25">
      <c r="A501" s="1"/>
      <c r="B501" s="1"/>
      <c r="C501" s="3"/>
      <c r="D501" s="3"/>
      <c r="E501" s="5"/>
      <c r="F501" s="5"/>
      <c r="G501" s="3"/>
      <c r="H501" s="5"/>
      <c r="I501" s="1"/>
      <c r="J501" s="7"/>
      <c r="K501" s="1"/>
      <c r="L501" s="1"/>
      <c r="M501" s="1"/>
      <c r="N501" s="1"/>
      <c r="O501" s="1"/>
      <c r="P501" s="1"/>
      <c r="Q501" s="1"/>
      <c r="R501" s="1"/>
      <c r="S501" s="1"/>
      <c r="T501" s="1"/>
      <c r="U501" s="1"/>
      <c r="V501" s="1"/>
      <c r="W501" s="1"/>
      <c r="X501" s="1"/>
      <c r="Y501" s="1"/>
      <c r="Z501" s="1"/>
    </row>
    <row r="502" spans="1:26" ht="12.75" customHeight="1" x14ac:dyDescent="0.25">
      <c r="A502" s="1"/>
      <c r="B502" s="1"/>
      <c r="C502" s="3"/>
      <c r="D502" s="3"/>
      <c r="E502" s="5"/>
      <c r="F502" s="5"/>
      <c r="G502" s="3"/>
      <c r="H502" s="5"/>
      <c r="I502" s="1"/>
      <c r="J502" s="7"/>
      <c r="K502" s="1"/>
      <c r="L502" s="1"/>
      <c r="M502" s="1"/>
      <c r="N502" s="1"/>
      <c r="O502" s="1"/>
      <c r="P502" s="1"/>
      <c r="Q502" s="1"/>
      <c r="R502" s="1"/>
      <c r="S502" s="1"/>
      <c r="T502" s="1"/>
      <c r="U502" s="1"/>
      <c r="V502" s="1"/>
      <c r="W502" s="1"/>
      <c r="X502" s="1"/>
      <c r="Y502" s="1"/>
      <c r="Z502" s="1"/>
    </row>
    <row r="503" spans="1:26" ht="12.75" customHeight="1" x14ac:dyDescent="0.25">
      <c r="A503" s="1"/>
      <c r="B503" s="1"/>
      <c r="C503" s="3"/>
      <c r="D503" s="3"/>
      <c r="E503" s="5"/>
      <c r="F503" s="5"/>
      <c r="G503" s="3"/>
      <c r="H503" s="5"/>
      <c r="I503" s="1"/>
      <c r="J503" s="7"/>
      <c r="K503" s="1"/>
      <c r="L503" s="1"/>
      <c r="M503" s="1"/>
      <c r="N503" s="1"/>
      <c r="O503" s="1"/>
      <c r="P503" s="1"/>
      <c r="Q503" s="1"/>
      <c r="R503" s="1"/>
      <c r="S503" s="1"/>
      <c r="T503" s="1"/>
      <c r="U503" s="1"/>
      <c r="V503" s="1"/>
      <c r="W503" s="1"/>
      <c r="X503" s="1"/>
      <c r="Y503" s="1"/>
      <c r="Z503" s="1"/>
    </row>
    <row r="504" spans="1:26" ht="12.75" customHeight="1" x14ac:dyDescent="0.25">
      <c r="A504" s="1"/>
      <c r="B504" s="1"/>
      <c r="C504" s="3"/>
      <c r="D504" s="3"/>
      <c r="E504" s="5"/>
      <c r="F504" s="5"/>
      <c r="G504" s="3"/>
      <c r="H504" s="5"/>
      <c r="I504" s="1"/>
      <c r="J504" s="7"/>
      <c r="K504" s="1"/>
      <c r="L504" s="1"/>
      <c r="M504" s="1"/>
      <c r="N504" s="1"/>
      <c r="O504" s="1"/>
      <c r="P504" s="1"/>
      <c r="Q504" s="1"/>
      <c r="R504" s="1"/>
      <c r="S504" s="1"/>
      <c r="T504" s="1"/>
      <c r="U504" s="1"/>
      <c r="V504" s="1"/>
      <c r="W504" s="1"/>
      <c r="X504" s="1"/>
      <c r="Y504" s="1"/>
      <c r="Z504" s="1"/>
    </row>
    <row r="505" spans="1:26" ht="12.75" customHeight="1" x14ac:dyDescent="0.25">
      <c r="A505" s="1"/>
      <c r="B505" s="1"/>
      <c r="C505" s="3"/>
      <c r="D505" s="3"/>
      <c r="E505" s="5"/>
      <c r="F505" s="5"/>
      <c r="G505" s="3"/>
      <c r="H505" s="5"/>
      <c r="I505" s="1"/>
      <c r="J505" s="7"/>
      <c r="K505" s="1"/>
      <c r="L505" s="1"/>
      <c r="M505" s="1"/>
      <c r="N505" s="1"/>
      <c r="O505" s="1"/>
      <c r="P505" s="1"/>
      <c r="Q505" s="1"/>
      <c r="R505" s="1"/>
      <c r="S505" s="1"/>
      <c r="T505" s="1"/>
      <c r="U505" s="1"/>
      <c r="V505" s="1"/>
      <c r="W505" s="1"/>
      <c r="X505" s="1"/>
      <c r="Y505" s="1"/>
      <c r="Z505" s="1"/>
    </row>
    <row r="506" spans="1:26" ht="12.75" customHeight="1" x14ac:dyDescent="0.25">
      <c r="A506" s="1"/>
      <c r="B506" s="1"/>
      <c r="C506" s="3"/>
      <c r="D506" s="3"/>
      <c r="E506" s="5"/>
      <c r="F506" s="5"/>
      <c r="G506" s="3"/>
      <c r="H506" s="5"/>
      <c r="I506" s="1"/>
      <c r="J506" s="7"/>
      <c r="K506" s="1"/>
      <c r="L506" s="1"/>
      <c r="M506" s="1"/>
      <c r="N506" s="1"/>
      <c r="O506" s="1"/>
      <c r="P506" s="1"/>
      <c r="Q506" s="1"/>
      <c r="R506" s="1"/>
      <c r="S506" s="1"/>
      <c r="T506" s="1"/>
      <c r="U506" s="1"/>
      <c r="V506" s="1"/>
      <c r="W506" s="1"/>
      <c r="X506" s="1"/>
      <c r="Y506" s="1"/>
      <c r="Z506" s="1"/>
    </row>
    <row r="507" spans="1:26" ht="12.75" customHeight="1" x14ac:dyDescent="0.25">
      <c r="A507" s="1"/>
      <c r="B507" s="1"/>
      <c r="C507" s="3"/>
      <c r="D507" s="3"/>
      <c r="E507" s="5"/>
      <c r="F507" s="5"/>
      <c r="G507" s="3"/>
      <c r="H507" s="5"/>
      <c r="I507" s="1"/>
      <c r="J507" s="7"/>
      <c r="K507" s="1"/>
      <c r="L507" s="1"/>
      <c r="M507" s="1"/>
      <c r="N507" s="1"/>
      <c r="O507" s="1"/>
      <c r="P507" s="1"/>
      <c r="Q507" s="1"/>
      <c r="R507" s="1"/>
      <c r="S507" s="1"/>
      <c r="T507" s="1"/>
      <c r="U507" s="1"/>
      <c r="V507" s="1"/>
      <c r="W507" s="1"/>
      <c r="X507" s="1"/>
      <c r="Y507" s="1"/>
      <c r="Z507" s="1"/>
    </row>
    <row r="508" spans="1:26" ht="12.75" customHeight="1" x14ac:dyDescent="0.25">
      <c r="A508" s="1"/>
      <c r="B508" s="1"/>
      <c r="C508" s="3"/>
      <c r="D508" s="3"/>
      <c r="E508" s="5"/>
      <c r="F508" s="5"/>
      <c r="G508" s="3"/>
      <c r="H508" s="5"/>
      <c r="I508" s="1"/>
      <c r="J508" s="7"/>
      <c r="K508" s="1"/>
      <c r="L508" s="1"/>
      <c r="M508" s="1"/>
      <c r="N508" s="1"/>
      <c r="O508" s="1"/>
      <c r="P508" s="1"/>
      <c r="Q508" s="1"/>
      <c r="R508" s="1"/>
      <c r="S508" s="1"/>
      <c r="T508" s="1"/>
      <c r="U508" s="1"/>
      <c r="V508" s="1"/>
      <c r="W508" s="1"/>
      <c r="X508" s="1"/>
      <c r="Y508" s="1"/>
      <c r="Z508" s="1"/>
    </row>
    <row r="509" spans="1:26" ht="12.75" customHeight="1" x14ac:dyDescent="0.25">
      <c r="A509" s="1"/>
      <c r="B509" s="1"/>
      <c r="C509" s="3"/>
      <c r="D509" s="3"/>
      <c r="E509" s="5"/>
      <c r="F509" s="5"/>
      <c r="G509" s="3"/>
      <c r="H509" s="5"/>
      <c r="I509" s="1"/>
      <c r="J509" s="7"/>
      <c r="K509" s="1"/>
      <c r="L509" s="1"/>
      <c r="M509" s="1"/>
      <c r="N509" s="1"/>
      <c r="O509" s="1"/>
      <c r="P509" s="1"/>
      <c r="Q509" s="1"/>
      <c r="R509" s="1"/>
      <c r="S509" s="1"/>
      <c r="T509" s="1"/>
      <c r="U509" s="1"/>
      <c r="V509" s="1"/>
      <c r="W509" s="1"/>
      <c r="X509" s="1"/>
      <c r="Y509" s="1"/>
      <c r="Z509" s="1"/>
    </row>
    <row r="510" spans="1:26" ht="12.75" customHeight="1" x14ac:dyDescent="0.25">
      <c r="A510" s="1"/>
      <c r="B510" s="1"/>
      <c r="C510" s="3"/>
      <c r="D510" s="3"/>
      <c r="E510" s="5"/>
      <c r="F510" s="5"/>
      <c r="G510" s="3"/>
      <c r="H510" s="5"/>
      <c r="I510" s="1"/>
      <c r="J510" s="7"/>
      <c r="K510" s="1"/>
      <c r="L510" s="1"/>
      <c r="M510" s="1"/>
      <c r="N510" s="1"/>
      <c r="O510" s="1"/>
      <c r="P510" s="1"/>
      <c r="Q510" s="1"/>
      <c r="R510" s="1"/>
      <c r="S510" s="1"/>
      <c r="T510" s="1"/>
      <c r="U510" s="1"/>
      <c r="V510" s="1"/>
      <c r="W510" s="1"/>
      <c r="X510" s="1"/>
      <c r="Y510" s="1"/>
      <c r="Z510" s="1"/>
    </row>
    <row r="511" spans="1:26" ht="12.75" customHeight="1" x14ac:dyDescent="0.25">
      <c r="A511" s="1"/>
      <c r="B511" s="1"/>
      <c r="C511" s="3"/>
      <c r="D511" s="3"/>
      <c r="E511" s="5"/>
      <c r="F511" s="5"/>
      <c r="G511" s="3"/>
      <c r="H511" s="5"/>
      <c r="I511" s="1"/>
      <c r="J511" s="7"/>
      <c r="K511" s="1"/>
      <c r="L511" s="1"/>
      <c r="M511" s="1"/>
      <c r="N511" s="1"/>
      <c r="O511" s="1"/>
      <c r="P511" s="1"/>
      <c r="Q511" s="1"/>
      <c r="R511" s="1"/>
      <c r="S511" s="1"/>
      <c r="T511" s="1"/>
      <c r="U511" s="1"/>
      <c r="V511" s="1"/>
      <c r="W511" s="1"/>
      <c r="X511" s="1"/>
      <c r="Y511" s="1"/>
      <c r="Z511" s="1"/>
    </row>
    <row r="512" spans="1:26" ht="12.75" customHeight="1" x14ac:dyDescent="0.25">
      <c r="A512" s="1"/>
      <c r="B512" s="1"/>
      <c r="C512" s="3"/>
      <c r="D512" s="3"/>
      <c r="E512" s="5"/>
      <c r="F512" s="5"/>
      <c r="G512" s="3"/>
      <c r="H512" s="5"/>
      <c r="I512" s="1"/>
      <c r="J512" s="7"/>
      <c r="K512" s="1"/>
      <c r="L512" s="1"/>
      <c r="M512" s="1"/>
      <c r="N512" s="1"/>
      <c r="O512" s="1"/>
      <c r="P512" s="1"/>
      <c r="Q512" s="1"/>
      <c r="R512" s="1"/>
      <c r="S512" s="1"/>
      <c r="T512" s="1"/>
      <c r="U512" s="1"/>
      <c r="V512" s="1"/>
      <c r="W512" s="1"/>
      <c r="X512" s="1"/>
      <c r="Y512" s="1"/>
      <c r="Z512" s="1"/>
    </row>
    <row r="513" spans="1:26" ht="12.75" customHeight="1" x14ac:dyDescent="0.25">
      <c r="A513" s="1"/>
      <c r="B513" s="1"/>
      <c r="C513" s="3"/>
      <c r="D513" s="3"/>
      <c r="E513" s="5"/>
      <c r="F513" s="5"/>
      <c r="G513" s="3"/>
      <c r="H513" s="5"/>
      <c r="I513" s="1"/>
      <c r="J513" s="7"/>
      <c r="K513" s="1"/>
      <c r="L513" s="1"/>
      <c r="M513" s="1"/>
      <c r="N513" s="1"/>
      <c r="O513" s="1"/>
      <c r="P513" s="1"/>
      <c r="Q513" s="1"/>
      <c r="R513" s="1"/>
      <c r="S513" s="1"/>
      <c r="T513" s="1"/>
      <c r="U513" s="1"/>
      <c r="V513" s="1"/>
      <c r="W513" s="1"/>
      <c r="X513" s="1"/>
      <c r="Y513" s="1"/>
      <c r="Z513" s="1"/>
    </row>
    <row r="514" spans="1:26" ht="12.75" customHeight="1" x14ac:dyDescent="0.25">
      <c r="A514" s="1"/>
      <c r="B514" s="1"/>
      <c r="C514" s="3"/>
      <c r="D514" s="3"/>
      <c r="E514" s="5"/>
      <c r="F514" s="5"/>
      <c r="G514" s="3"/>
      <c r="H514" s="5"/>
      <c r="I514" s="1"/>
      <c r="J514" s="7"/>
      <c r="K514" s="1"/>
      <c r="L514" s="1"/>
      <c r="M514" s="1"/>
      <c r="N514" s="1"/>
      <c r="O514" s="1"/>
      <c r="P514" s="1"/>
      <c r="Q514" s="1"/>
      <c r="R514" s="1"/>
      <c r="S514" s="1"/>
      <c r="T514" s="1"/>
      <c r="U514" s="1"/>
      <c r="V514" s="1"/>
      <c r="W514" s="1"/>
      <c r="X514" s="1"/>
      <c r="Y514" s="1"/>
      <c r="Z514" s="1"/>
    </row>
    <row r="515" spans="1:26" ht="12.75" customHeight="1" x14ac:dyDescent="0.25">
      <c r="A515" s="1"/>
      <c r="B515" s="1"/>
      <c r="C515" s="3"/>
      <c r="D515" s="3"/>
      <c r="E515" s="5"/>
      <c r="F515" s="5"/>
      <c r="G515" s="3"/>
      <c r="H515" s="5"/>
      <c r="I515" s="1"/>
      <c r="J515" s="7"/>
      <c r="K515" s="1"/>
      <c r="L515" s="1"/>
      <c r="M515" s="1"/>
      <c r="N515" s="1"/>
      <c r="O515" s="1"/>
      <c r="P515" s="1"/>
      <c r="Q515" s="1"/>
      <c r="R515" s="1"/>
      <c r="S515" s="1"/>
      <c r="T515" s="1"/>
      <c r="U515" s="1"/>
      <c r="V515" s="1"/>
      <c r="W515" s="1"/>
      <c r="X515" s="1"/>
      <c r="Y515" s="1"/>
      <c r="Z515" s="1"/>
    </row>
    <row r="516" spans="1:26" ht="12.75" customHeight="1" x14ac:dyDescent="0.25">
      <c r="A516" s="1"/>
      <c r="B516" s="1"/>
      <c r="C516" s="3"/>
      <c r="D516" s="3"/>
      <c r="E516" s="5"/>
      <c r="F516" s="5"/>
      <c r="G516" s="3"/>
      <c r="H516" s="5"/>
      <c r="I516" s="1"/>
      <c r="J516" s="7"/>
      <c r="K516" s="1"/>
      <c r="L516" s="1"/>
      <c r="M516" s="1"/>
      <c r="N516" s="1"/>
      <c r="O516" s="1"/>
      <c r="P516" s="1"/>
      <c r="Q516" s="1"/>
      <c r="R516" s="1"/>
      <c r="S516" s="1"/>
      <c r="T516" s="1"/>
      <c r="U516" s="1"/>
      <c r="V516" s="1"/>
      <c r="W516" s="1"/>
      <c r="X516" s="1"/>
      <c r="Y516" s="1"/>
      <c r="Z516" s="1"/>
    </row>
    <row r="517" spans="1:26" ht="12.75" customHeight="1" x14ac:dyDescent="0.25">
      <c r="A517" s="1"/>
      <c r="B517" s="1"/>
      <c r="C517" s="3"/>
      <c r="D517" s="3"/>
      <c r="E517" s="5"/>
      <c r="F517" s="5"/>
      <c r="G517" s="3"/>
      <c r="H517" s="5"/>
      <c r="I517" s="1"/>
      <c r="J517" s="7"/>
      <c r="K517" s="1"/>
      <c r="L517" s="1"/>
      <c r="M517" s="1"/>
      <c r="N517" s="1"/>
      <c r="O517" s="1"/>
      <c r="P517" s="1"/>
      <c r="Q517" s="1"/>
      <c r="R517" s="1"/>
      <c r="S517" s="1"/>
      <c r="T517" s="1"/>
      <c r="U517" s="1"/>
      <c r="V517" s="1"/>
      <c r="W517" s="1"/>
      <c r="X517" s="1"/>
      <c r="Y517" s="1"/>
      <c r="Z517" s="1"/>
    </row>
    <row r="518" spans="1:26" ht="12.75" customHeight="1" x14ac:dyDescent="0.25">
      <c r="A518" s="1"/>
      <c r="B518" s="1"/>
      <c r="C518" s="3"/>
      <c r="D518" s="3"/>
      <c r="E518" s="5"/>
      <c r="F518" s="5"/>
      <c r="G518" s="3"/>
      <c r="H518" s="5"/>
      <c r="I518" s="1"/>
      <c r="J518" s="7"/>
      <c r="K518" s="1"/>
      <c r="L518" s="1"/>
      <c r="M518" s="1"/>
      <c r="N518" s="1"/>
      <c r="O518" s="1"/>
      <c r="P518" s="1"/>
      <c r="Q518" s="1"/>
      <c r="R518" s="1"/>
      <c r="S518" s="1"/>
      <c r="T518" s="1"/>
      <c r="U518" s="1"/>
      <c r="V518" s="1"/>
      <c r="W518" s="1"/>
      <c r="X518" s="1"/>
      <c r="Y518" s="1"/>
      <c r="Z518" s="1"/>
    </row>
    <row r="519" spans="1:26" ht="12.75" customHeight="1" x14ac:dyDescent="0.25">
      <c r="A519" s="1"/>
      <c r="B519" s="1"/>
      <c r="C519" s="3"/>
      <c r="D519" s="3"/>
      <c r="E519" s="5"/>
      <c r="F519" s="5"/>
      <c r="G519" s="3"/>
      <c r="H519" s="5"/>
      <c r="I519" s="1"/>
      <c r="J519" s="7"/>
      <c r="K519" s="1"/>
      <c r="L519" s="1"/>
      <c r="M519" s="1"/>
      <c r="N519" s="1"/>
      <c r="O519" s="1"/>
      <c r="P519" s="1"/>
      <c r="Q519" s="1"/>
      <c r="R519" s="1"/>
      <c r="S519" s="1"/>
      <c r="T519" s="1"/>
      <c r="U519" s="1"/>
      <c r="V519" s="1"/>
      <c r="W519" s="1"/>
      <c r="X519" s="1"/>
      <c r="Y519" s="1"/>
      <c r="Z519" s="1"/>
    </row>
    <row r="520" spans="1:26" ht="12.75" customHeight="1" x14ac:dyDescent="0.25">
      <c r="A520" s="1"/>
      <c r="B520" s="1"/>
      <c r="C520" s="3"/>
      <c r="D520" s="3"/>
      <c r="E520" s="5"/>
      <c r="F520" s="5"/>
      <c r="G520" s="3"/>
      <c r="H520" s="5"/>
      <c r="I520" s="1"/>
      <c r="J520" s="7"/>
      <c r="K520" s="1"/>
      <c r="L520" s="1"/>
      <c r="M520" s="1"/>
      <c r="N520" s="1"/>
      <c r="O520" s="1"/>
      <c r="P520" s="1"/>
      <c r="Q520" s="1"/>
      <c r="R520" s="1"/>
      <c r="S520" s="1"/>
      <c r="T520" s="1"/>
      <c r="U520" s="1"/>
      <c r="V520" s="1"/>
      <c r="W520" s="1"/>
      <c r="X520" s="1"/>
      <c r="Y520" s="1"/>
      <c r="Z520" s="1"/>
    </row>
    <row r="521" spans="1:26" ht="12.75" customHeight="1" x14ac:dyDescent="0.25">
      <c r="A521" s="1"/>
      <c r="B521" s="1"/>
      <c r="C521" s="3"/>
      <c r="D521" s="3"/>
      <c r="E521" s="5"/>
      <c r="F521" s="5"/>
      <c r="G521" s="3"/>
      <c r="H521" s="5"/>
      <c r="I521" s="1"/>
      <c r="J521" s="7"/>
      <c r="K521" s="1"/>
      <c r="L521" s="1"/>
      <c r="M521" s="1"/>
      <c r="N521" s="1"/>
      <c r="O521" s="1"/>
      <c r="P521" s="1"/>
      <c r="Q521" s="1"/>
      <c r="R521" s="1"/>
      <c r="S521" s="1"/>
      <c r="T521" s="1"/>
      <c r="U521" s="1"/>
      <c r="V521" s="1"/>
      <c r="W521" s="1"/>
      <c r="X521" s="1"/>
      <c r="Y521" s="1"/>
      <c r="Z521" s="1"/>
    </row>
    <row r="522" spans="1:26" ht="12.75" customHeight="1" x14ac:dyDescent="0.25">
      <c r="A522" s="1"/>
      <c r="B522" s="1"/>
      <c r="C522" s="3"/>
      <c r="D522" s="3"/>
      <c r="E522" s="5"/>
      <c r="F522" s="5"/>
      <c r="G522" s="3"/>
      <c r="H522" s="5"/>
      <c r="I522" s="1"/>
      <c r="J522" s="7"/>
      <c r="K522" s="1"/>
      <c r="L522" s="1"/>
      <c r="M522" s="1"/>
      <c r="N522" s="1"/>
      <c r="O522" s="1"/>
      <c r="P522" s="1"/>
      <c r="Q522" s="1"/>
      <c r="R522" s="1"/>
      <c r="S522" s="1"/>
      <c r="T522" s="1"/>
      <c r="U522" s="1"/>
      <c r="V522" s="1"/>
      <c r="W522" s="1"/>
      <c r="X522" s="1"/>
      <c r="Y522" s="1"/>
      <c r="Z522" s="1"/>
    </row>
    <row r="523" spans="1:26" ht="12.75" customHeight="1" x14ac:dyDescent="0.25">
      <c r="A523" s="1"/>
      <c r="B523" s="1"/>
      <c r="C523" s="3"/>
      <c r="D523" s="3"/>
      <c r="E523" s="5"/>
      <c r="F523" s="5"/>
      <c r="G523" s="3"/>
      <c r="H523" s="5"/>
      <c r="I523" s="1"/>
      <c r="J523" s="7"/>
      <c r="K523" s="1"/>
      <c r="L523" s="1"/>
      <c r="M523" s="1"/>
      <c r="N523" s="1"/>
      <c r="O523" s="1"/>
      <c r="P523" s="1"/>
      <c r="Q523" s="1"/>
      <c r="R523" s="1"/>
      <c r="S523" s="1"/>
      <c r="T523" s="1"/>
      <c r="U523" s="1"/>
      <c r="V523" s="1"/>
      <c r="W523" s="1"/>
      <c r="X523" s="1"/>
      <c r="Y523" s="1"/>
      <c r="Z523" s="1"/>
    </row>
    <row r="524" spans="1:26" ht="12.75" customHeight="1" x14ac:dyDescent="0.25">
      <c r="A524" s="1"/>
      <c r="B524" s="1"/>
      <c r="C524" s="3"/>
      <c r="D524" s="3"/>
      <c r="E524" s="5"/>
      <c r="F524" s="5"/>
      <c r="G524" s="3"/>
      <c r="H524" s="5"/>
      <c r="I524" s="1"/>
      <c r="J524" s="7"/>
      <c r="K524" s="1"/>
      <c r="L524" s="1"/>
      <c r="M524" s="1"/>
      <c r="N524" s="1"/>
      <c r="O524" s="1"/>
      <c r="P524" s="1"/>
      <c r="Q524" s="1"/>
      <c r="R524" s="1"/>
      <c r="S524" s="1"/>
      <c r="T524" s="1"/>
      <c r="U524" s="1"/>
      <c r="V524" s="1"/>
      <c r="W524" s="1"/>
      <c r="X524" s="1"/>
      <c r="Y524" s="1"/>
      <c r="Z524" s="1"/>
    </row>
    <row r="525" spans="1:26" ht="12.75" customHeight="1" x14ac:dyDescent="0.25">
      <c r="A525" s="1"/>
      <c r="B525" s="1"/>
      <c r="C525" s="3"/>
      <c r="D525" s="3"/>
      <c r="E525" s="5"/>
      <c r="F525" s="5"/>
      <c r="G525" s="3"/>
      <c r="H525" s="5"/>
      <c r="I525" s="1"/>
      <c r="J525" s="7"/>
      <c r="K525" s="1"/>
      <c r="L525" s="1"/>
      <c r="M525" s="1"/>
      <c r="N525" s="1"/>
      <c r="O525" s="1"/>
      <c r="P525" s="1"/>
      <c r="Q525" s="1"/>
      <c r="R525" s="1"/>
      <c r="S525" s="1"/>
      <c r="T525" s="1"/>
      <c r="U525" s="1"/>
      <c r="V525" s="1"/>
      <c r="W525" s="1"/>
      <c r="X525" s="1"/>
      <c r="Y525" s="1"/>
      <c r="Z525" s="1"/>
    </row>
    <row r="526" spans="1:26" ht="12.75" customHeight="1" x14ac:dyDescent="0.25">
      <c r="A526" s="1"/>
      <c r="B526" s="1"/>
      <c r="C526" s="3"/>
      <c r="D526" s="3"/>
      <c r="E526" s="5"/>
      <c r="F526" s="5"/>
      <c r="G526" s="3"/>
      <c r="H526" s="5"/>
      <c r="I526" s="1"/>
      <c r="J526" s="7"/>
      <c r="K526" s="1"/>
      <c r="L526" s="1"/>
      <c r="M526" s="1"/>
      <c r="N526" s="1"/>
      <c r="O526" s="1"/>
      <c r="P526" s="1"/>
      <c r="Q526" s="1"/>
      <c r="R526" s="1"/>
      <c r="S526" s="1"/>
      <c r="T526" s="1"/>
      <c r="U526" s="1"/>
      <c r="V526" s="1"/>
      <c r="W526" s="1"/>
      <c r="X526" s="1"/>
      <c r="Y526" s="1"/>
      <c r="Z526" s="1"/>
    </row>
    <row r="527" spans="1:26" ht="12.75" customHeight="1" x14ac:dyDescent="0.25">
      <c r="A527" s="1"/>
      <c r="B527" s="1"/>
      <c r="C527" s="3"/>
      <c r="D527" s="3"/>
      <c r="E527" s="5"/>
      <c r="F527" s="5"/>
      <c r="G527" s="3"/>
      <c r="H527" s="5"/>
      <c r="I527" s="1"/>
      <c r="J527" s="7"/>
      <c r="K527" s="1"/>
      <c r="L527" s="1"/>
      <c r="M527" s="1"/>
      <c r="N527" s="1"/>
      <c r="O527" s="1"/>
      <c r="P527" s="1"/>
      <c r="Q527" s="1"/>
      <c r="R527" s="1"/>
      <c r="S527" s="1"/>
      <c r="T527" s="1"/>
      <c r="U527" s="1"/>
      <c r="V527" s="1"/>
      <c r="W527" s="1"/>
      <c r="X527" s="1"/>
      <c r="Y527" s="1"/>
      <c r="Z527" s="1"/>
    </row>
    <row r="528" spans="1:26" ht="12.75" customHeight="1" x14ac:dyDescent="0.25">
      <c r="A528" s="1"/>
      <c r="B528" s="1"/>
      <c r="C528" s="3"/>
      <c r="D528" s="3"/>
      <c r="E528" s="5"/>
      <c r="F528" s="5"/>
      <c r="G528" s="3"/>
      <c r="H528" s="5"/>
      <c r="I528" s="1"/>
      <c r="J528" s="7"/>
      <c r="K528" s="1"/>
      <c r="L528" s="1"/>
      <c r="M528" s="1"/>
      <c r="N528" s="1"/>
      <c r="O528" s="1"/>
      <c r="P528" s="1"/>
      <c r="Q528" s="1"/>
      <c r="R528" s="1"/>
      <c r="S528" s="1"/>
      <c r="T528" s="1"/>
      <c r="U528" s="1"/>
      <c r="V528" s="1"/>
      <c r="W528" s="1"/>
      <c r="X528" s="1"/>
      <c r="Y528" s="1"/>
      <c r="Z528" s="1"/>
    </row>
    <row r="529" spans="1:26" ht="12.75" customHeight="1" x14ac:dyDescent="0.25">
      <c r="A529" s="1"/>
      <c r="B529" s="1"/>
      <c r="C529" s="3"/>
      <c r="D529" s="3"/>
      <c r="E529" s="5"/>
      <c r="F529" s="5"/>
      <c r="G529" s="3"/>
      <c r="H529" s="5"/>
      <c r="I529" s="1"/>
      <c r="J529" s="7"/>
      <c r="K529" s="1"/>
      <c r="L529" s="1"/>
      <c r="M529" s="1"/>
      <c r="N529" s="1"/>
      <c r="O529" s="1"/>
      <c r="P529" s="1"/>
      <c r="Q529" s="1"/>
      <c r="R529" s="1"/>
      <c r="S529" s="1"/>
      <c r="T529" s="1"/>
      <c r="U529" s="1"/>
      <c r="V529" s="1"/>
      <c r="W529" s="1"/>
      <c r="X529" s="1"/>
      <c r="Y529" s="1"/>
      <c r="Z529" s="1"/>
    </row>
    <row r="530" spans="1:26" ht="12.75" customHeight="1" x14ac:dyDescent="0.25">
      <c r="A530" s="1"/>
      <c r="B530" s="1"/>
      <c r="C530" s="3"/>
      <c r="D530" s="3"/>
      <c r="E530" s="5"/>
      <c r="F530" s="5"/>
      <c r="G530" s="3"/>
      <c r="H530" s="5"/>
      <c r="I530" s="1"/>
      <c r="J530" s="7"/>
      <c r="K530" s="1"/>
      <c r="L530" s="1"/>
      <c r="M530" s="1"/>
      <c r="N530" s="1"/>
      <c r="O530" s="1"/>
      <c r="P530" s="1"/>
      <c r="Q530" s="1"/>
      <c r="R530" s="1"/>
      <c r="S530" s="1"/>
      <c r="T530" s="1"/>
      <c r="U530" s="1"/>
      <c r="V530" s="1"/>
      <c r="W530" s="1"/>
      <c r="X530" s="1"/>
      <c r="Y530" s="1"/>
      <c r="Z530" s="1"/>
    </row>
    <row r="531" spans="1:26" ht="12.75" customHeight="1" x14ac:dyDescent="0.25">
      <c r="A531" s="1"/>
      <c r="B531" s="1"/>
      <c r="C531" s="3"/>
      <c r="D531" s="3"/>
      <c r="E531" s="5"/>
      <c r="F531" s="5"/>
      <c r="G531" s="3"/>
      <c r="H531" s="5"/>
      <c r="I531" s="1"/>
      <c r="J531" s="7"/>
      <c r="K531" s="1"/>
      <c r="L531" s="1"/>
      <c r="M531" s="1"/>
      <c r="N531" s="1"/>
      <c r="O531" s="1"/>
      <c r="P531" s="1"/>
      <c r="Q531" s="1"/>
      <c r="R531" s="1"/>
      <c r="S531" s="1"/>
      <c r="T531" s="1"/>
      <c r="U531" s="1"/>
      <c r="V531" s="1"/>
      <c r="W531" s="1"/>
      <c r="X531" s="1"/>
      <c r="Y531" s="1"/>
      <c r="Z531" s="1"/>
    </row>
    <row r="532" spans="1:26" ht="12.75" customHeight="1" x14ac:dyDescent="0.25">
      <c r="A532" s="1"/>
      <c r="B532" s="1"/>
      <c r="C532" s="3"/>
      <c r="D532" s="3"/>
      <c r="E532" s="5"/>
      <c r="F532" s="5"/>
      <c r="G532" s="3"/>
      <c r="H532" s="5"/>
      <c r="I532" s="1"/>
      <c r="J532" s="7"/>
      <c r="K532" s="1"/>
      <c r="L532" s="1"/>
      <c r="M532" s="1"/>
      <c r="N532" s="1"/>
      <c r="O532" s="1"/>
      <c r="P532" s="1"/>
      <c r="Q532" s="1"/>
      <c r="R532" s="1"/>
      <c r="S532" s="1"/>
      <c r="T532" s="1"/>
      <c r="U532" s="1"/>
      <c r="V532" s="1"/>
      <c r="W532" s="1"/>
      <c r="X532" s="1"/>
      <c r="Y532" s="1"/>
      <c r="Z532" s="1"/>
    </row>
    <row r="533" spans="1:26" ht="12.75" customHeight="1" x14ac:dyDescent="0.25">
      <c r="A533" s="1"/>
      <c r="B533" s="1"/>
      <c r="C533" s="3"/>
      <c r="D533" s="3"/>
      <c r="E533" s="5"/>
      <c r="F533" s="5"/>
      <c r="G533" s="3"/>
      <c r="H533" s="5"/>
      <c r="I533" s="1"/>
      <c r="J533" s="7"/>
      <c r="K533" s="1"/>
      <c r="L533" s="1"/>
      <c r="M533" s="1"/>
      <c r="N533" s="1"/>
      <c r="O533" s="1"/>
      <c r="P533" s="1"/>
      <c r="Q533" s="1"/>
      <c r="R533" s="1"/>
      <c r="S533" s="1"/>
      <c r="T533" s="1"/>
      <c r="U533" s="1"/>
      <c r="V533" s="1"/>
      <c r="W533" s="1"/>
      <c r="X533" s="1"/>
      <c r="Y533" s="1"/>
      <c r="Z533" s="1"/>
    </row>
    <row r="534" spans="1:26" ht="12.75" customHeight="1" x14ac:dyDescent="0.25">
      <c r="A534" s="1"/>
      <c r="B534" s="1"/>
      <c r="C534" s="3"/>
      <c r="D534" s="3"/>
      <c r="E534" s="5"/>
      <c r="F534" s="5"/>
      <c r="G534" s="3"/>
      <c r="H534" s="5"/>
      <c r="I534" s="1"/>
      <c r="J534" s="7"/>
      <c r="K534" s="1"/>
      <c r="L534" s="1"/>
      <c r="M534" s="1"/>
      <c r="N534" s="1"/>
      <c r="O534" s="1"/>
      <c r="P534" s="1"/>
      <c r="Q534" s="1"/>
      <c r="R534" s="1"/>
      <c r="S534" s="1"/>
      <c r="T534" s="1"/>
      <c r="U534" s="1"/>
      <c r="V534" s="1"/>
      <c r="W534" s="1"/>
      <c r="X534" s="1"/>
      <c r="Y534" s="1"/>
      <c r="Z534" s="1"/>
    </row>
    <row r="535" spans="1:26" ht="12.75" customHeight="1" x14ac:dyDescent="0.25">
      <c r="A535" s="1"/>
      <c r="B535" s="1"/>
      <c r="C535" s="3"/>
      <c r="D535" s="3"/>
      <c r="E535" s="5"/>
      <c r="F535" s="5"/>
      <c r="G535" s="3"/>
      <c r="H535" s="5"/>
      <c r="I535" s="1"/>
      <c r="J535" s="7"/>
      <c r="K535" s="1"/>
      <c r="L535" s="1"/>
      <c r="M535" s="1"/>
      <c r="N535" s="1"/>
      <c r="O535" s="1"/>
      <c r="P535" s="1"/>
      <c r="Q535" s="1"/>
      <c r="R535" s="1"/>
      <c r="S535" s="1"/>
      <c r="T535" s="1"/>
      <c r="U535" s="1"/>
      <c r="V535" s="1"/>
      <c r="W535" s="1"/>
      <c r="X535" s="1"/>
      <c r="Y535" s="1"/>
      <c r="Z535" s="1"/>
    </row>
    <row r="536" spans="1:26" ht="12.75" customHeight="1" x14ac:dyDescent="0.25">
      <c r="A536" s="1"/>
      <c r="B536" s="1"/>
      <c r="C536" s="3"/>
      <c r="D536" s="3"/>
      <c r="E536" s="5"/>
      <c r="F536" s="5"/>
      <c r="G536" s="3"/>
      <c r="H536" s="5"/>
      <c r="I536" s="1"/>
      <c r="J536" s="7"/>
      <c r="K536" s="1"/>
      <c r="L536" s="1"/>
      <c r="M536" s="1"/>
      <c r="N536" s="1"/>
      <c r="O536" s="1"/>
      <c r="P536" s="1"/>
      <c r="Q536" s="1"/>
      <c r="R536" s="1"/>
      <c r="S536" s="1"/>
      <c r="T536" s="1"/>
      <c r="U536" s="1"/>
      <c r="V536" s="1"/>
      <c r="W536" s="1"/>
      <c r="X536" s="1"/>
      <c r="Y536" s="1"/>
      <c r="Z536" s="1"/>
    </row>
    <row r="537" spans="1:26" ht="12.75" customHeight="1" x14ac:dyDescent="0.25">
      <c r="A537" s="1"/>
      <c r="B537" s="1"/>
      <c r="C537" s="3"/>
      <c r="D537" s="3"/>
      <c r="E537" s="5"/>
      <c r="F537" s="5"/>
      <c r="G537" s="3"/>
      <c r="H537" s="5"/>
      <c r="I537" s="1"/>
      <c r="J537" s="7"/>
      <c r="K537" s="1"/>
      <c r="L537" s="1"/>
      <c r="M537" s="1"/>
      <c r="N537" s="1"/>
      <c r="O537" s="1"/>
      <c r="P537" s="1"/>
      <c r="Q537" s="1"/>
      <c r="R537" s="1"/>
      <c r="S537" s="1"/>
      <c r="T537" s="1"/>
      <c r="U537" s="1"/>
      <c r="V537" s="1"/>
      <c r="W537" s="1"/>
      <c r="X537" s="1"/>
      <c r="Y537" s="1"/>
      <c r="Z537" s="1"/>
    </row>
    <row r="538" spans="1:26" ht="12.75" customHeight="1" x14ac:dyDescent="0.25">
      <c r="A538" s="1"/>
      <c r="B538" s="1"/>
      <c r="C538" s="3"/>
      <c r="D538" s="3"/>
      <c r="E538" s="5"/>
      <c r="F538" s="5"/>
      <c r="G538" s="3"/>
      <c r="H538" s="5"/>
      <c r="I538" s="1"/>
      <c r="J538" s="7"/>
      <c r="K538" s="1"/>
      <c r="L538" s="1"/>
      <c r="M538" s="1"/>
      <c r="N538" s="1"/>
      <c r="O538" s="1"/>
      <c r="P538" s="1"/>
      <c r="Q538" s="1"/>
      <c r="R538" s="1"/>
      <c r="S538" s="1"/>
      <c r="T538" s="1"/>
      <c r="U538" s="1"/>
      <c r="V538" s="1"/>
      <c r="W538" s="1"/>
      <c r="X538" s="1"/>
      <c r="Y538" s="1"/>
      <c r="Z538" s="1"/>
    </row>
    <row r="539" spans="1:26" ht="12.75" customHeight="1" x14ac:dyDescent="0.25">
      <c r="A539" s="1"/>
      <c r="B539" s="1"/>
      <c r="C539" s="3"/>
      <c r="D539" s="3"/>
      <c r="E539" s="5"/>
      <c r="F539" s="5"/>
      <c r="G539" s="3"/>
      <c r="H539" s="5"/>
      <c r="I539" s="1"/>
      <c r="J539" s="7"/>
      <c r="K539" s="1"/>
      <c r="L539" s="1"/>
      <c r="M539" s="1"/>
      <c r="N539" s="1"/>
      <c r="O539" s="1"/>
      <c r="P539" s="1"/>
      <c r="Q539" s="1"/>
      <c r="R539" s="1"/>
      <c r="S539" s="1"/>
      <c r="T539" s="1"/>
      <c r="U539" s="1"/>
      <c r="V539" s="1"/>
      <c r="W539" s="1"/>
      <c r="X539" s="1"/>
      <c r="Y539" s="1"/>
      <c r="Z539" s="1"/>
    </row>
    <row r="540" spans="1:26" ht="12.75" customHeight="1" x14ac:dyDescent="0.25">
      <c r="A540" s="1"/>
      <c r="B540" s="1"/>
      <c r="C540" s="3"/>
      <c r="D540" s="3"/>
      <c r="E540" s="5"/>
      <c r="F540" s="5"/>
      <c r="G540" s="3"/>
      <c r="H540" s="5"/>
      <c r="I540" s="1"/>
      <c r="J540" s="7"/>
      <c r="K540" s="1"/>
      <c r="L540" s="1"/>
      <c r="M540" s="1"/>
      <c r="N540" s="1"/>
      <c r="O540" s="1"/>
      <c r="P540" s="1"/>
      <c r="Q540" s="1"/>
      <c r="R540" s="1"/>
      <c r="S540" s="1"/>
      <c r="T540" s="1"/>
      <c r="U540" s="1"/>
      <c r="V540" s="1"/>
      <c r="W540" s="1"/>
      <c r="X540" s="1"/>
      <c r="Y540" s="1"/>
      <c r="Z540" s="1"/>
    </row>
    <row r="541" spans="1:26" ht="12.75" customHeight="1" x14ac:dyDescent="0.25">
      <c r="A541" s="1"/>
      <c r="B541" s="1"/>
      <c r="C541" s="3"/>
      <c r="D541" s="3"/>
      <c r="E541" s="5"/>
      <c r="F541" s="5"/>
      <c r="G541" s="3"/>
      <c r="H541" s="5"/>
      <c r="I541" s="1"/>
      <c r="J541" s="7"/>
      <c r="K541" s="1"/>
      <c r="L541" s="1"/>
      <c r="M541" s="1"/>
      <c r="N541" s="1"/>
      <c r="O541" s="1"/>
      <c r="P541" s="1"/>
      <c r="Q541" s="1"/>
      <c r="R541" s="1"/>
      <c r="S541" s="1"/>
      <c r="T541" s="1"/>
      <c r="U541" s="1"/>
      <c r="V541" s="1"/>
      <c r="W541" s="1"/>
      <c r="X541" s="1"/>
      <c r="Y541" s="1"/>
      <c r="Z541" s="1"/>
    </row>
    <row r="542" spans="1:26" ht="12.75" customHeight="1" x14ac:dyDescent="0.25">
      <c r="A542" s="1"/>
      <c r="B542" s="1"/>
      <c r="C542" s="3"/>
      <c r="D542" s="3"/>
      <c r="E542" s="5"/>
      <c r="F542" s="5"/>
      <c r="G542" s="3"/>
      <c r="H542" s="5"/>
      <c r="I542" s="1"/>
      <c r="J542" s="7"/>
      <c r="K542" s="1"/>
      <c r="L542" s="1"/>
      <c r="M542" s="1"/>
      <c r="N542" s="1"/>
      <c r="O542" s="1"/>
      <c r="P542" s="1"/>
      <c r="Q542" s="1"/>
      <c r="R542" s="1"/>
      <c r="S542" s="1"/>
      <c r="T542" s="1"/>
      <c r="U542" s="1"/>
      <c r="V542" s="1"/>
      <c r="W542" s="1"/>
      <c r="X542" s="1"/>
      <c r="Y542" s="1"/>
      <c r="Z542" s="1"/>
    </row>
    <row r="543" spans="1:26" ht="12.75" customHeight="1" x14ac:dyDescent="0.25">
      <c r="A543" s="1"/>
      <c r="B543" s="1"/>
      <c r="C543" s="3"/>
      <c r="D543" s="3"/>
      <c r="E543" s="5"/>
      <c r="F543" s="5"/>
      <c r="G543" s="3"/>
      <c r="H543" s="5"/>
      <c r="I543" s="1"/>
      <c r="J543" s="7"/>
      <c r="K543" s="1"/>
      <c r="L543" s="1"/>
      <c r="M543" s="1"/>
      <c r="N543" s="1"/>
      <c r="O543" s="1"/>
      <c r="P543" s="1"/>
      <c r="Q543" s="1"/>
      <c r="R543" s="1"/>
      <c r="S543" s="1"/>
      <c r="T543" s="1"/>
      <c r="U543" s="1"/>
      <c r="V543" s="1"/>
      <c r="W543" s="1"/>
      <c r="X543" s="1"/>
      <c r="Y543" s="1"/>
      <c r="Z543" s="1"/>
    </row>
    <row r="544" spans="1:26" ht="12.75" customHeight="1" x14ac:dyDescent="0.25">
      <c r="A544" s="1"/>
      <c r="B544" s="1"/>
      <c r="C544" s="3"/>
      <c r="D544" s="3"/>
      <c r="E544" s="5"/>
      <c r="F544" s="5"/>
      <c r="G544" s="3"/>
      <c r="H544" s="5"/>
      <c r="I544" s="1"/>
      <c r="J544" s="7"/>
      <c r="K544" s="1"/>
      <c r="L544" s="1"/>
      <c r="M544" s="1"/>
      <c r="N544" s="1"/>
      <c r="O544" s="1"/>
      <c r="P544" s="1"/>
      <c r="Q544" s="1"/>
      <c r="R544" s="1"/>
      <c r="S544" s="1"/>
      <c r="T544" s="1"/>
      <c r="U544" s="1"/>
      <c r="V544" s="1"/>
      <c r="W544" s="1"/>
      <c r="X544" s="1"/>
      <c r="Y544" s="1"/>
      <c r="Z544" s="1"/>
    </row>
    <row r="545" spans="1:26" ht="12.75" customHeight="1" x14ac:dyDescent="0.25">
      <c r="A545" s="1"/>
      <c r="B545" s="1"/>
      <c r="C545" s="3"/>
      <c r="D545" s="3"/>
      <c r="E545" s="5"/>
      <c r="F545" s="5"/>
      <c r="G545" s="3"/>
      <c r="H545" s="5"/>
      <c r="I545" s="1"/>
      <c r="J545" s="7"/>
      <c r="K545" s="1"/>
      <c r="L545" s="1"/>
      <c r="M545" s="1"/>
      <c r="N545" s="1"/>
      <c r="O545" s="1"/>
      <c r="P545" s="1"/>
      <c r="Q545" s="1"/>
      <c r="R545" s="1"/>
      <c r="S545" s="1"/>
      <c r="T545" s="1"/>
      <c r="U545" s="1"/>
      <c r="V545" s="1"/>
      <c r="W545" s="1"/>
      <c r="X545" s="1"/>
      <c r="Y545" s="1"/>
      <c r="Z545" s="1"/>
    </row>
    <row r="546" spans="1:26" ht="12.75" customHeight="1" x14ac:dyDescent="0.25">
      <c r="A546" s="1"/>
      <c r="B546" s="1"/>
      <c r="C546" s="3"/>
      <c r="D546" s="3"/>
      <c r="E546" s="5"/>
      <c r="F546" s="5"/>
      <c r="G546" s="3"/>
      <c r="H546" s="5"/>
      <c r="I546" s="1"/>
      <c r="J546" s="7"/>
      <c r="K546" s="1"/>
      <c r="L546" s="1"/>
      <c r="M546" s="1"/>
      <c r="N546" s="1"/>
      <c r="O546" s="1"/>
      <c r="P546" s="1"/>
      <c r="Q546" s="1"/>
      <c r="R546" s="1"/>
      <c r="S546" s="1"/>
      <c r="T546" s="1"/>
      <c r="U546" s="1"/>
      <c r="V546" s="1"/>
      <c r="W546" s="1"/>
      <c r="X546" s="1"/>
      <c r="Y546" s="1"/>
      <c r="Z546" s="1"/>
    </row>
    <row r="547" spans="1:26" ht="12.75" customHeight="1" x14ac:dyDescent="0.25">
      <c r="A547" s="1"/>
      <c r="B547" s="1"/>
      <c r="C547" s="3"/>
      <c r="D547" s="3"/>
      <c r="E547" s="5"/>
      <c r="F547" s="5"/>
      <c r="G547" s="3"/>
      <c r="H547" s="5"/>
      <c r="I547" s="1"/>
      <c r="J547" s="7"/>
      <c r="K547" s="1"/>
      <c r="L547" s="1"/>
      <c r="M547" s="1"/>
      <c r="N547" s="1"/>
      <c r="O547" s="1"/>
      <c r="P547" s="1"/>
      <c r="Q547" s="1"/>
      <c r="R547" s="1"/>
      <c r="S547" s="1"/>
      <c r="T547" s="1"/>
      <c r="U547" s="1"/>
      <c r="V547" s="1"/>
      <c r="W547" s="1"/>
      <c r="X547" s="1"/>
      <c r="Y547" s="1"/>
      <c r="Z547" s="1"/>
    </row>
    <row r="548" spans="1:26" ht="12.75" customHeight="1" x14ac:dyDescent="0.25">
      <c r="A548" s="1"/>
      <c r="B548" s="1"/>
      <c r="C548" s="3"/>
      <c r="D548" s="3"/>
      <c r="E548" s="5"/>
      <c r="F548" s="5"/>
      <c r="G548" s="3"/>
      <c r="H548" s="5"/>
      <c r="I548" s="1"/>
      <c r="J548" s="7"/>
      <c r="K548" s="1"/>
      <c r="L548" s="1"/>
      <c r="M548" s="1"/>
      <c r="N548" s="1"/>
      <c r="O548" s="1"/>
      <c r="P548" s="1"/>
      <c r="Q548" s="1"/>
      <c r="R548" s="1"/>
      <c r="S548" s="1"/>
      <c r="T548" s="1"/>
      <c r="U548" s="1"/>
      <c r="V548" s="1"/>
      <c r="W548" s="1"/>
      <c r="X548" s="1"/>
      <c r="Y548" s="1"/>
      <c r="Z548" s="1"/>
    </row>
    <row r="549" spans="1:26" ht="12.75" customHeight="1" x14ac:dyDescent="0.25">
      <c r="A549" s="1"/>
      <c r="B549" s="1"/>
      <c r="C549" s="3"/>
      <c r="D549" s="3"/>
      <c r="E549" s="5"/>
      <c r="F549" s="5"/>
      <c r="G549" s="3"/>
      <c r="H549" s="5"/>
      <c r="I549" s="1"/>
      <c r="J549" s="7"/>
      <c r="K549" s="1"/>
      <c r="L549" s="1"/>
      <c r="M549" s="1"/>
      <c r="N549" s="1"/>
      <c r="O549" s="1"/>
      <c r="P549" s="1"/>
      <c r="Q549" s="1"/>
      <c r="R549" s="1"/>
      <c r="S549" s="1"/>
      <c r="T549" s="1"/>
      <c r="U549" s="1"/>
      <c r="V549" s="1"/>
      <c r="W549" s="1"/>
      <c r="X549" s="1"/>
      <c r="Y549" s="1"/>
      <c r="Z549" s="1"/>
    </row>
    <row r="550" spans="1:26" ht="12.75" customHeight="1" x14ac:dyDescent="0.25">
      <c r="A550" s="1"/>
      <c r="B550" s="1"/>
      <c r="C550" s="3"/>
      <c r="D550" s="3"/>
      <c r="E550" s="5"/>
      <c r="F550" s="5"/>
      <c r="G550" s="3"/>
      <c r="H550" s="5"/>
      <c r="I550" s="1"/>
      <c r="J550" s="7"/>
      <c r="K550" s="1"/>
      <c r="L550" s="1"/>
      <c r="M550" s="1"/>
      <c r="N550" s="1"/>
      <c r="O550" s="1"/>
      <c r="P550" s="1"/>
      <c r="Q550" s="1"/>
      <c r="R550" s="1"/>
      <c r="S550" s="1"/>
      <c r="T550" s="1"/>
      <c r="U550" s="1"/>
      <c r="V550" s="1"/>
      <c r="W550" s="1"/>
      <c r="X550" s="1"/>
      <c r="Y550" s="1"/>
      <c r="Z550" s="1"/>
    </row>
    <row r="551" spans="1:26" ht="12.75" customHeight="1" x14ac:dyDescent="0.25">
      <c r="A551" s="1"/>
      <c r="B551" s="1"/>
      <c r="C551" s="3"/>
      <c r="D551" s="3"/>
      <c r="E551" s="5"/>
      <c r="F551" s="5"/>
      <c r="G551" s="3"/>
      <c r="H551" s="5"/>
      <c r="I551" s="1"/>
      <c r="J551" s="7"/>
      <c r="K551" s="1"/>
      <c r="L551" s="1"/>
      <c r="M551" s="1"/>
      <c r="N551" s="1"/>
      <c r="O551" s="1"/>
      <c r="P551" s="1"/>
      <c r="Q551" s="1"/>
      <c r="R551" s="1"/>
      <c r="S551" s="1"/>
      <c r="T551" s="1"/>
      <c r="U551" s="1"/>
      <c r="V551" s="1"/>
      <c r="W551" s="1"/>
      <c r="X551" s="1"/>
      <c r="Y551" s="1"/>
      <c r="Z551" s="1"/>
    </row>
    <row r="552" spans="1:26" ht="12.75" customHeight="1" x14ac:dyDescent="0.25">
      <c r="A552" s="1"/>
      <c r="B552" s="1"/>
      <c r="C552" s="3"/>
      <c r="D552" s="3"/>
      <c r="E552" s="5"/>
      <c r="F552" s="5"/>
      <c r="G552" s="3"/>
      <c r="H552" s="5"/>
      <c r="I552" s="1"/>
      <c r="J552" s="7"/>
      <c r="K552" s="1"/>
      <c r="L552" s="1"/>
      <c r="M552" s="1"/>
      <c r="N552" s="1"/>
      <c r="O552" s="1"/>
      <c r="P552" s="1"/>
      <c r="Q552" s="1"/>
      <c r="R552" s="1"/>
      <c r="S552" s="1"/>
      <c r="T552" s="1"/>
      <c r="U552" s="1"/>
      <c r="V552" s="1"/>
      <c r="W552" s="1"/>
      <c r="X552" s="1"/>
      <c r="Y552" s="1"/>
      <c r="Z552" s="1"/>
    </row>
    <row r="553" spans="1:26" ht="12.75" customHeight="1" x14ac:dyDescent="0.25">
      <c r="A553" s="1"/>
      <c r="B553" s="1"/>
      <c r="C553" s="3"/>
      <c r="D553" s="3"/>
      <c r="E553" s="5"/>
      <c r="F553" s="5"/>
      <c r="G553" s="3"/>
      <c r="H553" s="5"/>
      <c r="I553" s="1"/>
      <c r="J553" s="7"/>
      <c r="K553" s="1"/>
      <c r="L553" s="1"/>
      <c r="M553" s="1"/>
      <c r="N553" s="1"/>
      <c r="O553" s="1"/>
      <c r="P553" s="1"/>
      <c r="Q553" s="1"/>
      <c r="R553" s="1"/>
      <c r="S553" s="1"/>
      <c r="T553" s="1"/>
      <c r="U553" s="1"/>
      <c r="V553" s="1"/>
      <c r="W553" s="1"/>
      <c r="X553" s="1"/>
      <c r="Y553" s="1"/>
      <c r="Z553" s="1"/>
    </row>
    <row r="554" spans="1:26" ht="12.75" customHeight="1" x14ac:dyDescent="0.25">
      <c r="A554" s="1"/>
      <c r="B554" s="1"/>
      <c r="C554" s="3"/>
      <c r="D554" s="3"/>
      <c r="E554" s="5"/>
      <c r="F554" s="5"/>
      <c r="G554" s="3"/>
      <c r="H554" s="5"/>
      <c r="I554" s="1"/>
      <c r="J554" s="7"/>
      <c r="K554" s="1"/>
      <c r="L554" s="1"/>
      <c r="M554" s="1"/>
      <c r="N554" s="1"/>
      <c r="O554" s="1"/>
      <c r="P554" s="1"/>
      <c r="Q554" s="1"/>
      <c r="R554" s="1"/>
      <c r="S554" s="1"/>
      <c r="T554" s="1"/>
      <c r="U554" s="1"/>
      <c r="V554" s="1"/>
      <c r="W554" s="1"/>
      <c r="X554" s="1"/>
      <c r="Y554" s="1"/>
      <c r="Z554" s="1"/>
    </row>
    <row r="555" spans="1:26" ht="12.75" customHeight="1" x14ac:dyDescent="0.25">
      <c r="A555" s="1"/>
      <c r="B555" s="1"/>
      <c r="C555" s="3"/>
      <c r="D555" s="3"/>
      <c r="E555" s="5"/>
      <c r="F555" s="5"/>
      <c r="G555" s="3"/>
      <c r="H555" s="5"/>
      <c r="I555" s="1"/>
      <c r="J555" s="7"/>
      <c r="K555" s="1"/>
      <c r="L555" s="1"/>
      <c r="M555" s="1"/>
      <c r="N555" s="1"/>
      <c r="O555" s="1"/>
      <c r="P555" s="1"/>
      <c r="Q555" s="1"/>
      <c r="R555" s="1"/>
      <c r="S555" s="1"/>
      <c r="T555" s="1"/>
      <c r="U555" s="1"/>
      <c r="V555" s="1"/>
      <c r="W555" s="1"/>
      <c r="X555" s="1"/>
      <c r="Y555" s="1"/>
      <c r="Z555" s="1"/>
    </row>
    <row r="556" spans="1:26" ht="12.75" customHeight="1" x14ac:dyDescent="0.25">
      <c r="A556" s="1"/>
      <c r="B556" s="1"/>
      <c r="C556" s="3"/>
      <c r="D556" s="3"/>
      <c r="E556" s="5"/>
      <c r="F556" s="5"/>
      <c r="G556" s="3"/>
      <c r="H556" s="5"/>
      <c r="I556" s="1"/>
      <c r="J556" s="7"/>
      <c r="K556" s="1"/>
      <c r="L556" s="1"/>
      <c r="M556" s="1"/>
      <c r="N556" s="1"/>
      <c r="O556" s="1"/>
      <c r="P556" s="1"/>
      <c r="Q556" s="1"/>
      <c r="R556" s="1"/>
      <c r="S556" s="1"/>
      <c r="T556" s="1"/>
      <c r="U556" s="1"/>
      <c r="V556" s="1"/>
      <c r="W556" s="1"/>
      <c r="X556" s="1"/>
      <c r="Y556" s="1"/>
      <c r="Z556" s="1"/>
    </row>
    <row r="557" spans="1:26" ht="12.75" customHeight="1" x14ac:dyDescent="0.25">
      <c r="A557" s="1"/>
      <c r="B557" s="1"/>
      <c r="C557" s="3"/>
      <c r="D557" s="3"/>
      <c r="E557" s="5"/>
      <c r="F557" s="5"/>
      <c r="G557" s="3"/>
      <c r="H557" s="5"/>
      <c r="I557" s="1"/>
      <c r="J557" s="7"/>
      <c r="K557" s="1"/>
      <c r="L557" s="1"/>
      <c r="M557" s="1"/>
      <c r="N557" s="1"/>
      <c r="O557" s="1"/>
      <c r="P557" s="1"/>
      <c r="Q557" s="1"/>
      <c r="R557" s="1"/>
      <c r="S557" s="1"/>
      <c r="T557" s="1"/>
      <c r="U557" s="1"/>
      <c r="V557" s="1"/>
      <c r="W557" s="1"/>
      <c r="X557" s="1"/>
      <c r="Y557" s="1"/>
      <c r="Z557" s="1"/>
    </row>
    <row r="558" spans="1:26" ht="12.75" customHeight="1" x14ac:dyDescent="0.25">
      <c r="A558" s="1"/>
      <c r="B558" s="1"/>
      <c r="C558" s="3"/>
      <c r="D558" s="3"/>
      <c r="E558" s="5"/>
      <c r="F558" s="5"/>
      <c r="G558" s="3"/>
      <c r="H558" s="5"/>
      <c r="I558" s="1"/>
      <c r="J558" s="7"/>
      <c r="K558" s="1"/>
      <c r="L558" s="1"/>
      <c r="M558" s="1"/>
      <c r="N558" s="1"/>
      <c r="O558" s="1"/>
      <c r="P558" s="1"/>
      <c r="Q558" s="1"/>
      <c r="R558" s="1"/>
      <c r="S558" s="1"/>
      <c r="T558" s="1"/>
      <c r="U558" s="1"/>
      <c r="V558" s="1"/>
      <c r="W558" s="1"/>
      <c r="X558" s="1"/>
      <c r="Y558" s="1"/>
      <c r="Z558" s="1"/>
    </row>
    <row r="559" spans="1:26" ht="12.75" customHeight="1" x14ac:dyDescent="0.25">
      <c r="A559" s="1"/>
      <c r="B559" s="1"/>
      <c r="C559" s="3"/>
      <c r="D559" s="3"/>
      <c r="E559" s="5"/>
      <c r="F559" s="5"/>
      <c r="G559" s="3"/>
      <c r="H559" s="5"/>
      <c r="I559" s="1"/>
      <c r="J559" s="7"/>
      <c r="K559" s="1"/>
      <c r="L559" s="1"/>
      <c r="M559" s="1"/>
      <c r="N559" s="1"/>
      <c r="O559" s="1"/>
      <c r="P559" s="1"/>
      <c r="Q559" s="1"/>
      <c r="R559" s="1"/>
      <c r="S559" s="1"/>
      <c r="T559" s="1"/>
      <c r="U559" s="1"/>
      <c r="V559" s="1"/>
      <c r="W559" s="1"/>
      <c r="X559" s="1"/>
      <c r="Y559" s="1"/>
      <c r="Z559" s="1"/>
    </row>
    <row r="560" spans="1:26" ht="12.75" customHeight="1" x14ac:dyDescent="0.25">
      <c r="A560" s="1"/>
      <c r="B560" s="1"/>
      <c r="C560" s="3"/>
      <c r="D560" s="3"/>
      <c r="E560" s="5"/>
      <c r="F560" s="5"/>
      <c r="G560" s="3"/>
      <c r="H560" s="5"/>
      <c r="I560" s="1"/>
      <c r="J560" s="7"/>
      <c r="K560" s="1"/>
      <c r="L560" s="1"/>
      <c r="M560" s="1"/>
      <c r="N560" s="1"/>
      <c r="O560" s="1"/>
      <c r="P560" s="1"/>
      <c r="Q560" s="1"/>
      <c r="R560" s="1"/>
      <c r="S560" s="1"/>
      <c r="T560" s="1"/>
      <c r="U560" s="1"/>
      <c r="V560" s="1"/>
      <c r="W560" s="1"/>
      <c r="X560" s="1"/>
      <c r="Y560" s="1"/>
      <c r="Z560" s="1"/>
    </row>
    <row r="561" spans="1:26" ht="12.75" customHeight="1" x14ac:dyDescent="0.25">
      <c r="A561" s="1"/>
      <c r="B561" s="1"/>
      <c r="C561" s="3"/>
      <c r="D561" s="3"/>
      <c r="E561" s="5"/>
      <c r="F561" s="5"/>
      <c r="G561" s="3"/>
      <c r="H561" s="5"/>
      <c r="I561" s="1"/>
      <c r="J561" s="7"/>
      <c r="K561" s="1"/>
      <c r="L561" s="1"/>
      <c r="M561" s="1"/>
      <c r="N561" s="1"/>
      <c r="O561" s="1"/>
      <c r="P561" s="1"/>
      <c r="Q561" s="1"/>
      <c r="R561" s="1"/>
      <c r="S561" s="1"/>
      <c r="T561" s="1"/>
      <c r="U561" s="1"/>
      <c r="V561" s="1"/>
      <c r="W561" s="1"/>
      <c r="X561" s="1"/>
      <c r="Y561" s="1"/>
      <c r="Z561" s="1"/>
    </row>
    <row r="562" spans="1:26" ht="12.75" customHeight="1" x14ac:dyDescent="0.25">
      <c r="A562" s="1"/>
      <c r="B562" s="1"/>
      <c r="C562" s="3"/>
      <c r="D562" s="3"/>
      <c r="E562" s="5"/>
      <c r="F562" s="5"/>
      <c r="G562" s="3"/>
      <c r="H562" s="5"/>
      <c r="I562" s="1"/>
      <c r="J562" s="7"/>
      <c r="K562" s="1"/>
      <c r="L562" s="1"/>
      <c r="M562" s="1"/>
      <c r="N562" s="1"/>
      <c r="O562" s="1"/>
      <c r="P562" s="1"/>
      <c r="Q562" s="1"/>
      <c r="R562" s="1"/>
      <c r="S562" s="1"/>
      <c r="T562" s="1"/>
      <c r="U562" s="1"/>
      <c r="V562" s="1"/>
      <c r="W562" s="1"/>
      <c r="X562" s="1"/>
      <c r="Y562" s="1"/>
      <c r="Z562" s="1"/>
    </row>
    <row r="563" spans="1:26" ht="12.75" customHeight="1" x14ac:dyDescent="0.25">
      <c r="A563" s="1"/>
      <c r="B563" s="1"/>
      <c r="C563" s="3"/>
      <c r="D563" s="3"/>
      <c r="E563" s="5"/>
      <c r="F563" s="5"/>
      <c r="G563" s="3"/>
      <c r="H563" s="5"/>
      <c r="I563" s="1"/>
      <c r="J563" s="7"/>
      <c r="K563" s="1"/>
      <c r="L563" s="1"/>
      <c r="M563" s="1"/>
      <c r="N563" s="1"/>
      <c r="O563" s="1"/>
      <c r="P563" s="1"/>
      <c r="Q563" s="1"/>
      <c r="R563" s="1"/>
      <c r="S563" s="1"/>
      <c r="T563" s="1"/>
      <c r="U563" s="1"/>
      <c r="V563" s="1"/>
      <c r="W563" s="1"/>
      <c r="X563" s="1"/>
      <c r="Y563" s="1"/>
      <c r="Z563" s="1"/>
    </row>
    <row r="564" spans="1:26" ht="12.75" customHeight="1" x14ac:dyDescent="0.25">
      <c r="A564" s="1"/>
      <c r="B564" s="1"/>
      <c r="C564" s="3"/>
      <c r="D564" s="3"/>
      <c r="E564" s="5"/>
      <c r="F564" s="5"/>
      <c r="G564" s="3"/>
      <c r="H564" s="5"/>
      <c r="I564" s="1"/>
      <c r="J564" s="7"/>
      <c r="K564" s="1"/>
      <c r="L564" s="1"/>
      <c r="M564" s="1"/>
      <c r="N564" s="1"/>
      <c r="O564" s="1"/>
      <c r="P564" s="1"/>
      <c r="Q564" s="1"/>
      <c r="R564" s="1"/>
      <c r="S564" s="1"/>
      <c r="T564" s="1"/>
      <c r="U564" s="1"/>
      <c r="V564" s="1"/>
      <c r="W564" s="1"/>
      <c r="X564" s="1"/>
      <c r="Y564" s="1"/>
      <c r="Z564" s="1"/>
    </row>
    <row r="565" spans="1:26" ht="12.75" customHeight="1" x14ac:dyDescent="0.25">
      <c r="A565" s="1"/>
      <c r="B565" s="1"/>
      <c r="C565" s="3"/>
      <c r="D565" s="3"/>
      <c r="E565" s="5"/>
      <c r="F565" s="5"/>
      <c r="G565" s="3"/>
      <c r="H565" s="5"/>
      <c r="I565" s="1"/>
      <c r="J565" s="7"/>
      <c r="K565" s="1"/>
      <c r="L565" s="1"/>
      <c r="M565" s="1"/>
      <c r="N565" s="1"/>
      <c r="O565" s="1"/>
      <c r="P565" s="1"/>
      <c r="Q565" s="1"/>
      <c r="R565" s="1"/>
      <c r="S565" s="1"/>
      <c r="T565" s="1"/>
      <c r="U565" s="1"/>
      <c r="V565" s="1"/>
      <c r="W565" s="1"/>
      <c r="X565" s="1"/>
      <c r="Y565" s="1"/>
      <c r="Z565" s="1"/>
    </row>
    <row r="566" spans="1:26" ht="12.75" customHeight="1" x14ac:dyDescent="0.25">
      <c r="A566" s="1"/>
      <c r="B566" s="1"/>
      <c r="C566" s="3"/>
      <c r="D566" s="3"/>
      <c r="E566" s="5"/>
      <c r="F566" s="5"/>
      <c r="G566" s="3"/>
      <c r="H566" s="5"/>
      <c r="I566" s="1"/>
      <c r="J566" s="7"/>
      <c r="K566" s="1"/>
      <c r="L566" s="1"/>
      <c r="M566" s="1"/>
      <c r="N566" s="1"/>
      <c r="O566" s="1"/>
      <c r="P566" s="1"/>
      <c r="Q566" s="1"/>
      <c r="R566" s="1"/>
      <c r="S566" s="1"/>
      <c r="T566" s="1"/>
      <c r="U566" s="1"/>
      <c r="V566" s="1"/>
      <c r="W566" s="1"/>
      <c r="X566" s="1"/>
      <c r="Y566" s="1"/>
      <c r="Z566" s="1"/>
    </row>
    <row r="567" spans="1:26" ht="12.75" customHeight="1" x14ac:dyDescent="0.25">
      <c r="A567" s="1"/>
      <c r="B567" s="1"/>
      <c r="C567" s="3"/>
      <c r="D567" s="3"/>
      <c r="E567" s="5"/>
      <c r="F567" s="5"/>
      <c r="G567" s="3"/>
      <c r="H567" s="5"/>
      <c r="I567" s="1"/>
      <c r="J567" s="7"/>
      <c r="K567" s="1"/>
      <c r="L567" s="1"/>
      <c r="M567" s="1"/>
      <c r="N567" s="1"/>
      <c r="O567" s="1"/>
      <c r="P567" s="1"/>
      <c r="Q567" s="1"/>
      <c r="R567" s="1"/>
      <c r="S567" s="1"/>
      <c r="T567" s="1"/>
      <c r="U567" s="1"/>
      <c r="V567" s="1"/>
      <c r="W567" s="1"/>
      <c r="X567" s="1"/>
      <c r="Y567" s="1"/>
      <c r="Z567" s="1"/>
    </row>
    <row r="568" spans="1:26" ht="12.75" customHeight="1" x14ac:dyDescent="0.25">
      <c r="A568" s="1"/>
      <c r="B568" s="1"/>
      <c r="C568" s="3"/>
      <c r="D568" s="3"/>
      <c r="E568" s="5"/>
      <c r="F568" s="5"/>
      <c r="G568" s="3"/>
      <c r="H568" s="5"/>
      <c r="I568" s="1"/>
      <c r="J568" s="7"/>
      <c r="K568" s="1"/>
      <c r="L568" s="1"/>
      <c r="M568" s="1"/>
      <c r="N568" s="1"/>
      <c r="O568" s="1"/>
      <c r="P568" s="1"/>
      <c r="Q568" s="1"/>
      <c r="R568" s="1"/>
      <c r="S568" s="1"/>
      <c r="T568" s="1"/>
      <c r="U568" s="1"/>
      <c r="V568" s="1"/>
      <c r="W568" s="1"/>
      <c r="X568" s="1"/>
      <c r="Y568" s="1"/>
      <c r="Z568" s="1"/>
    </row>
    <row r="569" spans="1:26" ht="12.75" customHeight="1" x14ac:dyDescent="0.25">
      <c r="A569" s="1"/>
      <c r="B569" s="1"/>
      <c r="C569" s="3"/>
      <c r="D569" s="3"/>
      <c r="E569" s="5"/>
      <c r="F569" s="5"/>
      <c r="G569" s="3"/>
      <c r="H569" s="5"/>
      <c r="I569" s="1"/>
      <c r="J569" s="7"/>
      <c r="K569" s="1"/>
      <c r="L569" s="1"/>
      <c r="M569" s="1"/>
      <c r="N569" s="1"/>
      <c r="O569" s="1"/>
      <c r="P569" s="1"/>
      <c r="Q569" s="1"/>
      <c r="R569" s="1"/>
      <c r="S569" s="1"/>
      <c r="T569" s="1"/>
      <c r="U569" s="1"/>
      <c r="V569" s="1"/>
      <c r="W569" s="1"/>
      <c r="X569" s="1"/>
      <c r="Y569" s="1"/>
      <c r="Z569" s="1"/>
    </row>
    <row r="570" spans="1:26" ht="12.75" customHeight="1" x14ac:dyDescent="0.25">
      <c r="A570" s="1"/>
      <c r="B570" s="1"/>
      <c r="C570" s="3"/>
      <c r="D570" s="3"/>
      <c r="E570" s="5"/>
      <c r="F570" s="5"/>
      <c r="G570" s="3"/>
      <c r="H570" s="5"/>
      <c r="I570" s="1"/>
      <c r="J570" s="7"/>
      <c r="K570" s="1"/>
      <c r="L570" s="1"/>
      <c r="M570" s="1"/>
      <c r="N570" s="1"/>
      <c r="O570" s="1"/>
      <c r="P570" s="1"/>
      <c r="Q570" s="1"/>
      <c r="R570" s="1"/>
      <c r="S570" s="1"/>
      <c r="T570" s="1"/>
      <c r="U570" s="1"/>
      <c r="V570" s="1"/>
      <c r="W570" s="1"/>
      <c r="X570" s="1"/>
      <c r="Y570" s="1"/>
      <c r="Z570" s="1"/>
    </row>
    <row r="571" spans="1:26" ht="12.75" customHeight="1" x14ac:dyDescent="0.25">
      <c r="A571" s="1"/>
      <c r="B571" s="1"/>
      <c r="C571" s="3"/>
      <c r="D571" s="3"/>
      <c r="E571" s="5"/>
      <c r="F571" s="5"/>
      <c r="G571" s="3"/>
      <c r="H571" s="5"/>
      <c r="I571" s="1"/>
      <c r="J571" s="7"/>
      <c r="K571" s="1"/>
      <c r="L571" s="1"/>
      <c r="M571" s="1"/>
      <c r="N571" s="1"/>
      <c r="O571" s="1"/>
      <c r="P571" s="1"/>
      <c r="Q571" s="1"/>
      <c r="R571" s="1"/>
      <c r="S571" s="1"/>
      <c r="T571" s="1"/>
      <c r="U571" s="1"/>
      <c r="V571" s="1"/>
      <c r="W571" s="1"/>
      <c r="X571" s="1"/>
      <c r="Y571" s="1"/>
      <c r="Z571" s="1"/>
    </row>
    <row r="572" spans="1:26" ht="12.75" customHeight="1" x14ac:dyDescent="0.25">
      <c r="A572" s="1"/>
      <c r="B572" s="1"/>
      <c r="C572" s="3"/>
      <c r="D572" s="3"/>
      <c r="E572" s="5"/>
      <c r="F572" s="5"/>
      <c r="G572" s="3"/>
      <c r="H572" s="5"/>
      <c r="I572" s="1"/>
      <c r="J572" s="7"/>
      <c r="K572" s="1"/>
      <c r="L572" s="1"/>
      <c r="M572" s="1"/>
      <c r="N572" s="1"/>
      <c r="O572" s="1"/>
      <c r="P572" s="1"/>
      <c r="Q572" s="1"/>
      <c r="R572" s="1"/>
      <c r="S572" s="1"/>
      <c r="T572" s="1"/>
      <c r="U572" s="1"/>
      <c r="V572" s="1"/>
      <c r="W572" s="1"/>
      <c r="X572" s="1"/>
      <c r="Y572" s="1"/>
      <c r="Z572" s="1"/>
    </row>
    <row r="573" spans="1:26" ht="12.75" customHeight="1" x14ac:dyDescent="0.25">
      <c r="A573" s="1"/>
      <c r="B573" s="1"/>
      <c r="C573" s="3"/>
      <c r="D573" s="3"/>
      <c r="E573" s="5"/>
      <c r="F573" s="5"/>
      <c r="G573" s="3"/>
      <c r="H573" s="5"/>
      <c r="I573" s="1"/>
      <c r="J573" s="7"/>
      <c r="K573" s="1"/>
      <c r="L573" s="1"/>
      <c r="M573" s="1"/>
      <c r="N573" s="1"/>
      <c r="O573" s="1"/>
      <c r="P573" s="1"/>
      <c r="Q573" s="1"/>
      <c r="R573" s="1"/>
      <c r="S573" s="1"/>
      <c r="T573" s="1"/>
      <c r="U573" s="1"/>
      <c r="V573" s="1"/>
      <c r="W573" s="1"/>
      <c r="X573" s="1"/>
      <c r="Y573" s="1"/>
      <c r="Z573" s="1"/>
    </row>
    <row r="574" spans="1:26" ht="12.75" customHeight="1" x14ac:dyDescent="0.25">
      <c r="A574" s="1"/>
      <c r="B574" s="1"/>
      <c r="C574" s="3"/>
      <c r="D574" s="3"/>
      <c r="E574" s="5"/>
      <c r="F574" s="5"/>
      <c r="G574" s="3"/>
      <c r="H574" s="5"/>
      <c r="I574" s="1"/>
      <c r="J574" s="7"/>
      <c r="K574" s="1"/>
      <c r="L574" s="1"/>
      <c r="M574" s="1"/>
      <c r="N574" s="1"/>
      <c r="O574" s="1"/>
      <c r="P574" s="1"/>
      <c r="Q574" s="1"/>
      <c r="R574" s="1"/>
      <c r="S574" s="1"/>
      <c r="T574" s="1"/>
      <c r="U574" s="1"/>
      <c r="V574" s="1"/>
      <c r="W574" s="1"/>
      <c r="X574" s="1"/>
      <c r="Y574" s="1"/>
      <c r="Z574" s="1"/>
    </row>
    <row r="575" spans="1:26" ht="12.75" customHeight="1" x14ac:dyDescent="0.25">
      <c r="A575" s="1"/>
      <c r="B575" s="1"/>
      <c r="C575" s="3"/>
      <c r="D575" s="3"/>
      <c r="E575" s="5"/>
      <c r="F575" s="5"/>
      <c r="G575" s="3"/>
      <c r="H575" s="5"/>
      <c r="I575" s="1"/>
      <c r="J575" s="7"/>
      <c r="K575" s="1"/>
      <c r="L575" s="1"/>
      <c r="M575" s="1"/>
      <c r="N575" s="1"/>
      <c r="O575" s="1"/>
      <c r="P575" s="1"/>
      <c r="Q575" s="1"/>
      <c r="R575" s="1"/>
      <c r="S575" s="1"/>
      <c r="T575" s="1"/>
      <c r="U575" s="1"/>
      <c r="V575" s="1"/>
      <c r="W575" s="1"/>
      <c r="X575" s="1"/>
      <c r="Y575" s="1"/>
      <c r="Z575" s="1"/>
    </row>
    <row r="576" spans="1:26" ht="12.75" customHeight="1" x14ac:dyDescent="0.25">
      <c r="A576" s="1"/>
      <c r="B576" s="1"/>
      <c r="C576" s="3"/>
      <c r="D576" s="3"/>
      <c r="E576" s="5"/>
      <c r="F576" s="5"/>
      <c r="G576" s="3"/>
      <c r="H576" s="5"/>
      <c r="I576" s="1"/>
      <c r="J576" s="7"/>
      <c r="K576" s="1"/>
      <c r="L576" s="1"/>
      <c r="M576" s="1"/>
      <c r="N576" s="1"/>
      <c r="O576" s="1"/>
      <c r="P576" s="1"/>
      <c r="Q576" s="1"/>
      <c r="R576" s="1"/>
      <c r="S576" s="1"/>
      <c r="T576" s="1"/>
      <c r="U576" s="1"/>
      <c r="V576" s="1"/>
      <c r="W576" s="1"/>
      <c r="X576" s="1"/>
      <c r="Y576" s="1"/>
      <c r="Z576" s="1"/>
    </row>
    <row r="577" spans="1:26" ht="12.75" customHeight="1" x14ac:dyDescent="0.25">
      <c r="A577" s="1"/>
      <c r="B577" s="1"/>
      <c r="C577" s="3"/>
      <c r="D577" s="3"/>
      <c r="E577" s="5"/>
      <c r="F577" s="5"/>
      <c r="G577" s="3"/>
      <c r="H577" s="5"/>
      <c r="I577" s="1"/>
      <c r="J577" s="7"/>
      <c r="K577" s="1"/>
      <c r="L577" s="1"/>
      <c r="M577" s="1"/>
      <c r="N577" s="1"/>
      <c r="O577" s="1"/>
      <c r="P577" s="1"/>
      <c r="Q577" s="1"/>
      <c r="R577" s="1"/>
      <c r="S577" s="1"/>
      <c r="T577" s="1"/>
      <c r="U577" s="1"/>
      <c r="V577" s="1"/>
      <c r="W577" s="1"/>
      <c r="X577" s="1"/>
      <c r="Y577" s="1"/>
      <c r="Z577" s="1"/>
    </row>
    <row r="578" spans="1:26" ht="12.75" customHeight="1" x14ac:dyDescent="0.25">
      <c r="A578" s="1"/>
      <c r="B578" s="1"/>
      <c r="C578" s="3"/>
      <c r="D578" s="3"/>
      <c r="E578" s="5"/>
      <c r="F578" s="5"/>
      <c r="G578" s="3"/>
      <c r="H578" s="5"/>
      <c r="I578" s="1"/>
      <c r="J578" s="7"/>
      <c r="K578" s="1"/>
      <c r="L578" s="1"/>
      <c r="M578" s="1"/>
      <c r="N578" s="1"/>
      <c r="O578" s="1"/>
      <c r="P578" s="1"/>
      <c r="Q578" s="1"/>
      <c r="R578" s="1"/>
      <c r="S578" s="1"/>
      <c r="T578" s="1"/>
      <c r="U578" s="1"/>
      <c r="V578" s="1"/>
      <c r="W578" s="1"/>
      <c r="X578" s="1"/>
      <c r="Y578" s="1"/>
      <c r="Z578" s="1"/>
    </row>
    <row r="579" spans="1:26" ht="12.75" customHeight="1" x14ac:dyDescent="0.25">
      <c r="A579" s="1"/>
      <c r="B579" s="1"/>
      <c r="C579" s="3"/>
      <c r="D579" s="3"/>
      <c r="E579" s="5"/>
      <c r="F579" s="5"/>
      <c r="G579" s="3"/>
      <c r="H579" s="5"/>
      <c r="I579" s="1"/>
      <c r="J579" s="7"/>
      <c r="K579" s="1"/>
      <c r="L579" s="1"/>
      <c r="M579" s="1"/>
      <c r="N579" s="1"/>
      <c r="O579" s="1"/>
      <c r="P579" s="1"/>
      <c r="Q579" s="1"/>
      <c r="R579" s="1"/>
      <c r="S579" s="1"/>
      <c r="T579" s="1"/>
      <c r="U579" s="1"/>
      <c r="V579" s="1"/>
      <c r="W579" s="1"/>
      <c r="X579" s="1"/>
      <c r="Y579" s="1"/>
      <c r="Z579" s="1"/>
    </row>
    <row r="580" spans="1:26" ht="12.75" customHeight="1" x14ac:dyDescent="0.25">
      <c r="A580" s="1"/>
      <c r="B580" s="1"/>
      <c r="C580" s="3"/>
      <c r="D580" s="3"/>
      <c r="E580" s="5"/>
      <c r="F580" s="5"/>
      <c r="G580" s="3"/>
      <c r="H580" s="5"/>
      <c r="I580" s="1"/>
      <c r="J580" s="7"/>
      <c r="K580" s="1"/>
      <c r="L580" s="1"/>
      <c r="M580" s="1"/>
      <c r="N580" s="1"/>
      <c r="O580" s="1"/>
      <c r="P580" s="1"/>
      <c r="Q580" s="1"/>
      <c r="R580" s="1"/>
      <c r="S580" s="1"/>
      <c r="T580" s="1"/>
      <c r="U580" s="1"/>
      <c r="V580" s="1"/>
      <c r="W580" s="1"/>
      <c r="X580" s="1"/>
      <c r="Y580" s="1"/>
      <c r="Z580" s="1"/>
    </row>
    <row r="581" spans="1:26" ht="12.75" customHeight="1" x14ac:dyDescent="0.25">
      <c r="A581" s="1"/>
      <c r="B581" s="1"/>
      <c r="C581" s="3"/>
      <c r="D581" s="3"/>
      <c r="E581" s="5"/>
      <c r="F581" s="5"/>
      <c r="G581" s="3"/>
      <c r="H581" s="5"/>
      <c r="I581" s="1"/>
      <c r="J581" s="7"/>
      <c r="K581" s="1"/>
      <c r="L581" s="1"/>
      <c r="M581" s="1"/>
      <c r="N581" s="1"/>
      <c r="O581" s="1"/>
      <c r="P581" s="1"/>
      <c r="Q581" s="1"/>
      <c r="R581" s="1"/>
      <c r="S581" s="1"/>
      <c r="T581" s="1"/>
      <c r="U581" s="1"/>
      <c r="V581" s="1"/>
      <c r="W581" s="1"/>
      <c r="X581" s="1"/>
      <c r="Y581" s="1"/>
      <c r="Z581" s="1"/>
    </row>
    <row r="582" spans="1:26" ht="12.75" customHeight="1" x14ac:dyDescent="0.25">
      <c r="A582" s="1"/>
      <c r="B582" s="1"/>
      <c r="C582" s="3"/>
      <c r="D582" s="3"/>
      <c r="E582" s="5"/>
      <c r="F582" s="5"/>
      <c r="G582" s="3"/>
      <c r="H582" s="5"/>
      <c r="I582" s="1"/>
      <c r="J582" s="7"/>
      <c r="K582" s="1"/>
      <c r="L582" s="1"/>
      <c r="M582" s="1"/>
      <c r="N582" s="1"/>
      <c r="O582" s="1"/>
      <c r="P582" s="1"/>
      <c r="Q582" s="1"/>
      <c r="R582" s="1"/>
      <c r="S582" s="1"/>
      <c r="T582" s="1"/>
      <c r="U582" s="1"/>
      <c r="V582" s="1"/>
      <c r="W582" s="1"/>
      <c r="X582" s="1"/>
      <c r="Y582" s="1"/>
      <c r="Z582" s="1"/>
    </row>
    <row r="583" spans="1:26" ht="12.75" customHeight="1" x14ac:dyDescent="0.25">
      <c r="A583" s="1"/>
      <c r="B583" s="1"/>
      <c r="C583" s="3"/>
      <c r="D583" s="3"/>
      <c r="E583" s="5"/>
      <c r="F583" s="5"/>
      <c r="G583" s="3"/>
      <c r="H583" s="5"/>
      <c r="I583" s="1"/>
      <c r="J583" s="7"/>
      <c r="K583" s="1"/>
      <c r="L583" s="1"/>
      <c r="M583" s="1"/>
      <c r="N583" s="1"/>
      <c r="O583" s="1"/>
      <c r="P583" s="1"/>
      <c r="Q583" s="1"/>
      <c r="R583" s="1"/>
      <c r="S583" s="1"/>
      <c r="T583" s="1"/>
      <c r="U583" s="1"/>
      <c r="V583" s="1"/>
      <c r="W583" s="1"/>
      <c r="X583" s="1"/>
      <c r="Y583" s="1"/>
      <c r="Z583" s="1"/>
    </row>
    <row r="584" spans="1:26" ht="12.75" customHeight="1" x14ac:dyDescent="0.25">
      <c r="A584" s="1"/>
      <c r="B584" s="1"/>
      <c r="C584" s="3"/>
      <c r="D584" s="3"/>
      <c r="E584" s="5"/>
      <c r="F584" s="5"/>
      <c r="G584" s="3"/>
      <c r="H584" s="5"/>
      <c r="I584" s="1"/>
      <c r="J584" s="7"/>
      <c r="K584" s="1"/>
      <c r="L584" s="1"/>
      <c r="M584" s="1"/>
      <c r="N584" s="1"/>
      <c r="O584" s="1"/>
      <c r="P584" s="1"/>
      <c r="Q584" s="1"/>
      <c r="R584" s="1"/>
      <c r="S584" s="1"/>
      <c r="T584" s="1"/>
      <c r="U584" s="1"/>
      <c r="V584" s="1"/>
      <c r="W584" s="1"/>
      <c r="X584" s="1"/>
      <c r="Y584" s="1"/>
      <c r="Z584" s="1"/>
    </row>
    <row r="585" spans="1:26" ht="12.75" customHeight="1" x14ac:dyDescent="0.25">
      <c r="A585" s="1"/>
      <c r="B585" s="1"/>
      <c r="C585" s="3"/>
      <c r="D585" s="3"/>
      <c r="E585" s="5"/>
      <c r="F585" s="5"/>
      <c r="G585" s="3"/>
      <c r="H585" s="5"/>
      <c r="I585" s="1"/>
      <c r="J585" s="7"/>
      <c r="K585" s="1"/>
      <c r="L585" s="1"/>
      <c r="M585" s="1"/>
      <c r="N585" s="1"/>
      <c r="O585" s="1"/>
      <c r="P585" s="1"/>
      <c r="Q585" s="1"/>
      <c r="R585" s="1"/>
      <c r="S585" s="1"/>
      <c r="T585" s="1"/>
      <c r="U585" s="1"/>
      <c r="V585" s="1"/>
      <c r="W585" s="1"/>
      <c r="X585" s="1"/>
      <c r="Y585" s="1"/>
      <c r="Z585" s="1"/>
    </row>
    <row r="586" spans="1:26" ht="12.75" customHeight="1" x14ac:dyDescent="0.25">
      <c r="A586" s="1"/>
      <c r="B586" s="1"/>
      <c r="C586" s="3"/>
      <c r="D586" s="3"/>
      <c r="E586" s="5"/>
      <c r="F586" s="5"/>
      <c r="G586" s="3"/>
      <c r="H586" s="5"/>
      <c r="I586" s="1"/>
      <c r="J586" s="7"/>
      <c r="K586" s="1"/>
      <c r="L586" s="1"/>
      <c r="M586" s="1"/>
      <c r="N586" s="1"/>
      <c r="O586" s="1"/>
      <c r="P586" s="1"/>
      <c r="Q586" s="1"/>
      <c r="R586" s="1"/>
      <c r="S586" s="1"/>
      <c r="T586" s="1"/>
      <c r="U586" s="1"/>
      <c r="V586" s="1"/>
      <c r="W586" s="1"/>
      <c r="X586" s="1"/>
      <c r="Y586" s="1"/>
      <c r="Z586" s="1"/>
    </row>
    <row r="587" spans="1:26" ht="12.75" customHeight="1" x14ac:dyDescent="0.25">
      <c r="A587" s="1"/>
      <c r="B587" s="1"/>
      <c r="C587" s="3"/>
      <c r="D587" s="3"/>
      <c r="E587" s="5"/>
      <c r="F587" s="5"/>
      <c r="G587" s="3"/>
      <c r="H587" s="5"/>
      <c r="I587" s="1"/>
      <c r="J587" s="7"/>
      <c r="K587" s="1"/>
      <c r="L587" s="1"/>
      <c r="M587" s="1"/>
      <c r="N587" s="1"/>
      <c r="O587" s="1"/>
      <c r="P587" s="1"/>
      <c r="Q587" s="1"/>
      <c r="R587" s="1"/>
      <c r="S587" s="1"/>
      <c r="T587" s="1"/>
      <c r="U587" s="1"/>
      <c r="V587" s="1"/>
      <c r="W587" s="1"/>
      <c r="X587" s="1"/>
      <c r="Y587" s="1"/>
      <c r="Z587" s="1"/>
    </row>
    <row r="588" spans="1:26" ht="12.75" customHeight="1" x14ac:dyDescent="0.25">
      <c r="A588" s="1"/>
      <c r="B588" s="1"/>
      <c r="C588" s="3"/>
      <c r="D588" s="3"/>
      <c r="E588" s="5"/>
      <c r="F588" s="5"/>
      <c r="G588" s="3"/>
      <c r="H588" s="5"/>
      <c r="I588" s="1"/>
      <c r="J588" s="7"/>
      <c r="K588" s="1"/>
      <c r="L588" s="1"/>
      <c r="M588" s="1"/>
      <c r="N588" s="1"/>
      <c r="O588" s="1"/>
      <c r="P588" s="1"/>
      <c r="Q588" s="1"/>
      <c r="R588" s="1"/>
      <c r="S588" s="1"/>
      <c r="T588" s="1"/>
      <c r="U588" s="1"/>
      <c r="V588" s="1"/>
      <c r="W588" s="1"/>
      <c r="X588" s="1"/>
      <c r="Y588" s="1"/>
      <c r="Z588" s="1"/>
    </row>
    <row r="589" spans="1:26" ht="12.75" customHeight="1" x14ac:dyDescent="0.25">
      <c r="A589" s="1"/>
      <c r="B589" s="1"/>
      <c r="C589" s="3"/>
      <c r="D589" s="3"/>
      <c r="E589" s="5"/>
      <c r="F589" s="5"/>
      <c r="G589" s="3"/>
      <c r="H589" s="5"/>
      <c r="I589" s="1"/>
      <c r="J589" s="7"/>
      <c r="K589" s="1"/>
      <c r="L589" s="1"/>
      <c r="M589" s="1"/>
      <c r="N589" s="1"/>
      <c r="O589" s="1"/>
      <c r="P589" s="1"/>
      <c r="Q589" s="1"/>
      <c r="R589" s="1"/>
      <c r="S589" s="1"/>
      <c r="T589" s="1"/>
      <c r="U589" s="1"/>
      <c r="V589" s="1"/>
      <c r="W589" s="1"/>
      <c r="X589" s="1"/>
      <c r="Y589" s="1"/>
      <c r="Z589" s="1"/>
    </row>
    <row r="590" spans="1:26" ht="12.75" customHeight="1" x14ac:dyDescent="0.25">
      <c r="A590" s="1"/>
      <c r="B590" s="1"/>
      <c r="C590" s="3"/>
      <c r="D590" s="3"/>
      <c r="E590" s="5"/>
      <c r="F590" s="5"/>
      <c r="G590" s="3"/>
      <c r="H590" s="5"/>
      <c r="I590" s="1"/>
      <c r="J590" s="7"/>
      <c r="K590" s="1"/>
      <c r="L590" s="1"/>
      <c r="M590" s="1"/>
      <c r="N590" s="1"/>
      <c r="O590" s="1"/>
      <c r="P590" s="1"/>
      <c r="Q590" s="1"/>
      <c r="R590" s="1"/>
      <c r="S590" s="1"/>
      <c r="T590" s="1"/>
      <c r="U590" s="1"/>
      <c r="V590" s="1"/>
      <c r="W590" s="1"/>
      <c r="X590" s="1"/>
      <c r="Y590" s="1"/>
      <c r="Z590" s="1"/>
    </row>
    <row r="591" spans="1:26" ht="12.75" customHeight="1" x14ac:dyDescent="0.25">
      <c r="A591" s="1"/>
      <c r="B591" s="1"/>
      <c r="C591" s="3"/>
      <c r="D591" s="3"/>
      <c r="E591" s="5"/>
      <c r="F591" s="5"/>
      <c r="G591" s="3"/>
      <c r="H591" s="5"/>
      <c r="I591" s="1"/>
      <c r="J591" s="7"/>
      <c r="K591" s="1"/>
      <c r="L591" s="1"/>
      <c r="M591" s="1"/>
      <c r="N591" s="1"/>
      <c r="O591" s="1"/>
      <c r="P591" s="1"/>
      <c r="Q591" s="1"/>
      <c r="R591" s="1"/>
      <c r="S591" s="1"/>
      <c r="T591" s="1"/>
      <c r="U591" s="1"/>
      <c r="V591" s="1"/>
      <c r="W591" s="1"/>
      <c r="X591" s="1"/>
      <c r="Y591" s="1"/>
      <c r="Z591" s="1"/>
    </row>
    <row r="592" spans="1:26" ht="12.75" customHeight="1" x14ac:dyDescent="0.25">
      <c r="A592" s="1"/>
      <c r="B592" s="1"/>
      <c r="C592" s="3"/>
      <c r="D592" s="3"/>
      <c r="E592" s="5"/>
      <c r="F592" s="5"/>
      <c r="G592" s="3"/>
      <c r="H592" s="5"/>
      <c r="I592" s="1"/>
      <c r="J592" s="7"/>
      <c r="K592" s="1"/>
      <c r="L592" s="1"/>
      <c r="M592" s="1"/>
      <c r="N592" s="1"/>
      <c r="O592" s="1"/>
      <c r="P592" s="1"/>
      <c r="Q592" s="1"/>
      <c r="R592" s="1"/>
      <c r="S592" s="1"/>
      <c r="T592" s="1"/>
      <c r="U592" s="1"/>
      <c r="V592" s="1"/>
      <c r="W592" s="1"/>
      <c r="X592" s="1"/>
      <c r="Y592" s="1"/>
      <c r="Z592" s="1"/>
    </row>
    <row r="593" spans="1:26" ht="12.75" customHeight="1" x14ac:dyDescent="0.25">
      <c r="A593" s="1"/>
      <c r="B593" s="1"/>
      <c r="C593" s="3"/>
      <c r="D593" s="3"/>
      <c r="E593" s="5"/>
      <c r="F593" s="5"/>
      <c r="G593" s="3"/>
      <c r="H593" s="5"/>
      <c r="I593" s="1"/>
      <c r="J593" s="7"/>
      <c r="K593" s="1"/>
      <c r="L593" s="1"/>
      <c r="M593" s="1"/>
      <c r="N593" s="1"/>
      <c r="O593" s="1"/>
      <c r="P593" s="1"/>
      <c r="Q593" s="1"/>
      <c r="R593" s="1"/>
      <c r="S593" s="1"/>
      <c r="T593" s="1"/>
      <c r="U593" s="1"/>
      <c r="V593" s="1"/>
      <c r="W593" s="1"/>
      <c r="X593" s="1"/>
      <c r="Y593" s="1"/>
      <c r="Z593" s="1"/>
    </row>
    <row r="594" spans="1:26" ht="12.75" customHeight="1" x14ac:dyDescent="0.25">
      <c r="A594" s="1"/>
      <c r="B594" s="1"/>
      <c r="C594" s="3"/>
      <c r="D594" s="3"/>
      <c r="E594" s="5"/>
      <c r="F594" s="5"/>
      <c r="G594" s="3"/>
      <c r="H594" s="5"/>
      <c r="I594" s="1"/>
      <c r="J594" s="7"/>
      <c r="K594" s="1"/>
      <c r="L594" s="1"/>
      <c r="M594" s="1"/>
      <c r="N594" s="1"/>
      <c r="O594" s="1"/>
      <c r="P594" s="1"/>
      <c r="Q594" s="1"/>
      <c r="R594" s="1"/>
      <c r="S594" s="1"/>
      <c r="T594" s="1"/>
      <c r="U594" s="1"/>
      <c r="V594" s="1"/>
      <c r="W594" s="1"/>
      <c r="X594" s="1"/>
      <c r="Y594" s="1"/>
      <c r="Z594" s="1"/>
    </row>
    <row r="595" spans="1:26" ht="12.75" customHeight="1" x14ac:dyDescent="0.25">
      <c r="A595" s="1"/>
      <c r="B595" s="1"/>
      <c r="C595" s="3"/>
      <c r="D595" s="3"/>
      <c r="E595" s="5"/>
      <c r="F595" s="5"/>
      <c r="G595" s="3"/>
      <c r="H595" s="5"/>
      <c r="I595" s="1"/>
      <c r="J595" s="7"/>
      <c r="K595" s="1"/>
      <c r="L595" s="1"/>
      <c r="M595" s="1"/>
      <c r="N595" s="1"/>
      <c r="O595" s="1"/>
      <c r="P595" s="1"/>
      <c r="Q595" s="1"/>
      <c r="R595" s="1"/>
      <c r="S595" s="1"/>
      <c r="T595" s="1"/>
      <c r="U595" s="1"/>
      <c r="V595" s="1"/>
      <c r="W595" s="1"/>
      <c r="X595" s="1"/>
      <c r="Y595" s="1"/>
      <c r="Z595" s="1"/>
    </row>
    <row r="596" spans="1:26" ht="12.75" customHeight="1" x14ac:dyDescent="0.25">
      <c r="A596" s="1"/>
      <c r="B596" s="1"/>
      <c r="C596" s="3"/>
      <c r="D596" s="3"/>
      <c r="E596" s="5"/>
      <c r="F596" s="5"/>
      <c r="G596" s="3"/>
      <c r="H596" s="5"/>
      <c r="I596" s="1"/>
      <c r="J596" s="7"/>
      <c r="K596" s="1"/>
      <c r="L596" s="1"/>
      <c r="M596" s="1"/>
      <c r="N596" s="1"/>
      <c r="O596" s="1"/>
      <c r="P596" s="1"/>
      <c r="Q596" s="1"/>
      <c r="R596" s="1"/>
      <c r="S596" s="1"/>
      <c r="T596" s="1"/>
      <c r="U596" s="1"/>
      <c r="V596" s="1"/>
      <c r="W596" s="1"/>
      <c r="X596" s="1"/>
      <c r="Y596" s="1"/>
      <c r="Z596" s="1"/>
    </row>
    <row r="597" spans="1:26" ht="12.75" customHeight="1" x14ac:dyDescent="0.25">
      <c r="A597" s="1"/>
      <c r="B597" s="1"/>
      <c r="C597" s="3"/>
      <c r="D597" s="3"/>
      <c r="E597" s="5"/>
      <c r="F597" s="5"/>
      <c r="G597" s="3"/>
      <c r="H597" s="5"/>
      <c r="I597" s="1"/>
      <c r="J597" s="7"/>
      <c r="K597" s="1"/>
      <c r="L597" s="1"/>
      <c r="M597" s="1"/>
      <c r="N597" s="1"/>
      <c r="O597" s="1"/>
      <c r="P597" s="1"/>
      <c r="Q597" s="1"/>
      <c r="R597" s="1"/>
      <c r="S597" s="1"/>
      <c r="T597" s="1"/>
      <c r="U597" s="1"/>
      <c r="V597" s="1"/>
      <c r="W597" s="1"/>
      <c r="X597" s="1"/>
      <c r="Y597" s="1"/>
      <c r="Z597" s="1"/>
    </row>
    <row r="598" spans="1:26" ht="12.75" customHeight="1" x14ac:dyDescent="0.25">
      <c r="A598" s="1"/>
      <c r="B598" s="1"/>
      <c r="C598" s="3"/>
      <c r="D598" s="3"/>
      <c r="E598" s="5"/>
      <c r="F598" s="5"/>
      <c r="G598" s="3"/>
      <c r="H598" s="5"/>
      <c r="I598" s="1"/>
      <c r="J598" s="7"/>
      <c r="K598" s="1"/>
      <c r="L598" s="1"/>
      <c r="M598" s="1"/>
      <c r="N598" s="1"/>
      <c r="O598" s="1"/>
      <c r="P598" s="1"/>
      <c r="Q598" s="1"/>
      <c r="R598" s="1"/>
      <c r="S598" s="1"/>
      <c r="T598" s="1"/>
      <c r="U598" s="1"/>
      <c r="V598" s="1"/>
      <c r="W598" s="1"/>
      <c r="X598" s="1"/>
      <c r="Y598" s="1"/>
      <c r="Z598" s="1"/>
    </row>
    <row r="599" spans="1:26" ht="12.75" customHeight="1" x14ac:dyDescent="0.25">
      <c r="A599" s="1"/>
      <c r="B599" s="1"/>
      <c r="C599" s="3"/>
      <c r="D599" s="3"/>
      <c r="E599" s="5"/>
      <c r="F599" s="5"/>
      <c r="G599" s="3"/>
      <c r="H599" s="5"/>
      <c r="I599" s="1"/>
      <c r="J599" s="7"/>
      <c r="K599" s="1"/>
      <c r="L599" s="1"/>
      <c r="M599" s="1"/>
      <c r="N599" s="1"/>
      <c r="O599" s="1"/>
      <c r="P599" s="1"/>
      <c r="Q599" s="1"/>
      <c r="R599" s="1"/>
      <c r="S599" s="1"/>
      <c r="T599" s="1"/>
      <c r="U599" s="1"/>
      <c r="V599" s="1"/>
      <c r="W599" s="1"/>
      <c r="X599" s="1"/>
      <c r="Y599" s="1"/>
      <c r="Z599" s="1"/>
    </row>
    <row r="600" spans="1:26" ht="12.75" customHeight="1" x14ac:dyDescent="0.25">
      <c r="A600" s="1"/>
      <c r="B600" s="1"/>
      <c r="C600" s="3"/>
      <c r="D600" s="3"/>
      <c r="E600" s="5"/>
      <c r="F600" s="5"/>
      <c r="G600" s="3"/>
      <c r="H600" s="5"/>
      <c r="I600" s="1"/>
      <c r="J600" s="7"/>
      <c r="K600" s="1"/>
      <c r="L600" s="1"/>
      <c r="M600" s="1"/>
      <c r="N600" s="1"/>
      <c r="O600" s="1"/>
      <c r="P600" s="1"/>
      <c r="Q600" s="1"/>
      <c r="R600" s="1"/>
      <c r="S600" s="1"/>
      <c r="T600" s="1"/>
      <c r="U600" s="1"/>
      <c r="V600" s="1"/>
      <c r="W600" s="1"/>
      <c r="X600" s="1"/>
      <c r="Y600" s="1"/>
      <c r="Z600" s="1"/>
    </row>
    <row r="601" spans="1:26" ht="12.75" customHeight="1" x14ac:dyDescent="0.25">
      <c r="A601" s="1"/>
      <c r="B601" s="1"/>
      <c r="C601" s="3"/>
      <c r="D601" s="3"/>
      <c r="E601" s="5"/>
      <c r="F601" s="5"/>
      <c r="G601" s="3"/>
      <c r="H601" s="5"/>
      <c r="I601" s="1"/>
      <c r="J601" s="7"/>
      <c r="K601" s="1"/>
      <c r="L601" s="1"/>
      <c r="M601" s="1"/>
      <c r="N601" s="1"/>
      <c r="O601" s="1"/>
      <c r="P601" s="1"/>
      <c r="Q601" s="1"/>
      <c r="R601" s="1"/>
      <c r="S601" s="1"/>
      <c r="T601" s="1"/>
      <c r="U601" s="1"/>
      <c r="V601" s="1"/>
      <c r="W601" s="1"/>
      <c r="X601" s="1"/>
      <c r="Y601" s="1"/>
      <c r="Z601" s="1"/>
    </row>
    <row r="602" spans="1:26" ht="12.75" customHeight="1" x14ac:dyDescent="0.25">
      <c r="A602" s="1"/>
      <c r="B602" s="1"/>
      <c r="C602" s="3"/>
      <c r="D602" s="3"/>
      <c r="E602" s="5"/>
      <c r="F602" s="5"/>
      <c r="G602" s="3"/>
      <c r="H602" s="5"/>
      <c r="I602" s="1"/>
      <c r="J602" s="7"/>
      <c r="K602" s="1"/>
      <c r="L602" s="1"/>
      <c r="M602" s="1"/>
      <c r="N602" s="1"/>
      <c r="O602" s="1"/>
      <c r="P602" s="1"/>
      <c r="Q602" s="1"/>
      <c r="R602" s="1"/>
      <c r="S602" s="1"/>
      <c r="T602" s="1"/>
      <c r="U602" s="1"/>
      <c r="V602" s="1"/>
      <c r="W602" s="1"/>
      <c r="X602" s="1"/>
      <c r="Y602" s="1"/>
      <c r="Z602" s="1"/>
    </row>
    <row r="603" spans="1:26" ht="12.75" customHeight="1" x14ac:dyDescent="0.25">
      <c r="A603" s="1"/>
      <c r="B603" s="1"/>
      <c r="C603" s="3"/>
      <c r="D603" s="3"/>
      <c r="E603" s="5"/>
      <c r="F603" s="5"/>
      <c r="G603" s="3"/>
      <c r="H603" s="5"/>
      <c r="I603" s="1"/>
      <c r="J603" s="7"/>
      <c r="K603" s="1"/>
      <c r="L603" s="1"/>
      <c r="M603" s="1"/>
      <c r="N603" s="1"/>
      <c r="O603" s="1"/>
      <c r="P603" s="1"/>
      <c r="Q603" s="1"/>
      <c r="R603" s="1"/>
      <c r="S603" s="1"/>
      <c r="T603" s="1"/>
      <c r="U603" s="1"/>
      <c r="V603" s="1"/>
      <c r="W603" s="1"/>
      <c r="X603" s="1"/>
      <c r="Y603" s="1"/>
      <c r="Z603" s="1"/>
    </row>
    <row r="604" spans="1:26" ht="12.75" customHeight="1" x14ac:dyDescent="0.25">
      <c r="A604" s="1"/>
      <c r="B604" s="1"/>
      <c r="C604" s="3"/>
      <c r="D604" s="3"/>
      <c r="E604" s="5"/>
      <c r="F604" s="5"/>
      <c r="G604" s="3"/>
      <c r="H604" s="5"/>
      <c r="I604" s="1"/>
      <c r="J604" s="7"/>
      <c r="K604" s="1"/>
      <c r="L604" s="1"/>
      <c r="M604" s="1"/>
      <c r="N604" s="1"/>
      <c r="O604" s="1"/>
      <c r="P604" s="1"/>
      <c r="Q604" s="1"/>
      <c r="R604" s="1"/>
      <c r="S604" s="1"/>
      <c r="T604" s="1"/>
      <c r="U604" s="1"/>
      <c r="V604" s="1"/>
      <c r="W604" s="1"/>
      <c r="X604" s="1"/>
      <c r="Y604" s="1"/>
      <c r="Z604" s="1"/>
    </row>
    <row r="605" spans="1:26" ht="12.75" customHeight="1" x14ac:dyDescent="0.25">
      <c r="A605" s="1"/>
      <c r="B605" s="1"/>
      <c r="C605" s="3"/>
      <c r="D605" s="3"/>
      <c r="E605" s="5"/>
      <c r="F605" s="5"/>
      <c r="G605" s="3"/>
      <c r="H605" s="5"/>
      <c r="I605" s="1"/>
      <c r="J605" s="7"/>
      <c r="K605" s="1"/>
      <c r="L605" s="1"/>
      <c r="M605" s="1"/>
      <c r="N605" s="1"/>
      <c r="O605" s="1"/>
      <c r="P605" s="1"/>
      <c r="Q605" s="1"/>
      <c r="R605" s="1"/>
      <c r="S605" s="1"/>
      <c r="T605" s="1"/>
      <c r="U605" s="1"/>
      <c r="V605" s="1"/>
      <c r="W605" s="1"/>
      <c r="X605" s="1"/>
      <c r="Y605" s="1"/>
      <c r="Z605" s="1"/>
    </row>
    <row r="606" spans="1:26" ht="12.75" customHeight="1" x14ac:dyDescent="0.25">
      <c r="A606" s="1"/>
      <c r="B606" s="1"/>
      <c r="C606" s="3"/>
      <c r="D606" s="3"/>
      <c r="E606" s="5"/>
      <c r="F606" s="5"/>
      <c r="G606" s="3"/>
      <c r="H606" s="5"/>
      <c r="I606" s="1"/>
      <c r="J606" s="7"/>
      <c r="K606" s="1"/>
      <c r="L606" s="1"/>
      <c r="M606" s="1"/>
      <c r="N606" s="1"/>
      <c r="O606" s="1"/>
      <c r="P606" s="1"/>
      <c r="Q606" s="1"/>
      <c r="R606" s="1"/>
      <c r="S606" s="1"/>
      <c r="T606" s="1"/>
      <c r="U606" s="1"/>
      <c r="V606" s="1"/>
      <c r="W606" s="1"/>
      <c r="X606" s="1"/>
      <c r="Y606" s="1"/>
      <c r="Z606" s="1"/>
    </row>
    <row r="607" spans="1:26" ht="12.75" customHeight="1" x14ac:dyDescent="0.25">
      <c r="A607" s="1"/>
      <c r="B607" s="1"/>
      <c r="C607" s="3"/>
      <c r="D607" s="3"/>
      <c r="E607" s="5"/>
      <c r="F607" s="5"/>
      <c r="G607" s="3"/>
      <c r="H607" s="5"/>
      <c r="I607" s="1"/>
      <c r="J607" s="7"/>
      <c r="K607" s="1"/>
      <c r="L607" s="1"/>
      <c r="M607" s="1"/>
      <c r="N607" s="1"/>
      <c r="O607" s="1"/>
      <c r="P607" s="1"/>
      <c r="Q607" s="1"/>
      <c r="R607" s="1"/>
      <c r="S607" s="1"/>
      <c r="T607" s="1"/>
      <c r="U607" s="1"/>
      <c r="V607" s="1"/>
      <c r="W607" s="1"/>
      <c r="X607" s="1"/>
      <c r="Y607" s="1"/>
      <c r="Z607" s="1"/>
    </row>
    <row r="608" spans="1:26" ht="12.75" customHeight="1" x14ac:dyDescent="0.25">
      <c r="A608" s="1"/>
      <c r="B608" s="1"/>
      <c r="C608" s="3"/>
      <c r="D608" s="3"/>
      <c r="E608" s="5"/>
      <c r="F608" s="5"/>
      <c r="G608" s="3"/>
      <c r="H608" s="5"/>
      <c r="I608" s="1"/>
      <c r="J608" s="7"/>
      <c r="K608" s="1"/>
      <c r="L608" s="1"/>
      <c r="M608" s="1"/>
      <c r="N608" s="1"/>
      <c r="O608" s="1"/>
      <c r="P608" s="1"/>
      <c r="Q608" s="1"/>
      <c r="R608" s="1"/>
      <c r="S608" s="1"/>
      <c r="T608" s="1"/>
      <c r="U608" s="1"/>
      <c r="V608" s="1"/>
      <c r="W608" s="1"/>
      <c r="X608" s="1"/>
      <c r="Y608" s="1"/>
      <c r="Z608" s="1"/>
    </row>
    <row r="609" spans="1:26" ht="12.75" customHeight="1" x14ac:dyDescent="0.25">
      <c r="A609" s="1"/>
      <c r="B609" s="1"/>
      <c r="C609" s="3"/>
      <c r="D609" s="3"/>
      <c r="E609" s="5"/>
      <c r="F609" s="5"/>
      <c r="G609" s="3"/>
      <c r="H609" s="5"/>
      <c r="I609" s="1"/>
      <c r="J609" s="7"/>
      <c r="K609" s="1"/>
      <c r="L609" s="1"/>
      <c r="M609" s="1"/>
      <c r="N609" s="1"/>
      <c r="O609" s="1"/>
      <c r="P609" s="1"/>
      <c r="Q609" s="1"/>
      <c r="R609" s="1"/>
      <c r="S609" s="1"/>
      <c r="T609" s="1"/>
      <c r="U609" s="1"/>
      <c r="V609" s="1"/>
      <c r="W609" s="1"/>
      <c r="X609" s="1"/>
      <c r="Y609" s="1"/>
      <c r="Z609" s="1"/>
    </row>
    <row r="610" spans="1:26" ht="12.75" customHeight="1" x14ac:dyDescent="0.25">
      <c r="A610" s="1"/>
      <c r="B610" s="1"/>
      <c r="C610" s="3"/>
      <c r="D610" s="3"/>
      <c r="E610" s="5"/>
      <c r="F610" s="5"/>
      <c r="G610" s="3"/>
      <c r="H610" s="5"/>
      <c r="I610" s="1"/>
      <c r="J610" s="7"/>
      <c r="K610" s="1"/>
      <c r="L610" s="1"/>
      <c r="M610" s="1"/>
      <c r="N610" s="1"/>
      <c r="O610" s="1"/>
      <c r="P610" s="1"/>
      <c r="Q610" s="1"/>
      <c r="R610" s="1"/>
      <c r="S610" s="1"/>
      <c r="T610" s="1"/>
      <c r="U610" s="1"/>
      <c r="V610" s="1"/>
      <c r="W610" s="1"/>
      <c r="X610" s="1"/>
      <c r="Y610" s="1"/>
      <c r="Z610" s="1"/>
    </row>
    <row r="611" spans="1:26" ht="12.75" customHeight="1" x14ac:dyDescent="0.25">
      <c r="A611" s="1"/>
      <c r="B611" s="1"/>
      <c r="C611" s="3"/>
      <c r="D611" s="3"/>
      <c r="E611" s="5"/>
      <c r="F611" s="5"/>
      <c r="G611" s="3"/>
      <c r="H611" s="5"/>
      <c r="I611" s="1"/>
      <c r="J611" s="7"/>
      <c r="K611" s="1"/>
      <c r="L611" s="1"/>
      <c r="M611" s="1"/>
      <c r="N611" s="1"/>
      <c r="O611" s="1"/>
      <c r="P611" s="1"/>
      <c r="Q611" s="1"/>
      <c r="R611" s="1"/>
      <c r="S611" s="1"/>
      <c r="T611" s="1"/>
      <c r="U611" s="1"/>
      <c r="V611" s="1"/>
      <c r="W611" s="1"/>
      <c r="X611" s="1"/>
      <c r="Y611" s="1"/>
      <c r="Z611" s="1"/>
    </row>
    <row r="612" spans="1:26" ht="12.75" customHeight="1" x14ac:dyDescent="0.25">
      <c r="A612" s="1"/>
      <c r="B612" s="1"/>
      <c r="C612" s="3"/>
      <c r="D612" s="3"/>
      <c r="E612" s="5"/>
      <c r="F612" s="5"/>
      <c r="G612" s="3"/>
      <c r="H612" s="5"/>
      <c r="I612" s="1"/>
      <c r="J612" s="7"/>
      <c r="K612" s="1"/>
      <c r="L612" s="1"/>
      <c r="M612" s="1"/>
      <c r="N612" s="1"/>
      <c r="O612" s="1"/>
      <c r="P612" s="1"/>
      <c r="Q612" s="1"/>
      <c r="R612" s="1"/>
      <c r="S612" s="1"/>
      <c r="T612" s="1"/>
      <c r="U612" s="1"/>
      <c r="V612" s="1"/>
      <c r="W612" s="1"/>
      <c r="X612" s="1"/>
      <c r="Y612" s="1"/>
      <c r="Z612" s="1"/>
    </row>
    <row r="613" spans="1:26" ht="12.75" customHeight="1" x14ac:dyDescent="0.25">
      <c r="A613" s="1"/>
      <c r="B613" s="1"/>
      <c r="C613" s="3"/>
      <c r="D613" s="3"/>
      <c r="E613" s="5"/>
      <c r="F613" s="5"/>
      <c r="G613" s="3"/>
      <c r="H613" s="5"/>
      <c r="I613" s="1"/>
      <c r="J613" s="7"/>
      <c r="K613" s="1"/>
      <c r="L613" s="1"/>
      <c r="M613" s="1"/>
      <c r="N613" s="1"/>
      <c r="O613" s="1"/>
      <c r="P613" s="1"/>
      <c r="Q613" s="1"/>
      <c r="R613" s="1"/>
      <c r="S613" s="1"/>
      <c r="T613" s="1"/>
      <c r="U613" s="1"/>
      <c r="V613" s="1"/>
      <c r="W613" s="1"/>
      <c r="X613" s="1"/>
      <c r="Y613" s="1"/>
      <c r="Z613" s="1"/>
    </row>
    <row r="614" spans="1:26" ht="12.75" customHeight="1" x14ac:dyDescent="0.25">
      <c r="A614" s="1"/>
      <c r="B614" s="1"/>
      <c r="C614" s="3"/>
      <c r="D614" s="3"/>
      <c r="E614" s="5"/>
      <c r="F614" s="5"/>
      <c r="G614" s="3"/>
      <c r="H614" s="5"/>
      <c r="I614" s="1"/>
      <c r="J614" s="7"/>
      <c r="K614" s="1"/>
      <c r="L614" s="1"/>
      <c r="M614" s="1"/>
      <c r="N614" s="1"/>
      <c r="O614" s="1"/>
      <c r="P614" s="1"/>
      <c r="Q614" s="1"/>
      <c r="R614" s="1"/>
      <c r="S614" s="1"/>
      <c r="T614" s="1"/>
      <c r="U614" s="1"/>
      <c r="V614" s="1"/>
      <c r="W614" s="1"/>
      <c r="X614" s="1"/>
      <c r="Y614" s="1"/>
      <c r="Z614" s="1"/>
    </row>
    <row r="615" spans="1:26" ht="12.75" customHeight="1" x14ac:dyDescent="0.25">
      <c r="A615" s="1"/>
      <c r="B615" s="1"/>
      <c r="C615" s="3"/>
      <c r="D615" s="3"/>
      <c r="E615" s="5"/>
      <c r="F615" s="5"/>
      <c r="G615" s="3"/>
      <c r="H615" s="5"/>
      <c r="I615" s="1"/>
      <c r="J615" s="7"/>
      <c r="K615" s="1"/>
      <c r="L615" s="1"/>
      <c r="M615" s="1"/>
      <c r="N615" s="1"/>
      <c r="O615" s="1"/>
      <c r="P615" s="1"/>
      <c r="Q615" s="1"/>
      <c r="R615" s="1"/>
      <c r="S615" s="1"/>
      <c r="T615" s="1"/>
      <c r="U615" s="1"/>
      <c r="V615" s="1"/>
      <c r="W615" s="1"/>
      <c r="X615" s="1"/>
      <c r="Y615" s="1"/>
      <c r="Z615" s="1"/>
    </row>
    <row r="616" spans="1:26" ht="12.75" customHeight="1" x14ac:dyDescent="0.25">
      <c r="A616" s="1"/>
      <c r="B616" s="1"/>
      <c r="C616" s="3"/>
      <c r="D616" s="3"/>
      <c r="E616" s="5"/>
      <c r="F616" s="5"/>
      <c r="G616" s="3"/>
      <c r="H616" s="5"/>
      <c r="I616" s="1"/>
      <c r="J616" s="7"/>
      <c r="K616" s="1"/>
      <c r="L616" s="1"/>
      <c r="M616" s="1"/>
      <c r="N616" s="1"/>
      <c r="O616" s="1"/>
      <c r="P616" s="1"/>
      <c r="Q616" s="1"/>
      <c r="R616" s="1"/>
      <c r="S616" s="1"/>
      <c r="T616" s="1"/>
      <c r="U616" s="1"/>
      <c r="V616" s="1"/>
      <c r="W616" s="1"/>
      <c r="X616" s="1"/>
      <c r="Y616" s="1"/>
      <c r="Z616" s="1"/>
    </row>
    <row r="617" spans="1:26" ht="12.75" customHeight="1" x14ac:dyDescent="0.25">
      <c r="A617" s="1"/>
      <c r="B617" s="1"/>
      <c r="C617" s="3"/>
      <c r="D617" s="3"/>
      <c r="E617" s="5"/>
      <c r="F617" s="5"/>
      <c r="G617" s="3"/>
      <c r="H617" s="5"/>
      <c r="I617" s="1"/>
      <c r="J617" s="7"/>
      <c r="K617" s="1"/>
      <c r="L617" s="1"/>
      <c r="M617" s="1"/>
      <c r="N617" s="1"/>
      <c r="O617" s="1"/>
      <c r="P617" s="1"/>
      <c r="Q617" s="1"/>
      <c r="R617" s="1"/>
      <c r="S617" s="1"/>
      <c r="T617" s="1"/>
      <c r="U617" s="1"/>
      <c r="V617" s="1"/>
      <c r="W617" s="1"/>
      <c r="X617" s="1"/>
      <c r="Y617" s="1"/>
      <c r="Z617" s="1"/>
    </row>
    <row r="618" spans="1:26" ht="12.75" customHeight="1" x14ac:dyDescent="0.25">
      <c r="A618" s="1"/>
      <c r="B618" s="1"/>
      <c r="C618" s="3"/>
      <c r="D618" s="3"/>
      <c r="E618" s="5"/>
      <c r="F618" s="5"/>
      <c r="G618" s="3"/>
      <c r="H618" s="5"/>
      <c r="I618" s="1"/>
      <c r="J618" s="7"/>
      <c r="K618" s="1"/>
      <c r="L618" s="1"/>
      <c r="M618" s="1"/>
      <c r="N618" s="1"/>
      <c r="O618" s="1"/>
      <c r="P618" s="1"/>
      <c r="Q618" s="1"/>
      <c r="R618" s="1"/>
      <c r="S618" s="1"/>
      <c r="T618" s="1"/>
      <c r="U618" s="1"/>
      <c r="V618" s="1"/>
      <c r="W618" s="1"/>
      <c r="X618" s="1"/>
      <c r="Y618" s="1"/>
      <c r="Z618" s="1"/>
    </row>
    <row r="619" spans="1:26" ht="12.75" customHeight="1" x14ac:dyDescent="0.25">
      <c r="A619" s="1"/>
      <c r="B619" s="1"/>
      <c r="C619" s="3"/>
      <c r="D619" s="3"/>
      <c r="E619" s="5"/>
      <c r="F619" s="5"/>
      <c r="G619" s="3"/>
      <c r="H619" s="5"/>
      <c r="I619" s="1"/>
      <c r="J619" s="7"/>
      <c r="K619" s="1"/>
      <c r="L619" s="1"/>
      <c r="M619" s="1"/>
      <c r="N619" s="1"/>
      <c r="O619" s="1"/>
      <c r="P619" s="1"/>
      <c r="Q619" s="1"/>
      <c r="R619" s="1"/>
      <c r="S619" s="1"/>
      <c r="T619" s="1"/>
      <c r="U619" s="1"/>
      <c r="V619" s="1"/>
      <c r="W619" s="1"/>
      <c r="X619" s="1"/>
      <c r="Y619" s="1"/>
      <c r="Z619" s="1"/>
    </row>
    <row r="620" spans="1:26" ht="12.75" customHeight="1" x14ac:dyDescent="0.25">
      <c r="A620" s="1"/>
      <c r="B620" s="1"/>
      <c r="C620" s="3"/>
      <c r="D620" s="3"/>
      <c r="E620" s="5"/>
      <c r="F620" s="5"/>
      <c r="G620" s="3"/>
      <c r="H620" s="5"/>
      <c r="I620" s="1"/>
      <c r="J620" s="7"/>
      <c r="K620" s="1"/>
      <c r="L620" s="1"/>
      <c r="M620" s="1"/>
      <c r="N620" s="1"/>
      <c r="O620" s="1"/>
      <c r="P620" s="1"/>
      <c r="Q620" s="1"/>
      <c r="R620" s="1"/>
      <c r="S620" s="1"/>
      <c r="T620" s="1"/>
      <c r="U620" s="1"/>
      <c r="V620" s="1"/>
      <c r="W620" s="1"/>
      <c r="X620" s="1"/>
      <c r="Y620" s="1"/>
      <c r="Z620" s="1"/>
    </row>
    <row r="621" spans="1:26" ht="12.75" customHeight="1" x14ac:dyDescent="0.25">
      <c r="A621" s="1"/>
      <c r="B621" s="1"/>
      <c r="C621" s="3"/>
      <c r="D621" s="3"/>
      <c r="E621" s="5"/>
      <c r="F621" s="5"/>
      <c r="G621" s="3"/>
      <c r="H621" s="5"/>
      <c r="I621" s="1"/>
      <c r="J621" s="7"/>
      <c r="K621" s="1"/>
      <c r="L621" s="1"/>
      <c r="M621" s="1"/>
      <c r="N621" s="1"/>
      <c r="O621" s="1"/>
      <c r="P621" s="1"/>
      <c r="Q621" s="1"/>
      <c r="R621" s="1"/>
      <c r="S621" s="1"/>
      <c r="T621" s="1"/>
      <c r="U621" s="1"/>
      <c r="V621" s="1"/>
      <c r="W621" s="1"/>
      <c r="X621" s="1"/>
      <c r="Y621" s="1"/>
      <c r="Z621" s="1"/>
    </row>
    <row r="622" spans="1:26" ht="12.75" customHeight="1" x14ac:dyDescent="0.25">
      <c r="A622" s="1"/>
      <c r="B622" s="1"/>
      <c r="C622" s="3"/>
      <c r="D622" s="3"/>
      <c r="E622" s="5"/>
      <c r="F622" s="5"/>
      <c r="G622" s="3"/>
      <c r="H622" s="5"/>
      <c r="I622" s="1"/>
      <c r="J622" s="7"/>
      <c r="K622" s="1"/>
      <c r="L622" s="1"/>
      <c r="M622" s="1"/>
      <c r="N622" s="1"/>
      <c r="O622" s="1"/>
      <c r="P622" s="1"/>
      <c r="Q622" s="1"/>
      <c r="R622" s="1"/>
      <c r="S622" s="1"/>
      <c r="T622" s="1"/>
      <c r="U622" s="1"/>
      <c r="V622" s="1"/>
      <c r="W622" s="1"/>
      <c r="X622" s="1"/>
      <c r="Y622" s="1"/>
      <c r="Z622" s="1"/>
    </row>
    <row r="623" spans="1:26" ht="12.75" customHeight="1" x14ac:dyDescent="0.25">
      <c r="A623" s="1"/>
      <c r="B623" s="1"/>
      <c r="C623" s="3"/>
      <c r="D623" s="3"/>
      <c r="E623" s="5"/>
      <c r="F623" s="5"/>
      <c r="G623" s="3"/>
      <c r="H623" s="5"/>
      <c r="I623" s="1"/>
      <c r="J623" s="7"/>
      <c r="K623" s="1"/>
      <c r="L623" s="1"/>
      <c r="M623" s="1"/>
      <c r="N623" s="1"/>
      <c r="O623" s="1"/>
      <c r="P623" s="1"/>
      <c r="Q623" s="1"/>
      <c r="R623" s="1"/>
      <c r="S623" s="1"/>
      <c r="T623" s="1"/>
      <c r="U623" s="1"/>
      <c r="V623" s="1"/>
      <c r="W623" s="1"/>
      <c r="X623" s="1"/>
      <c r="Y623" s="1"/>
      <c r="Z623" s="1"/>
    </row>
    <row r="624" spans="1:26" ht="12.75" customHeight="1" x14ac:dyDescent="0.25">
      <c r="A624" s="1"/>
      <c r="B624" s="1"/>
      <c r="C624" s="3"/>
      <c r="D624" s="3"/>
      <c r="E624" s="5"/>
      <c r="F624" s="5"/>
      <c r="G624" s="3"/>
      <c r="H624" s="5"/>
      <c r="I624" s="1"/>
      <c r="J624" s="7"/>
      <c r="K624" s="1"/>
      <c r="L624" s="1"/>
      <c r="M624" s="1"/>
      <c r="N624" s="1"/>
      <c r="O624" s="1"/>
      <c r="P624" s="1"/>
      <c r="Q624" s="1"/>
      <c r="R624" s="1"/>
      <c r="S624" s="1"/>
      <c r="T624" s="1"/>
      <c r="U624" s="1"/>
      <c r="V624" s="1"/>
      <c r="W624" s="1"/>
      <c r="X624" s="1"/>
      <c r="Y624" s="1"/>
      <c r="Z624" s="1"/>
    </row>
    <row r="625" spans="1:26" ht="12.75" customHeight="1" x14ac:dyDescent="0.25">
      <c r="A625" s="1"/>
      <c r="B625" s="1"/>
      <c r="C625" s="3"/>
      <c r="D625" s="3"/>
      <c r="E625" s="5"/>
      <c r="F625" s="5"/>
      <c r="G625" s="3"/>
      <c r="H625" s="5"/>
      <c r="I625" s="1"/>
      <c r="J625" s="7"/>
      <c r="K625" s="1"/>
      <c r="L625" s="1"/>
      <c r="M625" s="1"/>
      <c r="N625" s="1"/>
      <c r="O625" s="1"/>
      <c r="P625" s="1"/>
      <c r="Q625" s="1"/>
      <c r="R625" s="1"/>
      <c r="S625" s="1"/>
      <c r="T625" s="1"/>
      <c r="U625" s="1"/>
      <c r="V625" s="1"/>
      <c r="W625" s="1"/>
      <c r="X625" s="1"/>
      <c r="Y625" s="1"/>
      <c r="Z625" s="1"/>
    </row>
    <row r="626" spans="1:26" ht="12.75" customHeight="1" x14ac:dyDescent="0.25">
      <c r="A626" s="1"/>
      <c r="B626" s="1"/>
      <c r="C626" s="3"/>
      <c r="D626" s="3"/>
      <c r="E626" s="5"/>
      <c r="F626" s="5"/>
      <c r="G626" s="3"/>
      <c r="H626" s="5"/>
      <c r="I626" s="1"/>
      <c r="J626" s="7"/>
      <c r="K626" s="1"/>
      <c r="L626" s="1"/>
      <c r="M626" s="1"/>
      <c r="N626" s="1"/>
      <c r="O626" s="1"/>
      <c r="P626" s="1"/>
      <c r="Q626" s="1"/>
      <c r="R626" s="1"/>
      <c r="S626" s="1"/>
      <c r="T626" s="1"/>
      <c r="U626" s="1"/>
      <c r="V626" s="1"/>
      <c r="W626" s="1"/>
      <c r="X626" s="1"/>
      <c r="Y626" s="1"/>
      <c r="Z626" s="1"/>
    </row>
    <row r="627" spans="1:26" ht="12.75" customHeight="1" x14ac:dyDescent="0.25">
      <c r="A627" s="1"/>
      <c r="B627" s="1"/>
      <c r="C627" s="3"/>
      <c r="D627" s="3"/>
      <c r="E627" s="5"/>
      <c r="F627" s="5"/>
      <c r="G627" s="3"/>
      <c r="H627" s="5"/>
      <c r="I627" s="1"/>
      <c r="J627" s="7"/>
      <c r="K627" s="1"/>
      <c r="L627" s="1"/>
      <c r="M627" s="1"/>
      <c r="N627" s="1"/>
      <c r="O627" s="1"/>
      <c r="P627" s="1"/>
      <c r="Q627" s="1"/>
      <c r="R627" s="1"/>
      <c r="S627" s="1"/>
      <c r="T627" s="1"/>
      <c r="U627" s="1"/>
      <c r="V627" s="1"/>
      <c r="W627" s="1"/>
      <c r="X627" s="1"/>
      <c r="Y627" s="1"/>
      <c r="Z627" s="1"/>
    </row>
    <row r="628" spans="1:26" ht="12.75" customHeight="1" x14ac:dyDescent="0.25">
      <c r="A628" s="1"/>
      <c r="B628" s="1"/>
      <c r="C628" s="3"/>
      <c r="D628" s="3"/>
      <c r="E628" s="5"/>
      <c r="F628" s="5"/>
      <c r="G628" s="3"/>
      <c r="H628" s="5"/>
      <c r="I628" s="1"/>
      <c r="J628" s="7"/>
      <c r="K628" s="1"/>
      <c r="L628" s="1"/>
      <c r="M628" s="1"/>
      <c r="N628" s="1"/>
      <c r="O628" s="1"/>
      <c r="P628" s="1"/>
      <c r="Q628" s="1"/>
      <c r="R628" s="1"/>
      <c r="S628" s="1"/>
      <c r="T628" s="1"/>
      <c r="U628" s="1"/>
      <c r="V628" s="1"/>
      <c r="W628" s="1"/>
      <c r="X628" s="1"/>
      <c r="Y628" s="1"/>
      <c r="Z628" s="1"/>
    </row>
    <row r="629" spans="1:26" ht="12.75" customHeight="1" x14ac:dyDescent="0.25">
      <c r="A629" s="1"/>
      <c r="B629" s="1"/>
      <c r="C629" s="3"/>
      <c r="D629" s="3"/>
      <c r="E629" s="5"/>
      <c r="F629" s="5"/>
      <c r="G629" s="3"/>
      <c r="H629" s="5"/>
      <c r="I629" s="1"/>
      <c r="J629" s="7"/>
      <c r="K629" s="1"/>
      <c r="L629" s="1"/>
      <c r="M629" s="1"/>
      <c r="N629" s="1"/>
      <c r="O629" s="1"/>
      <c r="P629" s="1"/>
      <c r="Q629" s="1"/>
      <c r="R629" s="1"/>
      <c r="S629" s="1"/>
      <c r="T629" s="1"/>
      <c r="U629" s="1"/>
      <c r="V629" s="1"/>
      <c r="W629" s="1"/>
      <c r="X629" s="1"/>
      <c r="Y629" s="1"/>
      <c r="Z629" s="1"/>
    </row>
    <row r="630" spans="1:26" ht="12.75" customHeight="1" x14ac:dyDescent="0.25">
      <c r="A630" s="1"/>
      <c r="B630" s="1"/>
      <c r="C630" s="3"/>
      <c r="D630" s="3"/>
      <c r="E630" s="5"/>
      <c r="F630" s="5"/>
      <c r="G630" s="3"/>
      <c r="H630" s="5"/>
      <c r="I630" s="1"/>
      <c r="J630" s="7"/>
      <c r="K630" s="1"/>
      <c r="L630" s="1"/>
      <c r="M630" s="1"/>
      <c r="N630" s="1"/>
      <c r="O630" s="1"/>
      <c r="P630" s="1"/>
      <c r="Q630" s="1"/>
      <c r="R630" s="1"/>
      <c r="S630" s="1"/>
      <c r="T630" s="1"/>
      <c r="U630" s="1"/>
      <c r="V630" s="1"/>
      <c r="W630" s="1"/>
      <c r="X630" s="1"/>
      <c r="Y630" s="1"/>
      <c r="Z630" s="1"/>
    </row>
    <row r="631" spans="1:26" ht="12.75" customHeight="1" x14ac:dyDescent="0.25">
      <c r="A631" s="1"/>
      <c r="B631" s="1"/>
      <c r="C631" s="3"/>
      <c r="D631" s="3"/>
      <c r="E631" s="5"/>
      <c r="F631" s="5"/>
      <c r="G631" s="3"/>
      <c r="H631" s="5"/>
      <c r="I631" s="1"/>
      <c r="J631" s="7"/>
      <c r="K631" s="1"/>
      <c r="L631" s="1"/>
      <c r="M631" s="1"/>
      <c r="N631" s="1"/>
      <c r="O631" s="1"/>
      <c r="P631" s="1"/>
      <c r="Q631" s="1"/>
      <c r="R631" s="1"/>
      <c r="S631" s="1"/>
      <c r="T631" s="1"/>
      <c r="U631" s="1"/>
      <c r="V631" s="1"/>
      <c r="W631" s="1"/>
      <c r="X631" s="1"/>
      <c r="Y631" s="1"/>
      <c r="Z631" s="1"/>
    </row>
    <row r="632" spans="1:26" ht="12.75" customHeight="1" x14ac:dyDescent="0.25">
      <c r="A632" s="1"/>
      <c r="B632" s="1"/>
      <c r="C632" s="3"/>
      <c r="D632" s="3"/>
      <c r="E632" s="5"/>
      <c r="F632" s="5"/>
      <c r="G632" s="3"/>
      <c r="H632" s="5"/>
      <c r="I632" s="1"/>
      <c r="J632" s="7"/>
      <c r="K632" s="1"/>
      <c r="L632" s="1"/>
      <c r="M632" s="1"/>
      <c r="N632" s="1"/>
      <c r="O632" s="1"/>
      <c r="P632" s="1"/>
      <c r="Q632" s="1"/>
      <c r="R632" s="1"/>
      <c r="S632" s="1"/>
      <c r="T632" s="1"/>
      <c r="U632" s="1"/>
      <c r="V632" s="1"/>
      <c r="W632" s="1"/>
      <c r="X632" s="1"/>
      <c r="Y632" s="1"/>
      <c r="Z632" s="1"/>
    </row>
    <row r="633" spans="1:26" ht="12.75" customHeight="1" x14ac:dyDescent="0.25">
      <c r="A633" s="1"/>
      <c r="B633" s="1"/>
      <c r="C633" s="3"/>
      <c r="D633" s="3"/>
      <c r="E633" s="5"/>
      <c r="F633" s="5"/>
      <c r="G633" s="3"/>
      <c r="H633" s="5"/>
      <c r="I633" s="1"/>
      <c r="J633" s="7"/>
      <c r="K633" s="1"/>
      <c r="L633" s="1"/>
      <c r="M633" s="1"/>
      <c r="N633" s="1"/>
      <c r="O633" s="1"/>
      <c r="P633" s="1"/>
      <c r="Q633" s="1"/>
      <c r="R633" s="1"/>
      <c r="S633" s="1"/>
      <c r="T633" s="1"/>
      <c r="U633" s="1"/>
      <c r="V633" s="1"/>
      <c r="W633" s="1"/>
      <c r="X633" s="1"/>
      <c r="Y633" s="1"/>
      <c r="Z633" s="1"/>
    </row>
    <row r="634" spans="1:26" ht="12.75" customHeight="1" x14ac:dyDescent="0.25">
      <c r="A634" s="1"/>
      <c r="B634" s="1"/>
      <c r="C634" s="3"/>
      <c r="D634" s="3"/>
      <c r="E634" s="5"/>
      <c r="F634" s="5"/>
      <c r="G634" s="3"/>
      <c r="H634" s="5"/>
      <c r="I634" s="1"/>
      <c r="J634" s="7"/>
      <c r="K634" s="1"/>
      <c r="L634" s="1"/>
      <c r="M634" s="1"/>
      <c r="N634" s="1"/>
      <c r="O634" s="1"/>
      <c r="P634" s="1"/>
      <c r="Q634" s="1"/>
      <c r="R634" s="1"/>
      <c r="S634" s="1"/>
      <c r="T634" s="1"/>
      <c r="U634" s="1"/>
      <c r="V634" s="1"/>
      <c r="W634" s="1"/>
      <c r="X634" s="1"/>
      <c r="Y634" s="1"/>
      <c r="Z634" s="1"/>
    </row>
    <row r="635" spans="1:26" ht="12.75" customHeight="1" x14ac:dyDescent="0.25">
      <c r="A635" s="1"/>
      <c r="B635" s="1"/>
      <c r="C635" s="3"/>
      <c r="D635" s="3"/>
      <c r="E635" s="5"/>
      <c r="F635" s="5"/>
      <c r="G635" s="3"/>
      <c r="H635" s="5"/>
      <c r="I635" s="1"/>
      <c r="J635" s="7"/>
      <c r="K635" s="1"/>
      <c r="L635" s="1"/>
      <c r="M635" s="1"/>
      <c r="N635" s="1"/>
      <c r="O635" s="1"/>
      <c r="P635" s="1"/>
      <c r="Q635" s="1"/>
      <c r="R635" s="1"/>
      <c r="S635" s="1"/>
      <c r="T635" s="1"/>
      <c r="U635" s="1"/>
      <c r="V635" s="1"/>
      <c r="W635" s="1"/>
      <c r="X635" s="1"/>
      <c r="Y635" s="1"/>
      <c r="Z635" s="1"/>
    </row>
    <row r="636" spans="1:26" ht="12.75" customHeight="1" x14ac:dyDescent="0.25">
      <c r="A636" s="1"/>
      <c r="B636" s="1"/>
      <c r="C636" s="3"/>
      <c r="D636" s="3"/>
      <c r="E636" s="5"/>
      <c r="F636" s="5"/>
      <c r="G636" s="3"/>
      <c r="H636" s="5"/>
      <c r="I636" s="1"/>
      <c r="J636" s="7"/>
      <c r="K636" s="1"/>
      <c r="L636" s="1"/>
      <c r="M636" s="1"/>
      <c r="N636" s="1"/>
      <c r="O636" s="1"/>
      <c r="P636" s="1"/>
      <c r="Q636" s="1"/>
      <c r="R636" s="1"/>
      <c r="S636" s="1"/>
      <c r="T636" s="1"/>
      <c r="U636" s="1"/>
      <c r="V636" s="1"/>
      <c r="W636" s="1"/>
      <c r="X636" s="1"/>
      <c r="Y636" s="1"/>
      <c r="Z636" s="1"/>
    </row>
    <row r="637" spans="1:26" ht="12.75" customHeight="1" x14ac:dyDescent="0.25">
      <c r="A637" s="1"/>
      <c r="B637" s="1"/>
      <c r="C637" s="3"/>
      <c r="D637" s="3"/>
      <c r="E637" s="5"/>
      <c r="F637" s="5"/>
      <c r="G637" s="3"/>
      <c r="H637" s="5"/>
      <c r="I637" s="1"/>
      <c r="J637" s="7"/>
      <c r="K637" s="1"/>
      <c r="L637" s="1"/>
      <c r="M637" s="1"/>
      <c r="N637" s="1"/>
      <c r="O637" s="1"/>
      <c r="P637" s="1"/>
      <c r="Q637" s="1"/>
      <c r="R637" s="1"/>
      <c r="S637" s="1"/>
      <c r="T637" s="1"/>
      <c r="U637" s="1"/>
      <c r="V637" s="1"/>
      <c r="W637" s="1"/>
      <c r="X637" s="1"/>
      <c r="Y637" s="1"/>
      <c r="Z637" s="1"/>
    </row>
    <row r="638" spans="1:26" ht="12.75" customHeight="1" x14ac:dyDescent="0.25">
      <c r="A638" s="1"/>
      <c r="B638" s="1"/>
      <c r="C638" s="3"/>
      <c r="D638" s="3"/>
      <c r="E638" s="5"/>
      <c r="F638" s="5"/>
      <c r="G638" s="3"/>
      <c r="H638" s="5"/>
      <c r="I638" s="1"/>
      <c r="J638" s="7"/>
      <c r="K638" s="1"/>
      <c r="L638" s="1"/>
      <c r="M638" s="1"/>
      <c r="N638" s="1"/>
      <c r="O638" s="1"/>
      <c r="P638" s="1"/>
      <c r="Q638" s="1"/>
      <c r="R638" s="1"/>
      <c r="S638" s="1"/>
      <c r="T638" s="1"/>
      <c r="U638" s="1"/>
      <c r="V638" s="1"/>
      <c r="W638" s="1"/>
      <c r="X638" s="1"/>
      <c r="Y638" s="1"/>
      <c r="Z638" s="1"/>
    </row>
    <row r="639" spans="1:26" ht="12.75" customHeight="1" x14ac:dyDescent="0.25">
      <c r="A639" s="1"/>
      <c r="B639" s="1"/>
      <c r="C639" s="3"/>
      <c r="D639" s="3"/>
      <c r="E639" s="5"/>
      <c r="F639" s="5"/>
      <c r="G639" s="3"/>
      <c r="H639" s="5"/>
      <c r="I639" s="1"/>
      <c r="J639" s="7"/>
      <c r="K639" s="1"/>
      <c r="L639" s="1"/>
      <c r="M639" s="1"/>
      <c r="N639" s="1"/>
      <c r="O639" s="1"/>
      <c r="P639" s="1"/>
      <c r="Q639" s="1"/>
      <c r="R639" s="1"/>
      <c r="S639" s="1"/>
      <c r="T639" s="1"/>
      <c r="U639" s="1"/>
      <c r="V639" s="1"/>
      <c r="W639" s="1"/>
      <c r="X639" s="1"/>
      <c r="Y639" s="1"/>
      <c r="Z639" s="1"/>
    </row>
    <row r="640" spans="1:26" ht="12.75" customHeight="1" x14ac:dyDescent="0.25">
      <c r="A640" s="1"/>
      <c r="B640" s="1"/>
      <c r="C640" s="3"/>
      <c r="D640" s="3"/>
      <c r="E640" s="5"/>
      <c r="F640" s="5"/>
      <c r="G640" s="3"/>
      <c r="H640" s="5"/>
      <c r="I640" s="1"/>
      <c r="J640" s="7"/>
      <c r="K640" s="1"/>
      <c r="L640" s="1"/>
      <c r="M640" s="1"/>
      <c r="N640" s="1"/>
      <c r="O640" s="1"/>
      <c r="P640" s="1"/>
      <c r="Q640" s="1"/>
      <c r="R640" s="1"/>
      <c r="S640" s="1"/>
      <c r="T640" s="1"/>
      <c r="U640" s="1"/>
      <c r="V640" s="1"/>
      <c r="W640" s="1"/>
      <c r="X640" s="1"/>
      <c r="Y640" s="1"/>
      <c r="Z640" s="1"/>
    </row>
    <row r="641" spans="1:26" ht="12.75" customHeight="1" x14ac:dyDescent="0.25">
      <c r="A641" s="1"/>
      <c r="B641" s="1"/>
      <c r="C641" s="3"/>
      <c r="D641" s="3"/>
      <c r="E641" s="5"/>
      <c r="F641" s="5"/>
      <c r="G641" s="3"/>
      <c r="H641" s="5"/>
      <c r="I641" s="1"/>
      <c r="J641" s="7"/>
      <c r="K641" s="1"/>
      <c r="L641" s="1"/>
      <c r="M641" s="1"/>
      <c r="N641" s="1"/>
      <c r="O641" s="1"/>
      <c r="P641" s="1"/>
      <c r="Q641" s="1"/>
      <c r="R641" s="1"/>
      <c r="S641" s="1"/>
      <c r="T641" s="1"/>
      <c r="U641" s="1"/>
      <c r="V641" s="1"/>
      <c r="W641" s="1"/>
      <c r="X641" s="1"/>
      <c r="Y641" s="1"/>
      <c r="Z641" s="1"/>
    </row>
    <row r="642" spans="1:26" ht="12.75" customHeight="1" x14ac:dyDescent="0.25">
      <c r="A642" s="1"/>
      <c r="B642" s="1"/>
      <c r="C642" s="3"/>
      <c r="D642" s="3"/>
      <c r="E642" s="5"/>
      <c r="F642" s="5"/>
      <c r="G642" s="3"/>
      <c r="H642" s="5"/>
      <c r="I642" s="1"/>
      <c r="J642" s="7"/>
      <c r="K642" s="1"/>
      <c r="L642" s="1"/>
      <c r="M642" s="1"/>
      <c r="N642" s="1"/>
      <c r="O642" s="1"/>
      <c r="P642" s="1"/>
      <c r="Q642" s="1"/>
      <c r="R642" s="1"/>
      <c r="S642" s="1"/>
      <c r="T642" s="1"/>
      <c r="U642" s="1"/>
      <c r="V642" s="1"/>
      <c r="W642" s="1"/>
      <c r="X642" s="1"/>
      <c r="Y642" s="1"/>
      <c r="Z642" s="1"/>
    </row>
    <row r="643" spans="1:26" ht="12.75" customHeight="1" x14ac:dyDescent="0.25">
      <c r="A643" s="1"/>
      <c r="B643" s="1"/>
      <c r="C643" s="3"/>
      <c r="D643" s="3"/>
      <c r="E643" s="5"/>
      <c r="F643" s="5"/>
      <c r="G643" s="3"/>
      <c r="H643" s="5"/>
      <c r="I643" s="1"/>
      <c r="J643" s="7"/>
      <c r="K643" s="1"/>
      <c r="L643" s="1"/>
      <c r="M643" s="1"/>
      <c r="N643" s="1"/>
      <c r="O643" s="1"/>
      <c r="P643" s="1"/>
      <c r="Q643" s="1"/>
      <c r="R643" s="1"/>
      <c r="S643" s="1"/>
      <c r="T643" s="1"/>
      <c r="U643" s="1"/>
      <c r="V643" s="1"/>
      <c r="W643" s="1"/>
      <c r="X643" s="1"/>
      <c r="Y643" s="1"/>
      <c r="Z643" s="1"/>
    </row>
    <row r="644" spans="1:26" ht="12.75" customHeight="1" x14ac:dyDescent="0.25">
      <c r="A644" s="1"/>
      <c r="B644" s="1"/>
      <c r="C644" s="3"/>
      <c r="D644" s="3"/>
      <c r="E644" s="5"/>
      <c r="F644" s="5"/>
      <c r="G644" s="3"/>
      <c r="H644" s="5"/>
      <c r="I644" s="1"/>
      <c r="J644" s="7"/>
      <c r="K644" s="1"/>
      <c r="L644" s="1"/>
      <c r="M644" s="1"/>
      <c r="N644" s="1"/>
      <c r="O644" s="1"/>
      <c r="P644" s="1"/>
      <c r="Q644" s="1"/>
      <c r="R644" s="1"/>
      <c r="S644" s="1"/>
      <c r="T644" s="1"/>
      <c r="U644" s="1"/>
      <c r="V644" s="1"/>
      <c r="W644" s="1"/>
      <c r="X644" s="1"/>
      <c r="Y644" s="1"/>
      <c r="Z644" s="1"/>
    </row>
    <row r="645" spans="1:26" ht="12.75" customHeight="1" x14ac:dyDescent="0.25">
      <c r="A645" s="1"/>
      <c r="B645" s="1"/>
      <c r="C645" s="3"/>
      <c r="D645" s="3"/>
      <c r="E645" s="5"/>
      <c r="F645" s="5"/>
      <c r="G645" s="3"/>
      <c r="H645" s="5"/>
      <c r="I645" s="1"/>
      <c r="J645" s="7"/>
      <c r="K645" s="1"/>
      <c r="L645" s="1"/>
      <c r="M645" s="1"/>
      <c r="N645" s="1"/>
      <c r="O645" s="1"/>
      <c r="P645" s="1"/>
      <c r="Q645" s="1"/>
      <c r="R645" s="1"/>
      <c r="S645" s="1"/>
      <c r="T645" s="1"/>
      <c r="U645" s="1"/>
      <c r="V645" s="1"/>
      <c r="W645" s="1"/>
      <c r="X645" s="1"/>
      <c r="Y645" s="1"/>
      <c r="Z645" s="1"/>
    </row>
    <row r="646" spans="1:26" ht="12.75" customHeight="1" x14ac:dyDescent="0.25">
      <c r="A646" s="1"/>
      <c r="B646" s="1"/>
      <c r="C646" s="3"/>
      <c r="D646" s="3"/>
      <c r="E646" s="5"/>
      <c r="F646" s="5"/>
      <c r="G646" s="3"/>
      <c r="H646" s="5"/>
      <c r="I646" s="1"/>
      <c r="J646" s="7"/>
      <c r="K646" s="1"/>
      <c r="L646" s="1"/>
      <c r="M646" s="1"/>
      <c r="N646" s="1"/>
      <c r="O646" s="1"/>
      <c r="P646" s="1"/>
      <c r="Q646" s="1"/>
      <c r="R646" s="1"/>
      <c r="S646" s="1"/>
      <c r="T646" s="1"/>
      <c r="U646" s="1"/>
      <c r="V646" s="1"/>
      <c r="W646" s="1"/>
      <c r="X646" s="1"/>
      <c r="Y646" s="1"/>
      <c r="Z646" s="1"/>
    </row>
    <row r="647" spans="1:26" ht="12.75" customHeight="1" x14ac:dyDescent="0.25">
      <c r="A647" s="1"/>
      <c r="B647" s="1"/>
      <c r="C647" s="3"/>
      <c r="D647" s="3"/>
      <c r="E647" s="5"/>
      <c r="F647" s="5"/>
      <c r="G647" s="3"/>
      <c r="H647" s="5"/>
      <c r="I647" s="1"/>
      <c r="J647" s="7"/>
      <c r="K647" s="1"/>
      <c r="L647" s="1"/>
      <c r="M647" s="1"/>
      <c r="N647" s="1"/>
      <c r="O647" s="1"/>
      <c r="P647" s="1"/>
      <c r="Q647" s="1"/>
      <c r="R647" s="1"/>
      <c r="S647" s="1"/>
      <c r="T647" s="1"/>
      <c r="U647" s="1"/>
      <c r="V647" s="1"/>
      <c r="W647" s="1"/>
      <c r="X647" s="1"/>
      <c r="Y647" s="1"/>
      <c r="Z647" s="1"/>
    </row>
    <row r="648" spans="1:26" ht="12.75" customHeight="1" x14ac:dyDescent="0.25">
      <c r="A648" s="1"/>
      <c r="B648" s="1"/>
      <c r="C648" s="3"/>
      <c r="D648" s="3"/>
      <c r="E648" s="5"/>
      <c r="F648" s="5"/>
      <c r="G648" s="3"/>
      <c r="H648" s="5"/>
      <c r="I648" s="1"/>
      <c r="J648" s="7"/>
      <c r="K648" s="1"/>
      <c r="L648" s="1"/>
      <c r="M648" s="1"/>
      <c r="N648" s="1"/>
      <c r="O648" s="1"/>
      <c r="P648" s="1"/>
      <c r="Q648" s="1"/>
      <c r="R648" s="1"/>
      <c r="S648" s="1"/>
      <c r="T648" s="1"/>
      <c r="U648" s="1"/>
      <c r="V648" s="1"/>
      <c r="W648" s="1"/>
      <c r="X648" s="1"/>
      <c r="Y648" s="1"/>
      <c r="Z648" s="1"/>
    </row>
    <row r="649" spans="1:26" ht="12.75" customHeight="1" x14ac:dyDescent="0.25">
      <c r="A649" s="1"/>
      <c r="B649" s="1"/>
      <c r="C649" s="3"/>
      <c r="D649" s="3"/>
      <c r="E649" s="5"/>
      <c r="F649" s="5"/>
      <c r="G649" s="3"/>
      <c r="H649" s="5"/>
      <c r="I649" s="1"/>
      <c r="J649" s="7"/>
      <c r="K649" s="1"/>
      <c r="L649" s="1"/>
      <c r="M649" s="1"/>
      <c r="N649" s="1"/>
      <c r="O649" s="1"/>
      <c r="P649" s="1"/>
      <c r="Q649" s="1"/>
      <c r="R649" s="1"/>
      <c r="S649" s="1"/>
      <c r="T649" s="1"/>
      <c r="U649" s="1"/>
      <c r="V649" s="1"/>
      <c r="W649" s="1"/>
      <c r="X649" s="1"/>
      <c r="Y649" s="1"/>
      <c r="Z649" s="1"/>
    </row>
    <row r="650" spans="1:26" ht="12.75" customHeight="1" x14ac:dyDescent="0.25">
      <c r="A650" s="1"/>
      <c r="B650" s="1"/>
      <c r="C650" s="3"/>
      <c r="D650" s="3"/>
      <c r="E650" s="5"/>
      <c r="F650" s="5"/>
      <c r="G650" s="3"/>
      <c r="H650" s="5"/>
      <c r="I650" s="1"/>
      <c r="J650" s="7"/>
      <c r="K650" s="1"/>
      <c r="L650" s="1"/>
      <c r="M650" s="1"/>
      <c r="N650" s="1"/>
      <c r="O650" s="1"/>
      <c r="P650" s="1"/>
      <c r="Q650" s="1"/>
      <c r="R650" s="1"/>
      <c r="S650" s="1"/>
      <c r="T650" s="1"/>
      <c r="U650" s="1"/>
      <c r="V650" s="1"/>
      <c r="W650" s="1"/>
      <c r="X650" s="1"/>
      <c r="Y650" s="1"/>
      <c r="Z650" s="1"/>
    </row>
    <row r="651" spans="1:26" ht="12.75" customHeight="1" x14ac:dyDescent="0.25">
      <c r="A651" s="1"/>
      <c r="B651" s="1"/>
      <c r="C651" s="3"/>
      <c r="D651" s="3"/>
      <c r="E651" s="5"/>
      <c r="F651" s="5"/>
      <c r="G651" s="3"/>
      <c r="H651" s="5"/>
      <c r="I651" s="1"/>
      <c r="J651" s="7"/>
      <c r="K651" s="1"/>
      <c r="L651" s="1"/>
      <c r="M651" s="1"/>
      <c r="N651" s="1"/>
      <c r="O651" s="1"/>
      <c r="P651" s="1"/>
      <c r="Q651" s="1"/>
      <c r="R651" s="1"/>
      <c r="S651" s="1"/>
      <c r="T651" s="1"/>
      <c r="U651" s="1"/>
      <c r="V651" s="1"/>
      <c r="W651" s="1"/>
      <c r="X651" s="1"/>
      <c r="Y651" s="1"/>
      <c r="Z651" s="1"/>
    </row>
    <row r="652" spans="1:26" ht="12.75" customHeight="1" x14ac:dyDescent="0.25">
      <c r="A652" s="1"/>
      <c r="B652" s="1"/>
      <c r="C652" s="3"/>
      <c r="D652" s="3"/>
      <c r="E652" s="5"/>
      <c r="F652" s="5"/>
      <c r="G652" s="3"/>
      <c r="H652" s="5"/>
      <c r="I652" s="1"/>
      <c r="J652" s="7"/>
      <c r="K652" s="1"/>
      <c r="L652" s="1"/>
      <c r="M652" s="1"/>
      <c r="N652" s="1"/>
      <c r="O652" s="1"/>
      <c r="P652" s="1"/>
      <c r="Q652" s="1"/>
      <c r="R652" s="1"/>
      <c r="S652" s="1"/>
      <c r="T652" s="1"/>
      <c r="U652" s="1"/>
      <c r="V652" s="1"/>
      <c r="W652" s="1"/>
      <c r="X652" s="1"/>
      <c r="Y652" s="1"/>
      <c r="Z652" s="1"/>
    </row>
    <row r="653" spans="1:26" ht="12.75" customHeight="1" x14ac:dyDescent="0.25">
      <c r="A653" s="1"/>
      <c r="B653" s="1"/>
      <c r="C653" s="3"/>
      <c r="D653" s="3"/>
      <c r="E653" s="5"/>
      <c r="F653" s="5"/>
      <c r="G653" s="3"/>
      <c r="H653" s="5"/>
      <c r="I653" s="1"/>
      <c r="J653" s="7"/>
      <c r="K653" s="1"/>
      <c r="L653" s="1"/>
      <c r="M653" s="1"/>
      <c r="N653" s="1"/>
      <c r="O653" s="1"/>
      <c r="P653" s="1"/>
      <c r="Q653" s="1"/>
      <c r="R653" s="1"/>
      <c r="S653" s="1"/>
      <c r="T653" s="1"/>
      <c r="U653" s="1"/>
      <c r="V653" s="1"/>
      <c r="W653" s="1"/>
      <c r="X653" s="1"/>
      <c r="Y653" s="1"/>
      <c r="Z653" s="1"/>
    </row>
    <row r="654" spans="1:26" ht="12.75" customHeight="1" x14ac:dyDescent="0.25">
      <c r="A654" s="1"/>
      <c r="B654" s="1"/>
      <c r="C654" s="3"/>
      <c r="D654" s="3"/>
      <c r="E654" s="5"/>
      <c r="F654" s="5"/>
      <c r="G654" s="3"/>
      <c r="H654" s="5"/>
      <c r="I654" s="1"/>
      <c r="J654" s="7"/>
      <c r="K654" s="1"/>
      <c r="L654" s="1"/>
      <c r="M654" s="1"/>
      <c r="N654" s="1"/>
      <c r="O654" s="1"/>
      <c r="P654" s="1"/>
      <c r="Q654" s="1"/>
      <c r="R654" s="1"/>
      <c r="S654" s="1"/>
      <c r="T654" s="1"/>
      <c r="U654" s="1"/>
      <c r="V654" s="1"/>
      <c r="W654" s="1"/>
      <c r="X654" s="1"/>
      <c r="Y654" s="1"/>
      <c r="Z654" s="1"/>
    </row>
    <row r="655" spans="1:26" ht="12.75" customHeight="1" x14ac:dyDescent="0.25">
      <c r="A655" s="1"/>
      <c r="B655" s="1"/>
      <c r="C655" s="3"/>
      <c r="D655" s="3"/>
      <c r="E655" s="5"/>
      <c r="F655" s="5"/>
      <c r="G655" s="3"/>
      <c r="H655" s="5"/>
      <c r="I655" s="1"/>
      <c r="J655" s="7"/>
      <c r="K655" s="1"/>
      <c r="L655" s="1"/>
      <c r="M655" s="1"/>
      <c r="N655" s="1"/>
      <c r="O655" s="1"/>
      <c r="P655" s="1"/>
      <c r="Q655" s="1"/>
      <c r="R655" s="1"/>
      <c r="S655" s="1"/>
      <c r="T655" s="1"/>
      <c r="U655" s="1"/>
      <c r="V655" s="1"/>
      <c r="W655" s="1"/>
      <c r="X655" s="1"/>
      <c r="Y655" s="1"/>
      <c r="Z655" s="1"/>
    </row>
    <row r="656" spans="1:26" ht="12.75" customHeight="1" x14ac:dyDescent="0.25">
      <c r="A656" s="1"/>
      <c r="B656" s="1"/>
      <c r="C656" s="3"/>
      <c r="D656" s="3"/>
      <c r="E656" s="5"/>
      <c r="F656" s="5"/>
      <c r="G656" s="3"/>
      <c r="H656" s="5"/>
      <c r="I656" s="1"/>
      <c r="J656" s="7"/>
      <c r="K656" s="1"/>
      <c r="L656" s="1"/>
      <c r="M656" s="1"/>
      <c r="N656" s="1"/>
      <c r="O656" s="1"/>
      <c r="P656" s="1"/>
      <c r="Q656" s="1"/>
      <c r="R656" s="1"/>
      <c r="S656" s="1"/>
      <c r="T656" s="1"/>
      <c r="U656" s="1"/>
      <c r="V656" s="1"/>
      <c r="W656" s="1"/>
      <c r="X656" s="1"/>
      <c r="Y656" s="1"/>
      <c r="Z656" s="1"/>
    </row>
    <row r="657" spans="1:26" ht="12.75" customHeight="1" x14ac:dyDescent="0.25">
      <c r="A657" s="1"/>
      <c r="B657" s="1"/>
      <c r="C657" s="3"/>
      <c r="D657" s="3"/>
      <c r="E657" s="5"/>
      <c r="F657" s="5"/>
      <c r="G657" s="3"/>
      <c r="H657" s="5"/>
      <c r="I657" s="1"/>
      <c r="J657" s="7"/>
      <c r="K657" s="1"/>
      <c r="L657" s="1"/>
      <c r="M657" s="1"/>
      <c r="N657" s="1"/>
      <c r="O657" s="1"/>
      <c r="P657" s="1"/>
      <c r="Q657" s="1"/>
      <c r="R657" s="1"/>
      <c r="S657" s="1"/>
      <c r="T657" s="1"/>
      <c r="U657" s="1"/>
      <c r="V657" s="1"/>
      <c r="W657" s="1"/>
      <c r="X657" s="1"/>
      <c r="Y657" s="1"/>
      <c r="Z657" s="1"/>
    </row>
    <row r="658" spans="1:26" ht="12.75" customHeight="1" x14ac:dyDescent="0.25">
      <c r="A658" s="1"/>
      <c r="B658" s="1"/>
      <c r="C658" s="3"/>
      <c r="D658" s="3"/>
      <c r="E658" s="5"/>
      <c r="F658" s="5"/>
      <c r="G658" s="3"/>
      <c r="H658" s="5"/>
      <c r="I658" s="1"/>
      <c r="J658" s="7"/>
      <c r="K658" s="1"/>
      <c r="L658" s="1"/>
      <c r="M658" s="1"/>
      <c r="N658" s="1"/>
      <c r="O658" s="1"/>
      <c r="P658" s="1"/>
      <c r="Q658" s="1"/>
      <c r="R658" s="1"/>
      <c r="S658" s="1"/>
      <c r="T658" s="1"/>
      <c r="U658" s="1"/>
      <c r="V658" s="1"/>
      <c r="W658" s="1"/>
      <c r="X658" s="1"/>
      <c r="Y658" s="1"/>
      <c r="Z658" s="1"/>
    </row>
    <row r="659" spans="1:26" ht="12.75" customHeight="1" x14ac:dyDescent="0.25">
      <c r="A659" s="1"/>
      <c r="B659" s="1"/>
      <c r="C659" s="3"/>
      <c r="D659" s="3"/>
      <c r="E659" s="5"/>
      <c r="F659" s="5"/>
      <c r="G659" s="3"/>
      <c r="H659" s="5"/>
      <c r="I659" s="1"/>
      <c r="J659" s="7"/>
      <c r="K659" s="1"/>
      <c r="L659" s="1"/>
      <c r="M659" s="1"/>
      <c r="N659" s="1"/>
      <c r="O659" s="1"/>
      <c r="P659" s="1"/>
      <c r="Q659" s="1"/>
      <c r="R659" s="1"/>
      <c r="S659" s="1"/>
      <c r="T659" s="1"/>
      <c r="U659" s="1"/>
      <c r="V659" s="1"/>
      <c r="W659" s="1"/>
      <c r="X659" s="1"/>
      <c r="Y659" s="1"/>
      <c r="Z659" s="1"/>
    </row>
    <row r="660" spans="1:26" ht="12.75" customHeight="1" x14ac:dyDescent="0.25">
      <c r="A660" s="1"/>
      <c r="B660" s="1"/>
      <c r="C660" s="3"/>
      <c r="D660" s="3"/>
      <c r="E660" s="5"/>
      <c r="F660" s="5"/>
      <c r="G660" s="3"/>
      <c r="H660" s="5"/>
      <c r="I660" s="1"/>
      <c r="J660" s="7"/>
      <c r="K660" s="1"/>
      <c r="L660" s="1"/>
      <c r="M660" s="1"/>
      <c r="N660" s="1"/>
      <c r="O660" s="1"/>
      <c r="P660" s="1"/>
      <c r="Q660" s="1"/>
      <c r="R660" s="1"/>
      <c r="S660" s="1"/>
      <c r="T660" s="1"/>
      <c r="U660" s="1"/>
      <c r="V660" s="1"/>
      <c r="W660" s="1"/>
      <c r="X660" s="1"/>
      <c r="Y660" s="1"/>
      <c r="Z660" s="1"/>
    </row>
    <row r="661" spans="1:26" ht="12.75" customHeight="1" x14ac:dyDescent="0.25">
      <c r="A661" s="1"/>
      <c r="B661" s="1"/>
      <c r="C661" s="3"/>
      <c r="D661" s="3"/>
      <c r="E661" s="5"/>
      <c r="F661" s="5"/>
      <c r="G661" s="3"/>
      <c r="H661" s="5"/>
      <c r="I661" s="1"/>
      <c r="J661" s="7"/>
      <c r="K661" s="1"/>
      <c r="L661" s="1"/>
      <c r="M661" s="1"/>
      <c r="N661" s="1"/>
      <c r="O661" s="1"/>
      <c r="P661" s="1"/>
      <c r="Q661" s="1"/>
      <c r="R661" s="1"/>
      <c r="S661" s="1"/>
      <c r="T661" s="1"/>
      <c r="U661" s="1"/>
      <c r="V661" s="1"/>
      <c r="W661" s="1"/>
      <c r="X661" s="1"/>
      <c r="Y661" s="1"/>
      <c r="Z661" s="1"/>
    </row>
    <row r="662" spans="1:26" ht="12.75" customHeight="1" x14ac:dyDescent="0.25">
      <c r="A662" s="1"/>
      <c r="B662" s="1"/>
      <c r="C662" s="3"/>
      <c r="D662" s="3"/>
      <c r="E662" s="5"/>
      <c r="F662" s="5"/>
      <c r="G662" s="3"/>
      <c r="H662" s="5"/>
      <c r="I662" s="1"/>
      <c r="J662" s="7"/>
      <c r="K662" s="1"/>
      <c r="L662" s="1"/>
      <c r="M662" s="1"/>
      <c r="N662" s="1"/>
      <c r="O662" s="1"/>
      <c r="P662" s="1"/>
      <c r="Q662" s="1"/>
      <c r="R662" s="1"/>
      <c r="S662" s="1"/>
      <c r="T662" s="1"/>
      <c r="U662" s="1"/>
      <c r="V662" s="1"/>
      <c r="W662" s="1"/>
      <c r="X662" s="1"/>
      <c r="Y662" s="1"/>
      <c r="Z662" s="1"/>
    </row>
    <row r="663" spans="1:26" ht="12.75" customHeight="1" x14ac:dyDescent="0.25">
      <c r="A663" s="1"/>
      <c r="B663" s="1"/>
      <c r="C663" s="3"/>
      <c r="D663" s="3"/>
      <c r="E663" s="5"/>
      <c r="F663" s="5"/>
      <c r="G663" s="3"/>
      <c r="H663" s="5"/>
      <c r="I663" s="1"/>
      <c r="J663" s="7"/>
      <c r="K663" s="1"/>
      <c r="L663" s="1"/>
      <c r="M663" s="1"/>
      <c r="N663" s="1"/>
      <c r="O663" s="1"/>
      <c r="P663" s="1"/>
      <c r="Q663" s="1"/>
      <c r="R663" s="1"/>
      <c r="S663" s="1"/>
      <c r="T663" s="1"/>
      <c r="U663" s="1"/>
      <c r="V663" s="1"/>
      <c r="W663" s="1"/>
      <c r="X663" s="1"/>
      <c r="Y663" s="1"/>
      <c r="Z663" s="1"/>
    </row>
    <row r="664" spans="1:26" ht="12.75" customHeight="1" x14ac:dyDescent="0.25">
      <c r="A664" s="1"/>
      <c r="B664" s="1"/>
      <c r="C664" s="3"/>
      <c r="D664" s="3"/>
      <c r="E664" s="5"/>
      <c r="F664" s="5"/>
      <c r="G664" s="3"/>
      <c r="H664" s="5"/>
      <c r="I664" s="1"/>
      <c r="J664" s="7"/>
      <c r="K664" s="1"/>
      <c r="L664" s="1"/>
      <c r="M664" s="1"/>
      <c r="N664" s="1"/>
      <c r="O664" s="1"/>
      <c r="P664" s="1"/>
      <c r="Q664" s="1"/>
      <c r="R664" s="1"/>
      <c r="S664" s="1"/>
      <c r="T664" s="1"/>
      <c r="U664" s="1"/>
      <c r="V664" s="1"/>
      <c r="W664" s="1"/>
      <c r="X664" s="1"/>
      <c r="Y664" s="1"/>
      <c r="Z664" s="1"/>
    </row>
    <row r="665" spans="1:26" ht="12.75" customHeight="1" x14ac:dyDescent="0.25">
      <c r="A665" s="1"/>
      <c r="B665" s="1"/>
      <c r="C665" s="3"/>
      <c r="D665" s="3"/>
      <c r="E665" s="5"/>
      <c r="F665" s="5"/>
      <c r="G665" s="3"/>
      <c r="H665" s="5"/>
      <c r="I665" s="1"/>
      <c r="J665" s="7"/>
      <c r="K665" s="1"/>
      <c r="L665" s="1"/>
      <c r="M665" s="1"/>
      <c r="N665" s="1"/>
      <c r="O665" s="1"/>
      <c r="P665" s="1"/>
      <c r="Q665" s="1"/>
      <c r="R665" s="1"/>
      <c r="S665" s="1"/>
      <c r="T665" s="1"/>
      <c r="U665" s="1"/>
      <c r="V665" s="1"/>
      <c r="W665" s="1"/>
      <c r="X665" s="1"/>
      <c r="Y665" s="1"/>
      <c r="Z665" s="1"/>
    </row>
    <row r="666" spans="1:26" ht="12.75" customHeight="1" x14ac:dyDescent="0.25">
      <c r="A666" s="1"/>
      <c r="B666" s="1"/>
      <c r="C666" s="3"/>
      <c r="D666" s="3"/>
      <c r="E666" s="5"/>
      <c r="F666" s="5"/>
      <c r="G666" s="3"/>
      <c r="H666" s="5"/>
      <c r="I666" s="1"/>
      <c r="J666" s="7"/>
      <c r="K666" s="1"/>
      <c r="L666" s="1"/>
      <c r="M666" s="1"/>
      <c r="N666" s="1"/>
      <c r="O666" s="1"/>
      <c r="P666" s="1"/>
      <c r="Q666" s="1"/>
      <c r="R666" s="1"/>
      <c r="S666" s="1"/>
      <c r="T666" s="1"/>
      <c r="U666" s="1"/>
      <c r="V666" s="1"/>
      <c r="W666" s="1"/>
      <c r="X666" s="1"/>
      <c r="Y666" s="1"/>
      <c r="Z666" s="1"/>
    </row>
    <row r="667" spans="1:26" ht="12.75" customHeight="1" x14ac:dyDescent="0.25">
      <c r="A667" s="1"/>
      <c r="B667" s="1"/>
      <c r="C667" s="3"/>
      <c r="D667" s="3"/>
      <c r="E667" s="5"/>
      <c r="F667" s="5"/>
      <c r="G667" s="3"/>
      <c r="H667" s="5"/>
      <c r="I667" s="1"/>
      <c r="J667" s="7"/>
      <c r="K667" s="1"/>
      <c r="L667" s="1"/>
      <c r="M667" s="1"/>
      <c r="N667" s="1"/>
      <c r="O667" s="1"/>
      <c r="P667" s="1"/>
      <c r="Q667" s="1"/>
      <c r="R667" s="1"/>
      <c r="S667" s="1"/>
      <c r="T667" s="1"/>
      <c r="U667" s="1"/>
      <c r="V667" s="1"/>
      <c r="W667" s="1"/>
      <c r="X667" s="1"/>
      <c r="Y667" s="1"/>
      <c r="Z667" s="1"/>
    </row>
    <row r="668" spans="1:26" ht="12.75" customHeight="1" x14ac:dyDescent="0.25">
      <c r="A668" s="1"/>
      <c r="B668" s="1"/>
      <c r="C668" s="3"/>
      <c r="D668" s="3"/>
      <c r="E668" s="5"/>
      <c r="F668" s="5"/>
      <c r="G668" s="3"/>
      <c r="H668" s="5"/>
      <c r="I668" s="1"/>
      <c r="J668" s="7"/>
      <c r="K668" s="1"/>
      <c r="L668" s="1"/>
      <c r="M668" s="1"/>
      <c r="N668" s="1"/>
      <c r="O668" s="1"/>
      <c r="P668" s="1"/>
      <c r="Q668" s="1"/>
      <c r="R668" s="1"/>
      <c r="S668" s="1"/>
      <c r="T668" s="1"/>
      <c r="U668" s="1"/>
      <c r="V668" s="1"/>
      <c r="W668" s="1"/>
      <c r="X668" s="1"/>
      <c r="Y668" s="1"/>
      <c r="Z668" s="1"/>
    </row>
    <row r="669" spans="1:26" ht="12.75" customHeight="1" x14ac:dyDescent="0.25">
      <c r="A669" s="1"/>
      <c r="B669" s="1"/>
      <c r="C669" s="3"/>
      <c r="D669" s="3"/>
      <c r="E669" s="5"/>
      <c r="F669" s="5"/>
      <c r="G669" s="3"/>
      <c r="H669" s="5"/>
      <c r="I669" s="1"/>
      <c r="J669" s="7"/>
      <c r="K669" s="1"/>
      <c r="L669" s="1"/>
      <c r="M669" s="1"/>
      <c r="N669" s="1"/>
      <c r="O669" s="1"/>
      <c r="P669" s="1"/>
      <c r="Q669" s="1"/>
      <c r="R669" s="1"/>
      <c r="S669" s="1"/>
      <c r="T669" s="1"/>
      <c r="U669" s="1"/>
      <c r="V669" s="1"/>
      <c r="W669" s="1"/>
      <c r="X669" s="1"/>
      <c r="Y669" s="1"/>
      <c r="Z669" s="1"/>
    </row>
    <row r="670" spans="1:26" ht="12.75" customHeight="1" x14ac:dyDescent="0.25">
      <c r="A670" s="1"/>
      <c r="B670" s="1"/>
      <c r="C670" s="3"/>
      <c r="D670" s="3"/>
      <c r="E670" s="5"/>
      <c r="F670" s="5"/>
      <c r="G670" s="3"/>
      <c r="H670" s="5"/>
      <c r="I670" s="1"/>
      <c r="J670" s="7"/>
      <c r="K670" s="1"/>
      <c r="L670" s="1"/>
      <c r="M670" s="1"/>
      <c r="N670" s="1"/>
      <c r="O670" s="1"/>
      <c r="P670" s="1"/>
      <c r="Q670" s="1"/>
      <c r="R670" s="1"/>
      <c r="S670" s="1"/>
      <c r="T670" s="1"/>
      <c r="U670" s="1"/>
      <c r="V670" s="1"/>
      <c r="W670" s="1"/>
      <c r="X670" s="1"/>
      <c r="Y670" s="1"/>
      <c r="Z670" s="1"/>
    </row>
    <row r="671" spans="1:26" ht="12.75" customHeight="1" x14ac:dyDescent="0.25">
      <c r="A671" s="1"/>
      <c r="B671" s="1"/>
      <c r="C671" s="3"/>
      <c r="D671" s="3"/>
      <c r="E671" s="5"/>
      <c r="F671" s="5"/>
      <c r="G671" s="3"/>
      <c r="H671" s="5"/>
      <c r="I671" s="1"/>
      <c r="J671" s="7"/>
      <c r="K671" s="1"/>
      <c r="L671" s="1"/>
      <c r="M671" s="1"/>
      <c r="N671" s="1"/>
      <c r="O671" s="1"/>
      <c r="P671" s="1"/>
      <c r="Q671" s="1"/>
      <c r="R671" s="1"/>
      <c r="S671" s="1"/>
      <c r="T671" s="1"/>
      <c r="U671" s="1"/>
      <c r="V671" s="1"/>
      <c r="W671" s="1"/>
      <c r="X671" s="1"/>
      <c r="Y671" s="1"/>
      <c r="Z671" s="1"/>
    </row>
    <row r="672" spans="1:26" ht="12.75" customHeight="1" x14ac:dyDescent="0.25">
      <c r="A672" s="1"/>
      <c r="B672" s="1"/>
      <c r="C672" s="3"/>
      <c r="D672" s="3"/>
      <c r="E672" s="5"/>
      <c r="F672" s="5"/>
      <c r="G672" s="3"/>
      <c r="H672" s="5"/>
      <c r="I672" s="1"/>
      <c r="J672" s="7"/>
      <c r="K672" s="1"/>
      <c r="L672" s="1"/>
      <c r="M672" s="1"/>
      <c r="N672" s="1"/>
      <c r="O672" s="1"/>
      <c r="P672" s="1"/>
      <c r="Q672" s="1"/>
      <c r="R672" s="1"/>
      <c r="S672" s="1"/>
      <c r="T672" s="1"/>
      <c r="U672" s="1"/>
      <c r="V672" s="1"/>
      <c r="W672" s="1"/>
      <c r="X672" s="1"/>
      <c r="Y672" s="1"/>
      <c r="Z672" s="1"/>
    </row>
    <row r="673" spans="1:26" ht="12.75" customHeight="1" x14ac:dyDescent="0.25">
      <c r="A673" s="1"/>
      <c r="B673" s="1"/>
      <c r="C673" s="3"/>
      <c r="D673" s="3"/>
      <c r="E673" s="5"/>
      <c r="F673" s="5"/>
      <c r="G673" s="3"/>
      <c r="H673" s="5"/>
      <c r="I673" s="1"/>
      <c r="J673" s="7"/>
      <c r="K673" s="1"/>
      <c r="L673" s="1"/>
      <c r="M673" s="1"/>
      <c r="N673" s="1"/>
      <c r="O673" s="1"/>
      <c r="P673" s="1"/>
      <c r="Q673" s="1"/>
      <c r="R673" s="1"/>
      <c r="S673" s="1"/>
      <c r="T673" s="1"/>
      <c r="U673" s="1"/>
      <c r="V673" s="1"/>
      <c r="W673" s="1"/>
      <c r="X673" s="1"/>
      <c r="Y673" s="1"/>
      <c r="Z673" s="1"/>
    </row>
    <row r="674" spans="1:26" ht="12.75" customHeight="1" x14ac:dyDescent="0.25">
      <c r="A674" s="1"/>
      <c r="B674" s="1"/>
      <c r="C674" s="3"/>
      <c r="D674" s="3"/>
      <c r="E674" s="5"/>
      <c r="F674" s="5"/>
      <c r="G674" s="3"/>
      <c r="H674" s="5"/>
      <c r="I674" s="1"/>
      <c r="J674" s="7"/>
      <c r="K674" s="1"/>
      <c r="L674" s="1"/>
      <c r="M674" s="1"/>
      <c r="N674" s="1"/>
      <c r="O674" s="1"/>
      <c r="P674" s="1"/>
      <c r="Q674" s="1"/>
      <c r="R674" s="1"/>
      <c r="S674" s="1"/>
      <c r="T674" s="1"/>
      <c r="U674" s="1"/>
      <c r="V674" s="1"/>
      <c r="W674" s="1"/>
      <c r="X674" s="1"/>
      <c r="Y674" s="1"/>
      <c r="Z674" s="1"/>
    </row>
    <row r="675" spans="1:26" ht="12.75" customHeight="1" x14ac:dyDescent="0.25">
      <c r="A675" s="1"/>
      <c r="B675" s="1"/>
      <c r="C675" s="3"/>
      <c r="D675" s="3"/>
      <c r="E675" s="5"/>
      <c r="F675" s="5"/>
      <c r="G675" s="3"/>
      <c r="H675" s="5"/>
      <c r="I675" s="1"/>
      <c r="J675" s="7"/>
      <c r="K675" s="1"/>
      <c r="L675" s="1"/>
      <c r="M675" s="1"/>
      <c r="N675" s="1"/>
      <c r="O675" s="1"/>
      <c r="P675" s="1"/>
      <c r="Q675" s="1"/>
      <c r="R675" s="1"/>
      <c r="S675" s="1"/>
      <c r="T675" s="1"/>
      <c r="U675" s="1"/>
      <c r="V675" s="1"/>
      <c r="W675" s="1"/>
      <c r="X675" s="1"/>
      <c r="Y675" s="1"/>
      <c r="Z675" s="1"/>
    </row>
    <row r="676" spans="1:26" ht="12.75" customHeight="1" x14ac:dyDescent="0.25">
      <c r="A676" s="1"/>
      <c r="B676" s="1"/>
      <c r="C676" s="3"/>
      <c r="D676" s="3"/>
      <c r="E676" s="5"/>
      <c r="F676" s="5"/>
      <c r="G676" s="3"/>
      <c r="H676" s="5"/>
      <c r="I676" s="1"/>
      <c r="J676" s="7"/>
      <c r="K676" s="1"/>
      <c r="L676" s="1"/>
      <c r="M676" s="1"/>
      <c r="N676" s="1"/>
      <c r="O676" s="1"/>
      <c r="P676" s="1"/>
      <c r="Q676" s="1"/>
      <c r="R676" s="1"/>
      <c r="S676" s="1"/>
      <c r="T676" s="1"/>
      <c r="U676" s="1"/>
      <c r="V676" s="1"/>
      <c r="W676" s="1"/>
      <c r="X676" s="1"/>
      <c r="Y676" s="1"/>
      <c r="Z676" s="1"/>
    </row>
    <row r="677" spans="1:26" ht="12.75" customHeight="1" x14ac:dyDescent="0.25">
      <c r="A677" s="1"/>
      <c r="B677" s="1"/>
      <c r="C677" s="3"/>
      <c r="D677" s="3"/>
      <c r="E677" s="5"/>
      <c r="F677" s="5"/>
      <c r="G677" s="3"/>
      <c r="H677" s="5"/>
      <c r="I677" s="1"/>
      <c r="J677" s="7"/>
      <c r="K677" s="1"/>
      <c r="L677" s="1"/>
      <c r="M677" s="1"/>
      <c r="N677" s="1"/>
      <c r="O677" s="1"/>
      <c r="P677" s="1"/>
      <c r="Q677" s="1"/>
      <c r="R677" s="1"/>
      <c r="S677" s="1"/>
      <c r="T677" s="1"/>
      <c r="U677" s="1"/>
      <c r="V677" s="1"/>
      <c r="W677" s="1"/>
      <c r="X677" s="1"/>
      <c r="Y677" s="1"/>
      <c r="Z677" s="1"/>
    </row>
    <row r="678" spans="1:26" ht="12.75" customHeight="1" x14ac:dyDescent="0.25">
      <c r="A678" s="1"/>
      <c r="B678" s="1"/>
      <c r="C678" s="3"/>
      <c r="D678" s="3"/>
      <c r="E678" s="5"/>
      <c r="F678" s="5"/>
      <c r="G678" s="3"/>
      <c r="H678" s="5"/>
      <c r="I678" s="1"/>
      <c r="J678" s="7"/>
      <c r="K678" s="1"/>
      <c r="L678" s="1"/>
      <c r="M678" s="1"/>
      <c r="N678" s="1"/>
      <c r="O678" s="1"/>
      <c r="P678" s="1"/>
      <c r="Q678" s="1"/>
      <c r="R678" s="1"/>
      <c r="S678" s="1"/>
      <c r="T678" s="1"/>
      <c r="U678" s="1"/>
      <c r="V678" s="1"/>
      <c r="W678" s="1"/>
      <c r="X678" s="1"/>
      <c r="Y678" s="1"/>
      <c r="Z678" s="1"/>
    </row>
    <row r="679" spans="1:26" ht="12.75" customHeight="1" x14ac:dyDescent="0.25">
      <c r="A679" s="1"/>
      <c r="B679" s="1"/>
      <c r="C679" s="3"/>
      <c r="D679" s="3"/>
      <c r="E679" s="5"/>
      <c r="F679" s="5"/>
      <c r="G679" s="3"/>
      <c r="H679" s="5"/>
      <c r="I679" s="1"/>
      <c r="J679" s="7"/>
      <c r="K679" s="1"/>
      <c r="L679" s="1"/>
      <c r="M679" s="1"/>
      <c r="N679" s="1"/>
      <c r="O679" s="1"/>
      <c r="P679" s="1"/>
      <c r="Q679" s="1"/>
      <c r="R679" s="1"/>
      <c r="S679" s="1"/>
      <c r="T679" s="1"/>
      <c r="U679" s="1"/>
      <c r="V679" s="1"/>
      <c r="W679" s="1"/>
      <c r="X679" s="1"/>
      <c r="Y679" s="1"/>
      <c r="Z679" s="1"/>
    </row>
    <row r="680" spans="1:26" ht="12.75" customHeight="1" x14ac:dyDescent="0.25">
      <c r="A680" s="1"/>
      <c r="B680" s="1"/>
      <c r="C680" s="3"/>
      <c r="D680" s="3"/>
      <c r="E680" s="5"/>
      <c r="F680" s="5"/>
      <c r="G680" s="3"/>
      <c r="H680" s="5"/>
      <c r="I680" s="1"/>
      <c r="J680" s="7"/>
      <c r="K680" s="1"/>
      <c r="L680" s="1"/>
      <c r="M680" s="1"/>
      <c r="N680" s="1"/>
      <c r="O680" s="1"/>
      <c r="P680" s="1"/>
      <c r="Q680" s="1"/>
      <c r="R680" s="1"/>
      <c r="S680" s="1"/>
      <c r="T680" s="1"/>
      <c r="U680" s="1"/>
      <c r="V680" s="1"/>
      <c r="W680" s="1"/>
      <c r="X680" s="1"/>
      <c r="Y680" s="1"/>
      <c r="Z680" s="1"/>
    </row>
    <row r="681" spans="1:26" ht="12.75" customHeight="1" x14ac:dyDescent="0.25">
      <c r="A681" s="1"/>
      <c r="B681" s="1"/>
      <c r="C681" s="3"/>
      <c r="D681" s="3"/>
      <c r="E681" s="5"/>
      <c r="F681" s="5"/>
      <c r="G681" s="3"/>
      <c r="H681" s="5"/>
      <c r="I681" s="1"/>
      <c r="J681" s="7"/>
      <c r="K681" s="1"/>
      <c r="L681" s="1"/>
      <c r="M681" s="1"/>
      <c r="N681" s="1"/>
      <c r="O681" s="1"/>
      <c r="P681" s="1"/>
      <c r="Q681" s="1"/>
      <c r="R681" s="1"/>
      <c r="S681" s="1"/>
      <c r="T681" s="1"/>
      <c r="U681" s="1"/>
      <c r="V681" s="1"/>
      <c r="W681" s="1"/>
      <c r="X681" s="1"/>
      <c r="Y681" s="1"/>
      <c r="Z681" s="1"/>
    </row>
    <row r="682" spans="1:26" ht="12.75" customHeight="1" x14ac:dyDescent="0.25">
      <c r="A682" s="1"/>
      <c r="B682" s="1"/>
      <c r="C682" s="3"/>
      <c r="D682" s="3"/>
      <c r="E682" s="5"/>
      <c r="F682" s="5"/>
      <c r="G682" s="3"/>
      <c r="H682" s="5"/>
      <c r="I682" s="1"/>
      <c r="J682" s="7"/>
      <c r="K682" s="1"/>
      <c r="L682" s="1"/>
      <c r="M682" s="1"/>
      <c r="N682" s="1"/>
      <c r="O682" s="1"/>
      <c r="P682" s="1"/>
      <c r="Q682" s="1"/>
      <c r="R682" s="1"/>
      <c r="S682" s="1"/>
      <c r="T682" s="1"/>
      <c r="U682" s="1"/>
      <c r="V682" s="1"/>
      <c r="W682" s="1"/>
      <c r="X682" s="1"/>
      <c r="Y682" s="1"/>
      <c r="Z682" s="1"/>
    </row>
    <row r="683" spans="1:26" ht="12.75" customHeight="1" x14ac:dyDescent="0.25">
      <c r="A683" s="1"/>
      <c r="B683" s="1"/>
      <c r="C683" s="3"/>
      <c r="D683" s="3"/>
      <c r="E683" s="5"/>
      <c r="F683" s="5"/>
      <c r="G683" s="3"/>
      <c r="H683" s="5"/>
      <c r="I683" s="1"/>
      <c r="J683" s="7"/>
      <c r="K683" s="1"/>
      <c r="L683" s="1"/>
      <c r="M683" s="1"/>
      <c r="N683" s="1"/>
      <c r="O683" s="1"/>
      <c r="P683" s="1"/>
      <c r="Q683" s="1"/>
      <c r="R683" s="1"/>
      <c r="S683" s="1"/>
      <c r="T683" s="1"/>
      <c r="U683" s="1"/>
      <c r="V683" s="1"/>
      <c r="W683" s="1"/>
      <c r="X683" s="1"/>
      <c r="Y683" s="1"/>
      <c r="Z683" s="1"/>
    </row>
    <row r="684" spans="1:26" ht="12.75" customHeight="1" x14ac:dyDescent="0.25">
      <c r="A684" s="1"/>
      <c r="B684" s="1"/>
      <c r="C684" s="3"/>
      <c r="D684" s="3"/>
      <c r="E684" s="5"/>
      <c r="F684" s="5"/>
      <c r="G684" s="3"/>
      <c r="H684" s="5"/>
      <c r="I684" s="1"/>
      <c r="J684" s="7"/>
      <c r="K684" s="1"/>
      <c r="L684" s="1"/>
      <c r="M684" s="1"/>
      <c r="N684" s="1"/>
      <c r="O684" s="1"/>
      <c r="P684" s="1"/>
      <c r="Q684" s="1"/>
      <c r="R684" s="1"/>
      <c r="S684" s="1"/>
      <c r="T684" s="1"/>
      <c r="U684" s="1"/>
      <c r="V684" s="1"/>
      <c r="W684" s="1"/>
      <c r="X684" s="1"/>
      <c r="Y684" s="1"/>
      <c r="Z684" s="1"/>
    </row>
    <row r="685" spans="1:26" ht="12.75" customHeight="1" x14ac:dyDescent="0.25">
      <c r="A685" s="1"/>
      <c r="B685" s="1"/>
      <c r="C685" s="3"/>
      <c r="D685" s="3"/>
      <c r="E685" s="5"/>
      <c r="F685" s="5"/>
      <c r="G685" s="3"/>
      <c r="H685" s="5"/>
      <c r="I685" s="1"/>
      <c r="J685" s="7"/>
      <c r="K685" s="1"/>
      <c r="L685" s="1"/>
      <c r="M685" s="1"/>
      <c r="N685" s="1"/>
      <c r="O685" s="1"/>
      <c r="P685" s="1"/>
      <c r="Q685" s="1"/>
      <c r="R685" s="1"/>
      <c r="S685" s="1"/>
      <c r="T685" s="1"/>
      <c r="U685" s="1"/>
      <c r="V685" s="1"/>
      <c r="W685" s="1"/>
      <c r="X685" s="1"/>
      <c r="Y685" s="1"/>
      <c r="Z685" s="1"/>
    </row>
    <row r="686" spans="1:26" ht="12.75" customHeight="1" x14ac:dyDescent="0.25">
      <c r="A686" s="1"/>
      <c r="B686" s="1"/>
      <c r="C686" s="3"/>
      <c r="D686" s="3"/>
      <c r="E686" s="5"/>
      <c r="F686" s="5"/>
      <c r="G686" s="3"/>
      <c r="H686" s="5"/>
      <c r="I686" s="1"/>
      <c r="J686" s="7"/>
      <c r="K686" s="1"/>
      <c r="L686" s="1"/>
      <c r="M686" s="1"/>
      <c r="N686" s="1"/>
      <c r="O686" s="1"/>
      <c r="P686" s="1"/>
      <c r="Q686" s="1"/>
      <c r="R686" s="1"/>
      <c r="S686" s="1"/>
      <c r="T686" s="1"/>
      <c r="U686" s="1"/>
      <c r="V686" s="1"/>
      <c r="W686" s="1"/>
      <c r="X686" s="1"/>
      <c r="Y686" s="1"/>
      <c r="Z686" s="1"/>
    </row>
    <row r="687" spans="1:26" ht="12.75" customHeight="1" x14ac:dyDescent="0.25">
      <c r="A687" s="1"/>
      <c r="B687" s="1"/>
      <c r="C687" s="3"/>
      <c r="D687" s="3"/>
      <c r="E687" s="5"/>
      <c r="F687" s="5"/>
      <c r="G687" s="3"/>
      <c r="H687" s="5"/>
      <c r="I687" s="1"/>
      <c r="J687" s="7"/>
      <c r="K687" s="1"/>
      <c r="L687" s="1"/>
      <c r="M687" s="1"/>
      <c r="N687" s="1"/>
      <c r="O687" s="1"/>
      <c r="P687" s="1"/>
      <c r="Q687" s="1"/>
      <c r="R687" s="1"/>
      <c r="S687" s="1"/>
      <c r="T687" s="1"/>
      <c r="U687" s="1"/>
      <c r="V687" s="1"/>
      <c r="W687" s="1"/>
      <c r="X687" s="1"/>
      <c r="Y687" s="1"/>
      <c r="Z687" s="1"/>
    </row>
    <row r="688" spans="1:26" ht="12.75" customHeight="1" x14ac:dyDescent="0.25">
      <c r="A688" s="1"/>
      <c r="B688" s="1"/>
      <c r="C688" s="3"/>
      <c r="D688" s="3"/>
      <c r="E688" s="5"/>
      <c r="F688" s="5"/>
      <c r="G688" s="3"/>
      <c r="H688" s="5"/>
      <c r="I688" s="1"/>
      <c r="J688" s="7"/>
      <c r="K688" s="1"/>
      <c r="L688" s="1"/>
      <c r="M688" s="1"/>
      <c r="N688" s="1"/>
      <c r="O688" s="1"/>
      <c r="P688" s="1"/>
      <c r="Q688" s="1"/>
      <c r="R688" s="1"/>
      <c r="S688" s="1"/>
      <c r="T688" s="1"/>
      <c r="U688" s="1"/>
      <c r="V688" s="1"/>
      <c r="W688" s="1"/>
      <c r="X688" s="1"/>
      <c r="Y688" s="1"/>
      <c r="Z688" s="1"/>
    </row>
    <row r="689" spans="1:26" ht="12.75" customHeight="1" x14ac:dyDescent="0.25">
      <c r="A689" s="1"/>
      <c r="B689" s="1"/>
      <c r="C689" s="3"/>
      <c r="D689" s="3"/>
      <c r="E689" s="5"/>
      <c r="F689" s="5"/>
      <c r="G689" s="3"/>
      <c r="H689" s="5"/>
      <c r="I689" s="1"/>
      <c r="J689" s="7"/>
      <c r="K689" s="1"/>
      <c r="L689" s="1"/>
      <c r="M689" s="1"/>
      <c r="N689" s="1"/>
      <c r="O689" s="1"/>
      <c r="P689" s="1"/>
      <c r="Q689" s="1"/>
      <c r="R689" s="1"/>
      <c r="S689" s="1"/>
      <c r="T689" s="1"/>
      <c r="U689" s="1"/>
      <c r="V689" s="1"/>
      <c r="W689" s="1"/>
      <c r="X689" s="1"/>
      <c r="Y689" s="1"/>
      <c r="Z689" s="1"/>
    </row>
    <row r="690" spans="1:26" ht="12.75" customHeight="1" x14ac:dyDescent="0.25">
      <c r="A690" s="1"/>
      <c r="B690" s="1"/>
      <c r="C690" s="3"/>
      <c r="D690" s="3"/>
      <c r="E690" s="5"/>
      <c r="F690" s="5"/>
      <c r="G690" s="3"/>
      <c r="H690" s="5"/>
      <c r="I690" s="1"/>
      <c r="J690" s="7"/>
      <c r="K690" s="1"/>
      <c r="L690" s="1"/>
      <c r="M690" s="1"/>
      <c r="N690" s="1"/>
      <c r="O690" s="1"/>
      <c r="P690" s="1"/>
      <c r="Q690" s="1"/>
      <c r="R690" s="1"/>
      <c r="S690" s="1"/>
      <c r="T690" s="1"/>
      <c r="U690" s="1"/>
      <c r="V690" s="1"/>
      <c r="W690" s="1"/>
      <c r="X690" s="1"/>
      <c r="Y690" s="1"/>
      <c r="Z690" s="1"/>
    </row>
    <row r="691" spans="1:26" ht="12.75" customHeight="1" x14ac:dyDescent="0.25">
      <c r="A691" s="1"/>
      <c r="B691" s="1"/>
      <c r="C691" s="3"/>
      <c r="D691" s="3"/>
      <c r="E691" s="5"/>
      <c r="F691" s="5"/>
      <c r="G691" s="3"/>
      <c r="H691" s="5"/>
      <c r="I691" s="1"/>
      <c r="J691" s="7"/>
      <c r="K691" s="1"/>
      <c r="L691" s="1"/>
      <c r="M691" s="1"/>
      <c r="N691" s="1"/>
      <c r="O691" s="1"/>
      <c r="P691" s="1"/>
      <c r="Q691" s="1"/>
      <c r="R691" s="1"/>
      <c r="S691" s="1"/>
      <c r="T691" s="1"/>
      <c r="U691" s="1"/>
      <c r="V691" s="1"/>
      <c r="W691" s="1"/>
      <c r="X691" s="1"/>
      <c r="Y691" s="1"/>
      <c r="Z691" s="1"/>
    </row>
    <row r="692" spans="1:26" ht="12.75" customHeight="1" x14ac:dyDescent="0.25">
      <c r="A692" s="1"/>
      <c r="B692" s="1"/>
      <c r="C692" s="3"/>
      <c r="D692" s="3"/>
      <c r="E692" s="5"/>
      <c r="F692" s="5"/>
      <c r="G692" s="3"/>
      <c r="H692" s="5"/>
      <c r="I692" s="1"/>
      <c r="J692" s="7"/>
      <c r="K692" s="1"/>
      <c r="L692" s="1"/>
      <c r="M692" s="1"/>
      <c r="N692" s="1"/>
      <c r="O692" s="1"/>
      <c r="P692" s="1"/>
      <c r="Q692" s="1"/>
      <c r="R692" s="1"/>
      <c r="S692" s="1"/>
      <c r="T692" s="1"/>
      <c r="U692" s="1"/>
      <c r="V692" s="1"/>
      <c r="W692" s="1"/>
      <c r="X692" s="1"/>
      <c r="Y692" s="1"/>
      <c r="Z692" s="1"/>
    </row>
    <row r="693" spans="1:26" ht="12.75" customHeight="1" x14ac:dyDescent="0.25">
      <c r="A693" s="1"/>
      <c r="B693" s="1"/>
      <c r="C693" s="3"/>
      <c r="D693" s="3"/>
      <c r="E693" s="5"/>
      <c r="F693" s="5"/>
      <c r="G693" s="3"/>
      <c r="H693" s="5"/>
      <c r="I693" s="1"/>
      <c r="J693" s="7"/>
      <c r="K693" s="1"/>
      <c r="L693" s="1"/>
      <c r="M693" s="1"/>
      <c r="N693" s="1"/>
      <c r="O693" s="1"/>
      <c r="P693" s="1"/>
      <c r="Q693" s="1"/>
      <c r="R693" s="1"/>
      <c r="S693" s="1"/>
      <c r="T693" s="1"/>
      <c r="U693" s="1"/>
      <c r="V693" s="1"/>
      <c r="W693" s="1"/>
      <c r="X693" s="1"/>
      <c r="Y693" s="1"/>
      <c r="Z693" s="1"/>
    </row>
    <row r="694" spans="1:26" ht="12.75" customHeight="1" x14ac:dyDescent="0.25">
      <c r="A694" s="1"/>
      <c r="B694" s="1"/>
      <c r="C694" s="3"/>
      <c r="D694" s="3"/>
      <c r="E694" s="5"/>
      <c r="F694" s="5"/>
      <c r="G694" s="3"/>
      <c r="H694" s="5"/>
      <c r="I694" s="1"/>
      <c r="J694" s="7"/>
      <c r="K694" s="1"/>
      <c r="L694" s="1"/>
      <c r="M694" s="1"/>
      <c r="N694" s="1"/>
      <c r="O694" s="1"/>
      <c r="P694" s="1"/>
      <c r="Q694" s="1"/>
      <c r="R694" s="1"/>
      <c r="S694" s="1"/>
      <c r="T694" s="1"/>
      <c r="U694" s="1"/>
      <c r="V694" s="1"/>
      <c r="W694" s="1"/>
      <c r="X694" s="1"/>
      <c r="Y694" s="1"/>
      <c r="Z694" s="1"/>
    </row>
    <row r="695" spans="1:26" ht="12.75" customHeight="1" x14ac:dyDescent="0.25">
      <c r="A695" s="1"/>
      <c r="B695" s="1"/>
      <c r="C695" s="3"/>
      <c r="D695" s="3"/>
      <c r="E695" s="5"/>
      <c r="F695" s="5"/>
      <c r="G695" s="3"/>
      <c r="H695" s="5"/>
      <c r="I695" s="1"/>
      <c r="J695" s="7"/>
      <c r="K695" s="1"/>
      <c r="L695" s="1"/>
      <c r="M695" s="1"/>
      <c r="N695" s="1"/>
      <c r="O695" s="1"/>
      <c r="P695" s="1"/>
      <c r="Q695" s="1"/>
      <c r="R695" s="1"/>
      <c r="S695" s="1"/>
      <c r="T695" s="1"/>
      <c r="U695" s="1"/>
      <c r="V695" s="1"/>
      <c r="W695" s="1"/>
      <c r="X695" s="1"/>
      <c r="Y695" s="1"/>
      <c r="Z695" s="1"/>
    </row>
    <row r="696" spans="1:26" ht="12.75" customHeight="1" x14ac:dyDescent="0.25">
      <c r="A696" s="1"/>
      <c r="B696" s="1"/>
      <c r="C696" s="3"/>
      <c r="D696" s="3"/>
      <c r="E696" s="5"/>
      <c r="F696" s="5"/>
      <c r="G696" s="3"/>
      <c r="H696" s="5"/>
      <c r="I696" s="1"/>
      <c r="J696" s="7"/>
      <c r="K696" s="1"/>
      <c r="L696" s="1"/>
      <c r="M696" s="1"/>
      <c r="N696" s="1"/>
      <c r="O696" s="1"/>
      <c r="P696" s="1"/>
      <c r="Q696" s="1"/>
      <c r="R696" s="1"/>
      <c r="S696" s="1"/>
      <c r="T696" s="1"/>
      <c r="U696" s="1"/>
      <c r="V696" s="1"/>
      <c r="W696" s="1"/>
      <c r="X696" s="1"/>
      <c r="Y696" s="1"/>
      <c r="Z696" s="1"/>
    </row>
    <row r="697" spans="1:26" ht="12.75" customHeight="1" x14ac:dyDescent="0.25">
      <c r="A697" s="1"/>
      <c r="B697" s="1"/>
      <c r="C697" s="3"/>
      <c r="D697" s="3"/>
      <c r="E697" s="5"/>
      <c r="F697" s="5"/>
      <c r="G697" s="3"/>
      <c r="H697" s="5"/>
      <c r="I697" s="1"/>
      <c r="J697" s="7"/>
      <c r="K697" s="1"/>
      <c r="L697" s="1"/>
      <c r="M697" s="1"/>
      <c r="N697" s="1"/>
      <c r="O697" s="1"/>
      <c r="P697" s="1"/>
      <c r="Q697" s="1"/>
      <c r="R697" s="1"/>
      <c r="S697" s="1"/>
      <c r="T697" s="1"/>
      <c r="U697" s="1"/>
      <c r="V697" s="1"/>
      <c r="W697" s="1"/>
      <c r="X697" s="1"/>
      <c r="Y697" s="1"/>
      <c r="Z697" s="1"/>
    </row>
    <row r="698" spans="1:26" ht="12.75" customHeight="1" x14ac:dyDescent="0.25">
      <c r="A698" s="1"/>
      <c r="B698" s="1"/>
      <c r="C698" s="3"/>
      <c r="D698" s="3"/>
      <c r="E698" s="5"/>
      <c r="F698" s="5"/>
      <c r="G698" s="3"/>
      <c r="H698" s="5"/>
      <c r="I698" s="1"/>
      <c r="J698" s="7"/>
      <c r="K698" s="1"/>
      <c r="L698" s="1"/>
      <c r="M698" s="1"/>
      <c r="N698" s="1"/>
      <c r="O698" s="1"/>
      <c r="P698" s="1"/>
      <c r="Q698" s="1"/>
      <c r="R698" s="1"/>
      <c r="S698" s="1"/>
      <c r="T698" s="1"/>
      <c r="U698" s="1"/>
      <c r="V698" s="1"/>
      <c r="W698" s="1"/>
      <c r="X698" s="1"/>
      <c r="Y698" s="1"/>
      <c r="Z698" s="1"/>
    </row>
    <row r="699" spans="1:26" ht="12.75" customHeight="1" x14ac:dyDescent="0.25">
      <c r="A699" s="1"/>
      <c r="B699" s="1"/>
      <c r="C699" s="3"/>
      <c r="D699" s="3"/>
      <c r="E699" s="5"/>
      <c r="F699" s="5"/>
      <c r="G699" s="3"/>
      <c r="H699" s="5"/>
      <c r="I699" s="1"/>
      <c r="J699" s="7"/>
      <c r="K699" s="1"/>
      <c r="L699" s="1"/>
      <c r="M699" s="1"/>
      <c r="N699" s="1"/>
      <c r="O699" s="1"/>
      <c r="P699" s="1"/>
      <c r="Q699" s="1"/>
      <c r="R699" s="1"/>
      <c r="S699" s="1"/>
      <c r="T699" s="1"/>
      <c r="U699" s="1"/>
      <c r="V699" s="1"/>
      <c r="W699" s="1"/>
      <c r="X699" s="1"/>
      <c r="Y699" s="1"/>
      <c r="Z699" s="1"/>
    </row>
    <row r="700" spans="1:26" ht="12.75" customHeight="1" x14ac:dyDescent="0.25">
      <c r="A700" s="1"/>
      <c r="B700" s="1"/>
      <c r="C700" s="3"/>
      <c r="D700" s="3"/>
      <c r="E700" s="5"/>
      <c r="F700" s="5"/>
      <c r="G700" s="3"/>
      <c r="H700" s="5"/>
      <c r="I700" s="1"/>
      <c r="J700" s="7"/>
      <c r="K700" s="1"/>
      <c r="L700" s="1"/>
      <c r="M700" s="1"/>
      <c r="N700" s="1"/>
      <c r="O700" s="1"/>
      <c r="P700" s="1"/>
      <c r="Q700" s="1"/>
      <c r="R700" s="1"/>
      <c r="S700" s="1"/>
      <c r="T700" s="1"/>
      <c r="U700" s="1"/>
      <c r="V700" s="1"/>
      <c r="W700" s="1"/>
      <c r="X700" s="1"/>
      <c r="Y700" s="1"/>
      <c r="Z700" s="1"/>
    </row>
    <row r="701" spans="1:26" ht="12.75" customHeight="1" x14ac:dyDescent="0.25">
      <c r="A701" s="1"/>
      <c r="B701" s="1"/>
      <c r="C701" s="3"/>
      <c r="D701" s="3"/>
      <c r="E701" s="5"/>
      <c r="F701" s="5"/>
      <c r="G701" s="3"/>
      <c r="H701" s="5"/>
      <c r="I701" s="1"/>
      <c r="J701" s="7"/>
      <c r="K701" s="1"/>
      <c r="L701" s="1"/>
      <c r="M701" s="1"/>
      <c r="N701" s="1"/>
      <c r="O701" s="1"/>
      <c r="P701" s="1"/>
      <c r="Q701" s="1"/>
      <c r="R701" s="1"/>
      <c r="S701" s="1"/>
      <c r="T701" s="1"/>
      <c r="U701" s="1"/>
      <c r="V701" s="1"/>
      <c r="W701" s="1"/>
      <c r="X701" s="1"/>
      <c r="Y701" s="1"/>
      <c r="Z701" s="1"/>
    </row>
    <row r="702" spans="1:26" ht="12.75" customHeight="1" x14ac:dyDescent="0.25">
      <c r="A702" s="1"/>
      <c r="B702" s="1"/>
      <c r="C702" s="3"/>
      <c r="D702" s="3"/>
      <c r="E702" s="5"/>
      <c r="F702" s="5"/>
      <c r="G702" s="3"/>
      <c r="H702" s="5"/>
      <c r="I702" s="1"/>
      <c r="J702" s="7"/>
      <c r="K702" s="1"/>
      <c r="L702" s="1"/>
      <c r="M702" s="1"/>
      <c r="N702" s="1"/>
      <c r="O702" s="1"/>
      <c r="P702" s="1"/>
      <c r="Q702" s="1"/>
      <c r="R702" s="1"/>
      <c r="S702" s="1"/>
      <c r="T702" s="1"/>
      <c r="U702" s="1"/>
      <c r="V702" s="1"/>
      <c r="W702" s="1"/>
      <c r="X702" s="1"/>
      <c r="Y702" s="1"/>
      <c r="Z702" s="1"/>
    </row>
    <row r="703" spans="1:26" ht="12.75" customHeight="1" x14ac:dyDescent="0.25">
      <c r="A703" s="1"/>
      <c r="B703" s="1"/>
      <c r="C703" s="3"/>
      <c r="D703" s="3"/>
      <c r="E703" s="5"/>
      <c r="F703" s="5"/>
      <c r="G703" s="3"/>
      <c r="H703" s="5"/>
      <c r="I703" s="1"/>
      <c r="J703" s="7"/>
      <c r="K703" s="1"/>
      <c r="L703" s="1"/>
      <c r="M703" s="1"/>
      <c r="N703" s="1"/>
      <c r="O703" s="1"/>
      <c r="P703" s="1"/>
      <c r="Q703" s="1"/>
      <c r="R703" s="1"/>
      <c r="S703" s="1"/>
      <c r="T703" s="1"/>
      <c r="U703" s="1"/>
      <c r="V703" s="1"/>
      <c r="W703" s="1"/>
      <c r="X703" s="1"/>
      <c r="Y703" s="1"/>
      <c r="Z703" s="1"/>
    </row>
    <row r="704" spans="1:26" ht="12.75" customHeight="1" x14ac:dyDescent="0.25">
      <c r="A704" s="1"/>
      <c r="B704" s="1"/>
      <c r="C704" s="3"/>
      <c r="D704" s="3"/>
      <c r="E704" s="5"/>
      <c r="F704" s="5"/>
      <c r="G704" s="3"/>
      <c r="H704" s="5"/>
      <c r="I704" s="1"/>
      <c r="J704" s="7"/>
      <c r="K704" s="1"/>
      <c r="L704" s="1"/>
      <c r="M704" s="1"/>
      <c r="N704" s="1"/>
      <c r="O704" s="1"/>
      <c r="P704" s="1"/>
      <c r="Q704" s="1"/>
      <c r="R704" s="1"/>
      <c r="S704" s="1"/>
      <c r="T704" s="1"/>
      <c r="U704" s="1"/>
      <c r="V704" s="1"/>
      <c r="W704" s="1"/>
      <c r="X704" s="1"/>
      <c r="Y704" s="1"/>
      <c r="Z704" s="1"/>
    </row>
    <row r="705" spans="1:26" ht="12.75" customHeight="1" x14ac:dyDescent="0.25">
      <c r="A705" s="1"/>
      <c r="B705" s="1"/>
      <c r="C705" s="3"/>
      <c r="D705" s="3"/>
      <c r="E705" s="5"/>
      <c r="F705" s="5"/>
      <c r="G705" s="3"/>
      <c r="H705" s="5"/>
      <c r="I705" s="1"/>
      <c r="J705" s="7"/>
      <c r="K705" s="1"/>
      <c r="L705" s="1"/>
      <c r="M705" s="1"/>
      <c r="N705" s="1"/>
      <c r="O705" s="1"/>
      <c r="P705" s="1"/>
      <c r="Q705" s="1"/>
      <c r="R705" s="1"/>
      <c r="S705" s="1"/>
      <c r="T705" s="1"/>
      <c r="U705" s="1"/>
      <c r="V705" s="1"/>
      <c r="W705" s="1"/>
      <c r="X705" s="1"/>
      <c r="Y705" s="1"/>
      <c r="Z705" s="1"/>
    </row>
    <row r="706" spans="1:26" ht="12.75" customHeight="1" x14ac:dyDescent="0.25">
      <c r="A706" s="1"/>
      <c r="B706" s="1"/>
      <c r="C706" s="3"/>
      <c r="D706" s="3"/>
      <c r="E706" s="5"/>
      <c r="F706" s="5"/>
      <c r="G706" s="3"/>
      <c r="H706" s="5"/>
      <c r="I706" s="1"/>
      <c r="J706" s="7"/>
      <c r="K706" s="1"/>
      <c r="L706" s="1"/>
      <c r="M706" s="1"/>
      <c r="N706" s="1"/>
      <c r="O706" s="1"/>
      <c r="P706" s="1"/>
      <c r="Q706" s="1"/>
      <c r="R706" s="1"/>
      <c r="S706" s="1"/>
      <c r="T706" s="1"/>
      <c r="U706" s="1"/>
      <c r="V706" s="1"/>
      <c r="W706" s="1"/>
      <c r="X706" s="1"/>
      <c r="Y706" s="1"/>
      <c r="Z706" s="1"/>
    </row>
    <row r="707" spans="1:26" ht="12.75" customHeight="1" x14ac:dyDescent="0.25">
      <c r="A707" s="1"/>
      <c r="B707" s="1"/>
      <c r="C707" s="3"/>
      <c r="D707" s="3"/>
      <c r="E707" s="5"/>
      <c r="F707" s="5"/>
      <c r="G707" s="3"/>
      <c r="H707" s="5"/>
      <c r="I707" s="1"/>
      <c r="J707" s="7"/>
      <c r="K707" s="1"/>
      <c r="L707" s="1"/>
      <c r="M707" s="1"/>
      <c r="N707" s="1"/>
      <c r="O707" s="1"/>
      <c r="P707" s="1"/>
      <c r="Q707" s="1"/>
      <c r="R707" s="1"/>
      <c r="S707" s="1"/>
      <c r="T707" s="1"/>
      <c r="U707" s="1"/>
      <c r="V707" s="1"/>
      <c r="W707" s="1"/>
      <c r="X707" s="1"/>
      <c r="Y707" s="1"/>
      <c r="Z707" s="1"/>
    </row>
    <row r="708" spans="1:26" ht="12.75" customHeight="1" x14ac:dyDescent="0.25">
      <c r="A708" s="1"/>
      <c r="B708" s="1"/>
      <c r="C708" s="3"/>
      <c r="D708" s="3"/>
      <c r="E708" s="5"/>
      <c r="F708" s="5"/>
      <c r="G708" s="3"/>
      <c r="H708" s="5"/>
      <c r="I708" s="1"/>
      <c r="J708" s="7"/>
      <c r="K708" s="1"/>
      <c r="L708" s="1"/>
      <c r="M708" s="1"/>
      <c r="N708" s="1"/>
      <c r="O708" s="1"/>
      <c r="P708" s="1"/>
      <c r="Q708" s="1"/>
      <c r="R708" s="1"/>
      <c r="S708" s="1"/>
      <c r="T708" s="1"/>
      <c r="U708" s="1"/>
      <c r="V708" s="1"/>
      <c r="W708" s="1"/>
      <c r="X708" s="1"/>
      <c r="Y708" s="1"/>
      <c r="Z708" s="1"/>
    </row>
    <row r="709" spans="1:26" ht="12.75" customHeight="1" x14ac:dyDescent="0.25">
      <c r="A709" s="1"/>
      <c r="B709" s="1"/>
      <c r="C709" s="3"/>
      <c r="D709" s="3"/>
      <c r="E709" s="5"/>
      <c r="F709" s="5"/>
      <c r="G709" s="3"/>
      <c r="H709" s="5"/>
      <c r="I709" s="1"/>
      <c r="J709" s="7"/>
      <c r="K709" s="1"/>
      <c r="L709" s="1"/>
      <c r="M709" s="1"/>
      <c r="N709" s="1"/>
      <c r="O709" s="1"/>
      <c r="P709" s="1"/>
      <c r="Q709" s="1"/>
      <c r="R709" s="1"/>
      <c r="S709" s="1"/>
      <c r="T709" s="1"/>
      <c r="U709" s="1"/>
      <c r="V709" s="1"/>
      <c r="W709" s="1"/>
      <c r="X709" s="1"/>
      <c r="Y709" s="1"/>
      <c r="Z709" s="1"/>
    </row>
    <row r="710" spans="1:26" ht="12.75" customHeight="1" x14ac:dyDescent="0.25">
      <c r="A710" s="1"/>
      <c r="B710" s="1"/>
      <c r="C710" s="3"/>
      <c r="D710" s="3"/>
      <c r="E710" s="5"/>
      <c r="F710" s="5"/>
      <c r="G710" s="3"/>
      <c r="H710" s="5"/>
      <c r="I710" s="1"/>
      <c r="J710" s="7"/>
      <c r="K710" s="1"/>
      <c r="L710" s="1"/>
      <c r="M710" s="1"/>
      <c r="N710" s="1"/>
      <c r="O710" s="1"/>
      <c r="P710" s="1"/>
      <c r="Q710" s="1"/>
      <c r="R710" s="1"/>
      <c r="S710" s="1"/>
      <c r="T710" s="1"/>
      <c r="U710" s="1"/>
      <c r="V710" s="1"/>
      <c r="W710" s="1"/>
      <c r="X710" s="1"/>
      <c r="Y710" s="1"/>
      <c r="Z710" s="1"/>
    </row>
    <row r="711" spans="1:26" ht="12.75" customHeight="1" x14ac:dyDescent="0.25">
      <c r="A711" s="1"/>
      <c r="B711" s="1"/>
      <c r="C711" s="3"/>
      <c r="D711" s="3"/>
      <c r="E711" s="5"/>
      <c r="F711" s="5"/>
      <c r="G711" s="3"/>
      <c r="H711" s="5"/>
      <c r="I711" s="1"/>
      <c r="J711" s="7"/>
      <c r="K711" s="1"/>
      <c r="L711" s="1"/>
      <c r="M711" s="1"/>
      <c r="N711" s="1"/>
      <c r="O711" s="1"/>
      <c r="P711" s="1"/>
      <c r="Q711" s="1"/>
      <c r="R711" s="1"/>
      <c r="S711" s="1"/>
      <c r="T711" s="1"/>
      <c r="U711" s="1"/>
      <c r="V711" s="1"/>
      <c r="W711" s="1"/>
      <c r="X711" s="1"/>
      <c r="Y711" s="1"/>
      <c r="Z711" s="1"/>
    </row>
    <row r="712" spans="1:26" ht="12.75" customHeight="1" x14ac:dyDescent="0.25">
      <c r="A712" s="1"/>
      <c r="B712" s="1"/>
      <c r="C712" s="3"/>
      <c r="D712" s="3"/>
      <c r="E712" s="5"/>
      <c r="F712" s="5"/>
      <c r="G712" s="3"/>
      <c r="H712" s="5"/>
      <c r="I712" s="1"/>
      <c r="J712" s="7"/>
      <c r="K712" s="1"/>
      <c r="L712" s="1"/>
      <c r="M712" s="1"/>
      <c r="N712" s="1"/>
      <c r="O712" s="1"/>
      <c r="P712" s="1"/>
      <c r="Q712" s="1"/>
      <c r="R712" s="1"/>
      <c r="S712" s="1"/>
      <c r="T712" s="1"/>
      <c r="U712" s="1"/>
      <c r="V712" s="1"/>
      <c r="W712" s="1"/>
      <c r="X712" s="1"/>
      <c r="Y712" s="1"/>
      <c r="Z712" s="1"/>
    </row>
    <row r="713" spans="1:26" ht="12.75" customHeight="1" x14ac:dyDescent="0.25">
      <c r="A713" s="1"/>
      <c r="B713" s="1"/>
      <c r="C713" s="3"/>
      <c r="D713" s="3"/>
      <c r="E713" s="5"/>
      <c r="F713" s="5"/>
      <c r="G713" s="3"/>
      <c r="H713" s="5"/>
      <c r="I713" s="1"/>
      <c r="J713" s="7"/>
      <c r="K713" s="1"/>
      <c r="L713" s="1"/>
      <c r="M713" s="1"/>
      <c r="N713" s="1"/>
      <c r="O713" s="1"/>
      <c r="P713" s="1"/>
      <c r="Q713" s="1"/>
      <c r="R713" s="1"/>
      <c r="S713" s="1"/>
      <c r="T713" s="1"/>
      <c r="U713" s="1"/>
      <c r="V713" s="1"/>
      <c r="W713" s="1"/>
      <c r="X713" s="1"/>
      <c r="Y713" s="1"/>
      <c r="Z713" s="1"/>
    </row>
    <row r="714" spans="1:26" ht="12.75" customHeight="1" x14ac:dyDescent="0.25">
      <c r="A714" s="1"/>
      <c r="B714" s="1"/>
      <c r="C714" s="3"/>
      <c r="D714" s="3"/>
      <c r="E714" s="5"/>
      <c r="F714" s="5"/>
      <c r="G714" s="3"/>
      <c r="H714" s="5"/>
      <c r="I714" s="1"/>
      <c r="J714" s="7"/>
      <c r="K714" s="1"/>
      <c r="L714" s="1"/>
      <c r="M714" s="1"/>
      <c r="N714" s="1"/>
      <c r="O714" s="1"/>
      <c r="P714" s="1"/>
      <c r="Q714" s="1"/>
      <c r="R714" s="1"/>
      <c r="S714" s="1"/>
      <c r="T714" s="1"/>
      <c r="U714" s="1"/>
      <c r="V714" s="1"/>
      <c r="W714" s="1"/>
      <c r="X714" s="1"/>
      <c r="Y714" s="1"/>
      <c r="Z714" s="1"/>
    </row>
    <row r="715" spans="1:26" ht="12.75" customHeight="1" x14ac:dyDescent="0.25">
      <c r="A715" s="1"/>
      <c r="B715" s="1"/>
      <c r="C715" s="3"/>
      <c r="D715" s="3"/>
      <c r="E715" s="5"/>
      <c r="F715" s="5"/>
      <c r="G715" s="3"/>
      <c r="H715" s="5"/>
      <c r="I715" s="1"/>
      <c r="J715" s="7"/>
      <c r="K715" s="1"/>
      <c r="L715" s="1"/>
      <c r="M715" s="1"/>
      <c r="N715" s="1"/>
      <c r="O715" s="1"/>
      <c r="P715" s="1"/>
      <c r="Q715" s="1"/>
      <c r="R715" s="1"/>
      <c r="S715" s="1"/>
      <c r="T715" s="1"/>
      <c r="U715" s="1"/>
      <c r="V715" s="1"/>
      <c r="W715" s="1"/>
      <c r="X715" s="1"/>
      <c r="Y715" s="1"/>
      <c r="Z715" s="1"/>
    </row>
    <row r="716" spans="1:26" ht="12.75" customHeight="1" x14ac:dyDescent="0.25">
      <c r="A716" s="1"/>
      <c r="B716" s="1"/>
      <c r="C716" s="3"/>
      <c r="D716" s="3"/>
      <c r="E716" s="5"/>
      <c r="F716" s="5"/>
      <c r="G716" s="3"/>
      <c r="H716" s="5"/>
      <c r="I716" s="1"/>
      <c r="J716" s="7"/>
      <c r="K716" s="1"/>
      <c r="L716" s="1"/>
      <c r="M716" s="1"/>
      <c r="N716" s="1"/>
      <c r="O716" s="1"/>
      <c r="P716" s="1"/>
      <c r="Q716" s="1"/>
      <c r="R716" s="1"/>
      <c r="S716" s="1"/>
      <c r="T716" s="1"/>
      <c r="U716" s="1"/>
      <c r="V716" s="1"/>
      <c r="W716" s="1"/>
      <c r="X716" s="1"/>
      <c r="Y716" s="1"/>
      <c r="Z716" s="1"/>
    </row>
    <row r="717" spans="1:26" ht="12.75" customHeight="1" x14ac:dyDescent="0.25">
      <c r="A717" s="1"/>
      <c r="B717" s="1"/>
      <c r="C717" s="3"/>
      <c r="D717" s="3"/>
      <c r="E717" s="5"/>
      <c r="F717" s="5"/>
      <c r="G717" s="3"/>
      <c r="H717" s="5"/>
      <c r="I717" s="1"/>
      <c r="J717" s="7"/>
      <c r="K717" s="1"/>
      <c r="L717" s="1"/>
      <c r="M717" s="1"/>
      <c r="N717" s="1"/>
      <c r="O717" s="1"/>
      <c r="P717" s="1"/>
      <c r="Q717" s="1"/>
      <c r="R717" s="1"/>
      <c r="S717" s="1"/>
      <c r="T717" s="1"/>
      <c r="U717" s="1"/>
      <c r="V717" s="1"/>
      <c r="W717" s="1"/>
      <c r="X717" s="1"/>
      <c r="Y717" s="1"/>
      <c r="Z717" s="1"/>
    </row>
    <row r="718" spans="1:26" ht="12.75" customHeight="1" x14ac:dyDescent="0.25">
      <c r="A718" s="1"/>
      <c r="B718" s="1"/>
      <c r="C718" s="3"/>
      <c r="D718" s="3"/>
      <c r="E718" s="5"/>
      <c r="F718" s="5"/>
      <c r="G718" s="3"/>
      <c r="H718" s="5"/>
      <c r="I718" s="1"/>
      <c r="J718" s="7"/>
      <c r="K718" s="1"/>
      <c r="L718" s="1"/>
      <c r="M718" s="1"/>
      <c r="N718" s="1"/>
      <c r="O718" s="1"/>
      <c r="P718" s="1"/>
      <c r="Q718" s="1"/>
      <c r="R718" s="1"/>
      <c r="S718" s="1"/>
      <c r="T718" s="1"/>
      <c r="U718" s="1"/>
      <c r="V718" s="1"/>
      <c r="W718" s="1"/>
      <c r="X718" s="1"/>
      <c r="Y718" s="1"/>
      <c r="Z718" s="1"/>
    </row>
    <row r="719" spans="1:26" ht="12.75" customHeight="1" x14ac:dyDescent="0.25">
      <c r="A719" s="1"/>
      <c r="B719" s="1"/>
      <c r="C719" s="3"/>
      <c r="D719" s="3"/>
      <c r="E719" s="5"/>
      <c r="F719" s="5"/>
      <c r="G719" s="3"/>
      <c r="H719" s="5"/>
      <c r="I719" s="1"/>
      <c r="J719" s="7"/>
      <c r="K719" s="1"/>
      <c r="L719" s="1"/>
      <c r="M719" s="1"/>
      <c r="N719" s="1"/>
      <c r="O719" s="1"/>
      <c r="P719" s="1"/>
      <c r="Q719" s="1"/>
      <c r="R719" s="1"/>
      <c r="S719" s="1"/>
      <c r="T719" s="1"/>
      <c r="U719" s="1"/>
      <c r="V719" s="1"/>
      <c r="W719" s="1"/>
      <c r="X719" s="1"/>
      <c r="Y719" s="1"/>
      <c r="Z719" s="1"/>
    </row>
    <row r="720" spans="1:26" ht="12.75" customHeight="1" x14ac:dyDescent="0.25">
      <c r="A720" s="1"/>
      <c r="B720" s="1"/>
      <c r="C720" s="3"/>
      <c r="D720" s="3"/>
      <c r="E720" s="5"/>
      <c r="F720" s="5"/>
      <c r="G720" s="3"/>
      <c r="H720" s="5"/>
      <c r="I720" s="1"/>
      <c r="J720" s="7"/>
      <c r="K720" s="1"/>
      <c r="L720" s="1"/>
      <c r="M720" s="1"/>
      <c r="N720" s="1"/>
      <c r="O720" s="1"/>
      <c r="P720" s="1"/>
      <c r="Q720" s="1"/>
      <c r="R720" s="1"/>
      <c r="S720" s="1"/>
      <c r="T720" s="1"/>
      <c r="U720" s="1"/>
      <c r="V720" s="1"/>
      <c r="W720" s="1"/>
      <c r="X720" s="1"/>
      <c r="Y720" s="1"/>
      <c r="Z720" s="1"/>
    </row>
    <row r="721" spans="1:26" ht="12.75" customHeight="1" x14ac:dyDescent="0.25">
      <c r="A721" s="1"/>
      <c r="B721" s="1"/>
      <c r="C721" s="3"/>
      <c r="D721" s="3"/>
      <c r="E721" s="5"/>
      <c r="F721" s="5"/>
      <c r="G721" s="3"/>
      <c r="H721" s="5"/>
      <c r="I721" s="1"/>
      <c r="J721" s="7"/>
      <c r="K721" s="1"/>
      <c r="L721" s="1"/>
      <c r="M721" s="1"/>
      <c r="N721" s="1"/>
      <c r="O721" s="1"/>
      <c r="P721" s="1"/>
      <c r="Q721" s="1"/>
      <c r="R721" s="1"/>
      <c r="S721" s="1"/>
      <c r="T721" s="1"/>
      <c r="U721" s="1"/>
      <c r="V721" s="1"/>
      <c r="W721" s="1"/>
      <c r="X721" s="1"/>
      <c r="Y721" s="1"/>
      <c r="Z721" s="1"/>
    </row>
    <row r="722" spans="1:26" ht="12.75" customHeight="1" x14ac:dyDescent="0.25">
      <c r="A722" s="1"/>
      <c r="B722" s="1"/>
      <c r="C722" s="3"/>
      <c r="D722" s="3"/>
      <c r="E722" s="5"/>
      <c r="F722" s="5"/>
      <c r="G722" s="3"/>
      <c r="H722" s="5"/>
      <c r="I722" s="1"/>
      <c r="J722" s="7"/>
      <c r="K722" s="1"/>
      <c r="L722" s="1"/>
      <c r="M722" s="1"/>
      <c r="N722" s="1"/>
      <c r="O722" s="1"/>
      <c r="P722" s="1"/>
      <c r="Q722" s="1"/>
      <c r="R722" s="1"/>
      <c r="S722" s="1"/>
      <c r="T722" s="1"/>
      <c r="U722" s="1"/>
      <c r="V722" s="1"/>
      <c r="W722" s="1"/>
      <c r="X722" s="1"/>
      <c r="Y722" s="1"/>
      <c r="Z722" s="1"/>
    </row>
    <row r="723" spans="1:26" ht="12.75" customHeight="1" x14ac:dyDescent="0.25">
      <c r="A723" s="1"/>
      <c r="B723" s="1"/>
      <c r="C723" s="3"/>
      <c r="D723" s="3"/>
      <c r="E723" s="5"/>
      <c r="F723" s="5"/>
      <c r="G723" s="3"/>
      <c r="H723" s="5"/>
      <c r="I723" s="1"/>
      <c r="J723" s="7"/>
      <c r="K723" s="1"/>
      <c r="L723" s="1"/>
      <c r="M723" s="1"/>
      <c r="N723" s="1"/>
      <c r="O723" s="1"/>
      <c r="P723" s="1"/>
      <c r="Q723" s="1"/>
      <c r="R723" s="1"/>
      <c r="S723" s="1"/>
      <c r="T723" s="1"/>
      <c r="U723" s="1"/>
      <c r="V723" s="1"/>
      <c r="W723" s="1"/>
      <c r="X723" s="1"/>
      <c r="Y723" s="1"/>
      <c r="Z723" s="1"/>
    </row>
    <row r="724" spans="1:26" ht="12.75" customHeight="1" x14ac:dyDescent="0.25">
      <c r="A724" s="1"/>
      <c r="B724" s="1"/>
      <c r="C724" s="3"/>
      <c r="D724" s="3"/>
      <c r="E724" s="5"/>
      <c r="F724" s="5"/>
      <c r="G724" s="3"/>
      <c r="H724" s="5"/>
      <c r="I724" s="1"/>
      <c r="J724" s="7"/>
      <c r="K724" s="1"/>
      <c r="L724" s="1"/>
      <c r="M724" s="1"/>
      <c r="N724" s="1"/>
      <c r="O724" s="1"/>
      <c r="P724" s="1"/>
      <c r="Q724" s="1"/>
      <c r="R724" s="1"/>
      <c r="S724" s="1"/>
      <c r="T724" s="1"/>
      <c r="U724" s="1"/>
      <c r="V724" s="1"/>
      <c r="W724" s="1"/>
      <c r="X724" s="1"/>
      <c r="Y724" s="1"/>
      <c r="Z724" s="1"/>
    </row>
    <row r="725" spans="1:26" ht="12.75" customHeight="1" x14ac:dyDescent="0.25">
      <c r="A725" s="1"/>
      <c r="B725" s="1"/>
      <c r="C725" s="3"/>
      <c r="D725" s="3"/>
      <c r="E725" s="5"/>
      <c r="F725" s="5"/>
      <c r="G725" s="3"/>
      <c r="H725" s="5"/>
      <c r="I725" s="1"/>
      <c r="J725" s="7"/>
      <c r="K725" s="1"/>
      <c r="L725" s="1"/>
      <c r="M725" s="1"/>
      <c r="N725" s="1"/>
      <c r="O725" s="1"/>
      <c r="P725" s="1"/>
      <c r="Q725" s="1"/>
      <c r="R725" s="1"/>
      <c r="S725" s="1"/>
      <c r="T725" s="1"/>
      <c r="U725" s="1"/>
      <c r="V725" s="1"/>
      <c r="W725" s="1"/>
      <c r="X725" s="1"/>
      <c r="Y725" s="1"/>
      <c r="Z725" s="1"/>
    </row>
    <row r="726" spans="1:26" ht="12.75" customHeight="1" x14ac:dyDescent="0.25">
      <c r="A726" s="1"/>
      <c r="B726" s="1"/>
      <c r="C726" s="3"/>
      <c r="D726" s="3"/>
      <c r="E726" s="5"/>
      <c r="F726" s="5"/>
      <c r="G726" s="3"/>
      <c r="H726" s="5"/>
      <c r="I726" s="1"/>
      <c r="J726" s="7"/>
      <c r="K726" s="1"/>
      <c r="L726" s="1"/>
      <c r="M726" s="1"/>
      <c r="N726" s="1"/>
      <c r="O726" s="1"/>
      <c r="P726" s="1"/>
      <c r="Q726" s="1"/>
      <c r="R726" s="1"/>
      <c r="S726" s="1"/>
      <c r="T726" s="1"/>
      <c r="U726" s="1"/>
      <c r="V726" s="1"/>
      <c r="W726" s="1"/>
      <c r="X726" s="1"/>
      <c r="Y726" s="1"/>
      <c r="Z726" s="1"/>
    </row>
    <row r="727" spans="1:26" ht="12.75" customHeight="1" x14ac:dyDescent="0.25">
      <c r="A727" s="1"/>
      <c r="B727" s="1"/>
      <c r="C727" s="3"/>
      <c r="D727" s="3"/>
      <c r="E727" s="5"/>
      <c r="F727" s="5"/>
      <c r="G727" s="3"/>
      <c r="H727" s="5"/>
      <c r="I727" s="1"/>
      <c r="J727" s="7"/>
      <c r="K727" s="1"/>
      <c r="L727" s="1"/>
      <c r="M727" s="1"/>
      <c r="N727" s="1"/>
      <c r="O727" s="1"/>
      <c r="P727" s="1"/>
      <c r="Q727" s="1"/>
      <c r="R727" s="1"/>
      <c r="S727" s="1"/>
      <c r="T727" s="1"/>
      <c r="U727" s="1"/>
      <c r="V727" s="1"/>
      <c r="W727" s="1"/>
      <c r="X727" s="1"/>
      <c r="Y727" s="1"/>
      <c r="Z727" s="1"/>
    </row>
    <row r="728" spans="1:26" ht="12.75" customHeight="1" x14ac:dyDescent="0.25">
      <c r="A728" s="1"/>
      <c r="B728" s="1"/>
      <c r="C728" s="3"/>
      <c r="D728" s="3"/>
      <c r="E728" s="5"/>
      <c r="F728" s="5"/>
      <c r="G728" s="3"/>
      <c r="H728" s="5"/>
      <c r="I728" s="1"/>
      <c r="J728" s="7"/>
      <c r="K728" s="1"/>
      <c r="L728" s="1"/>
      <c r="M728" s="1"/>
      <c r="N728" s="1"/>
      <c r="O728" s="1"/>
      <c r="P728" s="1"/>
      <c r="Q728" s="1"/>
      <c r="R728" s="1"/>
      <c r="S728" s="1"/>
      <c r="T728" s="1"/>
      <c r="U728" s="1"/>
      <c r="V728" s="1"/>
      <c r="W728" s="1"/>
      <c r="X728" s="1"/>
      <c r="Y728" s="1"/>
      <c r="Z728" s="1"/>
    </row>
    <row r="729" spans="1:26" ht="12.75" customHeight="1" x14ac:dyDescent="0.25">
      <c r="A729" s="1"/>
      <c r="B729" s="1"/>
      <c r="C729" s="3"/>
      <c r="D729" s="3"/>
      <c r="E729" s="5"/>
      <c r="F729" s="5"/>
      <c r="G729" s="3"/>
      <c r="H729" s="5"/>
      <c r="I729" s="1"/>
      <c r="J729" s="7"/>
      <c r="K729" s="1"/>
      <c r="L729" s="1"/>
      <c r="M729" s="1"/>
      <c r="N729" s="1"/>
      <c r="O729" s="1"/>
      <c r="P729" s="1"/>
      <c r="Q729" s="1"/>
      <c r="R729" s="1"/>
      <c r="S729" s="1"/>
      <c r="T729" s="1"/>
      <c r="U729" s="1"/>
      <c r="V729" s="1"/>
      <c r="W729" s="1"/>
      <c r="X729" s="1"/>
      <c r="Y729" s="1"/>
      <c r="Z729" s="1"/>
    </row>
    <row r="730" spans="1:26" ht="12.75" customHeight="1" x14ac:dyDescent="0.25">
      <c r="A730" s="1"/>
      <c r="B730" s="1"/>
      <c r="C730" s="3"/>
      <c r="D730" s="3"/>
      <c r="E730" s="5"/>
      <c r="F730" s="5"/>
      <c r="G730" s="3"/>
      <c r="H730" s="5"/>
      <c r="I730" s="1"/>
      <c r="J730" s="7"/>
      <c r="K730" s="1"/>
      <c r="L730" s="1"/>
      <c r="M730" s="1"/>
      <c r="N730" s="1"/>
      <c r="O730" s="1"/>
      <c r="P730" s="1"/>
      <c r="Q730" s="1"/>
      <c r="R730" s="1"/>
      <c r="S730" s="1"/>
      <c r="T730" s="1"/>
      <c r="U730" s="1"/>
      <c r="V730" s="1"/>
      <c r="W730" s="1"/>
      <c r="X730" s="1"/>
      <c r="Y730" s="1"/>
      <c r="Z730" s="1"/>
    </row>
    <row r="731" spans="1:26" ht="12.75" customHeight="1" x14ac:dyDescent="0.25">
      <c r="A731" s="1"/>
      <c r="B731" s="1"/>
      <c r="C731" s="3"/>
      <c r="D731" s="3"/>
      <c r="E731" s="5"/>
      <c r="F731" s="5"/>
      <c r="G731" s="3"/>
      <c r="H731" s="5"/>
      <c r="I731" s="1"/>
      <c r="J731" s="7"/>
      <c r="K731" s="1"/>
      <c r="L731" s="1"/>
      <c r="M731" s="1"/>
      <c r="N731" s="1"/>
      <c r="O731" s="1"/>
      <c r="P731" s="1"/>
      <c r="Q731" s="1"/>
      <c r="R731" s="1"/>
      <c r="S731" s="1"/>
      <c r="T731" s="1"/>
      <c r="U731" s="1"/>
      <c r="V731" s="1"/>
      <c r="W731" s="1"/>
      <c r="X731" s="1"/>
      <c r="Y731" s="1"/>
      <c r="Z731" s="1"/>
    </row>
    <row r="732" spans="1:26" ht="12.75" customHeight="1" x14ac:dyDescent="0.25">
      <c r="A732" s="1"/>
      <c r="B732" s="1"/>
      <c r="C732" s="3"/>
      <c r="D732" s="3"/>
      <c r="E732" s="5"/>
      <c r="F732" s="5"/>
      <c r="G732" s="3"/>
      <c r="H732" s="5"/>
      <c r="I732" s="1"/>
      <c r="J732" s="7"/>
      <c r="K732" s="1"/>
      <c r="L732" s="1"/>
      <c r="M732" s="1"/>
      <c r="N732" s="1"/>
      <c r="O732" s="1"/>
      <c r="P732" s="1"/>
      <c r="Q732" s="1"/>
      <c r="R732" s="1"/>
      <c r="S732" s="1"/>
      <c r="T732" s="1"/>
      <c r="U732" s="1"/>
      <c r="V732" s="1"/>
      <c r="W732" s="1"/>
      <c r="X732" s="1"/>
      <c r="Y732" s="1"/>
      <c r="Z732" s="1"/>
    </row>
    <row r="733" spans="1:26" ht="12.75" customHeight="1" x14ac:dyDescent="0.25">
      <c r="A733" s="1"/>
      <c r="B733" s="1"/>
      <c r="C733" s="3"/>
      <c r="D733" s="3"/>
      <c r="E733" s="5"/>
      <c r="F733" s="5"/>
      <c r="G733" s="3"/>
      <c r="H733" s="5"/>
      <c r="I733" s="1"/>
      <c r="J733" s="7"/>
      <c r="K733" s="1"/>
      <c r="L733" s="1"/>
      <c r="M733" s="1"/>
      <c r="N733" s="1"/>
      <c r="O733" s="1"/>
      <c r="P733" s="1"/>
      <c r="Q733" s="1"/>
      <c r="R733" s="1"/>
      <c r="S733" s="1"/>
      <c r="T733" s="1"/>
      <c r="U733" s="1"/>
      <c r="V733" s="1"/>
      <c r="W733" s="1"/>
      <c r="X733" s="1"/>
      <c r="Y733" s="1"/>
      <c r="Z733" s="1"/>
    </row>
    <row r="734" spans="1:26" ht="12.75" customHeight="1" x14ac:dyDescent="0.25">
      <c r="A734" s="1"/>
      <c r="B734" s="1"/>
      <c r="C734" s="3"/>
      <c r="D734" s="3"/>
      <c r="E734" s="5"/>
      <c r="F734" s="5"/>
      <c r="G734" s="3"/>
      <c r="H734" s="5"/>
      <c r="I734" s="1"/>
      <c r="J734" s="7"/>
      <c r="K734" s="1"/>
      <c r="L734" s="1"/>
      <c r="M734" s="1"/>
      <c r="N734" s="1"/>
      <c r="O734" s="1"/>
      <c r="P734" s="1"/>
      <c r="Q734" s="1"/>
      <c r="R734" s="1"/>
      <c r="S734" s="1"/>
      <c r="T734" s="1"/>
      <c r="U734" s="1"/>
      <c r="V734" s="1"/>
      <c r="W734" s="1"/>
      <c r="X734" s="1"/>
      <c r="Y734" s="1"/>
      <c r="Z734" s="1"/>
    </row>
    <row r="735" spans="1:26" ht="12.75" customHeight="1" x14ac:dyDescent="0.25">
      <c r="A735" s="1"/>
      <c r="B735" s="1"/>
      <c r="C735" s="3"/>
      <c r="D735" s="3"/>
      <c r="E735" s="5"/>
      <c r="F735" s="5"/>
      <c r="G735" s="3"/>
      <c r="H735" s="5"/>
      <c r="I735" s="1"/>
      <c r="J735" s="7"/>
      <c r="K735" s="1"/>
      <c r="L735" s="1"/>
      <c r="M735" s="1"/>
      <c r="N735" s="1"/>
      <c r="O735" s="1"/>
      <c r="P735" s="1"/>
      <c r="Q735" s="1"/>
      <c r="R735" s="1"/>
      <c r="S735" s="1"/>
      <c r="T735" s="1"/>
      <c r="U735" s="1"/>
      <c r="V735" s="1"/>
      <c r="W735" s="1"/>
      <c r="X735" s="1"/>
      <c r="Y735" s="1"/>
      <c r="Z735" s="1"/>
    </row>
    <row r="736" spans="1:26" ht="12.75" customHeight="1" x14ac:dyDescent="0.25">
      <c r="A736" s="1"/>
      <c r="B736" s="1"/>
      <c r="C736" s="3"/>
      <c r="D736" s="3"/>
      <c r="E736" s="5"/>
      <c r="F736" s="5"/>
      <c r="G736" s="3"/>
      <c r="H736" s="5"/>
      <c r="I736" s="1"/>
      <c r="J736" s="7"/>
      <c r="K736" s="1"/>
      <c r="L736" s="1"/>
      <c r="M736" s="1"/>
      <c r="N736" s="1"/>
      <c r="O736" s="1"/>
      <c r="P736" s="1"/>
      <c r="Q736" s="1"/>
      <c r="R736" s="1"/>
      <c r="S736" s="1"/>
      <c r="T736" s="1"/>
      <c r="U736" s="1"/>
      <c r="V736" s="1"/>
      <c r="W736" s="1"/>
      <c r="X736" s="1"/>
      <c r="Y736" s="1"/>
      <c r="Z736" s="1"/>
    </row>
    <row r="737" spans="1:26" ht="12.75" customHeight="1" x14ac:dyDescent="0.25">
      <c r="A737" s="1"/>
      <c r="B737" s="1"/>
      <c r="C737" s="3"/>
      <c r="D737" s="3"/>
      <c r="E737" s="5"/>
      <c r="F737" s="5"/>
      <c r="G737" s="3"/>
      <c r="H737" s="5"/>
      <c r="I737" s="1"/>
      <c r="J737" s="7"/>
      <c r="K737" s="1"/>
      <c r="L737" s="1"/>
      <c r="M737" s="1"/>
      <c r="N737" s="1"/>
      <c r="O737" s="1"/>
      <c r="P737" s="1"/>
      <c r="Q737" s="1"/>
      <c r="R737" s="1"/>
      <c r="S737" s="1"/>
      <c r="T737" s="1"/>
      <c r="U737" s="1"/>
      <c r="V737" s="1"/>
      <c r="W737" s="1"/>
      <c r="X737" s="1"/>
      <c r="Y737" s="1"/>
      <c r="Z737" s="1"/>
    </row>
    <row r="738" spans="1:26" ht="12.75" customHeight="1" x14ac:dyDescent="0.25">
      <c r="A738" s="1"/>
      <c r="B738" s="1"/>
      <c r="C738" s="3"/>
      <c r="D738" s="3"/>
      <c r="E738" s="5"/>
      <c r="F738" s="5"/>
      <c r="G738" s="3"/>
      <c r="H738" s="5"/>
      <c r="I738" s="1"/>
      <c r="J738" s="7"/>
      <c r="K738" s="1"/>
      <c r="L738" s="1"/>
      <c r="M738" s="1"/>
      <c r="N738" s="1"/>
      <c r="O738" s="1"/>
      <c r="P738" s="1"/>
      <c r="Q738" s="1"/>
      <c r="R738" s="1"/>
      <c r="S738" s="1"/>
      <c r="T738" s="1"/>
      <c r="U738" s="1"/>
      <c r="V738" s="1"/>
      <c r="W738" s="1"/>
      <c r="X738" s="1"/>
      <c r="Y738" s="1"/>
      <c r="Z738" s="1"/>
    </row>
    <row r="739" spans="1:26" ht="12.75" customHeight="1" x14ac:dyDescent="0.25">
      <c r="A739" s="1"/>
      <c r="B739" s="1"/>
      <c r="C739" s="3"/>
      <c r="D739" s="3"/>
      <c r="E739" s="5"/>
      <c r="F739" s="5"/>
      <c r="G739" s="3"/>
      <c r="H739" s="5"/>
      <c r="I739" s="1"/>
      <c r="J739" s="7"/>
      <c r="K739" s="1"/>
      <c r="L739" s="1"/>
      <c r="M739" s="1"/>
      <c r="N739" s="1"/>
      <c r="O739" s="1"/>
      <c r="P739" s="1"/>
      <c r="Q739" s="1"/>
      <c r="R739" s="1"/>
      <c r="S739" s="1"/>
      <c r="T739" s="1"/>
      <c r="U739" s="1"/>
      <c r="V739" s="1"/>
      <c r="W739" s="1"/>
      <c r="X739" s="1"/>
      <c r="Y739" s="1"/>
      <c r="Z739" s="1"/>
    </row>
    <row r="740" spans="1:26" ht="12.75" customHeight="1" x14ac:dyDescent="0.25">
      <c r="A740" s="1"/>
      <c r="B740" s="1"/>
      <c r="C740" s="3"/>
      <c r="D740" s="3"/>
      <c r="E740" s="5"/>
      <c r="F740" s="5"/>
      <c r="G740" s="3"/>
      <c r="H740" s="5"/>
      <c r="I740" s="1"/>
      <c r="J740" s="7"/>
      <c r="K740" s="1"/>
      <c r="L740" s="1"/>
      <c r="M740" s="1"/>
      <c r="N740" s="1"/>
      <c r="O740" s="1"/>
      <c r="P740" s="1"/>
      <c r="Q740" s="1"/>
      <c r="R740" s="1"/>
      <c r="S740" s="1"/>
      <c r="T740" s="1"/>
      <c r="U740" s="1"/>
      <c r="V740" s="1"/>
      <c r="W740" s="1"/>
      <c r="X740" s="1"/>
      <c r="Y740" s="1"/>
      <c r="Z740" s="1"/>
    </row>
    <row r="741" spans="1:26" ht="12.75" customHeight="1" x14ac:dyDescent="0.25">
      <c r="A741" s="1"/>
      <c r="B741" s="1"/>
      <c r="C741" s="3"/>
      <c r="D741" s="3"/>
      <c r="E741" s="5"/>
      <c r="F741" s="5"/>
      <c r="G741" s="3"/>
      <c r="H741" s="5"/>
      <c r="I741" s="1"/>
      <c r="J741" s="7"/>
      <c r="K741" s="1"/>
      <c r="L741" s="1"/>
      <c r="M741" s="1"/>
      <c r="N741" s="1"/>
      <c r="O741" s="1"/>
      <c r="P741" s="1"/>
      <c r="Q741" s="1"/>
      <c r="R741" s="1"/>
      <c r="S741" s="1"/>
      <c r="T741" s="1"/>
      <c r="U741" s="1"/>
      <c r="V741" s="1"/>
      <c r="W741" s="1"/>
      <c r="X741" s="1"/>
      <c r="Y741" s="1"/>
      <c r="Z741" s="1"/>
    </row>
    <row r="742" spans="1:26" ht="12.75" customHeight="1" x14ac:dyDescent="0.25">
      <c r="A742" s="1"/>
      <c r="B742" s="1"/>
      <c r="C742" s="3"/>
      <c r="D742" s="3"/>
      <c r="E742" s="5"/>
      <c r="F742" s="5"/>
      <c r="G742" s="3"/>
      <c r="H742" s="5"/>
      <c r="I742" s="1"/>
      <c r="J742" s="7"/>
      <c r="K742" s="1"/>
      <c r="L742" s="1"/>
      <c r="M742" s="1"/>
      <c r="N742" s="1"/>
      <c r="O742" s="1"/>
      <c r="P742" s="1"/>
      <c r="Q742" s="1"/>
      <c r="R742" s="1"/>
      <c r="S742" s="1"/>
      <c r="T742" s="1"/>
      <c r="U742" s="1"/>
      <c r="V742" s="1"/>
      <c r="W742" s="1"/>
      <c r="X742" s="1"/>
      <c r="Y742" s="1"/>
      <c r="Z742" s="1"/>
    </row>
    <row r="743" spans="1:26" ht="12.75" customHeight="1" x14ac:dyDescent="0.25">
      <c r="A743" s="1"/>
      <c r="B743" s="1"/>
      <c r="C743" s="3"/>
      <c r="D743" s="3"/>
      <c r="E743" s="5"/>
      <c r="F743" s="5"/>
      <c r="G743" s="3"/>
      <c r="H743" s="5"/>
      <c r="I743" s="1"/>
      <c r="J743" s="7"/>
      <c r="K743" s="1"/>
      <c r="L743" s="1"/>
      <c r="M743" s="1"/>
      <c r="N743" s="1"/>
      <c r="O743" s="1"/>
      <c r="P743" s="1"/>
      <c r="Q743" s="1"/>
      <c r="R743" s="1"/>
      <c r="S743" s="1"/>
      <c r="T743" s="1"/>
      <c r="U743" s="1"/>
      <c r="V743" s="1"/>
      <c r="W743" s="1"/>
      <c r="X743" s="1"/>
      <c r="Y743" s="1"/>
      <c r="Z743" s="1"/>
    </row>
    <row r="744" spans="1:26" ht="12.75" customHeight="1" x14ac:dyDescent="0.25">
      <c r="A744" s="1"/>
      <c r="B744" s="1"/>
      <c r="C744" s="3"/>
      <c r="D744" s="3"/>
      <c r="E744" s="5"/>
      <c r="F744" s="5"/>
      <c r="G744" s="3"/>
      <c r="H744" s="5"/>
      <c r="I744" s="1"/>
      <c r="J744" s="7"/>
      <c r="K744" s="1"/>
      <c r="L744" s="1"/>
      <c r="M744" s="1"/>
      <c r="N744" s="1"/>
      <c r="O744" s="1"/>
      <c r="P744" s="1"/>
      <c r="Q744" s="1"/>
      <c r="R744" s="1"/>
      <c r="S744" s="1"/>
      <c r="T744" s="1"/>
      <c r="U744" s="1"/>
      <c r="V744" s="1"/>
      <c r="W744" s="1"/>
      <c r="X744" s="1"/>
      <c r="Y744" s="1"/>
      <c r="Z744" s="1"/>
    </row>
    <row r="745" spans="1:26" ht="12.75" customHeight="1" x14ac:dyDescent="0.25">
      <c r="A745" s="1"/>
      <c r="B745" s="1"/>
      <c r="C745" s="3"/>
      <c r="D745" s="3"/>
      <c r="E745" s="5"/>
      <c r="F745" s="5"/>
      <c r="G745" s="3"/>
      <c r="H745" s="5"/>
      <c r="I745" s="1"/>
      <c r="J745" s="7"/>
      <c r="K745" s="1"/>
      <c r="L745" s="1"/>
      <c r="M745" s="1"/>
      <c r="N745" s="1"/>
      <c r="O745" s="1"/>
      <c r="P745" s="1"/>
      <c r="Q745" s="1"/>
      <c r="R745" s="1"/>
      <c r="S745" s="1"/>
      <c r="T745" s="1"/>
      <c r="U745" s="1"/>
      <c r="V745" s="1"/>
      <c r="W745" s="1"/>
      <c r="X745" s="1"/>
      <c r="Y745" s="1"/>
      <c r="Z745" s="1"/>
    </row>
    <row r="746" spans="1:26" ht="12.75" customHeight="1" x14ac:dyDescent="0.25">
      <c r="A746" s="1"/>
      <c r="B746" s="1"/>
      <c r="C746" s="3"/>
      <c r="D746" s="3"/>
      <c r="E746" s="5"/>
      <c r="F746" s="5"/>
      <c r="G746" s="3"/>
      <c r="H746" s="5"/>
      <c r="I746" s="1"/>
      <c r="J746" s="7"/>
      <c r="K746" s="1"/>
      <c r="L746" s="1"/>
      <c r="M746" s="1"/>
      <c r="N746" s="1"/>
      <c r="O746" s="1"/>
      <c r="P746" s="1"/>
      <c r="Q746" s="1"/>
      <c r="R746" s="1"/>
      <c r="S746" s="1"/>
      <c r="T746" s="1"/>
      <c r="U746" s="1"/>
      <c r="V746" s="1"/>
      <c r="W746" s="1"/>
      <c r="X746" s="1"/>
      <c r="Y746" s="1"/>
      <c r="Z746" s="1"/>
    </row>
    <row r="747" spans="1:26" ht="12.75" customHeight="1" x14ac:dyDescent="0.25">
      <c r="A747" s="1"/>
      <c r="B747" s="1"/>
      <c r="C747" s="3"/>
      <c r="D747" s="3"/>
      <c r="E747" s="5"/>
      <c r="F747" s="5"/>
      <c r="G747" s="3"/>
      <c r="H747" s="5"/>
      <c r="I747" s="1"/>
      <c r="J747" s="7"/>
      <c r="K747" s="1"/>
      <c r="L747" s="1"/>
      <c r="M747" s="1"/>
      <c r="N747" s="1"/>
      <c r="O747" s="1"/>
      <c r="P747" s="1"/>
      <c r="Q747" s="1"/>
      <c r="R747" s="1"/>
      <c r="S747" s="1"/>
      <c r="T747" s="1"/>
      <c r="U747" s="1"/>
      <c r="V747" s="1"/>
      <c r="W747" s="1"/>
      <c r="X747" s="1"/>
      <c r="Y747" s="1"/>
      <c r="Z747" s="1"/>
    </row>
    <row r="748" spans="1:26" ht="12.75" customHeight="1" x14ac:dyDescent="0.25">
      <c r="A748" s="1"/>
      <c r="B748" s="1"/>
      <c r="C748" s="3"/>
      <c r="D748" s="3"/>
      <c r="E748" s="5"/>
      <c r="F748" s="5"/>
      <c r="G748" s="3"/>
      <c r="H748" s="5"/>
      <c r="I748" s="1"/>
      <c r="J748" s="7"/>
      <c r="K748" s="1"/>
      <c r="L748" s="1"/>
      <c r="M748" s="1"/>
      <c r="N748" s="1"/>
      <c r="O748" s="1"/>
      <c r="P748" s="1"/>
      <c r="Q748" s="1"/>
      <c r="R748" s="1"/>
      <c r="S748" s="1"/>
      <c r="T748" s="1"/>
      <c r="U748" s="1"/>
      <c r="V748" s="1"/>
      <c r="W748" s="1"/>
      <c r="X748" s="1"/>
      <c r="Y748" s="1"/>
      <c r="Z748" s="1"/>
    </row>
    <row r="749" spans="1:26" ht="12.75" customHeight="1" x14ac:dyDescent="0.25">
      <c r="A749" s="1"/>
      <c r="B749" s="1"/>
      <c r="C749" s="3"/>
      <c r="D749" s="3"/>
      <c r="E749" s="5"/>
      <c r="F749" s="5"/>
      <c r="G749" s="3"/>
      <c r="H749" s="5"/>
      <c r="I749" s="1"/>
      <c r="J749" s="7"/>
      <c r="K749" s="1"/>
      <c r="L749" s="1"/>
      <c r="M749" s="1"/>
      <c r="N749" s="1"/>
      <c r="O749" s="1"/>
      <c r="P749" s="1"/>
      <c r="Q749" s="1"/>
      <c r="R749" s="1"/>
      <c r="S749" s="1"/>
      <c r="T749" s="1"/>
      <c r="U749" s="1"/>
      <c r="V749" s="1"/>
      <c r="W749" s="1"/>
      <c r="X749" s="1"/>
      <c r="Y749" s="1"/>
      <c r="Z749" s="1"/>
    </row>
    <row r="750" spans="1:26" ht="12.75" customHeight="1" x14ac:dyDescent="0.25">
      <c r="A750" s="1"/>
      <c r="B750" s="1"/>
      <c r="C750" s="3"/>
      <c r="D750" s="3"/>
      <c r="E750" s="5"/>
      <c r="F750" s="5"/>
      <c r="G750" s="3"/>
      <c r="H750" s="5"/>
      <c r="I750" s="1"/>
      <c r="J750" s="7"/>
      <c r="K750" s="1"/>
      <c r="L750" s="1"/>
      <c r="M750" s="1"/>
      <c r="N750" s="1"/>
      <c r="O750" s="1"/>
      <c r="P750" s="1"/>
      <c r="Q750" s="1"/>
      <c r="R750" s="1"/>
      <c r="S750" s="1"/>
      <c r="T750" s="1"/>
      <c r="U750" s="1"/>
      <c r="V750" s="1"/>
      <c r="W750" s="1"/>
      <c r="X750" s="1"/>
      <c r="Y750" s="1"/>
      <c r="Z750" s="1"/>
    </row>
    <row r="751" spans="1:26" ht="12.75" customHeight="1" x14ac:dyDescent="0.25">
      <c r="A751" s="1"/>
      <c r="B751" s="1"/>
      <c r="C751" s="3"/>
      <c r="D751" s="3"/>
      <c r="E751" s="5"/>
      <c r="F751" s="5"/>
      <c r="G751" s="3"/>
      <c r="H751" s="5"/>
      <c r="I751" s="1"/>
      <c r="J751" s="7"/>
      <c r="K751" s="1"/>
      <c r="L751" s="1"/>
      <c r="M751" s="1"/>
      <c r="N751" s="1"/>
      <c r="O751" s="1"/>
      <c r="P751" s="1"/>
      <c r="Q751" s="1"/>
      <c r="R751" s="1"/>
      <c r="S751" s="1"/>
      <c r="T751" s="1"/>
      <c r="U751" s="1"/>
      <c r="V751" s="1"/>
      <c r="W751" s="1"/>
      <c r="X751" s="1"/>
      <c r="Y751" s="1"/>
      <c r="Z751" s="1"/>
    </row>
    <row r="752" spans="1:26" ht="12.75" customHeight="1" x14ac:dyDescent="0.25">
      <c r="A752" s="1"/>
      <c r="B752" s="1"/>
      <c r="C752" s="3"/>
      <c r="D752" s="3"/>
      <c r="E752" s="5"/>
      <c r="F752" s="5"/>
      <c r="G752" s="3"/>
      <c r="H752" s="5"/>
      <c r="I752" s="1"/>
      <c r="J752" s="7"/>
      <c r="K752" s="1"/>
      <c r="L752" s="1"/>
      <c r="M752" s="1"/>
      <c r="N752" s="1"/>
      <c r="O752" s="1"/>
      <c r="P752" s="1"/>
      <c r="Q752" s="1"/>
      <c r="R752" s="1"/>
      <c r="S752" s="1"/>
      <c r="T752" s="1"/>
      <c r="U752" s="1"/>
      <c r="V752" s="1"/>
      <c r="W752" s="1"/>
      <c r="X752" s="1"/>
      <c r="Y752" s="1"/>
      <c r="Z752" s="1"/>
    </row>
    <row r="753" spans="1:26" ht="12.75" customHeight="1" x14ac:dyDescent="0.25">
      <c r="A753" s="1"/>
      <c r="B753" s="1"/>
      <c r="C753" s="3"/>
      <c r="D753" s="3"/>
      <c r="E753" s="5"/>
      <c r="F753" s="5"/>
      <c r="G753" s="3"/>
      <c r="H753" s="5"/>
      <c r="I753" s="1"/>
      <c r="J753" s="7"/>
      <c r="K753" s="1"/>
      <c r="L753" s="1"/>
      <c r="M753" s="1"/>
      <c r="N753" s="1"/>
      <c r="O753" s="1"/>
      <c r="P753" s="1"/>
      <c r="Q753" s="1"/>
      <c r="R753" s="1"/>
      <c r="S753" s="1"/>
      <c r="T753" s="1"/>
      <c r="U753" s="1"/>
      <c r="V753" s="1"/>
      <c r="W753" s="1"/>
      <c r="X753" s="1"/>
      <c r="Y753" s="1"/>
      <c r="Z753" s="1"/>
    </row>
    <row r="754" spans="1:26" ht="12.75" customHeight="1" x14ac:dyDescent="0.25">
      <c r="A754" s="1"/>
      <c r="B754" s="1"/>
      <c r="C754" s="3"/>
      <c r="D754" s="3"/>
      <c r="E754" s="5"/>
      <c r="F754" s="5"/>
      <c r="G754" s="3"/>
      <c r="H754" s="5"/>
      <c r="I754" s="1"/>
      <c r="J754" s="7"/>
      <c r="K754" s="1"/>
      <c r="L754" s="1"/>
      <c r="M754" s="1"/>
      <c r="N754" s="1"/>
      <c r="O754" s="1"/>
      <c r="P754" s="1"/>
      <c r="Q754" s="1"/>
      <c r="R754" s="1"/>
      <c r="S754" s="1"/>
      <c r="T754" s="1"/>
      <c r="U754" s="1"/>
      <c r="V754" s="1"/>
      <c r="W754" s="1"/>
      <c r="X754" s="1"/>
      <c r="Y754" s="1"/>
      <c r="Z754" s="1"/>
    </row>
    <row r="755" spans="1:26" ht="12.75" customHeight="1" x14ac:dyDescent="0.25">
      <c r="A755" s="1"/>
      <c r="B755" s="1"/>
      <c r="C755" s="3"/>
      <c r="D755" s="3"/>
      <c r="E755" s="5"/>
      <c r="F755" s="5"/>
      <c r="G755" s="3"/>
      <c r="H755" s="5"/>
      <c r="I755" s="1"/>
      <c r="J755" s="7"/>
      <c r="K755" s="1"/>
      <c r="L755" s="1"/>
      <c r="M755" s="1"/>
      <c r="N755" s="1"/>
      <c r="O755" s="1"/>
      <c r="P755" s="1"/>
      <c r="Q755" s="1"/>
      <c r="R755" s="1"/>
      <c r="S755" s="1"/>
      <c r="T755" s="1"/>
      <c r="U755" s="1"/>
      <c r="V755" s="1"/>
      <c r="W755" s="1"/>
      <c r="X755" s="1"/>
      <c r="Y755" s="1"/>
      <c r="Z755" s="1"/>
    </row>
    <row r="756" spans="1:26" ht="12.75" customHeight="1" x14ac:dyDescent="0.25">
      <c r="A756" s="1"/>
      <c r="B756" s="1"/>
      <c r="C756" s="3"/>
      <c r="D756" s="3"/>
      <c r="E756" s="5"/>
      <c r="F756" s="5"/>
      <c r="G756" s="3"/>
      <c r="H756" s="5"/>
      <c r="I756" s="1"/>
      <c r="J756" s="7"/>
      <c r="K756" s="1"/>
      <c r="L756" s="1"/>
      <c r="M756" s="1"/>
      <c r="N756" s="1"/>
      <c r="O756" s="1"/>
      <c r="P756" s="1"/>
      <c r="Q756" s="1"/>
      <c r="R756" s="1"/>
      <c r="S756" s="1"/>
      <c r="T756" s="1"/>
      <c r="U756" s="1"/>
      <c r="V756" s="1"/>
      <c r="W756" s="1"/>
      <c r="X756" s="1"/>
      <c r="Y756" s="1"/>
      <c r="Z756" s="1"/>
    </row>
    <row r="757" spans="1:26" ht="12.75" customHeight="1" x14ac:dyDescent="0.25">
      <c r="A757" s="1"/>
      <c r="B757" s="1"/>
      <c r="C757" s="3"/>
      <c r="D757" s="3"/>
      <c r="E757" s="5"/>
      <c r="F757" s="5"/>
      <c r="G757" s="3"/>
      <c r="H757" s="5"/>
      <c r="I757" s="1"/>
      <c r="J757" s="7"/>
      <c r="K757" s="1"/>
      <c r="L757" s="1"/>
      <c r="M757" s="1"/>
      <c r="N757" s="1"/>
      <c r="O757" s="1"/>
      <c r="P757" s="1"/>
      <c r="Q757" s="1"/>
      <c r="R757" s="1"/>
      <c r="S757" s="1"/>
      <c r="T757" s="1"/>
      <c r="U757" s="1"/>
      <c r="V757" s="1"/>
      <c r="W757" s="1"/>
      <c r="X757" s="1"/>
      <c r="Y757" s="1"/>
      <c r="Z757" s="1"/>
    </row>
    <row r="758" spans="1:26" ht="12.75" customHeight="1" x14ac:dyDescent="0.25">
      <c r="A758" s="1"/>
      <c r="B758" s="1"/>
      <c r="C758" s="3"/>
      <c r="D758" s="3"/>
      <c r="E758" s="5"/>
      <c r="F758" s="5"/>
      <c r="G758" s="3"/>
      <c r="H758" s="5"/>
      <c r="I758" s="1"/>
      <c r="J758" s="7"/>
      <c r="K758" s="1"/>
      <c r="L758" s="1"/>
      <c r="M758" s="1"/>
      <c r="N758" s="1"/>
      <c r="O758" s="1"/>
      <c r="P758" s="1"/>
      <c r="Q758" s="1"/>
      <c r="R758" s="1"/>
      <c r="S758" s="1"/>
      <c r="T758" s="1"/>
      <c r="U758" s="1"/>
      <c r="V758" s="1"/>
      <c r="W758" s="1"/>
      <c r="X758" s="1"/>
      <c r="Y758" s="1"/>
      <c r="Z758" s="1"/>
    </row>
    <row r="759" spans="1:26" ht="12.75" customHeight="1" x14ac:dyDescent="0.25">
      <c r="A759" s="1"/>
      <c r="B759" s="1"/>
      <c r="C759" s="3"/>
      <c r="D759" s="3"/>
      <c r="E759" s="5"/>
      <c r="F759" s="5"/>
      <c r="G759" s="3"/>
      <c r="H759" s="5"/>
      <c r="I759" s="1"/>
      <c r="J759" s="7"/>
      <c r="K759" s="1"/>
      <c r="L759" s="1"/>
      <c r="M759" s="1"/>
      <c r="N759" s="1"/>
      <c r="O759" s="1"/>
      <c r="P759" s="1"/>
      <c r="Q759" s="1"/>
      <c r="R759" s="1"/>
      <c r="S759" s="1"/>
      <c r="T759" s="1"/>
      <c r="U759" s="1"/>
      <c r="V759" s="1"/>
      <c r="W759" s="1"/>
      <c r="X759" s="1"/>
      <c r="Y759" s="1"/>
      <c r="Z759" s="1"/>
    </row>
    <row r="760" spans="1:26" ht="12.75" customHeight="1" x14ac:dyDescent="0.25">
      <c r="A760" s="1"/>
      <c r="B760" s="1"/>
      <c r="C760" s="3"/>
      <c r="D760" s="3"/>
      <c r="E760" s="5"/>
      <c r="F760" s="5"/>
      <c r="G760" s="3"/>
      <c r="H760" s="5"/>
      <c r="I760" s="1"/>
      <c r="J760" s="7"/>
      <c r="K760" s="1"/>
      <c r="L760" s="1"/>
      <c r="M760" s="1"/>
      <c r="N760" s="1"/>
      <c r="O760" s="1"/>
      <c r="P760" s="1"/>
      <c r="Q760" s="1"/>
      <c r="R760" s="1"/>
      <c r="S760" s="1"/>
      <c r="T760" s="1"/>
      <c r="U760" s="1"/>
      <c r="V760" s="1"/>
      <c r="W760" s="1"/>
      <c r="X760" s="1"/>
      <c r="Y760" s="1"/>
      <c r="Z760" s="1"/>
    </row>
    <row r="761" spans="1:26" ht="12.75" customHeight="1" x14ac:dyDescent="0.25">
      <c r="A761" s="1"/>
      <c r="B761" s="1"/>
      <c r="C761" s="3"/>
      <c r="D761" s="3"/>
      <c r="E761" s="5"/>
      <c r="F761" s="5"/>
      <c r="G761" s="3"/>
      <c r="H761" s="5"/>
      <c r="I761" s="1"/>
      <c r="J761" s="7"/>
      <c r="K761" s="1"/>
      <c r="L761" s="1"/>
      <c r="M761" s="1"/>
      <c r="N761" s="1"/>
      <c r="O761" s="1"/>
      <c r="P761" s="1"/>
      <c r="Q761" s="1"/>
      <c r="R761" s="1"/>
      <c r="S761" s="1"/>
      <c r="T761" s="1"/>
      <c r="U761" s="1"/>
      <c r="V761" s="1"/>
      <c r="W761" s="1"/>
      <c r="X761" s="1"/>
      <c r="Y761" s="1"/>
      <c r="Z761" s="1"/>
    </row>
    <row r="762" spans="1:26" ht="12.75" customHeight="1" x14ac:dyDescent="0.25">
      <c r="A762" s="1"/>
      <c r="B762" s="1"/>
      <c r="C762" s="3"/>
      <c r="D762" s="3"/>
      <c r="E762" s="5"/>
      <c r="F762" s="5"/>
      <c r="G762" s="3"/>
      <c r="H762" s="5"/>
      <c r="I762" s="1"/>
      <c r="J762" s="7"/>
      <c r="K762" s="1"/>
      <c r="L762" s="1"/>
      <c r="M762" s="1"/>
      <c r="N762" s="1"/>
      <c r="O762" s="1"/>
      <c r="P762" s="1"/>
      <c r="Q762" s="1"/>
      <c r="R762" s="1"/>
      <c r="S762" s="1"/>
      <c r="T762" s="1"/>
      <c r="U762" s="1"/>
      <c r="V762" s="1"/>
      <c r="W762" s="1"/>
      <c r="X762" s="1"/>
      <c r="Y762" s="1"/>
      <c r="Z762" s="1"/>
    </row>
    <row r="763" spans="1:26" ht="12.75" customHeight="1" x14ac:dyDescent="0.25">
      <c r="A763" s="1"/>
      <c r="B763" s="1"/>
      <c r="C763" s="3"/>
      <c r="D763" s="3"/>
      <c r="E763" s="5"/>
      <c r="F763" s="5"/>
      <c r="G763" s="3"/>
      <c r="H763" s="5"/>
      <c r="I763" s="1"/>
      <c r="J763" s="7"/>
      <c r="K763" s="1"/>
      <c r="L763" s="1"/>
      <c r="M763" s="1"/>
      <c r="N763" s="1"/>
      <c r="O763" s="1"/>
      <c r="P763" s="1"/>
      <c r="Q763" s="1"/>
      <c r="R763" s="1"/>
      <c r="S763" s="1"/>
      <c r="T763" s="1"/>
      <c r="U763" s="1"/>
      <c r="V763" s="1"/>
      <c r="W763" s="1"/>
      <c r="X763" s="1"/>
      <c r="Y763" s="1"/>
      <c r="Z763" s="1"/>
    </row>
    <row r="764" spans="1:26" ht="12.75" customHeight="1" x14ac:dyDescent="0.25">
      <c r="A764" s="1"/>
      <c r="B764" s="1"/>
      <c r="C764" s="3"/>
      <c r="D764" s="3"/>
      <c r="E764" s="5"/>
      <c r="F764" s="5"/>
      <c r="G764" s="3"/>
      <c r="H764" s="5"/>
      <c r="I764" s="1"/>
      <c r="J764" s="7"/>
      <c r="K764" s="1"/>
      <c r="L764" s="1"/>
      <c r="M764" s="1"/>
      <c r="N764" s="1"/>
      <c r="O764" s="1"/>
      <c r="P764" s="1"/>
      <c r="Q764" s="1"/>
      <c r="R764" s="1"/>
      <c r="S764" s="1"/>
      <c r="T764" s="1"/>
      <c r="U764" s="1"/>
      <c r="V764" s="1"/>
      <c r="W764" s="1"/>
      <c r="X764" s="1"/>
      <c r="Y764" s="1"/>
      <c r="Z764" s="1"/>
    </row>
    <row r="765" spans="1:26" ht="12.75" customHeight="1" x14ac:dyDescent="0.25">
      <c r="A765" s="1"/>
      <c r="B765" s="1"/>
      <c r="C765" s="3"/>
      <c r="D765" s="3"/>
      <c r="E765" s="5"/>
      <c r="F765" s="5"/>
      <c r="G765" s="3"/>
      <c r="H765" s="5"/>
      <c r="I765" s="1"/>
      <c r="J765" s="7"/>
      <c r="K765" s="1"/>
      <c r="L765" s="1"/>
      <c r="M765" s="1"/>
      <c r="N765" s="1"/>
      <c r="O765" s="1"/>
      <c r="P765" s="1"/>
      <c r="Q765" s="1"/>
      <c r="R765" s="1"/>
      <c r="S765" s="1"/>
      <c r="T765" s="1"/>
      <c r="U765" s="1"/>
      <c r="V765" s="1"/>
      <c r="W765" s="1"/>
      <c r="X765" s="1"/>
      <c r="Y765" s="1"/>
      <c r="Z765" s="1"/>
    </row>
    <row r="766" spans="1:26" ht="12.75" customHeight="1" x14ac:dyDescent="0.25">
      <c r="A766" s="1"/>
      <c r="B766" s="1"/>
      <c r="C766" s="3"/>
      <c r="D766" s="3"/>
      <c r="E766" s="5"/>
      <c r="F766" s="5"/>
      <c r="G766" s="3"/>
      <c r="H766" s="5"/>
      <c r="I766" s="1"/>
      <c r="J766" s="7"/>
      <c r="K766" s="1"/>
      <c r="L766" s="1"/>
      <c r="M766" s="1"/>
      <c r="N766" s="1"/>
      <c r="O766" s="1"/>
      <c r="P766" s="1"/>
      <c r="Q766" s="1"/>
      <c r="R766" s="1"/>
      <c r="S766" s="1"/>
      <c r="T766" s="1"/>
      <c r="U766" s="1"/>
      <c r="V766" s="1"/>
      <c r="W766" s="1"/>
      <c r="X766" s="1"/>
      <c r="Y766" s="1"/>
      <c r="Z766" s="1"/>
    </row>
    <row r="767" spans="1:26" ht="12.75" customHeight="1" x14ac:dyDescent="0.25">
      <c r="A767" s="1"/>
      <c r="B767" s="1"/>
      <c r="C767" s="3"/>
      <c r="D767" s="3"/>
      <c r="E767" s="5"/>
      <c r="F767" s="5"/>
      <c r="G767" s="3"/>
      <c r="H767" s="5"/>
      <c r="I767" s="1"/>
      <c r="J767" s="7"/>
      <c r="K767" s="1"/>
      <c r="L767" s="1"/>
      <c r="M767" s="1"/>
      <c r="N767" s="1"/>
      <c r="O767" s="1"/>
      <c r="P767" s="1"/>
      <c r="Q767" s="1"/>
      <c r="R767" s="1"/>
      <c r="S767" s="1"/>
      <c r="T767" s="1"/>
      <c r="U767" s="1"/>
      <c r="V767" s="1"/>
      <c r="W767" s="1"/>
      <c r="X767" s="1"/>
      <c r="Y767" s="1"/>
      <c r="Z767" s="1"/>
    </row>
    <row r="768" spans="1:26" ht="12.75" customHeight="1" x14ac:dyDescent="0.25">
      <c r="A768" s="1"/>
      <c r="B768" s="1"/>
      <c r="C768" s="3"/>
      <c r="D768" s="3"/>
      <c r="E768" s="5"/>
      <c r="F768" s="5"/>
      <c r="G768" s="3"/>
      <c r="H768" s="5"/>
      <c r="I768" s="1"/>
      <c r="J768" s="7"/>
      <c r="K768" s="1"/>
      <c r="L768" s="1"/>
      <c r="M768" s="1"/>
      <c r="N768" s="1"/>
      <c r="O768" s="1"/>
      <c r="P768" s="1"/>
      <c r="Q768" s="1"/>
      <c r="R768" s="1"/>
      <c r="S768" s="1"/>
      <c r="T768" s="1"/>
      <c r="U768" s="1"/>
      <c r="V768" s="1"/>
      <c r="W768" s="1"/>
      <c r="X768" s="1"/>
      <c r="Y768" s="1"/>
      <c r="Z768" s="1"/>
    </row>
    <row r="769" spans="1:26" ht="12.75" customHeight="1" x14ac:dyDescent="0.25">
      <c r="A769" s="1"/>
      <c r="B769" s="1"/>
      <c r="C769" s="3"/>
      <c r="D769" s="3"/>
      <c r="E769" s="5"/>
      <c r="F769" s="5"/>
      <c r="G769" s="3"/>
      <c r="H769" s="5"/>
      <c r="I769" s="1"/>
      <c r="J769" s="7"/>
      <c r="K769" s="1"/>
      <c r="L769" s="1"/>
      <c r="M769" s="1"/>
      <c r="N769" s="1"/>
      <c r="O769" s="1"/>
      <c r="P769" s="1"/>
      <c r="Q769" s="1"/>
      <c r="R769" s="1"/>
      <c r="S769" s="1"/>
      <c r="T769" s="1"/>
      <c r="U769" s="1"/>
      <c r="V769" s="1"/>
      <c r="W769" s="1"/>
      <c r="X769" s="1"/>
      <c r="Y769" s="1"/>
      <c r="Z769" s="1"/>
    </row>
    <row r="770" spans="1:26" ht="12.75" customHeight="1" x14ac:dyDescent="0.25">
      <c r="A770" s="1"/>
      <c r="B770" s="1"/>
      <c r="C770" s="3"/>
      <c r="D770" s="3"/>
      <c r="E770" s="5"/>
      <c r="F770" s="5"/>
      <c r="G770" s="3"/>
      <c r="H770" s="5"/>
      <c r="I770" s="1"/>
      <c r="J770" s="7"/>
      <c r="K770" s="1"/>
      <c r="L770" s="1"/>
      <c r="M770" s="1"/>
      <c r="N770" s="1"/>
      <c r="O770" s="1"/>
      <c r="P770" s="1"/>
      <c r="Q770" s="1"/>
      <c r="R770" s="1"/>
      <c r="S770" s="1"/>
      <c r="T770" s="1"/>
      <c r="U770" s="1"/>
      <c r="V770" s="1"/>
      <c r="W770" s="1"/>
      <c r="X770" s="1"/>
      <c r="Y770" s="1"/>
      <c r="Z770" s="1"/>
    </row>
    <row r="771" spans="1:26" ht="12.75" customHeight="1" x14ac:dyDescent="0.25">
      <c r="A771" s="1"/>
      <c r="B771" s="1"/>
      <c r="C771" s="3"/>
      <c r="D771" s="3"/>
      <c r="E771" s="5"/>
      <c r="F771" s="5"/>
      <c r="G771" s="3"/>
      <c r="H771" s="5"/>
      <c r="I771" s="1"/>
      <c r="J771" s="7"/>
      <c r="K771" s="1"/>
      <c r="L771" s="1"/>
      <c r="M771" s="1"/>
      <c r="N771" s="1"/>
      <c r="O771" s="1"/>
      <c r="P771" s="1"/>
      <c r="Q771" s="1"/>
      <c r="R771" s="1"/>
      <c r="S771" s="1"/>
      <c r="T771" s="1"/>
      <c r="U771" s="1"/>
      <c r="V771" s="1"/>
      <c r="W771" s="1"/>
      <c r="X771" s="1"/>
      <c r="Y771" s="1"/>
      <c r="Z771" s="1"/>
    </row>
    <row r="772" spans="1:26" ht="12.75" customHeight="1" x14ac:dyDescent="0.25">
      <c r="A772" s="1"/>
      <c r="B772" s="1"/>
      <c r="C772" s="3"/>
      <c r="D772" s="3"/>
      <c r="E772" s="5"/>
      <c r="F772" s="5"/>
      <c r="G772" s="3"/>
      <c r="H772" s="5"/>
      <c r="I772" s="1"/>
      <c r="J772" s="7"/>
      <c r="K772" s="1"/>
      <c r="L772" s="1"/>
      <c r="M772" s="1"/>
      <c r="N772" s="1"/>
      <c r="O772" s="1"/>
      <c r="P772" s="1"/>
      <c r="Q772" s="1"/>
      <c r="R772" s="1"/>
      <c r="S772" s="1"/>
      <c r="T772" s="1"/>
      <c r="U772" s="1"/>
      <c r="V772" s="1"/>
      <c r="W772" s="1"/>
      <c r="X772" s="1"/>
      <c r="Y772" s="1"/>
      <c r="Z772" s="1"/>
    </row>
    <row r="773" spans="1:26" ht="12.75" customHeight="1" x14ac:dyDescent="0.25">
      <c r="A773" s="1"/>
      <c r="B773" s="1"/>
      <c r="C773" s="3"/>
      <c r="D773" s="3"/>
      <c r="E773" s="5"/>
      <c r="F773" s="5"/>
      <c r="G773" s="3"/>
      <c r="H773" s="5"/>
      <c r="I773" s="1"/>
      <c r="J773" s="7"/>
      <c r="K773" s="1"/>
      <c r="L773" s="1"/>
      <c r="M773" s="1"/>
      <c r="N773" s="1"/>
      <c r="O773" s="1"/>
      <c r="P773" s="1"/>
      <c r="Q773" s="1"/>
      <c r="R773" s="1"/>
      <c r="S773" s="1"/>
      <c r="T773" s="1"/>
      <c r="U773" s="1"/>
      <c r="V773" s="1"/>
      <c r="W773" s="1"/>
      <c r="X773" s="1"/>
      <c r="Y773" s="1"/>
      <c r="Z773" s="1"/>
    </row>
    <row r="774" spans="1:26" ht="12.75" customHeight="1" x14ac:dyDescent="0.25">
      <c r="A774" s="1"/>
      <c r="B774" s="1"/>
      <c r="C774" s="3"/>
      <c r="D774" s="3"/>
      <c r="E774" s="5"/>
      <c r="F774" s="5"/>
      <c r="G774" s="3"/>
      <c r="H774" s="5"/>
      <c r="I774" s="1"/>
      <c r="J774" s="7"/>
      <c r="K774" s="1"/>
      <c r="L774" s="1"/>
      <c r="M774" s="1"/>
      <c r="N774" s="1"/>
      <c r="O774" s="1"/>
      <c r="P774" s="1"/>
      <c r="Q774" s="1"/>
      <c r="R774" s="1"/>
      <c r="S774" s="1"/>
      <c r="T774" s="1"/>
      <c r="U774" s="1"/>
      <c r="V774" s="1"/>
      <c r="W774" s="1"/>
      <c r="X774" s="1"/>
      <c r="Y774" s="1"/>
      <c r="Z774" s="1"/>
    </row>
    <row r="775" spans="1:26" ht="12.75" customHeight="1" x14ac:dyDescent="0.25">
      <c r="A775" s="1"/>
      <c r="B775" s="1"/>
      <c r="C775" s="3"/>
      <c r="D775" s="3"/>
      <c r="E775" s="5"/>
      <c r="F775" s="5"/>
      <c r="G775" s="3"/>
      <c r="H775" s="5"/>
      <c r="I775" s="1"/>
      <c r="J775" s="7"/>
      <c r="K775" s="1"/>
      <c r="L775" s="1"/>
      <c r="M775" s="1"/>
      <c r="N775" s="1"/>
      <c r="O775" s="1"/>
      <c r="P775" s="1"/>
      <c r="Q775" s="1"/>
      <c r="R775" s="1"/>
      <c r="S775" s="1"/>
      <c r="T775" s="1"/>
      <c r="U775" s="1"/>
      <c r="V775" s="1"/>
      <c r="W775" s="1"/>
      <c r="X775" s="1"/>
      <c r="Y775" s="1"/>
      <c r="Z775" s="1"/>
    </row>
    <row r="776" spans="1:26" ht="12.75" customHeight="1" x14ac:dyDescent="0.25">
      <c r="A776" s="1"/>
      <c r="B776" s="1"/>
      <c r="C776" s="3"/>
      <c r="D776" s="3"/>
      <c r="E776" s="5"/>
      <c r="F776" s="5"/>
      <c r="G776" s="3"/>
      <c r="H776" s="5"/>
      <c r="I776" s="1"/>
      <c r="J776" s="7"/>
      <c r="K776" s="1"/>
      <c r="L776" s="1"/>
      <c r="M776" s="1"/>
      <c r="N776" s="1"/>
      <c r="O776" s="1"/>
      <c r="P776" s="1"/>
      <c r="Q776" s="1"/>
      <c r="R776" s="1"/>
      <c r="S776" s="1"/>
      <c r="T776" s="1"/>
      <c r="U776" s="1"/>
      <c r="V776" s="1"/>
      <c r="W776" s="1"/>
      <c r="X776" s="1"/>
      <c r="Y776" s="1"/>
      <c r="Z776" s="1"/>
    </row>
    <row r="777" spans="1:26" ht="12.75" customHeight="1" x14ac:dyDescent="0.25">
      <c r="A777" s="1"/>
      <c r="B777" s="1"/>
      <c r="C777" s="3"/>
      <c r="D777" s="3"/>
      <c r="E777" s="5"/>
      <c r="F777" s="5"/>
      <c r="G777" s="3"/>
      <c r="H777" s="5"/>
      <c r="I777" s="1"/>
      <c r="J777" s="7"/>
      <c r="K777" s="1"/>
      <c r="L777" s="1"/>
      <c r="M777" s="1"/>
      <c r="N777" s="1"/>
      <c r="O777" s="1"/>
      <c r="P777" s="1"/>
      <c r="Q777" s="1"/>
      <c r="R777" s="1"/>
      <c r="S777" s="1"/>
      <c r="T777" s="1"/>
      <c r="U777" s="1"/>
      <c r="V777" s="1"/>
      <c r="W777" s="1"/>
      <c r="X777" s="1"/>
      <c r="Y777" s="1"/>
      <c r="Z777" s="1"/>
    </row>
    <row r="778" spans="1:26" ht="12.75" customHeight="1" x14ac:dyDescent="0.25">
      <c r="A778" s="1"/>
      <c r="B778" s="1"/>
      <c r="C778" s="3"/>
      <c r="D778" s="3"/>
      <c r="E778" s="5"/>
      <c r="F778" s="5"/>
      <c r="G778" s="3"/>
      <c r="H778" s="5"/>
      <c r="I778" s="1"/>
      <c r="J778" s="7"/>
      <c r="K778" s="1"/>
      <c r="L778" s="1"/>
      <c r="M778" s="1"/>
      <c r="N778" s="1"/>
      <c r="O778" s="1"/>
      <c r="P778" s="1"/>
      <c r="Q778" s="1"/>
      <c r="R778" s="1"/>
      <c r="S778" s="1"/>
      <c r="T778" s="1"/>
      <c r="U778" s="1"/>
      <c r="V778" s="1"/>
      <c r="W778" s="1"/>
      <c r="X778" s="1"/>
      <c r="Y778" s="1"/>
      <c r="Z778" s="1"/>
    </row>
    <row r="779" spans="1:26" ht="12.75" customHeight="1" x14ac:dyDescent="0.25">
      <c r="A779" s="1"/>
      <c r="B779" s="1"/>
      <c r="C779" s="3"/>
      <c r="D779" s="3"/>
      <c r="E779" s="5"/>
      <c r="F779" s="5"/>
      <c r="G779" s="3"/>
      <c r="H779" s="5"/>
      <c r="I779" s="1"/>
      <c r="J779" s="7"/>
      <c r="K779" s="1"/>
      <c r="L779" s="1"/>
      <c r="M779" s="1"/>
      <c r="N779" s="1"/>
      <c r="O779" s="1"/>
      <c r="P779" s="1"/>
      <c r="Q779" s="1"/>
      <c r="R779" s="1"/>
      <c r="S779" s="1"/>
      <c r="T779" s="1"/>
      <c r="U779" s="1"/>
      <c r="V779" s="1"/>
      <c r="W779" s="1"/>
      <c r="X779" s="1"/>
      <c r="Y779" s="1"/>
      <c r="Z779" s="1"/>
    </row>
    <row r="780" spans="1:26" ht="12.75" customHeight="1" x14ac:dyDescent="0.25">
      <c r="A780" s="1"/>
      <c r="B780" s="1"/>
      <c r="C780" s="3"/>
      <c r="D780" s="3"/>
      <c r="E780" s="5"/>
      <c r="F780" s="5"/>
      <c r="G780" s="3"/>
      <c r="H780" s="5"/>
      <c r="I780" s="1"/>
      <c r="J780" s="7"/>
      <c r="K780" s="1"/>
      <c r="L780" s="1"/>
      <c r="M780" s="1"/>
      <c r="N780" s="1"/>
      <c r="O780" s="1"/>
      <c r="P780" s="1"/>
      <c r="Q780" s="1"/>
      <c r="R780" s="1"/>
      <c r="S780" s="1"/>
      <c r="T780" s="1"/>
      <c r="U780" s="1"/>
      <c r="V780" s="1"/>
      <c r="W780" s="1"/>
      <c r="X780" s="1"/>
      <c r="Y780" s="1"/>
      <c r="Z780" s="1"/>
    </row>
    <row r="781" spans="1:26" ht="12.75" customHeight="1" x14ac:dyDescent="0.25">
      <c r="A781" s="1"/>
      <c r="B781" s="1"/>
      <c r="C781" s="3"/>
      <c r="D781" s="3"/>
      <c r="E781" s="5"/>
      <c r="F781" s="5"/>
      <c r="G781" s="3"/>
      <c r="H781" s="5"/>
      <c r="I781" s="1"/>
      <c r="J781" s="7"/>
      <c r="K781" s="1"/>
      <c r="L781" s="1"/>
      <c r="M781" s="1"/>
      <c r="N781" s="1"/>
      <c r="O781" s="1"/>
      <c r="P781" s="1"/>
      <c r="Q781" s="1"/>
      <c r="R781" s="1"/>
      <c r="S781" s="1"/>
      <c r="T781" s="1"/>
      <c r="U781" s="1"/>
      <c r="V781" s="1"/>
      <c r="W781" s="1"/>
      <c r="X781" s="1"/>
      <c r="Y781" s="1"/>
      <c r="Z781" s="1"/>
    </row>
    <row r="782" spans="1:26" ht="12.75" customHeight="1" x14ac:dyDescent="0.25">
      <c r="A782" s="1"/>
      <c r="B782" s="1"/>
      <c r="C782" s="3"/>
      <c r="D782" s="3"/>
      <c r="E782" s="5"/>
      <c r="F782" s="5"/>
      <c r="G782" s="3"/>
      <c r="H782" s="5"/>
      <c r="I782" s="1"/>
      <c r="J782" s="7"/>
      <c r="K782" s="1"/>
      <c r="L782" s="1"/>
      <c r="M782" s="1"/>
      <c r="N782" s="1"/>
      <c r="O782" s="1"/>
      <c r="P782" s="1"/>
      <c r="Q782" s="1"/>
      <c r="R782" s="1"/>
      <c r="S782" s="1"/>
      <c r="T782" s="1"/>
      <c r="U782" s="1"/>
      <c r="V782" s="1"/>
      <c r="W782" s="1"/>
      <c r="X782" s="1"/>
      <c r="Y782" s="1"/>
      <c r="Z782" s="1"/>
    </row>
    <row r="783" spans="1:26" ht="12.75" customHeight="1" x14ac:dyDescent="0.25">
      <c r="A783" s="1"/>
      <c r="B783" s="1"/>
      <c r="C783" s="3"/>
      <c r="D783" s="3"/>
      <c r="E783" s="5"/>
      <c r="F783" s="5"/>
      <c r="G783" s="3"/>
      <c r="H783" s="5"/>
      <c r="I783" s="1"/>
      <c r="J783" s="7"/>
      <c r="K783" s="1"/>
      <c r="L783" s="1"/>
      <c r="M783" s="1"/>
      <c r="N783" s="1"/>
      <c r="O783" s="1"/>
      <c r="P783" s="1"/>
      <c r="Q783" s="1"/>
      <c r="R783" s="1"/>
      <c r="S783" s="1"/>
      <c r="T783" s="1"/>
      <c r="U783" s="1"/>
      <c r="V783" s="1"/>
      <c r="W783" s="1"/>
      <c r="X783" s="1"/>
      <c r="Y783" s="1"/>
      <c r="Z783" s="1"/>
    </row>
    <row r="784" spans="1:26" ht="12.75" customHeight="1" x14ac:dyDescent="0.25">
      <c r="A784" s="1"/>
      <c r="B784" s="1"/>
      <c r="C784" s="3"/>
      <c r="D784" s="3"/>
      <c r="E784" s="5"/>
      <c r="F784" s="5"/>
      <c r="G784" s="3"/>
      <c r="H784" s="5"/>
      <c r="I784" s="1"/>
      <c r="J784" s="7"/>
      <c r="K784" s="1"/>
      <c r="L784" s="1"/>
      <c r="M784" s="1"/>
      <c r="N784" s="1"/>
      <c r="O784" s="1"/>
      <c r="P784" s="1"/>
      <c r="Q784" s="1"/>
      <c r="R784" s="1"/>
      <c r="S784" s="1"/>
      <c r="T784" s="1"/>
      <c r="U784" s="1"/>
      <c r="V784" s="1"/>
      <c r="W784" s="1"/>
      <c r="X784" s="1"/>
      <c r="Y784" s="1"/>
      <c r="Z784" s="1"/>
    </row>
    <row r="785" spans="1:26" ht="12.75" customHeight="1" x14ac:dyDescent="0.25">
      <c r="A785" s="1"/>
      <c r="B785" s="1"/>
      <c r="C785" s="3"/>
      <c r="D785" s="3"/>
      <c r="E785" s="5"/>
      <c r="F785" s="5"/>
      <c r="G785" s="3"/>
      <c r="H785" s="5"/>
      <c r="I785" s="1"/>
      <c r="J785" s="7"/>
      <c r="K785" s="1"/>
      <c r="L785" s="1"/>
      <c r="M785" s="1"/>
      <c r="N785" s="1"/>
      <c r="O785" s="1"/>
      <c r="P785" s="1"/>
      <c r="Q785" s="1"/>
      <c r="R785" s="1"/>
      <c r="S785" s="1"/>
      <c r="T785" s="1"/>
      <c r="U785" s="1"/>
      <c r="V785" s="1"/>
      <c r="W785" s="1"/>
      <c r="X785" s="1"/>
      <c r="Y785" s="1"/>
      <c r="Z785" s="1"/>
    </row>
    <row r="786" spans="1:26" ht="12.75" customHeight="1" x14ac:dyDescent="0.25">
      <c r="A786" s="1"/>
      <c r="B786" s="1"/>
      <c r="C786" s="3"/>
      <c r="D786" s="3"/>
      <c r="E786" s="5"/>
      <c r="F786" s="5"/>
      <c r="G786" s="3"/>
      <c r="H786" s="5"/>
      <c r="I786" s="1"/>
      <c r="J786" s="7"/>
      <c r="K786" s="1"/>
      <c r="L786" s="1"/>
      <c r="M786" s="1"/>
      <c r="N786" s="1"/>
      <c r="O786" s="1"/>
      <c r="P786" s="1"/>
      <c r="Q786" s="1"/>
      <c r="R786" s="1"/>
      <c r="S786" s="1"/>
      <c r="T786" s="1"/>
      <c r="U786" s="1"/>
      <c r="V786" s="1"/>
      <c r="W786" s="1"/>
      <c r="X786" s="1"/>
      <c r="Y786" s="1"/>
      <c r="Z786" s="1"/>
    </row>
    <row r="787" spans="1:26" ht="12.75" customHeight="1" x14ac:dyDescent="0.25">
      <c r="A787" s="1"/>
      <c r="B787" s="1"/>
      <c r="C787" s="3"/>
      <c r="D787" s="3"/>
      <c r="E787" s="5"/>
      <c r="F787" s="5"/>
      <c r="G787" s="3"/>
      <c r="H787" s="5"/>
      <c r="I787" s="1"/>
      <c r="J787" s="7"/>
      <c r="K787" s="1"/>
      <c r="L787" s="1"/>
      <c r="M787" s="1"/>
      <c r="N787" s="1"/>
      <c r="O787" s="1"/>
      <c r="P787" s="1"/>
      <c r="Q787" s="1"/>
      <c r="R787" s="1"/>
      <c r="S787" s="1"/>
      <c r="T787" s="1"/>
      <c r="U787" s="1"/>
      <c r="V787" s="1"/>
      <c r="W787" s="1"/>
      <c r="X787" s="1"/>
      <c r="Y787" s="1"/>
      <c r="Z787" s="1"/>
    </row>
    <row r="788" spans="1:26" ht="12.75" customHeight="1" x14ac:dyDescent="0.25">
      <c r="A788" s="1"/>
      <c r="B788" s="1"/>
      <c r="C788" s="3"/>
      <c r="D788" s="3"/>
      <c r="E788" s="5"/>
      <c r="F788" s="5"/>
      <c r="G788" s="3"/>
      <c r="H788" s="5"/>
      <c r="I788" s="1"/>
      <c r="J788" s="7"/>
      <c r="K788" s="1"/>
      <c r="L788" s="1"/>
      <c r="M788" s="1"/>
      <c r="N788" s="1"/>
      <c r="O788" s="1"/>
      <c r="P788" s="1"/>
      <c r="Q788" s="1"/>
      <c r="R788" s="1"/>
      <c r="S788" s="1"/>
      <c r="T788" s="1"/>
      <c r="U788" s="1"/>
      <c r="V788" s="1"/>
      <c r="W788" s="1"/>
      <c r="X788" s="1"/>
      <c r="Y788" s="1"/>
      <c r="Z788" s="1"/>
    </row>
    <row r="789" spans="1:26" ht="12.75" customHeight="1" x14ac:dyDescent="0.25">
      <c r="A789" s="1"/>
      <c r="B789" s="1"/>
      <c r="C789" s="3"/>
      <c r="D789" s="3"/>
      <c r="E789" s="5"/>
      <c r="F789" s="5"/>
      <c r="G789" s="3"/>
      <c r="H789" s="5"/>
      <c r="I789" s="1"/>
      <c r="J789" s="7"/>
      <c r="K789" s="1"/>
      <c r="L789" s="1"/>
      <c r="M789" s="1"/>
      <c r="N789" s="1"/>
      <c r="O789" s="1"/>
      <c r="P789" s="1"/>
      <c r="Q789" s="1"/>
      <c r="R789" s="1"/>
      <c r="S789" s="1"/>
      <c r="T789" s="1"/>
      <c r="U789" s="1"/>
      <c r="V789" s="1"/>
      <c r="W789" s="1"/>
      <c r="X789" s="1"/>
      <c r="Y789" s="1"/>
      <c r="Z789" s="1"/>
    </row>
    <row r="790" spans="1:26" ht="12.75" customHeight="1" x14ac:dyDescent="0.25">
      <c r="A790" s="1"/>
      <c r="B790" s="1"/>
      <c r="C790" s="3"/>
      <c r="D790" s="3"/>
      <c r="E790" s="5"/>
      <c r="F790" s="5"/>
      <c r="G790" s="3"/>
      <c r="H790" s="5"/>
      <c r="I790" s="1"/>
      <c r="J790" s="7"/>
      <c r="K790" s="1"/>
      <c r="L790" s="1"/>
      <c r="M790" s="1"/>
      <c r="N790" s="1"/>
      <c r="O790" s="1"/>
      <c r="P790" s="1"/>
      <c r="Q790" s="1"/>
      <c r="R790" s="1"/>
      <c r="S790" s="1"/>
      <c r="T790" s="1"/>
      <c r="U790" s="1"/>
      <c r="V790" s="1"/>
      <c r="W790" s="1"/>
      <c r="X790" s="1"/>
      <c r="Y790" s="1"/>
      <c r="Z790" s="1"/>
    </row>
    <row r="791" spans="1:26" ht="12.75" customHeight="1" x14ac:dyDescent="0.25">
      <c r="A791" s="1"/>
      <c r="B791" s="1"/>
      <c r="C791" s="3"/>
      <c r="D791" s="3"/>
      <c r="E791" s="5"/>
      <c r="F791" s="5"/>
      <c r="G791" s="3"/>
      <c r="H791" s="5"/>
      <c r="I791" s="1"/>
      <c r="J791" s="7"/>
      <c r="K791" s="1"/>
      <c r="L791" s="1"/>
      <c r="M791" s="1"/>
      <c r="N791" s="1"/>
      <c r="O791" s="1"/>
      <c r="P791" s="1"/>
      <c r="Q791" s="1"/>
      <c r="R791" s="1"/>
      <c r="S791" s="1"/>
      <c r="T791" s="1"/>
      <c r="U791" s="1"/>
      <c r="V791" s="1"/>
      <c r="W791" s="1"/>
      <c r="X791" s="1"/>
      <c r="Y791" s="1"/>
      <c r="Z791" s="1"/>
    </row>
    <row r="792" spans="1:26" ht="12.75" customHeight="1" x14ac:dyDescent="0.25">
      <c r="A792" s="1"/>
      <c r="B792" s="1"/>
      <c r="C792" s="3"/>
      <c r="D792" s="3"/>
      <c r="E792" s="5"/>
      <c r="F792" s="5"/>
      <c r="G792" s="3"/>
      <c r="H792" s="5"/>
      <c r="I792" s="1"/>
      <c r="J792" s="7"/>
      <c r="K792" s="1"/>
      <c r="L792" s="1"/>
      <c r="M792" s="1"/>
      <c r="N792" s="1"/>
      <c r="O792" s="1"/>
      <c r="P792" s="1"/>
      <c r="Q792" s="1"/>
      <c r="R792" s="1"/>
      <c r="S792" s="1"/>
      <c r="T792" s="1"/>
      <c r="U792" s="1"/>
      <c r="V792" s="1"/>
      <c r="W792" s="1"/>
      <c r="X792" s="1"/>
      <c r="Y792" s="1"/>
      <c r="Z792" s="1"/>
    </row>
    <row r="793" spans="1:26" ht="12.75" customHeight="1" x14ac:dyDescent="0.25">
      <c r="A793" s="1"/>
      <c r="B793" s="1"/>
      <c r="C793" s="3"/>
      <c r="D793" s="3"/>
      <c r="E793" s="5"/>
      <c r="F793" s="5"/>
      <c r="G793" s="3"/>
      <c r="H793" s="5"/>
      <c r="I793" s="1"/>
      <c r="J793" s="7"/>
      <c r="K793" s="1"/>
      <c r="L793" s="1"/>
      <c r="M793" s="1"/>
      <c r="N793" s="1"/>
      <c r="O793" s="1"/>
      <c r="P793" s="1"/>
      <c r="Q793" s="1"/>
      <c r="R793" s="1"/>
      <c r="S793" s="1"/>
      <c r="T793" s="1"/>
      <c r="U793" s="1"/>
      <c r="V793" s="1"/>
      <c r="W793" s="1"/>
      <c r="X793" s="1"/>
      <c r="Y793" s="1"/>
      <c r="Z793" s="1"/>
    </row>
    <row r="794" spans="1:26" ht="12.75" customHeight="1" x14ac:dyDescent="0.25">
      <c r="A794" s="1"/>
      <c r="B794" s="1"/>
      <c r="C794" s="3"/>
      <c r="D794" s="3"/>
      <c r="E794" s="5"/>
      <c r="F794" s="5"/>
      <c r="G794" s="3"/>
      <c r="H794" s="5"/>
      <c r="I794" s="1"/>
      <c r="J794" s="7"/>
      <c r="K794" s="1"/>
      <c r="L794" s="1"/>
      <c r="M794" s="1"/>
      <c r="N794" s="1"/>
      <c r="O794" s="1"/>
      <c r="P794" s="1"/>
      <c r="Q794" s="1"/>
      <c r="R794" s="1"/>
      <c r="S794" s="1"/>
      <c r="T794" s="1"/>
      <c r="U794" s="1"/>
      <c r="V794" s="1"/>
      <c r="W794" s="1"/>
      <c r="X794" s="1"/>
      <c r="Y794" s="1"/>
      <c r="Z794" s="1"/>
    </row>
    <row r="795" spans="1:26" ht="12.75" customHeight="1" x14ac:dyDescent="0.25">
      <c r="A795" s="1"/>
      <c r="B795" s="1"/>
      <c r="C795" s="3"/>
      <c r="D795" s="3"/>
      <c r="E795" s="5"/>
      <c r="F795" s="5"/>
      <c r="G795" s="3"/>
      <c r="H795" s="5"/>
      <c r="I795" s="1"/>
      <c r="J795" s="7"/>
      <c r="K795" s="1"/>
      <c r="L795" s="1"/>
      <c r="M795" s="1"/>
      <c r="N795" s="1"/>
      <c r="O795" s="1"/>
      <c r="P795" s="1"/>
      <c r="Q795" s="1"/>
      <c r="R795" s="1"/>
      <c r="S795" s="1"/>
      <c r="T795" s="1"/>
      <c r="U795" s="1"/>
      <c r="V795" s="1"/>
      <c r="W795" s="1"/>
      <c r="X795" s="1"/>
      <c r="Y795" s="1"/>
      <c r="Z795" s="1"/>
    </row>
    <row r="796" spans="1:26" ht="12.75" customHeight="1" x14ac:dyDescent="0.25">
      <c r="A796" s="1"/>
      <c r="B796" s="1"/>
      <c r="C796" s="3"/>
      <c r="D796" s="3"/>
      <c r="E796" s="5"/>
      <c r="F796" s="5"/>
      <c r="G796" s="3"/>
      <c r="H796" s="5"/>
      <c r="I796" s="1"/>
      <c r="J796" s="7"/>
      <c r="K796" s="1"/>
      <c r="L796" s="1"/>
      <c r="M796" s="1"/>
      <c r="N796" s="1"/>
      <c r="O796" s="1"/>
      <c r="P796" s="1"/>
      <c r="Q796" s="1"/>
      <c r="R796" s="1"/>
      <c r="S796" s="1"/>
      <c r="T796" s="1"/>
      <c r="U796" s="1"/>
      <c r="V796" s="1"/>
      <c r="W796" s="1"/>
      <c r="X796" s="1"/>
      <c r="Y796" s="1"/>
      <c r="Z796" s="1"/>
    </row>
    <row r="797" spans="1:26" ht="12.75" customHeight="1" x14ac:dyDescent="0.25">
      <c r="A797" s="1"/>
      <c r="B797" s="1"/>
      <c r="C797" s="3"/>
      <c r="D797" s="3"/>
      <c r="E797" s="5"/>
      <c r="F797" s="5"/>
      <c r="G797" s="3"/>
      <c r="H797" s="5"/>
      <c r="I797" s="1"/>
      <c r="J797" s="7"/>
      <c r="K797" s="1"/>
      <c r="L797" s="1"/>
      <c r="M797" s="1"/>
      <c r="N797" s="1"/>
      <c r="O797" s="1"/>
      <c r="P797" s="1"/>
      <c r="Q797" s="1"/>
      <c r="R797" s="1"/>
      <c r="S797" s="1"/>
      <c r="T797" s="1"/>
      <c r="U797" s="1"/>
      <c r="V797" s="1"/>
      <c r="W797" s="1"/>
      <c r="X797" s="1"/>
      <c r="Y797" s="1"/>
      <c r="Z797" s="1"/>
    </row>
    <row r="798" spans="1:26" ht="12.75" customHeight="1" x14ac:dyDescent="0.25">
      <c r="A798" s="1"/>
      <c r="B798" s="1"/>
      <c r="C798" s="3"/>
      <c r="D798" s="3"/>
      <c r="E798" s="5"/>
      <c r="F798" s="5"/>
      <c r="G798" s="3"/>
      <c r="H798" s="5"/>
      <c r="I798" s="1"/>
      <c r="J798" s="7"/>
      <c r="K798" s="1"/>
      <c r="L798" s="1"/>
      <c r="M798" s="1"/>
      <c r="N798" s="1"/>
      <c r="O798" s="1"/>
      <c r="P798" s="1"/>
      <c r="Q798" s="1"/>
      <c r="R798" s="1"/>
      <c r="S798" s="1"/>
      <c r="T798" s="1"/>
      <c r="U798" s="1"/>
      <c r="V798" s="1"/>
      <c r="W798" s="1"/>
      <c r="X798" s="1"/>
      <c r="Y798" s="1"/>
      <c r="Z798" s="1"/>
    </row>
    <row r="799" spans="1:26" ht="12.75" customHeight="1" x14ac:dyDescent="0.25">
      <c r="A799" s="1"/>
      <c r="B799" s="1"/>
      <c r="C799" s="3"/>
      <c r="D799" s="3"/>
      <c r="E799" s="5"/>
      <c r="F799" s="5"/>
      <c r="G799" s="3"/>
      <c r="H799" s="5"/>
      <c r="I799" s="1"/>
      <c r="J799" s="7"/>
      <c r="K799" s="1"/>
      <c r="L799" s="1"/>
      <c r="M799" s="1"/>
      <c r="N799" s="1"/>
      <c r="O799" s="1"/>
      <c r="P799" s="1"/>
      <c r="Q799" s="1"/>
      <c r="R799" s="1"/>
      <c r="S799" s="1"/>
      <c r="T799" s="1"/>
      <c r="U799" s="1"/>
      <c r="V799" s="1"/>
      <c r="W799" s="1"/>
      <c r="X799" s="1"/>
      <c r="Y799" s="1"/>
      <c r="Z799" s="1"/>
    </row>
    <row r="800" spans="1:26" ht="12.75" customHeight="1" x14ac:dyDescent="0.25">
      <c r="A800" s="1"/>
      <c r="B800" s="1"/>
      <c r="C800" s="3"/>
      <c r="D800" s="3"/>
      <c r="E800" s="5"/>
      <c r="F800" s="5"/>
      <c r="G800" s="3"/>
      <c r="H800" s="5"/>
      <c r="I800" s="1"/>
      <c r="J800" s="7"/>
      <c r="K800" s="1"/>
      <c r="L800" s="1"/>
      <c r="M800" s="1"/>
      <c r="N800" s="1"/>
      <c r="O800" s="1"/>
      <c r="P800" s="1"/>
      <c r="Q800" s="1"/>
      <c r="R800" s="1"/>
      <c r="S800" s="1"/>
      <c r="T800" s="1"/>
      <c r="U800" s="1"/>
      <c r="V800" s="1"/>
      <c r="W800" s="1"/>
      <c r="X800" s="1"/>
      <c r="Y800" s="1"/>
      <c r="Z800" s="1"/>
    </row>
    <row r="801" spans="1:26" ht="12.75" customHeight="1" x14ac:dyDescent="0.25">
      <c r="A801" s="1"/>
      <c r="B801" s="1"/>
      <c r="C801" s="3"/>
      <c r="D801" s="3"/>
      <c r="E801" s="5"/>
      <c r="F801" s="5"/>
      <c r="G801" s="3"/>
      <c r="H801" s="5"/>
      <c r="I801" s="1"/>
      <c r="J801" s="7"/>
      <c r="K801" s="1"/>
      <c r="L801" s="1"/>
      <c r="M801" s="1"/>
      <c r="N801" s="1"/>
      <c r="O801" s="1"/>
      <c r="P801" s="1"/>
      <c r="Q801" s="1"/>
      <c r="R801" s="1"/>
      <c r="S801" s="1"/>
      <c r="T801" s="1"/>
      <c r="U801" s="1"/>
      <c r="V801" s="1"/>
      <c r="W801" s="1"/>
      <c r="X801" s="1"/>
      <c r="Y801" s="1"/>
      <c r="Z801" s="1"/>
    </row>
    <row r="802" spans="1:26" ht="12.75" customHeight="1" x14ac:dyDescent="0.25">
      <c r="A802" s="1"/>
      <c r="B802" s="1"/>
      <c r="C802" s="3"/>
      <c r="D802" s="3"/>
      <c r="E802" s="5"/>
      <c r="F802" s="5"/>
      <c r="G802" s="3"/>
      <c r="H802" s="5"/>
      <c r="I802" s="1"/>
      <c r="J802" s="7"/>
      <c r="K802" s="1"/>
      <c r="L802" s="1"/>
      <c r="M802" s="1"/>
      <c r="N802" s="1"/>
      <c r="O802" s="1"/>
      <c r="P802" s="1"/>
      <c r="Q802" s="1"/>
      <c r="R802" s="1"/>
      <c r="S802" s="1"/>
      <c r="T802" s="1"/>
      <c r="U802" s="1"/>
      <c r="V802" s="1"/>
      <c r="W802" s="1"/>
      <c r="X802" s="1"/>
      <c r="Y802" s="1"/>
      <c r="Z802" s="1"/>
    </row>
    <row r="803" spans="1:26" ht="12.75" customHeight="1" x14ac:dyDescent="0.25">
      <c r="A803" s="1"/>
      <c r="B803" s="1"/>
      <c r="C803" s="3"/>
      <c r="D803" s="3"/>
      <c r="E803" s="5"/>
      <c r="F803" s="5"/>
      <c r="G803" s="3"/>
      <c r="H803" s="5"/>
      <c r="I803" s="1"/>
      <c r="J803" s="7"/>
      <c r="K803" s="1"/>
      <c r="L803" s="1"/>
      <c r="M803" s="1"/>
      <c r="N803" s="1"/>
      <c r="O803" s="1"/>
      <c r="P803" s="1"/>
      <c r="Q803" s="1"/>
      <c r="R803" s="1"/>
      <c r="S803" s="1"/>
      <c r="T803" s="1"/>
      <c r="U803" s="1"/>
      <c r="V803" s="1"/>
      <c r="W803" s="1"/>
      <c r="X803" s="1"/>
      <c r="Y803" s="1"/>
      <c r="Z803" s="1"/>
    </row>
    <row r="804" spans="1:26" ht="12.75" customHeight="1" x14ac:dyDescent="0.25">
      <c r="A804" s="1"/>
      <c r="B804" s="1"/>
      <c r="C804" s="3"/>
      <c r="D804" s="3"/>
      <c r="E804" s="5"/>
      <c r="F804" s="5"/>
      <c r="G804" s="3"/>
      <c r="H804" s="5"/>
      <c r="I804" s="1"/>
      <c r="J804" s="7"/>
      <c r="K804" s="1"/>
      <c r="L804" s="1"/>
      <c r="M804" s="1"/>
      <c r="N804" s="1"/>
      <c r="O804" s="1"/>
      <c r="P804" s="1"/>
      <c r="Q804" s="1"/>
      <c r="R804" s="1"/>
      <c r="S804" s="1"/>
      <c r="T804" s="1"/>
      <c r="U804" s="1"/>
      <c r="V804" s="1"/>
      <c r="W804" s="1"/>
      <c r="X804" s="1"/>
      <c r="Y804" s="1"/>
      <c r="Z804" s="1"/>
    </row>
    <row r="805" spans="1:26" ht="12.75" customHeight="1" x14ac:dyDescent="0.25">
      <c r="A805" s="1"/>
      <c r="B805" s="1"/>
      <c r="C805" s="3"/>
      <c r="D805" s="3"/>
      <c r="E805" s="5"/>
      <c r="F805" s="5"/>
      <c r="G805" s="3"/>
      <c r="H805" s="5"/>
      <c r="I805" s="1"/>
      <c r="J805" s="7"/>
      <c r="K805" s="1"/>
      <c r="L805" s="1"/>
      <c r="M805" s="1"/>
      <c r="N805" s="1"/>
      <c r="O805" s="1"/>
      <c r="P805" s="1"/>
      <c r="Q805" s="1"/>
      <c r="R805" s="1"/>
      <c r="S805" s="1"/>
      <c r="T805" s="1"/>
      <c r="U805" s="1"/>
      <c r="V805" s="1"/>
      <c r="W805" s="1"/>
      <c r="X805" s="1"/>
      <c r="Y805" s="1"/>
      <c r="Z805" s="1"/>
    </row>
    <row r="806" spans="1:26" ht="12.75" customHeight="1" x14ac:dyDescent="0.25">
      <c r="A806" s="1"/>
      <c r="B806" s="1"/>
      <c r="C806" s="3"/>
      <c r="D806" s="3"/>
      <c r="E806" s="5"/>
      <c r="F806" s="5"/>
      <c r="G806" s="3"/>
      <c r="H806" s="5"/>
      <c r="I806" s="1"/>
      <c r="J806" s="7"/>
      <c r="K806" s="1"/>
      <c r="L806" s="1"/>
      <c r="M806" s="1"/>
      <c r="N806" s="1"/>
      <c r="O806" s="1"/>
      <c r="P806" s="1"/>
      <c r="Q806" s="1"/>
      <c r="R806" s="1"/>
      <c r="S806" s="1"/>
      <c r="T806" s="1"/>
      <c r="U806" s="1"/>
      <c r="V806" s="1"/>
      <c r="W806" s="1"/>
      <c r="X806" s="1"/>
      <c r="Y806" s="1"/>
      <c r="Z806" s="1"/>
    </row>
    <row r="807" spans="1:26" ht="12.75" customHeight="1" x14ac:dyDescent="0.25">
      <c r="A807" s="1"/>
      <c r="B807" s="1"/>
      <c r="C807" s="3"/>
      <c r="D807" s="3"/>
      <c r="E807" s="5"/>
      <c r="F807" s="5"/>
      <c r="G807" s="3"/>
      <c r="H807" s="5"/>
      <c r="I807" s="1"/>
      <c r="J807" s="7"/>
      <c r="K807" s="1"/>
      <c r="L807" s="1"/>
      <c r="M807" s="1"/>
      <c r="N807" s="1"/>
      <c r="O807" s="1"/>
      <c r="P807" s="1"/>
      <c r="Q807" s="1"/>
      <c r="R807" s="1"/>
      <c r="S807" s="1"/>
      <c r="T807" s="1"/>
      <c r="U807" s="1"/>
      <c r="V807" s="1"/>
      <c r="W807" s="1"/>
      <c r="X807" s="1"/>
      <c r="Y807" s="1"/>
      <c r="Z807" s="1"/>
    </row>
    <row r="808" spans="1:26" ht="12.75" customHeight="1" x14ac:dyDescent="0.25">
      <c r="A808" s="1"/>
      <c r="B808" s="1"/>
      <c r="C808" s="3"/>
      <c r="D808" s="3"/>
      <c r="E808" s="5"/>
      <c r="F808" s="5"/>
      <c r="G808" s="3"/>
      <c r="H808" s="5"/>
      <c r="I808" s="1"/>
      <c r="J808" s="7"/>
      <c r="K808" s="1"/>
      <c r="L808" s="1"/>
      <c r="M808" s="1"/>
      <c r="N808" s="1"/>
      <c r="O808" s="1"/>
      <c r="P808" s="1"/>
      <c r="Q808" s="1"/>
      <c r="R808" s="1"/>
      <c r="S808" s="1"/>
      <c r="T808" s="1"/>
      <c r="U808" s="1"/>
      <c r="V808" s="1"/>
      <c r="W808" s="1"/>
      <c r="X808" s="1"/>
      <c r="Y808" s="1"/>
      <c r="Z808" s="1"/>
    </row>
    <row r="809" spans="1:26" ht="12.75" customHeight="1" x14ac:dyDescent="0.25">
      <c r="A809" s="1"/>
      <c r="B809" s="1"/>
      <c r="C809" s="3"/>
      <c r="D809" s="3"/>
      <c r="E809" s="5"/>
      <c r="F809" s="5"/>
      <c r="G809" s="3"/>
      <c r="H809" s="5"/>
      <c r="I809" s="1"/>
      <c r="J809" s="7"/>
      <c r="K809" s="1"/>
      <c r="L809" s="1"/>
      <c r="M809" s="1"/>
      <c r="N809" s="1"/>
      <c r="O809" s="1"/>
      <c r="P809" s="1"/>
      <c r="Q809" s="1"/>
      <c r="R809" s="1"/>
      <c r="S809" s="1"/>
      <c r="T809" s="1"/>
      <c r="U809" s="1"/>
      <c r="V809" s="1"/>
      <c r="W809" s="1"/>
      <c r="X809" s="1"/>
      <c r="Y809" s="1"/>
      <c r="Z809" s="1"/>
    </row>
    <row r="810" spans="1:26" ht="12.75" customHeight="1" x14ac:dyDescent="0.25">
      <c r="A810" s="1"/>
      <c r="B810" s="1"/>
      <c r="C810" s="3"/>
      <c r="D810" s="3"/>
      <c r="E810" s="5"/>
      <c r="F810" s="5"/>
      <c r="G810" s="3"/>
      <c r="H810" s="5"/>
      <c r="I810" s="1"/>
      <c r="J810" s="7"/>
      <c r="K810" s="1"/>
      <c r="L810" s="1"/>
      <c r="M810" s="1"/>
      <c r="N810" s="1"/>
      <c r="O810" s="1"/>
      <c r="P810" s="1"/>
      <c r="Q810" s="1"/>
      <c r="R810" s="1"/>
      <c r="S810" s="1"/>
      <c r="T810" s="1"/>
      <c r="U810" s="1"/>
      <c r="V810" s="1"/>
      <c r="W810" s="1"/>
      <c r="X810" s="1"/>
      <c r="Y810" s="1"/>
      <c r="Z810" s="1"/>
    </row>
    <row r="811" spans="1:26" ht="12.75" customHeight="1" x14ac:dyDescent="0.25">
      <c r="A811" s="1"/>
      <c r="B811" s="1"/>
      <c r="C811" s="3"/>
      <c r="D811" s="3"/>
      <c r="E811" s="5"/>
      <c r="F811" s="5"/>
      <c r="G811" s="3"/>
      <c r="H811" s="5"/>
      <c r="I811" s="1"/>
      <c r="J811" s="7"/>
      <c r="K811" s="1"/>
      <c r="L811" s="1"/>
      <c r="M811" s="1"/>
      <c r="N811" s="1"/>
      <c r="O811" s="1"/>
      <c r="P811" s="1"/>
      <c r="Q811" s="1"/>
      <c r="R811" s="1"/>
      <c r="S811" s="1"/>
      <c r="T811" s="1"/>
      <c r="U811" s="1"/>
      <c r="V811" s="1"/>
      <c r="W811" s="1"/>
      <c r="X811" s="1"/>
      <c r="Y811" s="1"/>
      <c r="Z811" s="1"/>
    </row>
    <row r="812" spans="1:26" ht="12.75" customHeight="1" x14ac:dyDescent="0.25">
      <c r="A812" s="1"/>
      <c r="B812" s="1"/>
      <c r="C812" s="3"/>
      <c r="D812" s="3"/>
      <c r="E812" s="5"/>
      <c r="F812" s="5"/>
      <c r="G812" s="3"/>
      <c r="H812" s="5"/>
      <c r="I812" s="1"/>
      <c r="J812" s="7"/>
      <c r="K812" s="1"/>
      <c r="L812" s="1"/>
      <c r="M812" s="1"/>
      <c r="N812" s="1"/>
      <c r="O812" s="1"/>
      <c r="P812" s="1"/>
      <c r="Q812" s="1"/>
      <c r="R812" s="1"/>
      <c r="S812" s="1"/>
      <c r="T812" s="1"/>
      <c r="U812" s="1"/>
      <c r="V812" s="1"/>
      <c r="W812" s="1"/>
      <c r="X812" s="1"/>
      <c r="Y812" s="1"/>
      <c r="Z812" s="1"/>
    </row>
    <row r="813" spans="1:26" ht="12.75" customHeight="1" x14ac:dyDescent="0.25">
      <c r="A813" s="1"/>
      <c r="B813" s="1"/>
      <c r="C813" s="3"/>
      <c r="D813" s="3"/>
      <c r="E813" s="5"/>
      <c r="F813" s="5"/>
      <c r="G813" s="3"/>
      <c r="H813" s="5"/>
      <c r="I813" s="1"/>
      <c r="J813" s="7"/>
      <c r="K813" s="1"/>
      <c r="L813" s="1"/>
      <c r="M813" s="1"/>
      <c r="N813" s="1"/>
      <c r="O813" s="1"/>
      <c r="P813" s="1"/>
      <c r="Q813" s="1"/>
      <c r="R813" s="1"/>
      <c r="S813" s="1"/>
      <c r="T813" s="1"/>
      <c r="U813" s="1"/>
      <c r="V813" s="1"/>
      <c r="W813" s="1"/>
      <c r="X813" s="1"/>
      <c r="Y813" s="1"/>
      <c r="Z813" s="1"/>
    </row>
    <row r="814" spans="1:26" ht="12.75" customHeight="1" x14ac:dyDescent="0.25">
      <c r="A814" s="1"/>
      <c r="B814" s="1"/>
      <c r="C814" s="3"/>
      <c r="D814" s="3"/>
      <c r="E814" s="5"/>
      <c r="F814" s="5"/>
      <c r="G814" s="3"/>
      <c r="H814" s="5"/>
      <c r="I814" s="1"/>
      <c r="J814" s="7"/>
      <c r="K814" s="1"/>
      <c r="L814" s="1"/>
      <c r="M814" s="1"/>
      <c r="N814" s="1"/>
      <c r="O814" s="1"/>
      <c r="P814" s="1"/>
      <c r="Q814" s="1"/>
      <c r="R814" s="1"/>
      <c r="S814" s="1"/>
      <c r="T814" s="1"/>
      <c r="U814" s="1"/>
      <c r="V814" s="1"/>
      <c r="W814" s="1"/>
      <c r="X814" s="1"/>
      <c r="Y814" s="1"/>
      <c r="Z814" s="1"/>
    </row>
    <row r="815" spans="1:26" ht="12.75" customHeight="1" x14ac:dyDescent="0.25">
      <c r="A815" s="1"/>
      <c r="B815" s="1"/>
      <c r="C815" s="3"/>
      <c r="D815" s="3"/>
      <c r="E815" s="5"/>
      <c r="F815" s="5"/>
      <c r="G815" s="3"/>
      <c r="H815" s="5"/>
      <c r="I815" s="1"/>
      <c r="J815" s="7"/>
      <c r="K815" s="1"/>
      <c r="L815" s="1"/>
      <c r="M815" s="1"/>
      <c r="N815" s="1"/>
      <c r="O815" s="1"/>
      <c r="P815" s="1"/>
      <c r="Q815" s="1"/>
      <c r="R815" s="1"/>
      <c r="S815" s="1"/>
      <c r="T815" s="1"/>
      <c r="U815" s="1"/>
      <c r="V815" s="1"/>
      <c r="W815" s="1"/>
      <c r="X815" s="1"/>
      <c r="Y815" s="1"/>
      <c r="Z815" s="1"/>
    </row>
    <row r="816" spans="1:26" ht="12.75" customHeight="1" x14ac:dyDescent="0.25">
      <c r="A816" s="1"/>
      <c r="B816" s="1"/>
      <c r="C816" s="3"/>
      <c r="D816" s="3"/>
      <c r="E816" s="5"/>
      <c r="F816" s="5"/>
      <c r="G816" s="3"/>
      <c r="H816" s="5"/>
      <c r="I816" s="1"/>
      <c r="J816" s="7"/>
      <c r="K816" s="1"/>
      <c r="L816" s="1"/>
      <c r="M816" s="1"/>
      <c r="N816" s="1"/>
      <c r="O816" s="1"/>
      <c r="P816" s="1"/>
      <c r="Q816" s="1"/>
      <c r="R816" s="1"/>
      <c r="S816" s="1"/>
      <c r="T816" s="1"/>
      <c r="U816" s="1"/>
      <c r="V816" s="1"/>
      <c r="W816" s="1"/>
      <c r="X816" s="1"/>
      <c r="Y816" s="1"/>
      <c r="Z816" s="1"/>
    </row>
    <row r="817" spans="1:26" ht="12.75" customHeight="1" x14ac:dyDescent="0.25">
      <c r="A817" s="1"/>
      <c r="B817" s="1"/>
      <c r="C817" s="3"/>
      <c r="D817" s="3"/>
      <c r="E817" s="5"/>
      <c r="F817" s="5"/>
      <c r="G817" s="3"/>
      <c r="H817" s="5"/>
      <c r="I817" s="1"/>
      <c r="J817" s="7"/>
      <c r="K817" s="1"/>
      <c r="L817" s="1"/>
      <c r="M817" s="1"/>
      <c r="N817" s="1"/>
      <c r="O817" s="1"/>
      <c r="P817" s="1"/>
      <c r="Q817" s="1"/>
      <c r="R817" s="1"/>
      <c r="S817" s="1"/>
      <c r="T817" s="1"/>
      <c r="U817" s="1"/>
      <c r="V817" s="1"/>
      <c r="W817" s="1"/>
      <c r="X817" s="1"/>
      <c r="Y817" s="1"/>
      <c r="Z817" s="1"/>
    </row>
    <row r="818" spans="1:26" ht="12.75" customHeight="1" x14ac:dyDescent="0.25">
      <c r="A818" s="1"/>
      <c r="B818" s="1"/>
      <c r="C818" s="3"/>
      <c r="D818" s="3"/>
      <c r="E818" s="5"/>
      <c r="F818" s="5"/>
      <c r="G818" s="3"/>
      <c r="H818" s="5"/>
      <c r="I818" s="1"/>
      <c r="J818" s="7"/>
      <c r="K818" s="1"/>
      <c r="L818" s="1"/>
      <c r="M818" s="1"/>
      <c r="N818" s="1"/>
      <c r="O818" s="1"/>
      <c r="P818" s="1"/>
      <c r="Q818" s="1"/>
      <c r="R818" s="1"/>
      <c r="S818" s="1"/>
      <c r="T818" s="1"/>
      <c r="U818" s="1"/>
      <c r="V818" s="1"/>
      <c r="W818" s="1"/>
      <c r="X818" s="1"/>
      <c r="Y818" s="1"/>
      <c r="Z818" s="1"/>
    </row>
    <row r="819" spans="1:26" ht="12.75" customHeight="1" x14ac:dyDescent="0.25">
      <c r="A819" s="1"/>
      <c r="B819" s="1"/>
      <c r="C819" s="3"/>
      <c r="D819" s="3"/>
      <c r="E819" s="5"/>
      <c r="F819" s="5"/>
      <c r="G819" s="3"/>
      <c r="H819" s="5"/>
      <c r="I819" s="1"/>
      <c r="J819" s="7"/>
      <c r="K819" s="1"/>
      <c r="L819" s="1"/>
      <c r="M819" s="1"/>
      <c r="N819" s="1"/>
      <c r="O819" s="1"/>
      <c r="P819" s="1"/>
      <c r="Q819" s="1"/>
      <c r="R819" s="1"/>
      <c r="S819" s="1"/>
      <c r="T819" s="1"/>
      <c r="U819" s="1"/>
      <c r="V819" s="1"/>
      <c r="W819" s="1"/>
      <c r="X819" s="1"/>
      <c r="Y819" s="1"/>
      <c r="Z819" s="1"/>
    </row>
    <row r="820" spans="1:26" ht="12.75" customHeight="1" x14ac:dyDescent="0.25">
      <c r="A820" s="1"/>
      <c r="B820" s="1"/>
      <c r="C820" s="3"/>
      <c r="D820" s="3"/>
      <c r="E820" s="5"/>
      <c r="F820" s="5"/>
      <c r="G820" s="3"/>
      <c r="H820" s="5"/>
      <c r="I820" s="1"/>
      <c r="J820" s="7"/>
      <c r="K820" s="1"/>
      <c r="L820" s="1"/>
      <c r="M820" s="1"/>
      <c r="N820" s="1"/>
      <c r="O820" s="1"/>
      <c r="P820" s="1"/>
      <c r="Q820" s="1"/>
      <c r="R820" s="1"/>
      <c r="S820" s="1"/>
      <c r="T820" s="1"/>
      <c r="U820" s="1"/>
      <c r="V820" s="1"/>
      <c r="W820" s="1"/>
      <c r="X820" s="1"/>
      <c r="Y820" s="1"/>
      <c r="Z820" s="1"/>
    </row>
    <row r="821" spans="1:26" ht="12.75" customHeight="1" x14ac:dyDescent="0.25">
      <c r="A821" s="1"/>
      <c r="B821" s="1"/>
      <c r="C821" s="3"/>
      <c r="D821" s="3"/>
      <c r="E821" s="5"/>
      <c r="F821" s="5"/>
      <c r="G821" s="3"/>
      <c r="H821" s="5"/>
      <c r="I821" s="1"/>
      <c r="J821" s="7"/>
      <c r="K821" s="1"/>
      <c r="L821" s="1"/>
      <c r="M821" s="1"/>
      <c r="N821" s="1"/>
      <c r="O821" s="1"/>
      <c r="P821" s="1"/>
      <c r="Q821" s="1"/>
      <c r="R821" s="1"/>
      <c r="S821" s="1"/>
      <c r="T821" s="1"/>
      <c r="U821" s="1"/>
      <c r="V821" s="1"/>
      <c r="W821" s="1"/>
      <c r="X821" s="1"/>
      <c r="Y821" s="1"/>
      <c r="Z821" s="1"/>
    </row>
    <row r="822" spans="1:26" ht="12.75" customHeight="1" x14ac:dyDescent="0.25">
      <c r="A822" s="1"/>
      <c r="B822" s="1"/>
      <c r="C822" s="3"/>
      <c r="D822" s="3"/>
      <c r="E822" s="5"/>
      <c r="F822" s="5"/>
      <c r="G822" s="3"/>
      <c r="H822" s="5"/>
      <c r="I822" s="1"/>
      <c r="J822" s="7"/>
      <c r="K822" s="1"/>
      <c r="L822" s="1"/>
      <c r="M822" s="1"/>
      <c r="N822" s="1"/>
      <c r="O822" s="1"/>
      <c r="P822" s="1"/>
      <c r="Q822" s="1"/>
      <c r="R822" s="1"/>
      <c r="S822" s="1"/>
      <c r="T822" s="1"/>
      <c r="U822" s="1"/>
      <c r="V822" s="1"/>
      <c r="W822" s="1"/>
      <c r="X822" s="1"/>
      <c r="Y822" s="1"/>
      <c r="Z822" s="1"/>
    </row>
    <row r="823" spans="1:26" ht="12.75" customHeight="1" x14ac:dyDescent="0.25">
      <c r="A823" s="1"/>
      <c r="B823" s="1"/>
      <c r="C823" s="3"/>
      <c r="D823" s="3"/>
      <c r="E823" s="5"/>
      <c r="F823" s="5"/>
      <c r="G823" s="3"/>
      <c r="H823" s="5"/>
      <c r="I823" s="1"/>
      <c r="J823" s="7"/>
      <c r="K823" s="1"/>
      <c r="L823" s="1"/>
      <c r="M823" s="1"/>
      <c r="N823" s="1"/>
      <c r="O823" s="1"/>
      <c r="P823" s="1"/>
      <c r="Q823" s="1"/>
      <c r="R823" s="1"/>
      <c r="S823" s="1"/>
      <c r="T823" s="1"/>
      <c r="U823" s="1"/>
      <c r="V823" s="1"/>
      <c r="W823" s="1"/>
      <c r="X823" s="1"/>
      <c r="Y823" s="1"/>
      <c r="Z823" s="1"/>
    </row>
    <row r="824" spans="1:26" ht="12.75" customHeight="1" x14ac:dyDescent="0.25">
      <c r="A824" s="1"/>
      <c r="B824" s="1"/>
      <c r="C824" s="3"/>
      <c r="D824" s="3"/>
      <c r="E824" s="5"/>
      <c r="F824" s="5"/>
      <c r="G824" s="3"/>
      <c r="H824" s="5"/>
      <c r="I824" s="1"/>
      <c r="J824" s="7"/>
      <c r="K824" s="1"/>
      <c r="L824" s="1"/>
      <c r="M824" s="1"/>
      <c r="N824" s="1"/>
      <c r="O824" s="1"/>
      <c r="P824" s="1"/>
      <c r="Q824" s="1"/>
      <c r="R824" s="1"/>
      <c r="S824" s="1"/>
      <c r="T824" s="1"/>
      <c r="U824" s="1"/>
      <c r="V824" s="1"/>
      <c r="W824" s="1"/>
      <c r="X824" s="1"/>
      <c r="Y824" s="1"/>
      <c r="Z824" s="1"/>
    </row>
    <row r="825" spans="1:26" ht="12.75" customHeight="1" x14ac:dyDescent="0.25">
      <c r="A825" s="1"/>
      <c r="B825" s="1"/>
      <c r="C825" s="3"/>
      <c r="D825" s="3"/>
      <c r="E825" s="5"/>
      <c r="F825" s="5"/>
      <c r="G825" s="3"/>
      <c r="H825" s="5"/>
      <c r="I825" s="1"/>
      <c r="J825" s="7"/>
      <c r="K825" s="1"/>
      <c r="L825" s="1"/>
      <c r="M825" s="1"/>
      <c r="N825" s="1"/>
      <c r="O825" s="1"/>
      <c r="P825" s="1"/>
      <c r="Q825" s="1"/>
      <c r="R825" s="1"/>
      <c r="S825" s="1"/>
      <c r="T825" s="1"/>
      <c r="U825" s="1"/>
      <c r="V825" s="1"/>
      <c r="W825" s="1"/>
      <c r="X825" s="1"/>
      <c r="Y825" s="1"/>
      <c r="Z825" s="1"/>
    </row>
    <row r="826" spans="1:26" ht="12.75" customHeight="1" x14ac:dyDescent="0.25">
      <c r="A826" s="1"/>
      <c r="B826" s="1"/>
      <c r="C826" s="3"/>
      <c r="D826" s="3"/>
      <c r="E826" s="5"/>
      <c r="F826" s="5"/>
      <c r="G826" s="3"/>
      <c r="H826" s="5"/>
      <c r="I826" s="1"/>
      <c r="J826" s="7"/>
      <c r="K826" s="1"/>
      <c r="L826" s="1"/>
      <c r="M826" s="1"/>
      <c r="N826" s="1"/>
      <c r="O826" s="1"/>
      <c r="P826" s="1"/>
      <c r="Q826" s="1"/>
      <c r="R826" s="1"/>
      <c r="S826" s="1"/>
      <c r="T826" s="1"/>
      <c r="U826" s="1"/>
      <c r="V826" s="1"/>
      <c r="W826" s="1"/>
      <c r="X826" s="1"/>
      <c r="Y826" s="1"/>
      <c r="Z826" s="1"/>
    </row>
    <row r="827" spans="1:26" ht="12.75" customHeight="1" x14ac:dyDescent="0.25">
      <c r="A827" s="1"/>
      <c r="B827" s="1"/>
      <c r="C827" s="3"/>
      <c r="D827" s="3"/>
      <c r="E827" s="5"/>
      <c r="F827" s="5"/>
      <c r="G827" s="3"/>
      <c r="H827" s="5"/>
      <c r="I827" s="1"/>
      <c r="J827" s="7"/>
      <c r="K827" s="1"/>
      <c r="L827" s="1"/>
      <c r="M827" s="1"/>
      <c r="N827" s="1"/>
      <c r="O827" s="1"/>
      <c r="P827" s="1"/>
      <c r="Q827" s="1"/>
      <c r="R827" s="1"/>
      <c r="S827" s="1"/>
      <c r="T827" s="1"/>
      <c r="U827" s="1"/>
      <c r="V827" s="1"/>
      <c r="W827" s="1"/>
      <c r="X827" s="1"/>
      <c r="Y827" s="1"/>
      <c r="Z827" s="1"/>
    </row>
    <row r="828" spans="1:26" ht="12.75" customHeight="1" x14ac:dyDescent="0.25">
      <c r="A828" s="1"/>
      <c r="B828" s="1"/>
      <c r="C828" s="3"/>
      <c r="D828" s="3"/>
      <c r="E828" s="5"/>
      <c r="F828" s="5"/>
      <c r="G828" s="3"/>
      <c r="H828" s="5"/>
      <c r="I828" s="1"/>
      <c r="J828" s="7"/>
      <c r="K828" s="1"/>
      <c r="L828" s="1"/>
      <c r="M828" s="1"/>
      <c r="N828" s="1"/>
      <c r="O828" s="1"/>
      <c r="P828" s="1"/>
      <c r="Q828" s="1"/>
      <c r="R828" s="1"/>
      <c r="S828" s="1"/>
      <c r="T828" s="1"/>
      <c r="U828" s="1"/>
      <c r="V828" s="1"/>
      <c r="W828" s="1"/>
      <c r="X828" s="1"/>
      <c r="Y828" s="1"/>
      <c r="Z828" s="1"/>
    </row>
    <row r="829" spans="1:26" ht="12.75" customHeight="1" x14ac:dyDescent="0.25">
      <c r="A829" s="1"/>
      <c r="B829" s="1"/>
      <c r="C829" s="3"/>
      <c r="D829" s="3"/>
      <c r="E829" s="5"/>
      <c r="F829" s="5"/>
      <c r="G829" s="3"/>
      <c r="H829" s="5"/>
      <c r="I829" s="1"/>
      <c r="J829" s="7"/>
      <c r="K829" s="1"/>
      <c r="L829" s="1"/>
      <c r="M829" s="1"/>
      <c r="N829" s="1"/>
      <c r="O829" s="1"/>
      <c r="P829" s="1"/>
      <c r="Q829" s="1"/>
      <c r="R829" s="1"/>
      <c r="S829" s="1"/>
      <c r="T829" s="1"/>
      <c r="U829" s="1"/>
      <c r="V829" s="1"/>
      <c r="W829" s="1"/>
      <c r="X829" s="1"/>
      <c r="Y829" s="1"/>
      <c r="Z829" s="1"/>
    </row>
    <row r="830" spans="1:26" ht="12.75" customHeight="1" x14ac:dyDescent="0.25">
      <c r="A830" s="1"/>
      <c r="B830" s="1"/>
      <c r="C830" s="3"/>
      <c r="D830" s="3"/>
      <c r="E830" s="5"/>
      <c r="F830" s="5"/>
      <c r="G830" s="3"/>
      <c r="H830" s="5"/>
      <c r="I830" s="1"/>
      <c r="J830" s="7"/>
      <c r="K830" s="1"/>
      <c r="L830" s="1"/>
      <c r="M830" s="1"/>
      <c r="N830" s="1"/>
      <c r="O830" s="1"/>
      <c r="P830" s="1"/>
      <c r="Q830" s="1"/>
      <c r="R830" s="1"/>
      <c r="S830" s="1"/>
      <c r="T830" s="1"/>
      <c r="U830" s="1"/>
      <c r="V830" s="1"/>
      <c r="W830" s="1"/>
      <c r="X830" s="1"/>
      <c r="Y830" s="1"/>
      <c r="Z830" s="1"/>
    </row>
    <row r="831" spans="1:26" ht="12.75" customHeight="1" x14ac:dyDescent="0.25">
      <c r="A831" s="1"/>
      <c r="B831" s="1"/>
      <c r="C831" s="3"/>
      <c r="D831" s="3"/>
      <c r="E831" s="5"/>
      <c r="F831" s="5"/>
      <c r="G831" s="3"/>
      <c r="H831" s="5"/>
      <c r="I831" s="1"/>
      <c r="J831" s="7"/>
      <c r="K831" s="1"/>
      <c r="L831" s="1"/>
      <c r="M831" s="1"/>
      <c r="N831" s="1"/>
      <c r="O831" s="1"/>
      <c r="P831" s="1"/>
      <c r="Q831" s="1"/>
      <c r="R831" s="1"/>
      <c r="S831" s="1"/>
      <c r="T831" s="1"/>
      <c r="U831" s="1"/>
      <c r="V831" s="1"/>
      <c r="W831" s="1"/>
      <c r="X831" s="1"/>
      <c r="Y831" s="1"/>
      <c r="Z831" s="1"/>
    </row>
    <row r="832" spans="1:26" ht="12.75" customHeight="1" x14ac:dyDescent="0.25">
      <c r="A832" s="1"/>
      <c r="B832" s="1"/>
      <c r="C832" s="3"/>
      <c r="D832" s="3"/>
      <c r="E832" s="5"/>
      <c r="F832" s="5"/>
      <c r="G832" s="3"/>
      <c r="H832" s="5"/>
      <c r="I832" s="1"/>
      <c r="J832" s="7"/>
      <c r="K832" s="1"/>
      <c r="L832" s="1"/>
      <c r="M832" s="1"/>
      <c r="N832" s="1"/>
      <c r="O832" s="1"/>
      <c r="P832" s="1"/>
      <c r="Q832" s="1"/>
      <c r="R832" s="1"/>
      <c r="S832" s="1"/>
      <c r="T832" s="1"/>
      <c r="U832" s="1"/>
      <c r="V832" s="1"/>
      <c r="W832" s="1"/>
      <c r="X832" s="1"/>
      <c r="Y832" s="1"/>
      <c r="Z832" s="1"/>
    </row>
    <row r="833" spans="1:26" ht="12.75" customHeight="1" x14ac:dyDescent="0.25">
      <c r="A833" s="1"/>
      <c r="B833" s="1"/>
      <c r="C833" s="3"/>
      <c r="D833" s="3"/>
      <c r="E833" s="5"/>
      <c r="F833" s="5"/>
      <c r="G833" s="3"/>
      <c r="H833" s="5"/>
      <c r="I833" s="1"/>
      <c r="J833" s="7"/>
      <c r="K833" s="1"/>
      <c r="L833" s="1"/>
      <c r="M833" s="1"/>
      <c r="N833" s="1"/>
      <c r="O833" s="1"/>
      <c r="P833" s="1"/>
      <c r="Q833" s="1"/>
      <c r="R833" s="1"/>
      <c r="S833" s="1"/>
      <c r="T833" s="1"/>
      <c r="U833" s="1"/>
      <c r="V833" s="1"/>
      <c r="W833" s="1"/>
      <c r="X833" s="1"/>
      <c r="Y833" s="1"/>
      <c r="Z833" s="1"/>
    </row>
    <row r="834" spans="1:26" ht="12.75" customHeight="1" x14ac:dyDescent="0.25">
      <c r="A834" s="1"/>
      <c r="B834" s="1"/>
      <c r="C834" s="3"/>
      <c r="D834" s="3"/>
      <c r="E834" s="5"/>
      <c r="F834" s="5"/>
      <c r="G834" s="3"/>
      <c r="H834" s="5"/>
      <c r="I834" s="1"/>
      <c r="J834" s="7"/>
      <c r="K834" s="1"/>
      <c r="L834" s="1"/>
      <c r="M834" s="1"/>
      <c r="N834" s="1"/>
      <c r="O834" s="1"/>
      <c r="P834" s="1"/>
      <c r="Q834" s="1"/>
      <c r="R834" s="1"/>
      <c r="S834" s="1"/>
      <c r="T834" s="1"/>
      <c r="U834" s="1"/>
      <c r="V834" s="1"/>
      <c r="W834" s="1"/>
      <c r="X834" s="1"/>
      <c r="Y834" s="1"/>
      <c r="Z834" s="1"/>
    </row>
    <row r="835" spans="1:26" ht="12.75" customHeight="1" x14ac:dyDescent="0.25">
      <c r="A835" s="1"/>
      <c r="B835" s="1"/>
      <c r="C835" s="3"/>
      <c r="D835" s="3"/>
      <c r="E835" s="5"/>
      <c r="F835" s="5"/>
      <c r="G835" s="3"/>
      <c r="H835" s="5"/>
      <c r="I835" s="1"/>
      <c r="J835" s="7"/>
      <c r="K835" s="1"/>
      <c r="L835" s="1"/>
      <c r="M835" s="1"/>
      <c r="N835" s="1"/>
      <c r="O835" s="1"/>
      <c r="P835" s="1"/>
      <c r="Q835" s="1"/>
      <c r="R835" s="1"/>
      <c r="S835" s="1"/>
      <c r="T835" s="1"/>
      <c r="U835" s="1"/>
      <c r="V835" s="1"/>
      <c r="W835" s="1"/>
      <c r="X835" s="1"/>
      <c r="Y835" s="1"/>
      <c r="Z835" s="1"/>
    </row>
    <row r="836" spans="1:26" ht="12.75" customHeight="1" x14ac:dyDescent="0.25">
      <c r="A836" s="1"/>
      <c r="B836" s="1"/>
      <c r="C836" s="3"/>
      <c r="D836" s="3"/>
      <c r="E836" s="5"/>
      <c r="F836" s="5"/>
      <c r="G836" s="3"/>
      <c r="H836" s="5"/>
      <c r="I836" s="1"/>
      <c r="J836" s="7"/>
      <c r="K836" s="1"/>
      <c r="L836" s="1"/>
      <c r="M836" s="1"/>
      <c r="N836" s="1"/>
      <c r="O836" s="1"/>
      <c r="P836" s="1"/>
      <c r="Q836" s="1"/>
      <c r="R836" s="1"/>
      <c r="S836" s="1"/>
      <c r="T836" s="1"/>
      <c r="U836" s="1"/>
      <c r="V836" s="1"/>
      <c r="W836" s="1"/>
      <c r="X836" s="1"/>
      <c r="Y836" s="1"/>
      <c r="Z836" s="1"/>
    </row>
    <row r="837" spans="1:26" ht="12.75" customHeight="1" x14ac:dyDescent="0.25">
      <c r="A837" s="1"/>
      <c r="B837" s="1"/>
      <c r="C837" s="3"/>
      <c r="D837" s="3"/>
      <c r="E837" s="5"/>
      <c r="F837" s="5"/>
      <c r="G837" s="3"/>
      <c r="H837" s="5"/>
      <c r="I837" s="1"/>
      <c r="J837" s="7"/>
      <c r="K837" s="1"/>
      <c r="L837" s="1"/>
      <c r="M837" s="1"/>
      <c r="N837" s="1"/>
      <c r="O837" s="1"/>
      <c r="P837" s="1"/>
      <c r="Q837" s="1"/>
      <c r="R837" s="1"/>
      <c r="S837" s="1"/>
      <c r="T837" s="1"/>
      <c r="U837" s="1"/>
      <c r="V837" s="1"/>
      <c r="W837" s="1"/>
      <c r="X837" s="1"/>
      <c r="Y837" s="1"/>
      <c r="Z837" s="1"/>
    </row>
    <row r="838" spans="1:26" ht="12.75" customHeight="1" x14ac:dyDescent="0.25">
      <c r="A838" s="1"/>
      <c r="B838" s="1"/>
      <c r="C838" s="3"/>
      <c r="D838" s="3"/>
      <c r="E838" s="5"/>
      <c r="F838" s="5"/>
      <c r="G838" s="3"/>
      <c r="H838" s="5"/>
      <c r="I838" s="1"/>
      <c r="J838" s="7"/>
      <c r="K838" s="1"/>
      <c r="L838" s="1"/>
      <c r="M838" s="1"/>
      <c r="N838" s="1"/>
      <c r="O838" s="1"/>
      <c r="P838" s="1"/>
      <c r="Q838" s="1"/>
      <c r="R838" s="1"/>
      <c r="S838" s="1"/>
      <c r="T838" s="1"/>
      <c r="U838" s="1"/>
      <c r="V838" s="1"/>
      <c r="W838" s="1"/>
      <c r="X838" s="1"/>
      <c r="Y838" s="1"/>
      <c r="Z838" s="1"/>
    </row>
    <row r="839" spans="1:26" ht="12.75" customHeight="1" x14ac:dyDescent="0.25">
      <c r="A839" s="1"/>
      <c r="B839" s="1"/>
      <c r="C839" s="3"/>
      <c r="D839" s="3"/>
      <c r="E839" s="5"/>
      <c r="F839" s="5"/>
      <c r="G839" s="3"/>
      <c r="H839" s="5"/>
      <c r="I839" s="1"/>
      <c r="J839" s="7"/>
      <c r="K839" s="1"/>
      <c r="L839" s="1"/>
      <c r="M839" s="1"/>
      <c r="N839" s="1"/>
      <c r="O839" s="1"/>
      <c r="P839" s="1"/>
      <c r="Q839" s="1"/>
      <c r="R839" s="1"/>
      <c r="S839" s="1"/>
      <c r="T839" s="1"/>
      <c r="U839" s="1"/>
      <c r="V839" s="1"/>
      <c r="W839" s="1"/>
      <c r="X839" s="1"/>
      <c r="Y839" s="1"/>
      <c r="Z839" s="1"/>
    </row>
    <row r="840" spans="1:26" ht="12.75" customHeight="1" x14ac:dyDescent="0.25">
      <c r="A840" s="1"/>
      <c r="B840" s="1"/>
      <c r="C840" s="3"/>
      <c r="D840" s="3"/>
      <c r="E840" s="5"/>
      <c r="F840" s="5"/>
      <c r="G840" s="3"/>
      <c r="H840" s="5"/>
      <c r="I840" s="1"/>
      <c r="J840" s="7"/>
      <c r="K840" s="1"/>
      <c r="L840" s="1"/>
      <c r="M840" s="1"/>
      <c r="N840" s="1"/>
      <c r="O840" s="1"/>
      <c r="P840" s="1"/>
      <c r="Q840" s="1"/>
      <c r="R840" s="1"/>
      <c r="S840" s="1"/>
      <c r="T840" s="1"/>
      <c r="U840" s="1"/>
      <c r="V840" s="1"/>
      <c r="W840" s="1"/>
      <c r="X840" s="1"/>
      <c r="Y840" s="1"/>
      <c r="Z840" s="1"/>
    </row>
    <row r="841" spans="1:26" ht="12.75" customHeight="1" x14ac:dyDescent="0.25">
      <c r="A841" s="1"/>
      <c r="B841" s="1"/>
      <c r="C841" s="3"/>
      <c r="D841" s="3"/>
      <c r="E841" s="5"/>
      <c r="F841" s="5"/>
      <c r="G841" s="3"/>
      <c r="H841" s="5"/>
      <c r="I841" s="1"/>
      <c r="J841" s="7"/>
      <c r="K841" s="1"/>
      <c r="L841" s="1"/>
      <c r="M841" s="1"/>
      <c r="N841" s="1"/>
      <c r="O841" s="1"/>
      <c r="P841" s="1"/>
      <c r="Q841" s="1"/>
      <c r="R841" s="1"/>
      <c r="S841" s="1"/>
      <c r="T841" s="1"/>
      <c r="U841" s="1"/>
      <c r="V841" s="1"/>
      <c r="W841" s="1"/>
      <c r="X841" s="1"/>
      <c r="Y841" s="1"/>
      <c r="Z841" s="1"/>
    </row>
    <row r="842" spans="1:26" ht="12.75" customHeight="1" x14ac:dyDescent="0.25">
      <c r="A842" s="1"/>
      <c r="B842" s="1"/>
      <c r="C842" s="3"/>
      <c r="D842" s="3"/>
      <c r="E842" s="5"/>
      <c r="F842" s="5"/>
      <c r="G842" s="3"/>
      <c r="H842" s="5"/>
      <c r="I842" s="1"/>
      <c r="J842" s="7"/>
      <c r="K842" s="1"/>
      <c r="L842" s="1"/>
      <c r="M842" s="1"/>
      <c r="N842" s="1"/>
      <c r="O842" s="1"/>
      <c r="P842" s="1"/>
      <c r="Q842" s="1"/>
      <c r="R842" s="1"/>
      <c r="S842" s="1"/>
      <c r="T842" s="1"/>
      <c r="U842" s="1"/>
      <c r="V842" s="1"/>
      <c r="W842" s="1"/>
      <c r="X842" s="1"/>
      <c r="Y842" s="1"/>
      <c r="Z842" s="1"/>
    </row>
    <row r="843" spans="1:26" ht="12.75" customHeight="1" x14ac:dyDescent="0.25">
      <c r="A843" s="1"/>
      <c r="B843" s="1"/>
      <c r="C843" s="3"/>
      <c r="D843" s="3"/>
      <c r="E843" s="5"/>
      <c r="F843" s="5"/>
      <c r="G843" s="3"/>
      <c r="H843" s="5"/>
      <c r="I843" s="1"/>
      <c r="J843" s="7"/>
      <c r="K843" s="1"/>
      <c r="L843" s="1"/>
      <c r="M843" s="1"/>
      <c r="N843" s="1"/>
      <c r="O843" s="1"/>
      <c r="P843" s="1"/>
      <c r="Q843" s="1"/>
      <c r="R843" s="1"/>
      <c r="S843" s="1"/>
      <c r="T843" s="1"/>
      <c r="U843" s="1"/>
      <c r="V843" s="1"/>
      <c r="W843" s="1"/>
      <c r="X843" s="1"/>
      <c r="Y843" s="1"/>
      <c r="Z843" s="1"/>
    </row>
    <row r="844" spans="1:26" ht="12.75" customHeight="1" x14ac:dyDescent="0.25">
      <c r="A844" s="1"/>
      <c r="B844" s="1"/>
      <c r="C844" s="3"/>
      <c r="D844" s="3"/>
      <c r="E844" s="5"/>
      <c r="F844" s="5"/>
      <c r="G844" s="3"/>
      <c r="H844" s="5"/>
      <c r="I844" s="1"/>
      <c r="J844" s="7"/>
      <c r="K844" s="1"/>
      <c r="L844" s="1"/>
      <c r="M844" s="1"/>
      <c r="N844" s="1"/>
      <c r="O844" s="1"/>
      <c r="P844" s="1"/>
      <c r="Q844" s="1"/>
      <c r="R844" s="1"/>
      <c r="S844" s="1"/>
      <c r="T844" s="1"/>
      <c r="U844" s="1"/>
      <c r="V844" s="1"/>
      <c r="W844" s="1"/>
      <c r="X844" s="1"/>
      <c r="Y844" s="1"/>
      <c r="Z844" s="1"/>
    </row>
    <row r="845" spans="1:26" ht="12.75" customHeight="1" x14ac:dyDescent="0.25">
      <c r="A845" s="1"/>
      <c r="B845" s="1"/>
      <c r="C845" s="3"/>
      <c r="D845" s="3"/>
      <c r="E845" s="5"/>
      <c r="F845" s="5"/>
      <c r="G845" s="3"/>
      <c r="H845" s="5"/>
      <c r="I845" s="1"/>
      <c r="J845" s="7"/>
      <c r="K845" s="1"/>
      <c r="L845" s="1"/>
      <c r="M845" s="1"/>
      <c r="N845" s="1"/>
      <c r="O845" s="1"/>
      <c r="P845" s="1"/>
      <c r="Q845" s="1"/>
      <c r="R845" s="1"/>
      <c r="S845" s="1"/>
      <c r="T845" s="1"/>
      <c r="U845" s="1"/>
      <c r="V845" s="1"/>
      <c r="W845" s="1"/>
      <c r="X845" s="1"/>
      <c r="Y845" s="1"/>
      <c r="Z845" s="1"/>
    </row>
    <row r="846" spans="1:26" ht="12.75" customHeight="1" x14ac:dyDescent="0.25">
      <c r="A846" s="1"/>
      <c r="B846" s="1"/>
      <c r="C846" s="3"/>
      <c r="D846" s="3"/>
      <c r="E846" s="5"/>
      <c r="F846" s="5"/>
      <c r="G846" s="3"/>
      <c r="H846" s="5"/>
      <c r="I846" s="1"/>
      <c r="J846" s="7"/>
      <c r="K846" s="1"/>
      <c r="L846" s="1"/>
      <c r="M846" s="1"/>
      <c r="N846" s="1"/>
      <c r="O846" s="1"/>
      <c r="P846" s="1"/>
      <c r="Q846" s="1"/>
      <c r="R846" s="1"/>
      <c r="S846" s="1"/>
      <c r="T846" s="1"/>
      <c r="U846" s="1"/>
      <c r="V846" s="1"/>
      <c r="W846" s="1"/>
      <c r="X846" s="1"/>
      <c r="Y846" s="1"/>
      <c r="Z846" s="1"/>
    </row>
    <row r="847" spans="1:26" ht="12.75" customHeight="1" x14ac:dyDescent="0.25">
      <c r="A847" s="1"/>
      <c r="B847" s="1"/>
      <c r="C847" s="3"/>
      <c r="D847" s="3"/>
      <c r="E847" s="5"/>
      <c r="F847" s="5"/>
      <c r="G847" s="3"/>
      <c r="H847" s="5"/>
      <c r="I847" s="1"/>
      <c r="J847" s="7"/>
      <c r="K847" s="1"/>
      <c r="L847" s="1"/>
      <c r="M847" s="1"/>
      <c r="N847" s="1"/>
      <c r="O847" s="1"/>
      <c r="P847" s="1"/>
      <c r="Q847" s="1"/>
      <c r="R847" s="1"/>
      <c r="S847" s="1"/>
      <c r="T847" s="1"/>
      <c r="U847" s="1"/>
      <c r="V847" s="1"/>
      <c r="W847" s="1"/>
      <c r="X847" s="1"/>
      <c r="Y847" s="1"/>
      <c r="Z847" s="1"/>
    </row>
    <row r="848" spans="1:26" ht="12.75" customHeight="1" x14ac:dyDescent="0.25">
      <c r="A848" s="1"/>
      <c r="B848" s="1"/>
      <c r="C848" s="3"/>
      <c r="D848" s="3"/>
      <c r="E848" s="5"/>
      <c r="F848" s="5"/>
      <c r="G848" s="3"/>
      <c r="H848" s="5"/>
      <c r="I848" s="1"/>
      <c r="J848" s="7"/>
      <c r="K848" s="1"/>
      <c r="L848" s="1"/>
      <c r="M848" s="1"/>
      <c r="N848" s="1"/>
      <c r="O848" s="1"/>
      <c r="P848" s="1"/>
      <c r="Q848" s="1"/>
      <c r="R848" s="1"/>
      <c r="S848" s="1"/>
      <c r="T848" s="1"/>
      <c r="U848" s="1"/>
      <c r="V848" s="1"/>
      <c r="W848" s="1"/>
      <c r="X848" s="1"/>
      <c r="Y848" s="1"/>
      <c r="Z848" s="1"/>
    </row>
    <row r="849" spans="1:26" ht="12.75" customHeight="1" x14ac:dyDescent="0.25">
      <c r="A849" s="1"/>
      <c r="B849" s="1"/>
      <c r="C849" s="3"/>
      <c r="D849" s="3"/>
      <c r="E849" s="5"/>
      <c r="F849" s="5"/>
      <c r="G849" s="3"/>
      <c r="H849" s="5"/>
      <c r="I849" s="1"/>
      <c r="J849" s="7"/>
      <c r="K849" s="1"/>
      <c r="L849" s="1"/>
      <c r="M849" s="1"/>
      <c r="N849" s="1"/>
      <c r="O849" s="1"/>
      <c r="P849" s="1"/>
      <c r="Q849" s="1"/>
      <c r="R849" s="1"/>
      <c r="S849" s="1"/>
      <c r="T849" s="1"/>
      <c r="U849" s="1"/>
      <c r="V849" s="1"/>
      <c r="W849" s="1"/>
      <c r="X849" s="1"/>
      <c r="Y849" s="1"/>
      <c r="Z849" s="1"/>
    </row>
    <row r="850" spans="1:26" ht="12.75" customHeight="1" x14ac:dyDescent="0.25">
      <c r="A850" s="1"/>
      <c r="B850" s="1"/>
      <c r="C850" s="3"/>
      <c r="D850" s="3"/>
      <c r="E850" s="5"/>
      <c r="F850" s="5"/>
      <c r="G850" s="3"/>
      <c r="H850" s="5"/>
      <c r="I850" s="1"/>
      <c r="J850" s="7"/>
      <c r="K850" s="1"/>
      <c r="L850" s="1"/>
      <c r="M850" s="1"/>
      <c r="N850" s="1"/>
      <c r="O850" s="1"/>
      <c r="P850" s="1"/>
      <c r="Q850" s="1"/>
      <c r="R850" s="1"/>
      <c r="S850" s="1"/>
      <c r="T850" s="1"/>
      <c r="U850" s="1"/>
      <c r="V850" s="1"/>
      <c r="W850" s="1"/>
      <c r="X850" s="1"/>
      <c r="Y850" s="1"/>
      <c r="Z850" s="1"/>
    </row>
    <row r="851" spans="1:26" ht="12.75" customHeight="1" x14ac:dyDescent="0.25">
      <c r="A851" s="1"/>
      <c r="B851" s="1"/>
      <c r="C851" s="3"/>
      <c r="D851" s="3"/>
      <c r="E851" s="5"/>
      <c r="F851" s="5"/>
      <c r="G851" s="3"/>
      <c r="H851" s="5"/>
      <c r="I851" s="1"/>
      <c r="J851" s="7"/>
      <c r="K851" s="1"/>
      <c r="L851" s="1"/>
      <c r="M851" s="1"/>
      <c r="N851" s="1"/>
      <c r="O851" s="1"/>
      <c r="P851" s="1"/>
      <c r="Q851" s="1"/>
      <c r="R851" s="1"/>
      <c r="S851" s="1"/>
      <c r="T851" s="1"/>
      <c r="U851" s="1"/>
      <c r="V851" s="1"/>
      <c r="W851" s="1"/>
      <c r="X851" s="1"/>
      <c r="Y851" s="1"/>
      <c r="Z851" s="1"/>
    </row>
    <row r="852" spans="1:26" ht="12.75" customHeight="1" x14ac:dyDescent="0.25">
      <c r="A852" s="1"/>
      <c r="B852" s="1"/>
      <c r="C852" s="3"/>
      <c r="D852" s="3"/>
      <c r="E852" s="5"/>
      <c r="F852" s="5"/>
      <c r="G852" s="3"/>
      <c r="H852" s="5"/>
      <c r="I852" s="1"/>
      <c r="J852" s="7"/>
      <c r="K852" s="1"/>
      <c r="L852" s="1"/>
      <c r="M852" s="1"/>
      <c r="N852" s="1"/>
      <c r="O852" s="1"/>
      <c r="P852" s="1"/>
      <c r="Q852" s="1"/>
      <c r="R852" s="1"/>
      <c r="S852" s="1"/>
      <c r="T852" s="1"/>
      <c r="U852" s="1"/>
      <c r="V852" s="1"/>
      <c r="W852" s="1"/>
      <c r="X852" s="1"/>
      <c r="Y852" s="1"/>
      <c r="Z852" s="1"/>
    </row>
    <row r="853" spans="1:26" ht="12.75" customHeight="1" x14ac:dyDescent="0.25">
      <c r="A853" s="1"/>
      <c r="B853" s="1"/>
      <c r="C853" s="3"/>
      <c r="D853" s="3"/>
      <c r="E853" s="5"/>
      <c r="F853" s="5"/>
      <c r="G853" s="3"/>
      <c r="H853" s="5"/>
      <c r="I853" s="1"/>
      <c r="J853" s="7"/>
      <c r="K853" s="1"/>
      <c r="L853" s="1"/>
      <c r="M853" s="1"/>
      <c r="N853" s="1"/>
      <c r="O853" s="1"/>
      <c r="P853" s="1"/>
      <c r="Q853" s="1"/>
      <c r="R853" s="1"/>
      <c r="S853" s="1"/>
      <c r="T853" s="1"/>
      <c r="U853" s="1"/>
      <c r="V853" s="1"/>
      <c r="W853" s="1"/>
      <c r="X853" s="1"/>
      <c r="Y853" s="1"/>
      <c r="Z853" s="1"/>
    </row>
    <row r="854" spans="1:26" ht="12.75" customHeight="1" x14ac:dyDescent="0.25">
      <c r="A854" s="1"/>
      <c r="B854" s="1"/>
      <c r="C854" s="3"/>
      <c r="D854" s="3"/>
      <c r="E854" s="5"/>
      <c r="F854" s="5"/>
      <c r="G854" s="3"/>
      <c r="H854" s="5"/>
      <c r="I854" s="1"/>
      <c r="J854" s="7"/>
      <c r="K854" s="1"/>
      <c r="L854" s="1"/>
      <c r="M854" s="1"/>
      <c r="N854" s="1"/>
      <c r="O854" s="1"/>
      <c r="P854" s="1"/>
      <c r="Q854" s="1"/>
      <c r="R854" s="1"/>
      <c r="S854" s="1"/>
      <c r="T854" s="1"/>
      <c r="U854" s="1"/>
      <c r="V854" s="1"/>
      <c r="W854" s="1"/>
      <c r="X854" s="1"/>
      <c r="Y854" s="1"/>
      <c r="Z854" s="1"/>
    </row>
    <row r="855" spans="1:26" ht="12.75" customHeight="1" x14ac:dyDescent="0.25">
      <c r="A855" s="1"/>
      <c r="B855" s="1"/>
      <c r="C855" s="3"/>
      <c r="D855" s="3"/>
      <c r="E855" s="5"/>
      <c r="F855" s="5"/>
      <c r="G855" s="3"/>
      <c r="H855" s="5"/>
      <c r="I855" s="1"/>
      <c r="J855" s="7"/>
      <c r="K855" s="1"/>
      <c r="L855" s="1"/>
      <c r="M855" s="1"/>
      <c r="N855" s="1"/>
      <c r="O855" s="1"/>
      <c r="P855" s="1"/>
      <c r="Q855" s="1"/>
      <c r="R855" s="1"/>
      <c r="S855" s="1"/>
      <c r="T855" s="1"/>
      <c r="U855" s="1"/>
      <c r="V855" s="1"/>
      <c r="W855" s="1"/>
      <c r="X855" s="1"/>
      <c r="Y855" s="1"/>
      <c r="Z855" s="1"/>
    </row>
    <row r="856" spans="1:26" ht="12.75" customHeight="1" x14ac:dyDescent="0.25">
      <c r="A856" s="1"/>
      <c r="B856" s="1"/>
      <c r="C856" s="3"/>
      <c r="D856" s="3"/>
      <c r="E856" s="5"/>
      <c r="F856" s="5"/>
      <c r="G856" s="3"/>
      <c r="H856" s="5"/>
      <c r="I856" s="1"/>
      <c r="J856" s="7"/>
      <c r="K856" s="1"/>
      <c r="L856" s="1"/>
      <c r="M856" s="1"/>
      <c r="N856" s="1"/>
      <c r="O856" s="1"/>
      <c r="P856" s="1"/>
      <c r="Q856" s="1"/>
      <c r="R856" s="1"/>
      <c r="S856" s="1"/>
      <c r="T856" s="1"/>
      <c r="U856" s="1"/>
      <c r="V856" s="1"/>
      <c r="W856" s="1"/>
      <c r="X856" s="1"/>
      <c r="Y856" s="1"/>
      <c r="Z856" s="1"/>
    </row>
    <row r="857" spans="1:26" ht="12.75" customHeight="1" x14ac:dyDescent="0.25">
      <c r="A857" s="1"/>
      <c r="B857" s="1"/>
      <c r="C857" s="3"/>
      <c r="D857" s="3"/>
      <c r="E857" s="5"/>
      <c r="F857" s="5"/>
      <c r="G857" s="3"/>
      <c r="H857" s="5"/>
      <c r="I857" s="1"/>
      <c r="J857" s="7"/>
      <c r="K857" s="1"/>
      <c r="L857" s="1"/>
      <c r="M857" s="1"/>
      <c r="N857" s="1"/>
      <c r="O857" s="1"/>
      <c r="P857" s="1"/>
      <c r="Q857" s="1"/>
      <c r="R857" s="1"/>
      <c r="S857" s="1"/>
      <c r="T857" s="1"/>
      <c r="U857" s="1"/>
      <c r="V857" s="1"/>
      <c r="W857" s="1"/>
      <c r="X857" s="1"/>
      <c r="Y857" s="1"/>
      <c r="Z857" s="1"/>
    </row>
    <row r="858" spans="1:26" ht="12.75" customHeight="1" x14ac:dyDescent="0.25">
      <c r="A858" s="1"/>
      <c r="B858" s="1"/>
      <c r="C858" s="3"/>
      <c r="D858" s="3"/>
      <c r="E858" s="5"/>
      <c r="F858" s="5"/>
      <c r="G858" s="3"/>
      <c r="H858" s="5"/>
      <c r="I858" s="1"/>
      <c r="J858" s="7"/>
      <c r="K858" s="1"/>
      <c r="L858" s="1"/>
      <c r="M858" s="1"/>
      <c r="N858" s="1"/>
      <c r="O858" s="1"/>
      <c r="P858" s="1"/>
      <c r="Q858" s="1"/>
      <c r="R858" s="1"/>
      <c r="S858" s="1"/>
      <c r="T858" s="1"/>
      <c r="U858" s="1"/>
      <c r="V858" s="1"/>
      <c r="W858" s="1"/>
      <c r="X858" s="1"/>
      <c r="Y858" s="1"/>
      <c r="Z858" s="1"/>
    </row>
    <row r="859" spans="1:26" ht="12.75" customHeight="1" x14ac:dyDescent="0.25">
      <c r="A859" s="1"/>
      <c r="B859" s="1"/>
      <c r="C859" s="3"/>
      <c r="D859" s="3"/>
      <c r="E859" s="5"/>
      <c r="F859" s="5"/>
      <c r="G859" s="3"/>
      <c r="H859" s="5"/>
      <c r="I859" s="1"/>
      <c r="J859" s="7"/>
      <c r="K859" s="1"/>
      <c r="L859" s="1"/>
      <c r="M859" s="1"/>
      <c r="N859" s="1"/>
      <c r="O859" s="1"/>
      <c r="P859" s="1"/>
      <c r="Q859" s="1"/>
      <c r="R859" s="1"/>
      <c r="S859" s="1"/>
      <c r="T859" s="1"/>
      <c r="U859" s="1"/>
      <c r="V859" s="1"/>
      <c r="W859" s="1"/>
      <c r="X859" s="1"/>
      <c r="Y859" s="1"/>
      <c r="Z859" s="1"/>
    </row>
    <row r="860" spans="1:26" ht="12.75" customHeight="1" x14ac:dyDescent="0.25">
      <c r="A860" s="1"/>
      <c r="B860" s="1"/>
      <c r="C860" s="3"/>
      <c r="D860" s="3"/>
      <c r="E860" s="5"/>
      <c r="F860" s="5"/>
      <c r="G860" s="3"/>
      <c r="H860" s="5"/>
      <c r="I860" s="1"/>
      <c r="J860" s="7"/>
      <c r="K860" s="1"/>
      <c r="L860" s="1"/>
      <c r="M860" s="1"/>
      <c r="N860" s="1"/>
      <c r="O860" s="1"/>
      <c r="P860" s="1"/>
      <c r="Q860" s="1"/>
      <c r="R860" s="1"/>
      <c r="S860" s="1"/>
      <c r="T860" s="1"/>
      <c r="U860" s="1"/>
      <c r="V860" s="1"/>
      <c r="W860" s="1"/>
      <c r="X860" s="1"/>
      <c r="Y860" s="1"/>
      <c r="Z860" s="1"/>
    </row>
    <row r="861" spans="1:26" ht="12.75" customHeight="1" x14ac:dyDescent="0.25">
      <c r="A861" s="1"/>
      <c r="B861" s="1"/>
      <c r="C861" s="3"/>
      <c r="D861" s="3"/>
      <c r="E861" s="5"/>
      <c r="F861" s="5"/>
      <c r="G861" s="3"/>
      <c r="H861" s="5"/>
      <c r="I861" s="1"/>
      <c r="J861" s="7"/>
      <c r="K861" s="1"/>
      <c r="L861" s="1"/>
      <c r="M861" s="1"/>
      <c r="N861" s="1"/>
      <c r="O861" s="1"/>
      <c r="P861" s="1"/>
      <c r="Q861" s="1"/>
      <c r="R861" s="1"/>
      <c r="S861" s="1"/>
      <c r="T861" s="1"/>
      <c r="U861" s="1"/>
      <c r="V861" s="1"/>
      <c r="W861" s="1"/>
      <c r="X861" s="1"/>
      <c r="Y861" s="1"/>
      <c r="Z861" s="1"/>
    </row>
    <row r="862" spans="1:26" ht="12.75" customHeight="1" x14ac:dyDescent="0.25">
      <c r="A862" s="1"/>
      <c r="B862" s="1"/>
      <c r="C862" s="3"/>
      <c r="D862" s="3"/>
      <c r="E862" s="5"/>
      <c r="F862" s="5"/>
      <c r="G862" s="3"/>
      <c r="H862" s="5"/>
      <c r="I862" s="1"/>
      <c r="J862" s="7"/>
      <c r="K862" s="1"/>
      <c r="L862" s="1"/>
      <c r="M862" s="1"/>
      <c r="N862" s="1"/>
      <c r="O862" s="1"/>
      <c r="P862" s="1"/>
      <c r="Q862" s="1"/>
      <c r="R862" s="1"/>
      <c r="S862" s="1"/>
      <c r="T862" s="1"/>
      <c r="U862" s="1"/>
      <c r="V862" s="1"/>
      <c r="W862" s="1"/>
      <c r="X862" s="1"/>
      <c r="Y862" s="1"/>
      <c r="Z862" s="1"/>
    </row>
    <row r="863" spans="1:26" ht="12.75" customHeight="1" x14ac:dyDescent="0.25">
      <c r="A863" s="1"/>
      <c r="B863" s="1"/>
      <c r="C863" s="3"/>
      <c r="D863" s="3"/>
      <c r="E863" s="5"/>
      <c r="F863" s="5"/>
      <c r="G863" s="3"/>
      <c r="H863" s="5"/>
      <c r="I863" s="1"/>
      <c r="J863" s="7"/>
      <c r="K863" s="1"/>
      <c r="L863" s="1"/>
      <c r="M863" s="1"/>
      <c r="N863" s="1"/>
      <c r="O863" s="1"/>
      <c r="P863" s="1"/>
      <c r="Q863" s="1"/>
      <c r="R863" s="1"/>
      <c r="S863" s="1"/>
      <c r="T863" s="1"/>
      <c r="U863" s="1"/>
      <c r="V863" s="1"/>
      <c r="W863" s="1"/>
      <c r="X863" s="1"/>
      <c r="Y863" s="1"/>
      <c r="Z863" s="1"/>
    </row>
    <row r="864" spans="1:26" ht="12.75" customHeight="1" x14ac:dyDescent="0.25">
      <c r="A864" s="1"/>
      <c r="B864" s="1"/>
      <c r="C864" s="3"/>
      <c r="D864" s="3"/>
      <c r="E864" s="5"/>
      <c r="F864" s="5"/>
      <c r="G864" s="3"/>
      <c r="H864" s="5"/>
      <c r="I864" s="1"/>
      <c r="J864" s="7"/>
      <c r="K864" s="1"/>
      <c r="L864" s="1"/>
      <c r="M864" s="1"/>
      <c r="N864" s="1"/>
      <c r="O864" s="1"/>
      <c r="P864" s="1"/>
      <c r="Q864" s="1"/>
      <c r="R864" s="1"/>
      <c r="S864" s="1"/>
      <c r="T864" s="1"/>
      <c r="U864" s="1"/>
      <c r="V864" s="1"/>
      <c r="W864" s="1"/>
      <c r="X864" s="1"/>
      <c r="Y864" s="1"/>
      <c r="Z864" s="1"/>
    </row>
    <row r="865" spans="1:26" ht="12.75" customHeight="1" x14ac:dyDescent="0.25">
      <c r="A865" s="1"/>
      <c r="B865" s="1"/>
      <c r="C865" s="3"/>
      <c r="D865" s="3"/>
      <c r="E865" s="5"/>
      <c r="F865" s="5"/>
      <c r="G865" s="3"/>
      <c r="H865" s="5"/>
      <c r="I865" s="1"/>
      <c r="J865" s="7"/>
      <c r="K865" s="1"/>
      <c r="L865" s="1"/>
      <c r="M865" s="1"/>
      <c r="N865" s="1"/>
      <c r="O865" s="1"/>
      <c r="P865" s="1"/>
      <c r="Q865" s="1"/>
      <c r="R865" s="1"/>
      <c r="S865" s="1"/>
      <c r="T865" s="1"/>
      <c r="U865" s="1"/>
      <c r="V865" s="1"/>
      <c r="W865" s="1"/>
      <c r="X865" s="1"/>
      <c r="Y865" s="1"/>
      <c r="Z865" s="1"/>
    </row>
    <row r="866" spans="1:26" ht="12.75" customHeight="1" x14ac:dyDescent="0.25">
      <c r="A866" s="1"/>
      <c r="B866" s="1"/>
      <c r="C866" s="3"/>
      <c r="D866" s="3"/>
      <c r="E866" s="5"/>
      <c r="F866" s="5"/>
      <c r="G866" s="3"/>
      <c r="H866" s="5"/>
      <c r="I866" s="1"/>
      <c r="J866" s="7"/>
      <c r="K866" s="1"/>
      <c r="L866" s="1"/>
      <c r="M866" s="1"/>
      <c r="N866" s="1"/>
      <c r="O866" s="1"/>
      <c r="P866" s="1"/>
      <c r="Q866" s="1"/>
      <c r="R866" s="1"/>
      <c r="S866" s="1"/>
      <c r="T866" s="1"/>
      <c r="U866" s="1"/>
      <c r="V866" s="1"/>
      <c r="W866" s="1"/>
      <c r="X866" s="1"/>
      <c r="Y866" s="1"/>
      <c r="Z866" s="1"/>
    </row>
    <row r="867" spans="1:26" ht="12.75" customHeight="1" x14ac:dyDescent="0.25">
      <c r="A867" s="1"/>
      <c r="B867" s="1"/>
      <c r="C867" s="3"/>
      <c r="D867" s="3"/>
      <c r="E867" s="5"/>
      <c r="F867" s="5"/>
      <c r="G867" s="3"/>
      <c r="H867" s="5"/>
      <c r="I867" s="1"/>
      <c r="J867" s="7"/>
      <c r="K867" s="1"/>
      <c r="L867" s="1"/>
      <c r="M867" s="1"/>
      <c r="N867" s="1"/>
      <c r="O867" s="1"/>
      <c r="P867" s="1"/>
      <c r="Q867" s="1"/>
      <c r="R867" s="1"/>
      <c r="S867" s="1"/>
      <c r="T867" s="1"/>
      <c r="U867" s="1"/>
      <c r="V867" s="1"/>
      <c r="W867" s="1"/>
      <c r="X867" s="1"/>
      <c r="Y867" s="1"/>
      <c r="Z867" s="1"/>
    </row>
    <row r="868" spans="1:26" ht="12.75" customHeight="1" x14ac:dyDescent="0.25">
      <c r="A868" s="1"/>
      <c r="B868" s="1"/>
      <c r="C868" s="3"/>
      <c r="D868" s="3"/>
      <c r="E868" s="5"/>
      <c r="F868" s="5"/>
      <c r="G868" s="3"/>
      <c r="H868" s="5"/>
      <c r="I868" s="1"/>
      <c r="J868" s="7"/>
      <c r="K868" s="1"/>
      <c r="L868" s="1"/>
      <c r="M868" s="1"/>
      <c r="N868" s="1"/>
      <c r="O868" s="1"/>
      <c r="P868" s="1"/>
      <c r="Q868" s="1"/>
      <c r="R868" s="1"/>
      <c r="S868" s="1"/>
      <c r="T868" s="1"/>
      <c r="U868" s="1"/>
      <c r="V868" s="1"/>
      <c r="W868" s="1"/>
      <c r="X868" s="1"/>
      <c r="Y868" s="1"/>
      <c r="Z868" s="1"/>
    </row>
    <row r="869" spans="1:26" ht="12.75" customHeight="1" x14ac:dyDescent="0.25">
      <c r="A869" s="1"/>
      <c r="B869" s="1"/>
      <c r="C869" s="3"/>
      <c r="D869" s="3"/>
      <c r="E869" s="5"/>
      <c r="F869" s="5"/>
      <c r="G869" s="3"/>
      <c r="H869" s="5"/>
      <c r="I869" s="1"/>
      <c r="J869" s="7"/>
      <c r="K869" s="1"/>
      <c r="L869" s="1"/>
      <c r="M869" s="1"/>
      <c r="N869" s="1"/>
      <c r="O869" s="1"/>
      <c r="P869" s="1"/>
      <c r="Q869" s="1"/>
      <c r="R869" s="1"/>
      <c r="S869" s="1"/>
      <c r="T869" s="1"/>
      <c r="U869" s="1"/>
      <c r="V869" s="1"/>
      <c r="W869" s="1"/>
      <c r="X869" s="1"/>
      <c r="Y869" s="1"/>
      <c r="Z869" s="1"/>
    </row>
    <row r="870" spans="1:26" ht="12.75" customHeight="1" x14ac:dyDescent="0.25">
      <c r="A870" s="1"/>
      <c r="B870" s="1"/>
      <c r="C870" s="3"/>
      <c r="D870" s="3"/>
      <c r="E870" s="5"/>
      <c r="F870" s="5"/>
      <c r="G870" s="3"/>
      <c r="H870" s="5"/>
      <c r="I870" s="1"/>
      <c r="J870" s="7"/>
      <c r="K870" s="1"/>
      <c r="L870" s="1"/>
      <c r="M870" s="1"/>
      <c r="N870" s="1"/>
      <c r="O870" s="1"/>
      <c r="P870" s="1"/>
      <c r="Q870" s="1"/>
      <c r="R870" s="1"/>
      <c r="S870" s="1"/>
      <c r="T870" s="1"/>
      <c r="U870" s="1"/>
      <c r="V870" s="1"/>
      <c r="W870" s="1"/>
      <c r="X870" s="1"/>
      <c r="Y870" s="1"/>
      <c r="Z870" s="1"/>
    </row>
    <row r="871" spans="1:26" ht="12.75" customHeight="1" x14ac:dyDescent="0.25">
      <c r="A871" s="1"/>
      <c r="B871" s="1"/>
      <c r="C871" s="3"/>
      <c r="D871" s="3"/>
      <c r="E871" s="5"/>
      <c r="F871" s="5"/>
      <c r="G871" s="3"/>
      <c r="H871" s="5"/>
      <c r="I871" s="1"/>
      <c r="J871" s="7"/>
      <c r="K871" s="1"/>
      <c r="L871" s="1"/>
      <c r="M871" s="1"/>
      <c r="N871" s="1"/>
      <c r="O871" s="1"/>
      <c r="P871" s="1"/>
      <c r="Q871" s="1"/>
      <c r="R871" s="1"/>
      <c r="S871" s="1"/>
      <c r="T871" s="1"/>
      <c r="U871" s="1"/>
      <c r="V871" s="1"/>
      <c r="W871" s="1"/>
      <c r="X871" s="1"/>
      <c r="Y871" s="1"/>
      <c r="Z871" s="1"/>
    </row>
    <row r="872" spans="1:26" ht="12.75" customHeight="1" x14ac:dyDescent="0.25">
      <c r="A872" s="1"/>
      <c r="B872" s="1"/>
      <c r="C872" s="3"/>
      <c r="D872" s="3"/>
      <c r="E872" s="5"/>
      <c r="F872" s="5"/>
      <c r="G872" s="3"/>
      <c r="H872" s="5"/>
      <c r="I872" s="1"/>
      <c r="J872" s="7"/>
      <c r="K872" s="1"/>
      <c r="L872" s="1"/>
      <c r="M872" s="1"/>
      <c r="N872" s="1"/>
      <c r="O872" s="1"/>
      <c r="P872" s="1"/>
      <c r="Q872" s="1"/>
      <c r="R872" s="1"/>
      <c r="S872" s="1"/>
      <c r="T872" s="1"/>
      <c r="U872" s="1"/>
      <c r="V872" s="1"/>
      <c r="W872" s="1"/>
      <c r="X872" s="1"/>
      <c r="Y872" s="1"/>
      <c r="Z872" s="1"/>
    </row>
    <row r="873" spans="1:26" ht="12.75" customHeight="1" x14ac:dyDescent="0.25">
      <c r="A873" s="1"/>
      <c r="B873" s="1"/>
      <c r="C873" s="3"/>
      <c r="D873" s="3"/>
      <c r="E873" s="5"/>
      <c r="F873" s="5"/>
      <c r="G873" s="3"/>
      <c r="H873" s="5"/>
      <c r="I873" s="1"/>
      <c r="J873" s="7"/>
      <c r="K873" s="1"/>
      <c r="L873" s="1"/>
      <c r="M873" s="1"/>
      <c r="N873" s="1"/>
      <c r="O873" s="1"/>
      <c r="P873" s="1"/>
      <c r="Q873" s="1"/>
      <c r="R873" s="1"/>
      <c r="S873" s="1"/>
      <c r="T873" s="1"/>
      <c r="U873" s="1"/>
      <c r="V873" s="1"/>
      <c r="W873" s="1"/>
      <c r="X873" s="1"/>
      <c r="Y873" s="1"/>
      <c r="Z873" s="1"/>
    </row>
    <row r="874" spans="1:26" ht="12.75" customHeight="1" x14ac:dyDescent="0.25">
      <c r="A874" s="1"/>
      <c r="B874" s="1"/>
      <c r="C874" s="3"/>
      <c r="D874" s="3"/>
      <c r="E874" s="5"/>
      <c r="F874" s="5"/>
      <c r="G874" s="3"/>
      <c r="H874" s="5"/>
      <c r="I874" s="1"/>
      <c r="J874" s="7"/>
      <c r="K874" s="1"/>
      <c r="L874" s="1"/>
      <c r="M874" s="1"/>
      <c r="N874" s="1"/>
      <c r="O874" s="1"/>
      <c r="P874" s="1"/>
      <c r="Q874" s="1"/>
      <c r="R874" s="1"/>
      <c r="S874" s="1"/>
      <c r="T874" s="1"/>
      <c r="U874" s="1"/>
      <c r="V874" s="1"/>
      <c r="W874" s="1"/>
      <c r="X874" s="1"/>
      <c r="Y874" s="1"/>
      <c r="Z874" s="1"/>
    </row>
    <row r="875" spans="1:26" ht="12.75" customHeight="1" x14ac:dyDescent="0.25">
      <c r="A875" s="1"/>
      <c r="B875" s="1"/>
      <c r="C875" s="3"/>
      <c r="D875" s="3"/>
      <c r="E875" s="5"/>
      <c r="F875" s="5"/>
      <c r="G875" s="3"/>
      <c r="H875" s="5"/>
      <c r="I875" s="1"/>
      <c r="J875" s="7"/>
      <c r="K875" s="1"/>
      <c r="L875" s="1"/>
      <c r="M875" s="1"/>
      <c r="N875" s="1"/>
      <c r="O875" s="1"/>
      <c r="P875" s="1"/>
      <c r="Q875" s="1"/>
      <c r="R875" s="1"/>
      <c r="S875" s="1"/>
      <c r="T875" s="1"/>
      <c r="U875" s="1"/>
      <c r="V875" s="1"/>
      <c r="W875" s="1"/>
      <c r="X875" s="1"/>
      <c r="Y875" s="1"/>
      <c r="Z875" s="1"/>
    </row>
    <row r="876" spans="1:26" ht="12.75" customHeight="1" x14ac:dyDescent="0.25">
      <c r="A876" s="1"/>
      <c r="B876" s="1"/>
      <c r="C876" s="3"/>
      <c r="D876" s="3"/>
      <c r="E876" s="5"/>
      <c r="F876" s="5"/>
      <c r="G876" s="3"/>
      <c r="H876" s="5"/>
      <c r="I876" s="1"/>
      <c r="J876" s="7"/>
      <c r="K876" s="1"/>
      <c r="L876" s="1"/>
      <c r="M876" s="1"/>
      <c r="N876" s="1"/>
      <c r="O876" s="1"/>
      <c r="P876" s="1"/>
      <c r="Q876" s="1"/>
      <c r="R876" s="1"/>
      <c r="S876" s="1"/>
      <c r="T876" s="1"/>
      <c r="U876" s="1"/>
      <c r="V876" s="1"/>
      <c r="W876" s="1"/>
      <c r="X876" s="1"/>
      <c r="Y876" s="1"/>
      <c r="Z876" s="1"/>
    </row>
    <row r="877" spans="1:26" ht="12.75" customHeight="1" x14ac:dyDescent="0.25">
      <c r="A877" s="1"/>
      <c r="B877" s="1"/>
      <c r="C877" s="3"/>
      <c r="D877" s="3"/>
      <c r="E877" s="5"/>
      <c r="F877" s="5"/>
      <c r="G877" s="3"/>
      <c r="H877" s="5"/>
      <c r="I877" s="1"/>
      <c r="J877" s="7"/>
      <c r="K877" s="1"/>
      <c r="L877" s="1"/>
      <c r="M877" s="1"/>
      <c r="N877" s="1"/>
      <c r="O877" s="1"/>
      <c r="P877" s="1"/>
      <c r="Q877" s="1"/>
      <c r="R877" s="1"/>
      <c r="S877" s="1"/>
      <c r="T877" s="1"/>
      <c r="U877" s="1"/>
      <c r="V877" s="1"/>
      <c r="W877" s="1"/>
      <c r="X877" s="1"/>
      <c r="Y877" s="1"/>
      <c r="Z877" s="1"/>
    </row>
    <row r="878" spans="1:26" ht="12.75" customHeight="1" x14ac:dyDescent="0.25">
      <c r="A878" s="1"/>
      <c r="B878" s="1"/>
      <c r="C878" s="3"/>
      <c r="D878" s="3"/>
      <c r="E878" s="5"/>
      <c r="F878" s="5"/>
      <c r="G878" s="3"/>
      <c r="H878" s="5"/>
      <c r="I878" s="1"/>
      <c r="J878" s="7"/>
      <c r="K878" s="1"/>
      <c r="L878" s="1"/>
      <c r="M878" s="1"/>
      <c r="N878" s="1"/>
      <c r="O878" s="1"/>
      <c r="P878" s="1"/>
      <c r="Q878" s="1"/>
      <c r="R878" s="1"/>
      <c r="S878" s="1"/>
      <c r="T878" s="1"/>
      <c r="U878" s="1"/>
      <c r="V878" s="1"/>
      <c r="W878" s="1"/>
      <c r="X878" s="1"/>
      <c r="Y878" s="1"/>
      <c r="Z878" s="1"/>
    </row>
    <row r="879" spans="1:26" ht="12.75" customHeight="1" x14ac:dyDescent="0.25">
      <c r="A879" s="1"/>
      <c r="B879" s="1"/>
      <c r="C879" s="3"/>
      <c r="D879" s="3"/>
      <c r="E879" s="5"/>
      <c r="F879" s="5"/>
      <c r="G879" s="3"/>
      <c r="H879" s="5"/>
      <c r="I879" s="1"/>
      <c r="J879" s="7"/>
      <c r="K879" s="1"/>
      <c r="L879" s="1"/>
      <c r="M879" s="1"/>
      <c r="N879" s="1"/>
      <c r="O879" s="1"/>
      <c r="P879" s="1"/>
      <c r="Q879" s="1"/>
      <c r="R879" s="1"/>
      <c r="S879" s="1"/>
      <c r="T879" s="1"/>
      <c r="U879" s="1"/>
      <c r="V879" s="1"/>
      <c r="W879" s="1"/>
      <c r="X879" s="1"/>
      <c r="Y879" s="1"/>
      <c r="Z879" s="1"/>
    </row>
    <row r="880" spans="1:26" ht="12.75" customHeight="1" x14ac:dyDescent="0.25">
      <c r="A880" s="1"/>
      <c r="B880" s="1"/>
      <c r="C880" s="3"/>
      <c r="D880" s="3"/>
      <c r="E880" s="5"/>
      <c r="F880" s="5"/>
      <c r="G880" s="3"/>
      <c r="H880" s="5"/>
      <c r="I880" s="1"/>
      <c r="J880" s="7"/>
      <c r="K880" s="1"/>
      <c r="L880" s="1"/>
      <c r="M880" s="1"/>
      <c r="N880" s="1"/>
      <c r="O880" s="1"/>
      <c r="P880" s="1"/>
      <c r="Q880" s="1"/>
      <c r="R880" s="1"/>
      <c r="S880" s="1"/>
      <c r="T880" s="1"/>
      <c r="U880" s="1"/>
      <c r="V880" s="1"/>
      <c r="W880" s="1"/>
      <c r="X880" s="1"/>
      <c r="Y880" s="1"/>
      <c r="Z880" s="1"/>
    </row>
    <row r="881" spans="1:26" ht="12.75" customHeight="1" x14ac:dyDescent="0.25">
      <c r="A881" s="1"/>
      <c r="B881" s="1"/>
      <c r="C881" s="3"/>
      <c r="D881" s="3"/>
      <c r="E881" s="5"/>
      <c r="F881" s="5"/>
      <c r="G881" s="3"/>
      <c r="H881" s="5"/>
      <c r="I881" s="1"/>
      <c r="J881" s="7"/>
      <c r="K881" s="1"/>
      <c r="L881" s="1"/>
      <c r="M881" s="1"/>
      <c r="N881" s="1"/>
      <c r="O881" s="1"/>
      <c r="P881" s="1"/>
      <c r="Q881" s="1"/>
      <c r="R881" s="1"/>
      <c r="S881" s="1"/>
      <c r="T881" s="1"/>
      <c r="U881" s="1"/>
      <c r="V881" s="1"/>
      <c r="W881" s="1"/>
      <c r="X881" s="1"/>
      <c r="Y881" s="1"/>
      <c r="Z881" s="1"/>
    </row>
    <row r="882" spans="1:26" ht="12.75" customHeight="1" x14ac:dyDescent="0.25">
      <c r="A882" s="1"/>
      <c r="B882" s="1"/>
      <c r="C882" s="3"/>
      <c r="D882" s="3"/>
      <c r="E882" s="5"/>
      <c r="F882" s="5"/>
      <c r="G882" s="3"/>
      <c r="H882" s="5"/>
      <c r="I882" s="1"/>
      <c r="J882" s="7"/>
      <c r="K882" s="1"/>
      <c r="L882" s="1"/>
      <c r="M882" s="1"/>
      <c r="N882" s="1"/>
      <c r="O882" s="1"/>
      <c r="P882" s="1"/>
      <c r="Q882" s="1"/>
      <c r="R882" s="1"/>
      <c r="S882" s="1"/>
      <c r="T882" s="1"/>
      <c r="U882" s="1"/>
      <c r="V882" s="1"/>
      <c r="W882" s="1"/>
      <c r="X882" s="1"/>
      <c r="Y882" s="1"/>
      <c r="Z882" s="1"/>
    </row>
    <row r="883" spans="1:26" ht="12.75" customHeight="1" x14ac:dyDescent="0.25">
      <c r="A883" s="1"/>
      <c r="B883" s="1"/>
      <c r="C883" s="3"/>
      <c r="D883" s="3"/>
      <c r="E883" s="5"/>
      <c r="F883" s="5"/>
      <c r="G883" s="3"/>
      <c r="H883" s="5"/>
      <c r="I883" s="1"/>
      <c r="J883" s="7"/>
      <c r="K883" s="1"/>
      <c r="L883" s="1"/>
      <c r="M883" s="1"/>
      <c r="N883" s="1"/>
      <c r="O883" s="1"/>
      <c r="P883" s="1"/>
      <c r="Q883" s="1"/>
      <c r="R883" s="1"/>
      <c r="S883" s="1"/>
      <c r="T883" s="1"/>
      <c r="U883" s="1"/>
      <c r="V883" s="1"/>
      <c r="W883" s="1"/>
      <c r="X883" s="1"/>
      <c r="Y883" s="1"/>
      <c r="Z883" s="1"/>
    </row>
    <row r="884" spans="1:26" ht="12.75" customHeight="1" x14ac:dyDescent="0.25">
      <c r="A884" s="1"/>
      <c r="B884" s="1"/>
      <c r="C884" s="3"/>
      <c r="D884" s="3"/>
      <c r="E884" s="5"/>
      <c r="F884" s="5"/>
      <c r="G884" s="3"/>
      <c r="H884" s="5"/>
      <c r="I884" s="1"/>
      <c r="J884" s="7"/>
      <c r="K884" s="1"/>
      <c r="L884" s="1"/>
      <c r="M884" s="1"/>
      <c r="N884" s="1"/>
      <c r="O884" s="1"/>
      <c r="P884" s="1"/>
      <c r="Q884" s="1"/>
      <c r="R884" s="1"/>
      <c r="S884" s="1"/>
      <c r="T884" s="1"/>
      <c r="U884" s="1"/>
      <c r="V884" s="1"/>
      <c r="W884" s="1"/>
      <c r="X884" s="1"/>
      <c r="Y884" s="1"/>
      <c r="Z884" s="1"/>
    </row>
    <row r="885" spans="1:26" ht="12.75" customHeight="1" x14ac:dyDescent="0.25">
      <c r="A885" s="1"/>
      <c r="B885" s="1"/>
      <c r="C885" s="3"/>
      <c r="D885" s="3"/>
      <c r="E885" s="5"/>
      <c r="F885" s="5"/>
      <c r="G885" s="3"/>
      <c r="H885" s="5"/>
      <c r="I885" s="1"/>
      <c r="J885" s="7"/>
      <c r="K885" s="1"/>
      <c r="L885" s="1"/>
      <c r="M885" s="1"/>
      <c r="N885" s="1"/>
      <c r="O885" s="1"/>
      <c r="P885" s="1"/>
      <c r="Q885" s="1"/>
      <c r="R885" s="1"/>
      <c r="S885" s="1"/>
      <c r="T885" s="1"/>
      <c r="U885" s="1"/>
      <c r="V885" s="1"/>
      <c r="W885" s="1"/>
      <c r="X885" s="1"/>
      <c r="Y885" s="1"/>
      <c r="Z885" s="1"/>
    </row>
    <row r="886" spans="1:26" ht="12.75" customHeight="1" x14ac:dyDescent="0.25">
      <c r="A886" s="1"/>
      <c r="B886" s="1"/>
      <c r="C886" s="3"/>
      <c r="D886" s="3"/>
      <c r="E886" s="5"/>
      <c r="F886" s="5"/>
      <c r="G886" s="3"/>
      <c r="H886" s="5"/>
      <c r="I886" s="1"/>
      <c r="J886" s="7"/>
      <c r="K886" s="1"/>
      <c r="L886" s="1"/>
      <c r="M886" s="1"/>
      <c r="N886" s="1"/>
      <c r="O886" s="1"/>
      <c r="P886" s="1"/>
      <c r="Q886" s="1"/>
      <c r="R886" s="1"/>
      <c r="S886" s="1"/>
      <c r="T886" s="1"/>
      <c r="U886" s="1"/>
      <c r="V886" s="1"/>
      <c r="W886" s="1"/>
      <c r="X886" s="1"/>
      <c r="Y886" s="1"/>
      <c r="Z886" s="1"/>
    </row>
    <row r="887" spans="1:26" ht="12.75" customHeight="1" x14ac:dyDescent="0.25">
      <c r="A887" s="1"/>
      <c r="B887" s="1"/>
      <c r="C887" s="3"/>
      <c r="D887" s="3"/>
      <c r="E887" s="5"/>
      <c r="F887" s="5"/>
      <c r="G887" s="3"/>
      <c r="H887" s="5"/>
      <c r="I887" s="1"/>
      <c r="J887" s="7"/>
      <c r="K887" s="1"/>
      <c r="L887" s="1"/>
      <c r="M887" s="1"/>
      <c r="N887" s="1"/>
      <c r="O887" s="1"/>
      <c r="P887" s="1"/>
      <c r="Q887" s="1"/>
      <c r="R887" s="1"/>
      <c r="S887" s="1"/>
      <c r="T887" s="1"/>
      <c r="U887" s="1"/>
      <c r="V887" s="1"/>
      <c r="W887" s="1"/>
      <c r="X887" s="1"/>
      <c r="Y887" s="1"/>
      <c r="Z887" s="1"/>
    </row>
    <row r="888" spans="1:26" ht="12.75" customHeight="1" x14ac:dyDescent="0.25">
      <c r="A888" s="1"/>
      <c r="B888" s="1"/>
      <c r="C888" s="3"/>
      <c r="D888" s="3"/>
      <c r="E888" s="5"/>
      <c r="F888" s="5"/>
      <c r="G888" s="3"/>
      <c r="H888" s="5"/>
      <c r="I888" s="1"/>
      <c r="J888" s="7"/>
      <c r="K888" s="1"/>
      <c r="L888" s="1"/>
      <c r="M888" s="1"/>
      <c r="N888" s="1"/>
      <c r="O888" s="1"/>
      <c r="P888" s="1"/>
      <c r="Q888" s="1"/>
      <c r="R888" s="1"/>
      <c r="S888" s="1"/>
      <c r="T888" s="1"/>
      <c r="U888" s="1"/>
      <c r="V888" s="1"/>
      <c r="W888" s="1"/>
      <c r="X888" s="1"/>
      <c r="Y888" s="1"/>
      <c r="Z888" s="1"/>
    </row>
    <row r="889" spans="1:26" ht="12.75" customHeight="1" x14ac:dyDescent="0.25">
      <c r="A889" s="1"/>
      <c r="B889" s="1"/>
      <c r="C889" s="3"/>
      <c r="D889" s="3"/>
      <c r="E889" s="5"/>
      <c r="F889" s="5"/>
      <c r="G889" s="3"/>
      <c r="H889" s="5"/>
      <c r="I889" s="1"/>
      <c r="J889" s="7"/>
      <c r="K889" s="1"/>
      <c r="L889" s="1"/>
      <c r="M889" s="1"/>
      <c r="N889" s="1"/>
      <c r="O889" s="1"/>
      <c r="P889" s="1"/>
      <c r="Q889" s="1"/>
      <c r="R889" s="1"/>
      <c r="S889" s="1"/>
      <c r="T889" s="1"/>
      <c r="U889" s="1"/>
      <c r="V889" s="1"/>
      <c r="W889" s="1"/>
      <c r="X889" s="1"/>
      <c r="Y889" s="1"/>
      <c r="Z889" s="1"/>
    </row>
    <row r="890" spans="1:26" ht="12.75" customHeight="1" x14ac:dyDescent="0.25">
      <c r="A890" s="1"/>
      <c r="B890" s="1"/>
      <c r="C890" s="3"/>
      <c r="D890" s="3"/>
      <c r="E890" s="5"/>
      <c r="F890" s="5"/>
      <c r="G890" s="3"/>
      <c r="H890" s="5"/>
      <c r="I890" s="1"/>
      <c r="J890" s="7"/>
      <c r="K890" s="1"/>
      <c r="L890" s="1"/>
      <c r="M890" s="1"/>
      <c r="N890" s="1"/>
      <c r="O890" s="1"/>
      <c r="P890" s="1"/>
      <c r="Q890" s="1"/>
      <c r="R890" s="1"/>
      <c r="S890" s="1"/>
      <c r="T890" s="1"/>
      <c r="U890" s="1"/>
      <c r="V890" s="1"/>
      <c r="W890" s="1"/>
      <c r="X890" s="1"/>
      <c r="Y890" s="1"/>
      <c r="Z890" s="1"/>
    </row>
    <row r="891" spans="1:26" ht="12.75" customHeight="1" x14ac:dyDescent="0.25">
      <c r="A891" s="1"/>
      <c r="B891" s="1"/>
      <c r="C891" s="3"/>
      <c r="D891" s="3"/>
      <c r="E891" s="5"/>
      <c r="F891" s="5"/>
      <c r="G891" s="3"/>
      <c r="H891" s="5"/>
      <c r="I891" s="1"/>
      <c r="J891" s="7"/>
      <c r="K891" s="1"/>
      <c r="L891" s="1"/>
      <c r="M891" s="1"/>
      <c r="N891" s="1"/>
      <c r="O891" s="1"/>
      <c r="P891" s="1"/>
      <c r="Q891" s="1"/>
      <c r="R891" s="1"/>
      <c r="S891" s="1"/>
      <c r="T891" s="1"/>
      <c r="U891" s="1"/>
      <c r="V891" s="1"/>
      <c r="W891" s="1"/>
      <c r="X891" s="1"/>
      <c r="Y891" s="1"/>
      <c r="Z891" s="1"/>
    </row>
    <row r="892" spans="1:26" ht="12.75" customHeight="1" x14ac:dyDescent="0.25">
      <c r="A892" s="1"/>
      <c r="B892" s="1"/>
      <c r="C892" s="3"/>
      <c r="D892" s="3"/>
      <c r="E892" s="5"/>
      <c r="F892" s="5"/>
      <c r="G892" s="3"/>
      <c r="H892" s="5"/>
      <c r="I892" s="1"/>
      <c r="J892" s="7"/>
      <c r="K892" s="1"/>
      <c r="L892" s="1"/>
      <c r="M892" s="1"/>
      <c r="N892" s="1"/>
      <c r="O892" s="1"/>
      <c r="P892" s="1"/>
      <c r="Q892" s="1"/>
      <c r="R892" s="1"/>
      <c r="S892" s="1"/>
      <c r="T892" s="1"/>
      <c r="U892" s="1"/>
      <c r="V892" s="1"/>
      <c r="W892" s="1"/>
      <c r="X892" s="1"/>
      <c r="Y892" s="1"/>
      <c r="Z892" s="1"/>
    </row>
    <row r="893" spans="1:26" ht="12.75" customHeight="1" x14ac:dyDescent="0.25">
      <c r="A893" s="1"/>
      <c r="B893" s="1"/>
      <c r="C893" s="3"/>
      <c r="D893" s="3"/>
      <c r="E893" s="5"/>
      <c r="F893" s="5"/>
      <c r="G893" s="3"/>
      <c r="H893" s="5"/>
      <c r="I893" s="1"/>
      <c r="J893" s="7"/>
      <c r="K893" s="1"/>
      <c r="L893" s="1"/>
      <c r="M893" s="1"/>
      <c r="N893" s="1"/>
      <c r="O893" s="1"/>
      <c r="P893" s="1"/>
      <c r="Q893" s="1"/>
      <c r="R893" s="1"/>
      <c r="S893" s="1"/>
      <c r="T893" s="1"/>
      <c r="U893" s="1"/>
      <c r="V893" s="1"/>
      <c r="W893" s="1"/>
      <c r="X893" s="1"/>
      <c r="Y893" s="1"/>
      <c r="Z893" s="1"/>
    </row>
    <row r="894" spans="1:26" ht="12.75" customHeight="1" x14ac:dyDescent="0.25">
      <c r="A894" s="1"/>
      <c r="B894" s="1"/>
      <c r="C894" s="3"/>
      <c r="D894" s="3"/>
      <c r="E894" s="5"/>
      <c r="F894" s="5"/>
      <c r="G894" s="3"/>
      <c r="H894" s="5"/>
      <c r="I894" s="1"/>
      <c r="J894" s="7"/>
      <c r="K894" s="1"/>
      <c r="L894" s="1"/>
      <c r="M894" s="1"/>
      <c r="N894" s="1"/>
      <c r="O894" s="1"/>
      <c r="P894" s="1"/>
      <c r="Q894" s="1"/>
      <c r="R894" s="1"/>
      <c r="S894" s="1"/>
      <c r="T894" s="1"/>
      <c r="U894" s="1"/>
      <c r="V894" s="1"/>
      <c r="W894" s="1"/>
      <c r="X894" s="1"/>
      <c r="Y894" s="1"/>
      <c r="Z894" s="1"/>
    </row>
    <row r="895" spans="1:26" ht="12.75" customHeight="1" x14ac:dyDescent="0.25">
      <c r="A895" s="1"/>
      <c r="B895" s="1"/>
      <c r="C895" s="3"/>
      <c r="D895" s="3"/>
      <c r="E895" s="5"/>
      <c r="F895" s="5"/>
      <c r="G895" s="3"/>
      <c r="H895" s="5"/>
      <c r="I895" s="1"/>
      <c r="J895" s="7"/>
      <c r="K895" s="1"/>
      <c r="L895" s="1"/>
      <c r="M895" s="1"/>
      <c r="N895" s="1"/>
      <c r="O895" s="1"/>
      <c r="P895" s="1"/>
      <c r="Q895" s="1"/>
      <c r="R895" s="1"/>
      <c r="S895" s="1"/>
      <c r="T895" s="1"/>
      <c r="U895" s="1"/>
      <c r="V895" s="1"/>
      <c r="W895" s="1"/>
      <c r="X895" s="1"/>
      <c r="Y895" s="1"/>
      <c r="Z895" s="1"/>
    </row>
    <row r="896" spans="1:26" ht="12.75" customHeight="1" x14ac:dyDescent="0.25">
      <c r="A896" s="1"/>
      <c r="B896" s="1"/>
      <c r="C896" s="3"/>
      <c r="D896" s="3"/>
      <c r="E896" s="5"/>
      <c r="F896" s="5"/>
      <c r="G896" s="3"/>
      <c r="H896" s="5"/>
      <c r="I896" s="1"/>
      <c r="J896" s="7"/>
      <c r="K896" s="1"/>
      <c r="L896" s="1"/>
      <c r="M896" s="1"/>
      <c r="N896" s="1"/>
      <c r="O896" s="1"/>
      <c r="P896" s="1"/>
      <c r="Q896" s="1"/>
      <c r="R896" s="1"/>
      <c r="S896" s="1"/>
      <c r="T896" s="1"/>
      <c r="U896" s="1"/>
      <c r="V896" s="1"/>
      <c r="W896" s="1"/>
      <c r="X896" s="1"/>
      <c r="Y896" s="1"/>
      <c r="Z896" s="1"/>
    </row>
    <row r="897" spans="1:26" ht="12.75" customHeight="1" x14ac:dyDescent="0.25">
      <c r="A897" s="1"/>
      <c r="B897" s="1"/>
      <c r="C897" s="3"/>
      <c r="D897" s="3"/>
      <c r="E897" s="5"/>
      <c r="F897" s="5"/>
      <c r="G897" s="3"/>
      <c r="H897" s="5"/>
      <c r="I897" s="1"/>
      <c r="J897" s="7"/>
      <c r="K897" s="1"/>
      <c r="L897" s="1"/>
      <c r="M897" s="1"/>
      <c r="N897" s="1"/>
      <c r="O897" s="1"/>
      <c r="P897" s="1"/>
      <c r="Q897" s="1"/>
      <c r="R897" s="1"/>
      <c r="S897" s="1"/>
      <c r="T897" s="1"/>
      <c r="U897" s="1"/>
      <c r="V897" s="1"/>
      <c r="W897" s="1"/>
      <c r="X897" s="1"/>
      <c r="Y897" s="1"/>
      <c r="Z897" s="1"/>
    </row>
    <row r="898" spans="1:26" ht="12.75" customHeight="1" x14ac:dyDescent="0.25">
      <c r="A898" s="1"/>
      <c r="B898" s="1"/>
      <c r="C898" s="3"/>
      <c r="D898" s="3"/>
      <c r="E898" s="5"/>
      <c r="F898" s="5"/>
      <c r="G898" s="3"/>
      <c r="H898" s="5"/>
      <c r="I898" s="1"/>
      <c r="J898" s="7"/>
      <c r="K898" s="1"/>
      <c r="L898" s="1"/>
      <c r="M898" s="1"/>
      <c r="N898" s="1"/>
      <c r="O898" s="1"/>
      <c r="P898" s="1"/>
      <c r="Q898" s="1"/>
      <c r="R898" s="1"/>
      <c r="S898" s="1"/>
      <c r="T898" s="1"/>
      <c r="U898" s="1"/>
      <c r="V898" s="1"/>
      <c r="W898" s="1"/>
      <c r="X898" s="1"/>
      <c r="Y898" s="1"/>
      <c r="Z898" s="1"/>
    </row>
    <row r="899" spans="1:26" ht="12.75" customHeight="1" x14ac:dyDescent="0.25">
      <c r="A899" s="1"/>
      <c r="B899" s="1"/>
      <c r="C899" s="3"/>
      <c r="D899" s="3"/>
      <c r="E899" s="5"/>
      <c r="F899" s="5"/>
      <c r="G899" s="3"/>
      <c r="H899" s="5"/>
      <c r="I899" s="1"/>
      <c r="J899" s="7"/>
      <c r="K899" s="1"/>
      <c r="L899" s="1"/>
      <c r="M899" s="1"/>
      <c r="N899" s="1"/>
      <c r="O899" s="1"/>
      <c r="P899" s="1"/>
      <c r="Q899" s="1"/>
      <c r="R899" s="1"/>
      <c r="S899" s="1"/>
      <c r="T899" s="1"/>
      <c r="U899" s="1"/>
      <c r="V899" s="1"/>
      <c r="W899" s="1"/>
      <c r="X899" s="1"/>
      <c r="Y899" s="1"/>
      <c r="Z899" s="1"/>
    </row>
    <row r="900" spans="1:26" ht="12.75" customHeight="1" x14ac:dyDescent="0.25">
      <c r="A900" s="1"/>
      <c r="B900" s="1"/>
      <c r="C900" s="3"/>
      <c r="D900" s="3"/>
      <c r="E900" s="5"/>
      <c r="F900" s="5"/>
      <c r="G900" s="3"/>
      <c r="H900" s="5"/>
      <c r="I900" s="1"/>
      <c r="J900" s="7"/>
      <c r="K900" s="1"/>
      <c r="L900" s="1"/>
      <c r="M900" s="1"/>
      <c r="N900" s="1"/>
      <c r="O900" s="1"/>
      <c r="P900" s="1"/>
      <c r="Q900" s="1"/>
      <c r="R900" s="1"/>
      <c r="S900" s="1"/>
      <c r="T900" s="1"/>
      <c r="U900" s="1"/>
      <c r="V900" s="1"/>
      <c r="W900" s="1"/>
      <c r="X900" s="1"/>
      <c r="Y900" s="1"/>
      <c r="Z900" s="1"/>
    </row>
    <row r="901" spans="1:26" ht="12.75" customHeight="1" x14ac:dyDescent="0.25">
      <c r="A901" s="1"/>
      <c r="B901" s="1"/>
      <c r="C901" s="3"/>
      <c r="D901" s="3"/>
      <c r="E901" s="5"/>
      <c r="F901" s="5"/>
      <c r="G901" s="3"/>
      <c r="H901" s="5"/>
      <c r="I901" s="1"/>
      <c r="J901" s="7"/>
      <c r="K901" s="1"/>
      <c r="L901" s="1"/>
      <c r="M901" s="1"/>
      <c r="N901" s="1"/>
      <c r="O901" s="1"/>
      <c r="P901" s="1"/>
      <c r="Q901" s="1"/>
      <c r="R901" s="1"/>
      <c r="S901" s="1"/>
      <c r="T901" s="1"/>
      <c r="U901" s="1"/>
      <c r="V901" s="1"/>
      <c r="W901" s="1"/>
      <c r="X901" s="1"/>
      <c r="Y901" s="1"/>
      <c r="Z901" s="1"/>
    </row>
    <row r="902" spans="1:26" ht="12.75" customHeight="1" x14ac:dyDescent="0.25">
      <c r="A902" s="1"/>
      <c r="B902" s="1"/>
      <c r="C902" s="3"/>
      <c r="D902" s="3"/>
      <c r="E902" s="5"/>
      <c r="F902" s="5"/>
      <c r="G902" s="3"/>
      <c r="H902" s="5"/>
      <c r="I902" s="1"/>
      <c r="J902" s="7"/>
      <c r="K902" s="1"/>
      <c r="L902" s="1"/>
      <c r="M902" s="1"/>
      <c r="N902" s="1"/>
      <c r="O902" s="1"/>
      <c r="P902" s="1"/>
      <c r="Q902" s="1"/>
      <c r="R902" s="1"/>
      <c r="S902" s="1"/>
      <c r="T902" s="1"/>
      <c r="U902" s="1"/>
      <c r="V902" s="1"/>
      <c r="W902" s="1"/>
      <c r="X902" s="1"/>
      <c r="Y902" s="1"/>
      <c r="Z902" s="1"/>
    </row>
    <row r="903" spans="1:26" ht="12.75" customHeight="1" x14ac:dyDescent="0.25">
      <c r="A903" s="1"/>
      <c r="B903" s="1"/>
      <c r="C903" s="3"/>
      <c r="D903" s="3"/>
      <c r="E903" s="5"/>
      <c r="F903" s="5"/>
      <c r="G903" s="3"/>
      <c r="H903" s="5"/>
      <c r="I903" s="1"/>
      <c r="J903" s="7"/>
      <c r="K903" s="1"/>
      <c r="L903" s="1"/>
      <c r="M903" s="1"/>
      <c r="N903" s="1"/>
      <c r="O903" s="1"/>
      <c r="P903" s="1"/>
      <c r="Q903" s="1"/>
      <c r="R903" s="1"/>
      <c r="S903" s="1"/>
      <c r="T903" s="1"/>
      <c r="U903" s="1"/>
      <c r="V903" s="1"/>
      <c r="W903" s="1"/>
      <c r="X903" s="1"/>
      <c r="Y903" s="1"/>
      <c r="Z903" s="1"/>
    </row>
    <row r="904" spans="1:26" ht="12.75" customHeight="1" x14ac:dyDescent="0.25">
      <c r="A904" s="1"/>
      <c r="B904" s="1"/>
      <c r="C904" s="3"/>
      <c r="D904" s="3"/>
      <c r="E904" s="5"/>
      <c r="F904" s="5"/>
      <c r="G904" s="3"/>
      <c r="H904" s="5"/>
      <c r="I904" s="1"/>
      <c r="J904" s="7"/>
      <c r="K904" s="1"/>
      <c r="L904" s="1"/>
      <c r="M904" s="1"/>
      <c r="N904" s="1"/>
      <c r="O904" s="1"/>
      <c r="P904" s="1"/>
      <c r="Q904" s="1"/>
      <c r="R904" s="1"/>
      <c r="S904" s="1"/>
      <c r="T904" s="1"/>
      <c r="U904" s="1"/>
      <c r="V904" s="1"/>
      <c r="W904" s="1"/>
      <c r="X904" s="1"/>
      <c r="Y904" s="1"/>
      <c r="Z904" s="1"/>
    </row>
    <row r="905" spans="1:26" ht="12.75" customHeight="1" x14ac:dyDescent="0.25">
      <c r="A905" s="1"/>
      <c r="B905" s="1"/>
      <c r="C905" s="3"/>
      <c r="D905" s="3"/>
      <c r="E905" s="5"/>
      <c r="F905" s="5"/>
      <c r="G905" s="3"/>
      <c r="H905" s="5"/>
      <c r="I905" s="1"/>
      <c r="J905" s="7"/>
      <c r="K905" s="1"/>
      <c r="L905" s="1"/>
      <c r="M905" s="1"/>
      <c r="N905" s="1"/>
      <c r="O905" s="1"/>
      <c r="P905" s="1"/>
      <c r="Q905" s="1"/>
      <c r="R905" s="1"/>
      <c r="S905" s="1"/>
      <c r="T905" s="1"/>
      <c r="U905" s="1"/>
      <c r="V905" s="1"/>
      <c r="W905" s="1"/>
      <c r="X905" s="1"/>
      <c r="Y905" s="1"/>
      <c r="Z905" s="1"/>
    </row>
    <row r="906" spans="1:26" ht="12.75" customHeight="1" x14ac:dyDescent="0.25">
      <c r="A906" s="1"/>
      <c r="B906" s="1"/>
      <c r="C906" s="3"/>
      <c r="D906" s="3"/>
      <c r="E906" s="5"/>
      <c r="F906" s="5"/>
      <c r="G906" s="3"/>
      <c r="H906" s="5"/>
      <c r="I906" s="1"/>
      <c r="J906" s="7"/>
      <c r="K906" s="1"/>
      <c r="L906" s="1"/>
      <c r="M906" s="1"/>
      <c r="N906" s="1"/>
      <c r="O906" s="1"/>
      <c r="P906" s="1"/>
      <c r="Q906" s="1"/>
      <c r="R906" s="1"/>
      <c r="S906" s="1"/>
      <c r="T906" s="1"/>
      <c r="U906" s="1"/>
      <c r="V906" s="1"/>
      <c r="W906" s="1"/>
      <c r="X906" s="1"/>
      <c r="Y906" s="1"/>
      <c r="Z906" s="1"/>
    </row>
    <row r="907" spans="1:26" ht="12.75" customHeight="1" x14ac:dyDescent="0.25">
      <c r="A907" s="1"/>
      <c r="B907" s="1"/>
      <c r="C907" s="3"/>
      <c r="D907" s="3"/>
      <c r="E907" s="5"/>
      <c r="F907" s="5"/>
      <c r="G907" s="3"/>
      <c r="H907" s="5"/>
      <c r="I907" s="1"/>
      <c r="J907" s="7"/>
      <c r="K907" s="1"/>
      <c r="L907" s="1"/>
      <c r="M907" s="1"/>
      <c r="N907" s="1"/>
      <c r="O907" s="1"/>
      <c r="P907" s="1"/>
      <c r="Q907" s="1"/>
      <c r="R907" s="1"/>
      <c r="S907" s="1"/>
      <c r="T907" s="1"/>
      <c r="U907" s="1"/>
      <c r="V907" s="1"/>
      <c r="W907" s="1"/>
      <c r="X907" s="1"/>
      <c r="Y907" s="1"/>
      <c r="Z907" s="1"/>
    </row>
    <row r="908" spans="1:26" ht="12.75" customHeight="1" x14ac:dyDescent="0.25">
      <c r="A908" s="1"/>
      <c r="B908" s="1"/>
      <c r="C908" s="3"/>
      <c r="D908" s="3"/>
      <c r="E908" s="5"/>
      <c r="F908" s="5"/>
      <c r="G908" s="3"/>
      <c r="H908" s="5"/>
      <c r="I908" s="1"/>
      <c r="J908" s="7"/>
      <c r="K908" s="1"/>
      <c r="L908" s="1"/>
      <c r="M908" s="1"/>
      <c r="N908" s="1"/>
      <c r="O908" s="1"/>
      <c r="P908" s="1"/>
      <c r="Q908" s="1"/>
      <c r="R908" s="1"/>
      <c r="S908" s="1"/>
      <c r="T908" s="1"/>
      <c r="U908" s="1"/>
      <c r="V908" s="1"/>
      <c r="W908" s="1"/>
      <c r="X908" s="1"/>
      <c r="Y908" s="1"/>
      <c r="Z908" s="1"/>
    </row>
    <row r="909" spans="1:26" ht="12.75" customHeight="1" x14ac:dyDescent="0.25">
      <c r="A909" s="1"/>
      <c r="B909" s="1"/>
      <c r="C909" s="3"/>
      <c r="D909" s="3"/>
      <c r="E909" s="5"/>
      <c r="F909" s="5"/>
      <c r="G909" s="3"/>
      <c r="H909" s="5"/>
      <c r="I909" s="1"/>
      <c r="J909" s="7"/>
      <c r="K909" s="1"/>
      <c r="L909" s="1"/>
      <c r="M909" s="1"/>
      <c r="N909" s="1"/>
      <c r="O909" s="1"/>
      <c r="P909" s="1"/>
      <c r="Q909" s="1"/>
      <c r="R909" s="1"/>
      <c r="S909" s="1"/>
      <c r="T909" s="1"/>
      <c r="U909" s="1"/>
      <c r="V909" s="1"/>
      <c r="W909" s="1"/>
      <c r="X909" s="1"/>
      <c r="Y909" s="1"/>
      <c r="Z909" s="1"/>
    </row>
    <row r="910" spans="1:26" ht="12.75" customHeight="1" x14ac:dyDescent="0.25">
      <c r="A910" s="1"/>
      <c r="B910" s="1"/>
      <c r="C910" s="3"/>
      <c r="D910" s="3"/>
      <c r="E910" s="5"/>
      <c r="F910" s="5"/>
      <c r="G910" s="3"/>
      <c r="H910" s="5"/>
      <c r="I910" s="1"/>
      <c r="J910" s="7"/>
      <c r="K910" s="1"/>
      <c r="L910" s="1"/>
      <c r="M910" s="1"/>
      <c r="N910" s="1"/>
      <c r="O910" s="1"/>
      <c r="P910" s="1"/>
      <c r="Q910" s="1"/>
      <c r="R910" s="1"/>
      <c r="S910" s="1"/>
      <c r="T910" s="1"/>
      <c r="U910" s="1"/>
      <c r="V910" s="1"/>
      <c r="W910" s="1"/>
      <c r="X910" s="1"/>
      <c r="Y910" s="1"/>
      <c r="Z910" s="1"/>
    </row>
    <row r="911" spans="1:26" ht="12.75" customHeight="1" x14ac:dyDescent="0.25">
      <c r="A911" s="1"/>
      <c r="B911" s="1"/>
      <c r="C911" s="3"/>
      <c r="D911" s="3"/>
      <c r="E911" s="5"/>
      <c r="F911" s="5"/>
      <c r="G911" s="3"/>
      <c r="H911" s="5"/>
      <c r="I911" s="1"/>
      <c r="J911" s="7"/>
      <c r="K911" s="1"/>
      <c r="L911" s="1"/>
      <c r="M911" s="1"/>
      <c r="N911" s="1"/>
      <c r="O911" s="1"/>
      <c r="P911" s="1"/>
      <c r="Q911" s="1"/>
      <c r="R911" s="1"/>
      <c r="S911" s="1"/>
      <c r="T911" s="1"/>
      <c r="U911" s="1"/>
      <c r="V911" s="1"/>
      <c r="W911" s="1"/>
      <c r="X911" s="1"/>
      <c r="Y911" s="1"/>
      <c r="Z911" s="1"/>
    </row>
    <row r="912" spans="1:26" ht="12.75" customHeight="1" x14ac:dyDescent="0.25">
      <c r="A912" s="1"/>
      <c r="B912" s="1"/>
      <c r="C912" s="3"/>
      <c r="D912" s="3"/>
      <c r="E912" s="5"/>
      <c r="F912" s="5"/>
      <c r="G912" s="3"/>
      <c r="H912" s="5"/>
      <c r="I912" s="1"/>
      <c r="J912" s="7"/>
      <c r="K912" s="1"/>
      <c r="L912" s="1"/>
      <c r="M912" s="1"/>
      <c r="N912" s="1"/>
      <c r="O912" s="1"/>
      <c r="P912" s="1"/>
      <c r="Q912" s="1"/>
      <c r="R912" s="1"/>
      <c r="S912" s="1"/>
      <c r="T912" s="1"/>
      <c r="U912" s="1"/>
      <c r="V912" s="1"/>
      <c r="W912" s="1"/>
      <c r="X912" s="1"/>
      <c r="Y912" s="1"/>
      <c r="Z912" s="1"/>
    </row>
    <row r="913" spans="1:26" ht="12.75" customHeight="1" x14ac:dyDescent="0.25">
      <c r="A913" s="1"/>
      <c r="B913" s="1"/>
      <c r="C913" s="3"/>
      <c r="D913" s="3"/>
      <c r="E913" s="5"/>
      <c r="F913" s="5"/>
      <c r="G913" s="3"/>
      <c r="H913" s="5"/>
      <c r="I913" s="1"/>
      <c r="J913" s="7"/>
      <c r="K913" s="1"/>
      <c r="L913" s="1"/>
      <c r="M913" s="1"/>
      <c r="N913" s="1"/>
      <c r="O913" s="1"/>
      <c r="P913" s="1"/>
      <c r="Q913" s="1"/>
      <c r="R913" s="1"/>
      <c r="S913" s="1"/>
      <c r="T913" s="1"/>
      <c r="U913" s="1"/>
      <c r="V913" s="1"/>
      <c r="W913" s="1"/>
      <c r="X913" s="1"/>
      <c r="Y913" s="1"/>
      <c r="Z913" s="1"/>
    </row>
    <row r="914" spans="1:26" ht="12.75" customHeight="1" x14ac:dyDescent="0.25">
      <c r="A914" s="1"/>
      <c r="B914" s="1"/>
      <c r="C914" s="3"/>
      <c r="D914" s="3"/>
      <c r="E914" s="5"/>
      <c r="F914" s="5"/>
      <c r="G914" s="3"/>
      <c r="H914" s="5"/>
      <c r="I914" s="1"/>
      <c r="J914" s="7"/>
      <c r="K914" s="1"/>
      <c r="L914" s="1"/>
      <c r="M914" s="1"/>
      <c r="N914" s="1"/>
      <c r="O914" s="1"/>
      <c r="P914" s="1"/>
      <c r="Q914" s="1"/>
      <c r="R914" s="1"/>
      <c r="S914" s="1"/>
      <c r="T914" s="1"/>
      <c r="U914" s="1"/>
      <c r="V914" s="1"/>
      <c r="W914" s="1"/>
      <c r="X914" s="1"/>
      <c r="Y914" s="1"/>
      <c r="Z914" s="1"/>
    </row>
    <row r="915" spans="1:26" ht="12.75" customHeight="1" x14ac:dyDescent="0.25">
      <c r="A915" s="1"/>
      <c r="B915" s="1"/>
      <c r="C915" s="3"/>
      <c r="D915" s="3"/>
      <c r="E915" s="5"/>
      <c r="F915" s="5"/>
      <c r="G915" s="3"/>
      <c r="H915" s="5"/>
      <c r="I915" s="1"/>
      <c r="J915" s="7"/>
      <c r="K915" s="1"/>
      <c r="L915" s="1"/>
      <c r="M915" s="1"/>
      <c r="N915" s="1"/>
      <c r="O915" s="1"/>
      <c r="P915" s="1"/>
      <c r="Q915" s="1"/>
      <c r="R915" s="1"/>
      <c r="S915" s="1"/>
      <c r="T915" s="1"/>
      <c r="U915" s="1"/>
      <c r="V915" s="1"/>
      <c r="W915" s="1"/>
      <c r="X915" s="1"/>
      <c r="Y915" s="1"/>
      <c r="Z915" s="1"/>
    </row>
    <row r="916" spans="1:26" ht="12.75" customHeight="1" x14ac:dyDescent="0.25">
      <c r="A916" s="1"/>
      <c r="B916" s="1"/>
      <c r="C916" s="3"/>
      <c r="D916" s="3"/>
      <c r="E916" s="5"/>
      <c r="F916" s="5"/>
      <c r="G916" s="3"/>
      <c r="H916" s="5"/>
      <c r="I916" s="1"/>
      <c r="J916" s="7"/>
      <c r="K916" s="1"/>
      <c r="L916" s="1"/>
      <c r="M916" s="1"/>
      <c r="N916" s="1"/>
      <c r="O916" s="1"/>
      <c r="P916" s="1"/>
      <c r="Q916" s="1"/>
      <c r="R916" s="1"/>
      <c r="S916" s="1"/>
      <c r="T916" s="1"/>
      <c r="U916" s="1"/>
      <c r="V916" s="1"/>
      <c r="W916" s="1"/>
      <c r="X916" s="1"/>
      <c r="Y916" s="1"/>
      <c r="Z916" s="1"/>
    </row>
    <row r="917" spans="1:26" ht="12.75" customHeight="1" x14ac:dyDescent="0.25">
      <c r="A917" s="1"/>
      <c r="B917" s="1"/>
      <c r="C917" s="3"/>
      <c r="D917" s="3"/>
      <c r="E917" s="5"/>
      <c r="F917" s="5"/>
      <c r="G917" s="3"/>
      <c r="H917" s="5"/>
      <c r="I917" s="1"/>
      <c r="J917" s="7"/>
      <c r="K917" s="1"/>
      <c r="L917" s="1"/>
      <c r="M917" s="1"/>
      <c r="N917" s="1"/>
      <c r="O917" s="1"/>
      <c r="P917" s="1"/>
      <c r="Q917" s="1"/>
      <c r="R917" s="1"/>
      <c r="S917" s="1"/>
      <c r="T917" s="1"/>
      <c r="U917" s="1"/>
      <c r="V917" s="1"/>
      <c r="W917" s="1"/>
      <c r="X917" s="1"/>
      <c r="Y917" s="1"/>
      <c r="Z917" s="1"/>
    </row>
    <row r="918" spans="1:26" ht="12.75" customHeight="1" x14ac:dyDescent="0.25">
      <c r="A918" s="1"/>
      <c r="B918" s="1"/>
      <c r="C918" s="3"/>
      <c r="D918" s="3"/>
      <c r="E918" s="5"/>
      <c r="F918" s="5"/>
      <c r="G918" s="3"/>
      <c r="H918" s="5"/>
      <c r="I918" s="1"/>
      <c r="J918" s="7"/>
      <c r="K918" s="1"/>
      <c r="L918" s="1"/>
      <c r="M918" s="1"/>
      <c r="N918" s="1"/>
      <c r="O918" s="1"/>
      <c r="P918" s="1"/>
      <c r="Q918" s="1"/>
      <c r="R918" s="1"/>
      <c r="S918" s="1"/>
      <c r="T918" s="1"/>
      <c r="U918" s="1"/>
      <c r="V918" s="1"/>
      <c r="W918" s="1"/>
      <c r="X918" s="1"/>
      <c r="Y918" s="1"/>
      <c r="Z918" s="1"/>
    </row>
    <row r="919" spans="1:26" ht="12.75" customHeight="1" x14ac:dyDescent="0.25">
      <c r="A919" s="1"/>
      <c r="B919" s="1"/>
      <c r="C919" s="3"/>
      <c r="D919" s="3"/>
      <c r="E919" s="5"/>
      <c r="F919" s="5"/>
      <c r="G919" s="3"/>
      <c r="H919" s="5"/>
      <c r="I919" s="1"/>
      <c r="J919" s="7"/>
      <c r="K919" s="1"/>
      <c r="L919" s="1"/>
      <c r="M919" s="1"/>
      <c r="N919" s="1"/>
      <c r="O919" s="1"/>
      <c r="P919" s="1"/>
      <c r="Q919" s="1"/>
      <c r="R919" s="1"/>
      <c r="S919" s="1"/>
      <c r="T919" s="1"/>
      <c r="U919" s="1"/>
      <c r="V919" s="1"/>
      <c r="W919" s="1"/>
      <c r="X919" s="1"/>
      <c r="Y919" s="1"/>
      <c r="Z919" s="1"/>
    </row>
    <row r="920" spans="1:26" ht="12.75" customHeight="1" x14ac:dyDescent="0.25">
      <c r="A920" s="1"/>
      <c r="B920" s="1"/>
      <c r="C920" s="3"/>
      <c r="D920" s="3"/>
      <c r="E920" s="5"/>
      <c r="F920" s="5"/>
      <c r="G920" s="3"/>
      <c r="H920" s="5"/>
      <c r="I920" s="1"/>
      <c r="J920" s="7"/>
      <c r="K920" s="1"/>
      <c r="L920" s="1"/>
      <c r="M920" s="1"/>
      <c r="N920" s="1"/>
      <c r="O920" s="1"/>
      <c r="P920" s="1"/>
      <c r="Q920" s="1"/>
      <c r="R920" s="1"/>
      <c r="S920" s="1"/>
      <c r="T920" s="1"/>
      <c r="U920" s="1"/>
      <c r="V920" s="1"/>
      <c r="W920" s="1"/>
      <c r="X920" s="1"/>
      <c r="Y920" s="1"/>
      <c r="Z920" s="1"/>
    </row>
    <row r="921" spans="1:26" ht="12.75" customHeight="1" x14ac:dyDescent="0.25">
      <c r="A921" s="1"/>
      <c r="B921" s="1"/>
      <c r="C921" s="3"/>
      <c r="D921" s="3"/>
      <c r="E921" s="5"/>
      <c r="F921" s="5"/>
      <c r="G921" s="3"/>
      <c r="H921" s="5"/>
      <c r="I921" s="1"/>
      <c r="J921" s="7"/>
      <c r="K921" s="1"/>
      <c r="L921" s="1"/>
      <c r="M921" s="1"/>
      <c r="N921" s="1"/>
      <c r="O921" s="1"/>
      <c r="P921" s="1"/>
      <c r="Q921" s="1"/>
      <c r="R921" s="1"/>
      <c r="S921" s="1"/>
      <c r="T921" s="1"/>
      <c r="U921" s="1"/>
      <c r="V921" s="1"/>
      <c r="W921" s="1"/>
      <c r="X921" s="1"/>
      <c r="Y921" s="1"/>
      <c r="Z921" s="1"/>
    </row>
    <row r="922" spans="1:26" ht="12.75" customHeight="1" x14ac:dyDescent="0.25">
      <c r="A922" s="1"/>
      <c r="B922" s="1"/>
      <c r="C922" s="3"/>
      <c r="D922" s="3"/>
      <c r="E922" s="5"/>
      <c r="F922" s="5"/>
      <c r="G922" s="3"/>
      <c r="H922" s="5"/>
      <c r="I922" s="1"/>
      <c r="J922" s="7"/>
      <c r="K922" s="1"/>
      <c r="L922" s="1"/>
      <c r="M922" s="1"/>
      <c r="N922" s="1"/>
      <c r="O922" s="1"/>
      <c r="P922" s="1"/>
      <c r="Q922" s="1"/>
      <c r="R922" s="1"/>
      <c r="S922" s="1"/>
      <c r="T922" s="1"/>
      <c r="U922" s="1"/>
      <c r="V922" s="1"/>
      <c r="W922" s="1"/>
      <c r="X922" s="1"/>
      <c r="Y922" s="1"/>
      <c r="Z922" s="1"/>
    </row>
    <row r="923" spans="1:26" ht="12.75" customHeight="1" x14ac:dyDescent="0.25">
      <c r="A923" s="1"/>
      <c r="B923" s="1"/>
      <c r="C923" s="3"/>
      <c r="D923" s="3"/>
      <c r="E923" s="5"/>
      <c r="F923" s="5"/>
      <c r="G923" s="3"/>
      <c r="H923" s="5"/>
      <c r="I923" s="1"/>
      <c r="J923" s="7"/>
      <c r="K923" s="1"/>
      <c r="L923" s="1"/>
      <c r="M923" s="1"/>
      <c r="N923" s="1"/>
      <c r="O923" s="1"/>
      <c r="P923" s="1"/>
      <c r="Q923" s="1"/>
      <c r="R923" s="1"/>
      <c r="S923" s="1"/>
      <c r="T923" s="1"/>
      <c r="U923" s="1"/>
      <c r="V923" s="1"/>
      <c r="W923" s="1"/>
      <c r="X923" s="1"/>
      <c r="Y923" s="1"/>
      <c r="Z923" s="1"/>
    </row>
    <row r="924" spans="1:26" ht="12.75" customHeight="1" x14ac:dyDescent="0.25">
      <c r="A924" s="1"/>
      <c r="B924" s="1"/>
      <c r="C924" s="3"/>
      <c r="D924" s="3"/>
      <c r="E924" s="5"/>
      <c r="F924" s="5"/>
      <c r="G924" s="3"/>
      <c r="H924" s="5"/>
      <c r="I924" s="1"/>
      <c r="J924" s="7"/>
      <c r="K924" s="1"/>
      <c r="L924" s="1"/>
      <c r="M924" s="1"/>
      <c r="N924" s="1"/>
      <c r="O924" s="1"/>
      <c r="P924" s="1"/>
      <c r="Q924" s="1"/>
      <c r="R924" s="1"/>
      <c r="S924" s="1"/>
      <c r="T924" s="1"/>
      <c r="U924" s="1"/>
      <c r="V924" s="1"/>
      <c r="W924" s="1"/>
      <c r="X924" s="1"/>
      <c r="Y924" s="1"/>
      <c r="Z924" s="1"/>
    </row>
    <row r="925" spans="1:26" ht="12.75" customHeight="1" x14ac:dyDescent="0.25">
      <c r="A925" s="1"/>
      <c r="B925" s="1"/>
      <c r="C925" s="3"/>
      <c r="D925" s="3"/>
      <c r="E925" s="5"/>
      <c r="F925" s="5"/>
      <c r="G925" s="3"/>
      <c r="H925" s="5"/>
      <c r="I925" s="1"/>
      <c r="J925" s="7"/>
      <c r="K925" s="1"/>
      <c r="L925" s="1"/>
      <c r="M925" s="1"/>
      <c r="N925" s="1"/>
      <c r="O925" s="1"/>
      <c r="P925" s="1"/>
      <c r="Q925" s="1"/>
      <c r="R925" s="1"/>
      <c r="S925" s="1"/>
      <c r="T925" s="1"/>
      <c r="U925" s="1"/>
      <c r="V925" s="1"/>
      <c r="W925" s="1"/>
      <c r="X925" s="1"/>
      <c r="Y925" s="1"/>
      <c r="Z925" s="1"/>
    </row>
    <row r="926" spans="1:26" ht="12.75" customHeight="1" x14ac:dyDescent="0.25">
      <c r="A926" s="1"/>
      <c r="B926" s="1"/>
      <c r="C926" s="3"/>
      <c r="D926" s="3"/>
      <c r="E926" s="5"/>
      <c r="F926" s="5"/>
      <c r="G926" s="3"/>
      <c r="H926" s="5"/>
      <c r="I926" s="1"/>
      <c r="J926" s="7"/>
      <c r="K926" s="1"/>
      <c r="L926" s="1"/>
      <c r="M926" s="1"/>
      <c r="N926" s="1"/>
      <c r="O926" s="1"/>
      <c r="P926" s="1"/>
      <c r="Q926" s="1"/>
      <c r="R926" s="1"/>
      <c r="S926" s="1"/>
      <c r="T926" s="1"/>
      <c r="U926" s="1"/>
      <c r="V926" s="1"/>
      <c r="W926" s="1"/>
      <c r="X926" s="1"/>
      <c r="Y926" s="1"/>
      <c r="Z926" s="1"/>
    </row>
    <row r="927" spans="1:26" ht="12.75" customHeight="1" x14ac:dyDescent="0.25">
      <c r="A927" s="1"/>
      <c r="B927" s="1"/>
      <c r="C927" s="3"/>
      <c r="D927" s="3"/>
      <c r="E927" s="5"/>
      <c r="F927" s="5"/>
      <c r="G927" s="3"/>
      <c r="H927" s="5"/>
      <c r="I927" s="1"/>
      <c r="J927" s="7"/>
      <c r="K927" s="1"/>
      <c r="L927" s="1"/>
      <c r="M927" s="1"/>
      <c r="N927" s="1"/>
      <c r="O927" s="1"/>
      <c r="P927" s="1"/>
      <c r="Q927" s="1"/>
      <c r="R927" s="1"/>
      <c r="S927" s="1"/>
      <c r="T927" s="1"/>
      <c r="U927" s="1"/>
      <c r="V927" s="1"/>
      <c r="W927" s="1"/>
      <c r="X927" s="1"/>
      <c r="Y927" s="1"/>
      <c r="Z927" s="1"/>
    </row>
    <row r="928" spans="1:26" ht="12.75" customHeight="1" x14ac:dyDescent="0.25">
      <c r="A928" s="1"/>
      <c r="B928" s="1"/>
      <c r="C928" s="3"/>
      <c r="D928" s="3"/>
      <c r="E928" s="5"/>
      <c r="F928" s="5"/>
      <c r="G928" s="3"/>
      <c r="H928" s="5"/>
      <c r="I928" s="1"/>
      <c r="J928" s="7"/>
      <c r="K928" s="1"/>
      <c r="L928" s="1"/>
      <c r="M928" s="1"/>
      <c r="N928" s="1"/>
      <c r="O928" s="1"/>
      <c r="P928" s="1"/>
      <c r="Q928" s="1"/>
      <c r="R928" s="1"/>
      <c r="S928" s="1"/>
      <c r="T928" s="1"/>
      <c r="U928" s="1"/>
      <c r="V928" s="1"/>
      <c r="W928" s="1"/>
      <c r="X928" s="1"/>
      <c r="Y928" s="1"/>
      <c r="Z928" s="1"/>
    </row>
    <row r="929" spans="1:26" ht="12.75" customHeight="1" x14ac:dyDescent="0.25">
      <c r="A929" s="1"/>
      <c r="B929" s="1"/>
      <c r="C929" s="3"/>
      <c r="D929" s="3"/>
      <c r="E929" s="5"/>
      <c r="F929" s="5"/>
      <c r="G929" s="3"/>
      <c r="H929" s="5"/>
      <c r="I929" s="1"/>
      <c r="J929" s="7"/>
      <c r="K929" s="1"/>
      <c r="L929" s="1"/>
      <c r="M929" s="1"/>
      <c r="N929" s="1"/>
      <c r="O929" s="1"/>
      <c r="P929" s="1"/>
      <c r="Q929" s="1"/>
      <c r="R929" s="1"/>
      <c r="S929" s="1"/>
      <c r="T929" s="1"/>
      <c r="U929" s="1"/>
      <c r="V929" s="1"/>
      <c r="W929" s="1"/>
      <c r="X929" s="1"/>
      <c r="Y929" s="1"/>
      <c r="Z929" s="1"/>
    </row>
    <row r="930" spans="1:26" ht="12.75" customHeight="1" x14ac:dyDescent="0.25">
      <c r="A930" s="1"/>
      <c r="B930" s="1"/>
      <c r="C930" s="3"/>
      <c r="D930" s="3"/>
      <c r="E930" s="5"/>
      <c r="F930" s="5"/>
      <c r="G930" s="3"/>
      <c r="H930" s="5"/>
      <c r="I930" s="1"/>
      <c r="J930" s="7"/>
      <c r="K930" s="1"/>
      <c r="L930" s="1"/>
      <c r="M930" s="1"/>
      <c r="N930" s="1"/>
      <c r="O930" s="1"/>
      <c r="P930" s="1"/>
      <c r="Q930" s="1"/>
      <c r="R930" s="1"/>
      <c r="S930" s="1"/>
      <c r="T930" s="1"/>
      <c r="U930" s="1"/>
      <c r="V930" s="1"/>
      <c r="W930" s="1"/>
      <c r="X930" s="1"/>
      <c r="Y930" s="1"/>
      <c r="Z930" s="1"/>
    </row>
    <row r="931" spans="1:26" ht="12.75" customHeight="1" x14ac:dyDescent="0.25">
      <c r="A931" s="1"/>
      <c r="B931" s="1"/>
      <c r="C931" s="3"/>
      <c r="D931" s="3"/>
      <c r="E931" s="5"/>
      <c r="F931" s="5"/>
      <c r="G931" s="3"/>
      <c r="H931" s="5"/>
      <c r="I931" s="1"/>
      <c r="J931" s="7"/>
      <c r="K931" s="1"/>
      <c r="L931" s="1"/>
      <c r="M931" s="1"/>
      <c r="N931" s="1"/>
      <c r="O931" s="1"/>
      <c r="P931" s="1"/>
      <c r="Q931" s="1"/>
      <c r="R931" s="1"/>
      <c r="S931" s="1"/>
      <c r="T931" s="1"/>
      <c r="U931" s="1"/>
      <c r="V931" s="1"/>
      <c r="W931" s="1"/>
      <c r="X931" s="1"/>
      <c r="Y931" s="1"/>
      <c r="Z931" s="1"/>
    </row>
    <row r="932" spans="1:26" ht="12.75" customHeight="1" x14ac:dyDescent="0.25">
      <c r="A932" s="1"/>
      <c r="B932" s="1"/>
      <c r="C932" s="3"/>
      <c r="D932" s="3"/>
      <c r="E932" s="5"/>
      <c r="F932" s="5"/>
      <c r="G932" s="3"/>
      <c r="H932" s="5"/>
      <c r="I932" s="1"/>
      <c r="J932" s="7"/>
      <c r="K932" s="1"/>
      <c r="L932" s="1"/>
      <c r="M932" s="1"/>
      <c r="N932" s="1"/>
      <c r="O932" s="1"/>
      <c r="P932" s="1"/>
      <c r="Q932" s="1"/>
      <c r="R932" s="1"/>
      <c r="S932" s="1"/>
      <c r="T932" s="1"/>
      <c r="U932" s="1"/>
      <c r="V932" s="1"/>
      <c r="W932" s="1"/>
      <c r="X932" s="1"/>
      <c r="Y932" s="1"/>
      <c r="Z932" s="1"/>
    </row>
    <row r="933" spans="1:26" ht="12.75" customHeight="1" x14ac:dyDescent="0.25">
      <c r="A933" s="1"/>
      <c r="B933" s="1"/>
      <c r="C933" s="3"/>
      <c r="D933" s="3"/>
      <c r="E933" s="5"/>
      <c r="F933" s="5"/>
      <c r="G933" s="3"/>
      <c r="H933" s="5"/>
      <c r="I933" s="1"/>
      <c r="J933" s="7"/>
      <c r="K933" s="1"/>
      <c r="L933" s="1"/>
      <c r="M933" s="1"/>
      <c r="N933" s="1"/>
      <c r="O933" s="1"/>
      <c r="P933" s="1"/>
      <c r="Q933" s="1"/>
      <c r="R933" s="1"/>
      <c r="S933" s="1"/>
      <c r="T933" s="1"/>
      <c r="U933" s="1"/>
      <c r="V933" s="1"/>
      <c r="W933" s="1"/>
      <c r="X933" s="1"/>
      <c r="Y933" s="1"/>
      <c r="Z933" s="1"/>
    </row>
    <row r="934" spans="1:26" ht="12.75" customHeight="1" x14ac:dyDescent="0.25">
      <c r="A934" s="1"/>
      <c r="B934" s="1"/>
      <c r="C934" s="3"/>
      <c r="D934" s="3"/>
      <c r="E934" s="5"/>
      <c r="F934" s="5"/>
      <c r="G934" s="3"/>
      <c r="H934" s="5"/>
      <c r="I934" s="1"/>
      <c r="J934" s="7"/>
      <c r="K934" s="1"/>
      <c r="L934" s="1"/>
      <c r="M934" s="1"/>
      <c r="N934" s="1"/>
      <c r="O934" s="1"/>
      <c r="P934" s="1"/>
      <c r="Q934" s="1"/>
      <c r="R934" s="1"/>
      <c r="S934" s="1"/>
      <c r="T934" s="1"/>
      <c r="U934" s="1"/>
      <c r="V934" s="1"/>
      <c r="W934" s="1"/>
      <c r="X934" s="1"/>
      <c r="Y934" s="1"/>
      <c r="Z934" s="1"/>
    </row>
    <row r="935" spans="1:26" ht="12.75" customHeight="1" x14ac:dyDescent="0.25">
      <c r="A935" s="1"/>
      <c r="B935" s="1"/>
      <c r="C935" s="3"/>
      <c r="D935" s="3"/>
      <c r="E935" s="5"/>
      <c r="F935" s="5"/>
      <c r="G935" s="3"/>
      <c r="H935" s="5"/>
      <c r="I935" s="1"/>
      <c r="J935" s="7"/>
      <c r="K935" s="1"/>
      <c r="L935" s="1"/>
      <c r="M935" s="1"/>
      <c r="N935" s="1"/>
      <c r="O935" s="1"/>
      <c r="P935" s="1"/>
      <c r="Q935" s="1"/>
      <c r="R935" s="1"/>
      <c r="S935" s="1"/>
      <c r="T935" s="1"/>
      <c r="U935" s="1"/>
      <c r="V935" s="1"/>
      <c r="W935" s="1"/>
      <c r="X935" s="1"/>
      <c r="Y935" s="1"/>
      <c r="Z935" s="1"/>
    </row>
    <row r="936" spans="1:26" ht="12.75" customHeight="1" x14ac:dyDescent="0.25">
      <c r="A936" s="1"/>
      <c r="B936" s="1"/>
      <c r="C936" s="3"/>
      <c r="D936" s="3"/>
      <c r="E936" s="5"/>
      <c r="F936" s="5"/>
      <c r="G936" s="3"/>
      <c r="H936" s="5"/>
      <c r="I936" s="1"/>
      <c r="J936" s="7"/>
      <c r="K936" s="1"/>
      <c r="L936" s="1"/>
      <c r="M936" s="1"/>
      <c r="N936" s="1"/>
      <c r="O936" s="1"/>
      <c r="P936" s="1"/>
      <c r="Q936" s="1"/>
      <c r="R936" s="1"/>
      <c r="S936" s="1"/>
      <c r="T936" s="1"/>
      <c r="U936" s="1"/>
      <c r="V936" s="1"/>
      <c r="W936" s="1"/>
      <c r="X936" s="1"/>
      <c r="Y936" s="1"/>
      <c r="Z936" s="1"/>
    </row>
    <row r="937" spans="1:26" ht="12.75" customHeight="1" x14ac:dyDescent="0.25">
      <c r="A937" s="1"/>
      <c r="B937" s="1"/>
      <c r="C937" s="3"/>
      <c r="D937" s="3"/>
      <c r="E937" s="5"/>
      <c r="F937" s="5"/>
      <c r="G937" s="3"/>
      <c r="H937" s="5"/>
      <c r="I937" s="1"/>
      <c r="J937" s="7"/>
      <c r="K937" s="1"/>
      <c r="L937" s="1"/>
      <c r="M937" s="1"/>
      <c r="N937" s="1"/>
      <c r="O937" s="1"/>
      <c r="P937" s="1"/>
      <c r="Q937" s="1"/>
      <c r="R937" s="1"/>
      <c r="S937" s="1"/>
      <c r="T937" s="1"/>
      <c r="U937" s="1"/>
      <c r="V937" s="1"/>
      <c r="W937" s="1"/>
      <c r="X937" s="1"/>
      <c r="Y937" s="1"/>
      <c r="Z937" s="1"/>
    </row>
    <row r="938" spans="1:26" ht="12.75" customHeight="1" x14ac:dyDescent="0.25">
      <c r="A938" s="1"/>
      <c r="B938" s="1"/>
      <c r="C938" s="3"/>
      <c r="D938" s="3"/>
      <c r="E938" s="5"/>
      <c r="F938" s="5"/>
      <c r="G938" s="3"/>
      <c r="H938" s="5"/>
      <c r="I938" s="1"/>
      <c r="J938" s="7"/>
      <c r="K938" s="1"/>
      <c r="L938" s="1"/>
      <c r="M938" s="1"/>
      <c r="N938" s="1"/>
      <c r="O938" s="1"/>
      <c r="P938" s="1"/>
      <c r="Q938" s="1"/>
      <c r="R938" s="1"/>
      <c r="S938" s="1"/>
      <c r="T938" s="1"/>
      <c r="U938" s="1"/>
      <c r="V938" s="1"/>
      <c r="W938" s="1"/>
      <c r="X938" s="1"/>
      <c r="Y938" s="1"/>
      <c r="Z938" s="1"/>
    </row>
    <row r="939" spans="1:26" ht="12.75" customHeight="1" x14ac:dyDescent="0.25">
      <c r="A939" s="1"/>
      <c r="B939" s="1"/>
      <c r="C939" s="3"/>
      <c r="D939" s="3"/>
      <c r="E939" s="5"/>
      <c r="F939" s="5"/>
      <c r="G939" s="3"/>
      <c r="H939" s="5"/>
      <c r="I939" s="1"/>
      <c r="J939" s="7"/>
      <c r="K939" s="1"/>
      <c r="L939" s="1"/>
      <c r="M939" s="1"/>
      <c r="N939" s="1"/>
      <c r="O939" s="1"/>
      <c r="P939" s="1"/>
      <c r="Q939" s="1"/>
      <c r="R939" s="1"/>
      <c r="S939" s="1"/>
      <c r="T939" s="1"/>
      <c r="U939" s="1"/>
      <c r="V939" s="1"/>
      <c r="W939" s="1"/>
      <c r="X939" s="1"/>
      <c r="Y939" s="1"/>
      <c r="Z939" s="1"/>
    </row>
    <row r="940" spans="1:26" ht="12.75" customHeight="1" x14ac:dyDescent="0.25">
      <c r="A940" s="1"/>
      <c r="B940" s="1"/>
      <c r="C940" s="3"/>
      <c r="D940" s="3"/>
      <c r="E940" s="5"/>
      <c r="F940" s="5"/>
      <c r="G940" s="3"/>
      <c r="H940" s="5"/>
      <c r="I940" s="1"/>
      <c r="J940" s="7"/>
      <c r="K940" s="1"/>
      <c r="L940" s="1"/>
      <c r="M940" s="1"/>
      <c r="N940" s="1"/>
      <c r="O940" s="1"/>
      <c r="P940" s="1"/>
      <c r="Q940" s="1"/>
      <c r="R940" s="1"/>
      <c r="S940" s="1"/>
      <c r="T940" s="1"/>
      <c r="U940" s="1"/>
      <c r="V940" s="1"/>
      <c r="W940" s="1"/>
      <c r="X940" s="1"/>
      <c r="Y940" s="1"/>
      <c r="Z940" s="1"/>
    </row>
    <row r="941" spans="1:26" ht="12.75" customHeight="1" x14ac:dyDescent="0.25">
      <c r="A941" s="1"/>
      <c r="B941" s="1"/>
      <c r="C941" s="3"/>
      <c r="D941" s="3"/>
      <c r="E941" s="5"/>
      <c r="F941" s="5"/>
      <c r="G941" s="3"/>
      <c r="H941" s="5"/>
      <c r="I941" s="1"/>
      <c r="J941" s="7"/>
      <c r="K941" s="1"/>
      <c r="L941" s="1"/>
      <c r="M941" s="1"/>
      <c r="N941" s="1"/>
      <c r="O941" s="1"/>
      <c r="P941" s="1"/>
      <c r="Q941" s="1"/>
      <c r="R941" s="1"/>
      <c r="S941" s="1"/>
      <c r="T941" s="1"/>
      <c r="U941" s="1"/>
      <c r="V941" s="1"/>
      <c r="W941" s="1"/>
      <c r="X941" s="1"/>
      <c r="Y941" s="1"/>
      <c r="Z941" s="1"/>
    </row>
    <row r="942" spans="1:26" ht="12.75" customHeight="1" x14ac:dyDescent="0.25">
      <c r="A942" s="1"/>
      <c r="B942" s="1"/>
      <c r="C942" s="3"/>
      <c r="D942" s="3"/>
      <c r="E942" s="5"/>
      <c r="F942" s="5"/>
      <c r="G942" s="3"/>
      <c r="H942" s="5"/>
      <c r="I942" s="1"/>
      <c r="J942" s="7"/>
      <c r="K942" s="1"/>
      <c r="L942" s="1"/>
      <c r="M942" s="1"/>
      <c r="N942" s="1"/>
      <c r="O942" s="1"/>
      <c r="P942" s="1"/>
      <c r="Q942" s="1"/>
      <c r="R942" s="1"/>
      <c r="S942" s="1"/>
      <c r="T942" s="1"/>
      <c r="U942" s="1"/>
      <c r="V942" s="1"/>
      <c r="W942" s="1"/>
      <c r="X942" s="1"/>
      <c r="Y942" s="1"/>
      <c r="Z942" s="1"/>
    </row>
    <row r="943" spans="1:26" ht="12.75" customHeight="1" x14ac:dyDescent="0.25">
      <c r="A943" s="1"/>
      <c r="B943" s="1"/>
      <c r="C943" s="3"/>
      <c r="D943" s="3"/>
      <c r="E943" s="5"/>
      <c r="F943" s="5"/>
      <c r="G943" s="3"/>
      <c r="H943" s="5"/>
      <c r="I943" s="1"/>
      <c r="J943" s="7"/>
      <c r="K943" s="1"/>
      <c r="L943" s="1"/>
      <c r="M943" s="1"/>
      <c r="N943" s="1"/>
      <c r="O943" s="1"/>
      <c r="P943" s="1"/>
      <c r="Q943" s="1"/>
      <c r="R943" s="1"/>
      <c r="S943" s="1"/>
      <c r="T943" s="1"/>
      <c r="U943" s="1"/>
      <c r="V943" s="1"/>
      <c r="W943" s="1"/>
      <c r="X943" s="1"/>
      <c r="Y943" s="1"/>
      <c r="Z943" s="1"/>
    </row>
    <row r="944" spans="1:26" ht="12.75" customHeight="1" x14ac:dyDescent="0.25">
      <c r="A944" s="1"/>
      <c r="B944" s="1"/>
      <c r="C944" s="3"/>
      <c r="D944" s="3"/>
      <c r="E944" s="5"/>
      <c r="F944" s="5"/>
      <c r="G944" s="3"/>
      <c r="H944" s="5"/>
      <c r="I944" s="1"/>
      <c r="J944" s="7"/>
      <c r="K944" s="1"/>
      <c r="L944" s="1"/>
      <c r="M944" s="1"/>
      <c r="N944" s="1"/>
      <c r="O944" s="1"/>
      <c r="P944" s="1"/>
      <c r="Q944" s="1"/>
      <c r="R944" s="1"/>
      <c r="S944" s="1"/>
      <c r="T944" s="1"/>
      <c r="U944" s="1"/>
      <c r="V944" s="1"/>
      <c r="W944" s="1"/>
      <c r="X944" s="1"/>
      <c r="Y944" s="1"/>
      <c r="Z944" s="1"/>
    </row>
    <row r="945" spans="1:26" ht="12.75" customHeight="1" x14ac:dyDescent="0.25">
      <c r="A945" s="1"/>
      <c r="B945" s="1"/>
      <c r="C945" s="3"/>
      <c r="D945" s="3"/>
      <c r="E945" s="5"/>
      <c r="F945" s="5"/>
      <c r="G945" s="3"/>
      <c r="H945" s="5"/>
      <c r="I945" s="1"/>
      <c r="J945" s="7"/>
      <c r="K945" s="1"/>
      <c r="L945" s="1"/>
      <c r="M945" s="1"/>
      <c r="N945" s="1"/>
      <c r="O945" s="1"/>
      <c r="P945" s="1"/>
      <c r="Q945" s="1"/>
      <c r="R945" s="1"/>
      <c r="S945" s="1"/>
      <c r="T945" s="1"/>
      <c r="U945" s="1"/>
      <c r="V945" s="1"/>
      <c r="W945" s="1"/>
      <c r="X945" s="1"/>
      <c r="Y945" s="1"/>
      <c r="Z945" s="1"/>
    </row>
    <row r="946" spans="1:26" ht="12.75" customHeight="1" x14ac:dyDescent="0.25">
      <c r="A946" s="1"/>
      <c r="B946" s="1"/>
      <c r="C946" s="3"/>
      <c r="D946" s="3"/>
      <c r="E946" s="5"/>
      <c r="F946" s="5"/>
      <c r="G946" s="3"/>
      <c r="H946" s="5"/>
      <c r="I946" s="1"/>
      <c r="J946" s="7"/>
      <c r="K946" s="1"/>
      <c r="L946" s="1"/>
      <c r="M946" s="1"/>
      <c r="N946" s="1"/>
      <c r="O946" s="1"/>
      <c r="P946" s="1"/>
      <c r="Q946" s="1"/>
      <c r="R946" s="1"/>
      <c r="S946" s="1"/>
      <c r="T946" s="1"/>
      <c r="U946" s="1"/>
      <c r="V946" s="1"/>
      <c r="W946" s="1"/>
      <c r="X946" s="1"/>
      <c r="Y946" s="1"/>
      <c r="Z946" s="1"/>
    </row>
    <row r="947" spans="1:26" ht="12.75" customHeight="1" x14ac:dyDescent="0.25">
      <c r="A947" s="1"/>
      <c r="B947" s="1"/>
      <c r="C947" s="3"/>
      <c r="D947" s="3"/>
      <c r="E947" s="5"/>
      <c r="F947" s="5"/>
      <c r="G947" s="3"/>
      <c r="H947" s="5"/>
      <c r="I947" s="1"/>
      <c r="J947" s="7"/>
      <c r="K947" s="1"/>
      <c r="L947" s="1"/>
      <c r="M947" s="1"/>
      <c r="N947" s="1"/>
      <c r="O947" s="1"/>
      <c r="P947" s="1"/>
      <c r="Q947" s="1"/>
      <c r="R947" s="1"/>
      <c r="S947" s="1"/>
      <c r="T947" s="1"/>
      <c r="U947" s="1"/>
      <c r="V947" s="1"/>
      <c r="W947" s="1"/>
      <c r="X947" s="1"/>
      <c r="Y947" s="1"/>
      <c r="Z947" s="1"/>
    </row>
    <row r="948" spans="1:26" ht="12.75" customHeight="1" x14ac:dyDescent="0.25">
      <c r="A948" s="1"/>
      <c r="B948" s="1"/>
      <c r="C948" s="3"/>
      <c r="D948" s="3"/>
      <c r="E948" s="5"/>
      <c r="F948" s="5"/>
      <c r="G948" s="3"/>
      <c r="H948" s="5"/>
      <c r="I948" s="1"/>
      <c r="J948" s="7"/>
      <c r="K948" s="1"/>
      <c r="L948" s="1"/>
      <c r="M948" s="1"/>
      <c r="N948" s="1"/>
      <c r="O948" s="1"/>
      <c r="P948" s="1"/>
      <c r="Q948" s="1"/>
      <c r="R948" s="1"/>
      <c r="S948" s="1"/>
      <c r="T948" s="1"/>
      <c r="U948" s="1"/>
      <c r="V948" s="1"/>
      <c r="W948" s="1"/>
      <c r="X948" s="1"/>
      <c r="Y948" s="1"/>
      <c r="Z948" s="1"/>
    </row>
    <row r="949" spans="1:26" ht="12.75" customHeight="1" x14ac:dyDescent="0.25">
      <c r="A949" s="1"/>
      <c r="B949" s="1"/>
      <c r="C949" s="3"/>
      <c r="D949" s="3"/>
      <c r="E949" s="5"/>
      <c r="F949" s="5"/>
      <c r="G949" s="3"/>
      <c r="H949" s="5"/>
      <c r="I949" s="1"/>
      <c r="J949" s="7"/>
      <c r="K949" s="1"/>
      <c r="L949" s="1"/>
      <c r="M949" s="1"/>
      <c r="N949" s="1"/>
      <c r="O949" s="1"/>
      <c r="P949" s="1"/>
      <c r="Q949" s="1"/>
      <c r="R949" s="1"/>
      <c r="S949" s="1"/>
      <c r="T949" s="1"/>
      <c r="U949" s="1"/>
      <c r="V949" s="1"/>
      <c r="W949" s="1"/>
      <c r="X949" s="1"/>
      <c r="Y949" s="1"/>
      <c r="Z949" s="1"/>
    </row>
    <row r="950" spans="1:26" ht="12.75" customHeight="1" x14ac:dyDescent="0.25">
      <c r="A950" s="1"/>
      <c r="B950" s="1"/>
      <c r="C950" s="3"/>
      <c r="D950" s="3"/>
      <c r="E950" s="5"/>
      <c r="F950" s="5"/>
      <c r="G950" s="3"/>
      <c r="H950" s="5"/>
      <c r="I950" s="1"/>
      <c r="J950" s="7"/>
      <c r="K950" s="1"/>
      <c r="L950" s="1"/>
      <c r="M950" s="1"/>
      <c r="N950" s="1"/>
      <c r="O950" s="1"/>
      <c r="P950" s="1"/>
      <c r="Q950" s="1"/>
      <c r="R950" s="1"/>
      <c r="S950" s="1"/>
      <c r="T950" s="1"/>
      <c r="U950" s="1"/>
      <c r="V950" s="1"/>
      <c r="W950" s="1"/>
      <c r="X950" s="1"/>
      <c r="Y950" s="1"/>
      <c r="Z950" s="1"/>
    </row>
    <row r="951" spans="1:26" ht="12.75" customHeight="1" x14ac:dyDescent="0.25">
      <c r="A951" s="1"/>
      <c r="B951" s="1"/>
      <c r="C951" s="3"/>
      <c r="D951" s="3"/>
      <c r="E951" s="5"/>
      <c r="F951" s="5"/>
      <c r="G951" s="3"/>
      <c r="H951" s="5"/>
      <c r="I951" s="1"/>
      <c r="J951" s="7"/>
      <c r="K951" s="1"/>
      <c r="L951" s="1"/>
      <c r="M951" s="1"/>
      <c r="N951" s="1"/>
      <c r="O951" s="1"/>
      <c r="P951" s="1"/>
      <c r="Q951" s="1"/>
      <c r="R951" s="1"/>
      <c r="S951" s="1"/>
      <c r="T951" s="1"/>
      <c r="U951" s="1"/>
      <c r="V951" s="1"/>
      <c r="W951" s="1"/>
      <c r="X951" s="1"/>
      <c r="Y951" s="1"/>
      <c r="Z951" s="1"/>
    </row>
    <row r="952" spans="1:26" ht="12.75" customHeight="1" x14ac:dyDescent="0.25">
      <c r="A952" s="1"/>
      <c r="B952" s="1"/>
      <c r="C952" s="3"/>
      <c r="D952" s="3"/>
      <c r="E952" s="5"/>
      <c r="F952" s="5"/>
      <c r="G952" s="3"/>
      <c r="H952" s="5"/>
      <c r="I952" s="1"/>
      <c r="J952" s="7"/>
      <c r="K952" s="1"/>
      <c r="L952" s="1"/>
      <c r="M952" s="1"/>
      <c r="N952" s="1"/>
      <c r="O952" s="1"/>
      <c r="P952" s="1"/>
      <c r="Q952" s="1"/>
      <c r="R952" s="1"/>
      <c r="S952" s="1"/>
      <c r="T952" s="1"/>
      <c r="U952" s="1"/>
      <c r="V952" s="1"/>
      <c r="W952" s="1"/>
      <c r="X952" s="1"/>
      <c r="Y952" s="1"/>
      <c r="Z952" s="1"/>
    </row>
    <row r="953" spans="1:26" ht="12.75" customHeight="1" x14ac:dyDescent="0.25">
      <c r="A953" s="1"/>
      <c r="B953" s="1"/>
      <c r="C953" s="3"/>
      <c r="D953" s="3"/>
      <c r="E953" s="5"/>
      <c r="F953" s="5"/>
      <c r="G953" s="3"/>
      <c r="H953" s="5"/>
      <c r="I953" s="1"/>
      <c r="J953" s="7"/>
      <c r="K953" s="1"/>
      <c r="L953" s="1"/>
      <c r="M953" s="1"/>
      <c r="N953" s="1"/>
      <c r="O953" s="1"/>
      <c r="P953" s="1"/>
      <c r="Q953" s="1"/>
      <c r="R953" s="1"/>
      <c r="S953" s="1"/>
      <c r="T953" s="1"/>
      <c r="U953" s="1"/>
      <c r="V953" s="1"/>
      <c r="W953" s="1"/>
      <c r="X953" s="1"/>
      <c r="Y953" s="1"/>
      <c r="Z953" s="1"/>
    </row>
    <row r="954" spans="1:26" ht="12.75" customHeight="1" x14ac:dyDescent="0.25">
      <c r="A954" s="1"/>
      <c r="B954" s="1"/>
      <c r="C954" s="3"/>
      <c r="D954" s="3"/>
      <c r="E954" s="5"/>
      <c r="F954" s="5"/>
      <c r="G954" s="3"/>
      <c r="H954" s="5"/>
      <c r="I954" s="1"/>
      <c r="J954" s="7"/>
      <c r="K954" s="1"/>
      <c r="L954" s="1"/>
      <c r="M954" s="1"/>
      <c r="N954" s="1"/>
      <c r="O954" s="1"/>
      <c r="P954" s="1"/>
      <c r="Q954" s="1"/>
      <c r="R954" s="1"/>
      <c r="S954" s="1"/>
      <c r="T954" s="1"/>
      <c r="U954" s="1"/>
      <c r="V954" s="1"/>
      <c r="W954" s="1"/>
      <c r="X954" s="1"/>
      <c r="Y954" s="1"/>
      <c r="Z954" s="1"/>
    </row>
    <row r="955" spans="1:26" ht="12.75" customHeight="1" x14ac:dyDescent="0.25">
      <c r="A955" s="1"/>
      <c r="B955" s="1"/>
      <c r="C955" s="3"/>
      <c r="D955" s="3"/>
      <c r="E955" s="5"/>
      <c r="F955" s="5"/>
      <c r="G955" s="3"/>
      <c r="H955" s="5"/>
      <c r="I955" s="1"/>
      <c r="J955" s="7"/>
      <c r="K955" s="1"/>
      <c r="L955" s="1"/>
      <c r="M955" s="1"/>
      <c r="N955" s="1"/>
      <c r="O955" s="1"/>
      <c r="P955" s="1"/>
      <c r="Q955" s="1"/>
      <c r="R955" s="1"/>
      <c r="S955" s="1"/>
      <c r="T955" s="1"/>
      <c r="U955" s="1"/>
      <c r="V955" s="1"/>
      <c r="W955" s="1"/>
      <c r="X955" s="1"/>
      <c r="Y955" s="1"/>
      <c r="Z955" s="1"/>
    </row>
    <row r="956" spans="1:26" ht="12.75" customHeight="1" x14ac:dyDescent="0.25">
      <c r="A956" s="1"/>
      <c r="B956" s="1"/>
      <c r="C956" s="3"/>
      <c r="D956" s="3"/>
      <c r="E956" s="5"/>
      <c r="F956" s="5"/>
      <c r="G956" s="3"/>
      <c r="H956" s="5"/>
      <c r="I956" s="1"/>
      <c r="J956" s="7"/>
      <c r="K956" s="1"/>
      <c r="L956" s="1"/>
      <c r="M956" s="1"/>
      <c r="N956" s="1"/>
      <c r="O956" s="1"/>
      <c r="P956" s="1"/>
      <c r="Q956" s="1"/>
      <c r="R956" s="1"/>
      <c r="S956" s="1"/>
      <c r="T956" s="1"/>
      <c r="U956" s="1"/>
      <c r="V956" s="1"/>
      <c r="W956" s="1"/>
      <c r="X956" s="1"/>
      <c r="Y956" s="1"/>
      <c r="Z956" s="1"/>
    </row>
    <row r="957" spans="1:26" ht="12.75" customHeight="1" x14ac:dyDescent="0.25">
      <c r="A957" s="1"/>
      <c r="B957" s="1"/>
      <c r="C957" s="3"/>
      <c r="D957" s="3"/>
      <c r="E957" s="5"/>
      <c r="F957" s="5"/>
      <c r="G957" s="3"/>
      <c r="H957" s="5"/>
      <c r="I957" s="1"/>
      <c r="J957" s="7"/>
      <c r="K957" s="1"/>
      <c r="L957" s="1"/>
      <c r="M957" s="1"/>
      <c r="N957" s="1"/>
      <c r="O957" s="1"/>
      <c r="P957" s="1"/>
      <c r="Q957" s="1"/>
      <c r="R957" s="1"/>
      <c r="S957" s="1"/>
      <c r="T957" s="1"/>
      <c r="U957" s="1"/>
      <c r="V957" s="1"/>
      <c r="W957" s="1"/>
      <c r="X957" s="1"/>
      <c r="Y957" s="1"/>
      <c r="Z957" s="1"/>
    </row>
    <row r="958" spans="1:26" ht="12.75" customHeight="1" x14ac:dyDescent="0.25">
      <c r="A958" s="1"/>
      <c r="B958" s="1"/>
      <c r="C958" s="3"/>
      <c r="D958" s="3"/>
      <c r="E958" s="5"/>
      <c r="F958" s="5"/>
      <c r="G958" s="3"/>
      <c r="H958" s="5"/>
      <c r="I958" s="1"/>
      <c r="J958" s="7"/>
      <c r="K958" s="1"/>
      <c r="L958" s="1"/>
      <c r="M958" s="1"/>
      <c r="N958" s="1"/>
      <c r="O958" s="1"/>
      <c r="P958" s="1"/>
      <c r="Q958" s="1"/>
      <c r="R958" s="1"/>
      <c r="S958" s="1"/>
      <c r="T958" s="1"/>
      <c r="U958" s="1"/>
      <c r="V958" s="1"/>
      <c r="W958" s="1"/>
      <c r="X958" s="1"/>
      <c r="Y958" s="1"/>
      <c r="Z958" s="1"/>
    </row>
    <row r="959" spans="1:26" ht="12.75" customHeight="1" x14ac:dyDescent="0.25">
      <c r="A959" s="1"/>
      <c r="B959" s="1"/>
      <c r="C959" s="3"/>
      <c r="D959" s="3"/>
      <c r="E959" s="5"/>
      <c r="F959" s="5"/>
      <c r="G959" s="3"/>
      <c r="H959" s="5"/>
      <c r="I959" s="1"/>
      <c r="J959" s="7"/>
      <c r="K959" s="1"/>
      <c r="L959" s="1"/>
      <c r="M959" s="1"/>
      <c r="N959" s="1"/>
      <c r="O959" s="1"/>
      <c r="P959" s="1"/>
      <c r="Q959" s="1"/>
      <c r="R959" s="1"/>
      <c r="S959" s="1"/>
      <c r="T959" s="1"/>
      <c r="U959" s="1"/>
      <c r="V959" s="1"/>
      <c r="W959" s="1"/>
      <c r="X959" s="1"/>
      <c r="Y959" s="1"/>
      <c r="Z959" s="1"/>
    </row>
    <row r="960" spans="1:26" ht="12.75" customHeight="1" x14ac:dyDescent="0.25">
      <c r="A960" s="1"/>
      <c r="B960" s="1"/>
      <c r="C960" s="3"/>
      <c r="D960" s="3"/>
      <c r="E960" s="5"/>
      <c r="F960" s="5"/>
      <c r="G960" s="3"/>
      <c r="H960" s="5"/>
      <c r="I960" s="1"/>
      <c r="J960" s="7"/>
      <c r="K960" s="1"/>
      <c r="L960" s="1"/>
      <c r="M960" s="1"/>
      <c r="N960" s="1"/>
      <c r="O960" s="1"/>
      <c r="P960" s="1"/>
      <c r="Q960" s="1"/>
      <c r="R960" s="1"/>
      <c r="S960" s="1"/>
      <c r="T960" s="1"/>
      <c r="U960" s="1"/>
      <c r="V960" s="1"/>
      <c r="W960" s="1"/>
      <c r="X960" s="1"/>
      <c r="Y960" s="1"/>
      <c r="Z960" s="1"/>
    </row>
    <row r="961" spans="1:26" ht="12.75" customHeight="1" x14ac:dyDescent="0.25">
      <c r="A961" s="1"/>
      <c r="B961" s="1"/>
      <c r="C961" s="3"/>
      <c r="D961" s="3"/>
      <c r="E961" s="5"/>
      <c r="F961" s="5"/>
      <c r="G961" s="3"/>
      <c r="H961" s="5"/>
      <c r="I961" s="1"/>
      <c r="J961" s="7"/>
      <c r="K961" s="1"/>
      <c r="L961" s="1"/>
      <c r="M961" s="1"/>
      <c r="N961" s="1"/>
      <c r="O961" s="1"/>
      <c r="P961" s="1"/>
      <c r="Q961" s="1"/>
      <c r="R961" s="1"/>
      <c r="S961" s="1"/>
      <c r="T961" s="1"/>
      <c r="U961" s="1"/>
      <c r="V961" s="1"/>
      <c r="W961" s="1"/>
      <c r="X961" s="1"/>
      <c r="Y961" s="1"/>
      <c r="Z961" s="1"/>
    </row>
    <row r="962" spans="1:26" ht="12.75" customHeight="1" x14ac:dyDescent="0.25">
      <c r="A962" s="1"/>
      <c r="B962" s="1"/>
      <c r="C962" s="3"/>
      <c r="D962" s="3"/>
      <c r="E962" s="5"/>
      <c r="F962" s="5"/>
      <c r="G962" s="3"/>
      <c r="H962" s="5"/>
      <c r="I962" s="1"/>
      <c r="J962" s="7"/>
      <c r="K962" s="1"/>
      <c r="L962" s="1"/>
      <c r="M962" s="1"/>
      <c r="N962" s="1"/>
      <c r="O962" s="1"/>
      <c r="P962" s="1"/>
      <c r="Q962" s="1"/>
      <c r="R962" s="1"/>
      <c r="S962" s="1"/>
      <c r="T962" s="1"/>
      <c r="U962" s="1"/>
      <c r="V962" s="1"/>
      <c r="W962" s="1"/>
      <c r="X962" s="1"/>
      <c r="Y962" s="1"/>
      <c r="Z962" s="1"/>
    </row>
    <row r="963" spans="1:26" ht="12.75" customHeight="1" x14ac:dyDescent="0.25">
      <c r="A963" s="1"/>
      <c r="B963" s="1"/>
      <c r="C963" s="3"/>
      <c r="D963" s="3"/>
      <c r="E963" s="5"/>
      <c r="F963" s="5"/>
      <c r="G963" s="3"/>
      <c r="H963" s="5"/>
      <c r="I963" s="1"/>
      <c r="J963" s="7"/>
      <c r="K963" s="1"/>
      <c r="L963" s="1"/>
      <c r="M963" s="1"/>
      <c r="N963" s="1"/>
      <c r="O963" s="1"/>
      <c r="P963" s="1"/>
      <c r="Q963" s="1"/>
      <c r="R963" s="1"/>
      <c r="S963" s="1"/>
      <c r="T963" s="1"/>
      <c r="U963" s="1"/>
      <c r="V963" s="1"/>
      <c r="W963" s="1"/>
      <c r="X963" s="1"/>
      <c r="Y963" s="1"/>
      <c r="Z963" s="1"/>
    </row>
    <row r="964" spans="1:26" ht="12.75" customHeight="1" x14ac:dyDescent="0.25">
      <c r="A964" s="1"/>
      <c r="B964" s="1"/>
      <c r="C964" s="3"/>
      <c r="D964" s="3"/>
      <c r="E964" s="5"/>
      <c r="F964" s="5"/>
      <c r="G964" s="3"/>
      <c r="H964" s="5"/>
      <c r="I964" s="1"/>
      <c r="J964" s="7"/>
      <c r="K964" s="1"/>
      <c r="L964" s="1"/>
      <c r="M964" s="1"/>
      <c r="N964" s="1"/>
      <c r="O964" s="1"/>
      <c r="P964" s="1"/>
      <c r="Q964" s="1"/>
      <c r="R964" s="1"/>
      <c r="S964" s="1"/>
      <c r="T964" s="1"/>
      <c r="U964" s="1"/>
      <c r="V964" s="1"/>
      <c r="W964" s="1"/>
      <c r="X964" s="1"/>
      <c r="Y964" s="1"/>
      <c r="Z964" s="1"/>
    </row>
    <row r="965" spans="1:26" ht="12.75" customHeight="1" x14ac:dyDescent="0.25">
      <c r="A965" s="1"/>
      <c r="B965" s="1"/>
      <c r="C965" s="3"/>
      <c r="D965" s="3"/>
      <c r="E965" s="5"/>
      <c r="F965" s="5"/>
      <c r="G965" s="3"/>
      <c r="H965" s="5"/>
      <c r="I965" s="1"/>
      <c r="J965" s="7"/>
      <c r="K965" s="1"/>
      <c r="L965" s="1"/>
      <c r="M965" s="1"/>
      <c r="N965" s="1"/>
      <c r="O965" s="1"/>
      <c r="P965" s="1"/>
      <c r="Q965" s="1"/>
      <c r="R965" s="1"/>
      <c r="S965" s="1"/>
      <c r="T965" s="1"/>
      <c r="U965" s="1"/>
      <c r="V965" s="1"/>
      <c r="W965" s="1"/>
      <c r="X965" s="1"/>
      <c r="Y965" s="1"/>
      <c r="Z965" s="1"/>
    </row>
    <row r="966" spans="1:26" ht="12.75" customHeight="1" x14ac:dyDescent="0.25">
      <c r="A966" s="1"/>
      <c r="B966" s="1"/>
      <c r="C966" s="3"/>
      <c r="D966" s="3"/>
      <c r="E966" s="5"/>
      <c r="F966" s="5"/>
      <c r="G966" s="3"/>
      <c r="H966" s="5"/>
      <c r="I966" s="1"/>
      <c r="J966" s="7"/>
      <c r="K966" s="1"/>
      <c r="L966" s="1"/>
      <c r="M966" s="1"/>
      <c r="N966" s="1"/>
      <c r="O966" s="1"/>
      <c r="P966" s="1"/>
      <c r="Q966" s="1"/>
      <c r="R966" s="1"/>
      <c r="S966" s="1"/>
      <c r="T966" s="1"/>
      <c r="U966" s="1"/>
      <c r="V966" s="1"/>
      <c r="W966" s="1"/>
      <c r="X966" s="1"/>
      <c r="Y966" s="1"/>
      <c r="Z966" s="1"/>
    </row>
    <row r="967" spans="1:26" ht="12.75" customHeight="1" x14ac:dyDescent="0.25">
      <c r="A967" s="1"/>
      <c r="B967" s="1"/>
      <c r="C967" s="3"/>
      <c r="D967" s="3"/>
      <c r="E967" s="5"/>
      <c r="F967" s="5"/>
      <c r="G967" s="3"/>
      <c r="H967" s="5"/>
      <c r="I967" s="1"/>
      <c r="J967" s="7"/>
      <c r="K967" s="1"/>
      <c r="L967" s="1"/>
      <c r="M967" s="1"/>
      <c r="N967" s="1"/>
      <c r="O967" s="1"/>
      <c r="P967" s="1"/>
      <c r="Q967" s="1"/>
      <c r="R967" s="1"/>
      <c r="S967" s="1"/>
      <c r="T967" s="1"/>
      <c r="U967" s="1"/>
      <c r="V967" s="1"/>
      <c r="W967" s="1"/>
      <c r="X967" s="1"/>
      <c r="Y967" s="1"/>
      <c r="Z967" s="1"/>
    </row>
    <row r="968" spans="1:26" ht="12.75" customHeight="1" x14ac:dyDescent="0.25">
      <c r="A968" s="1"/>
      <c r="B968" s="1"/>
      <c r="C968" s="3"/>
      <c r="D968" s="3"/>
      <c r="E968" s="5"/>
      <c r="F968" s="5"/>
      <c r="G968" s="3"/>
      <c r="H968" s="5"/>
      <c r="I968" s="1"/>
      <c r="J968" s="7"/>
      <c r="K968" s="1"/>
      <c r="L968" s="1"/>
      <c r="M968" s="1"/>
      <c r="N968" s="1"/>
      <c r="O968" s="1"/>
      <c r="P968" s="1"/>
      <c r="Q968" s="1"/>
      <c r="R968" s="1"/>
      <c r="S968" s="1"/>
      <c r="T968" s="1"/>
      <c r="U968" s="1"/>
      <c r="V968" s="1"/>
      <c r="W968" s="1"/>
      <c r="X968" s="1"/>
      <c r="Y968" s="1"/>
      <c r="Z968" s="1"/>
    </row>
    <row r="969" spans="1:26" ht="12.75" customHeight="1" x14ac:dyDescent="0.25">
      <c r="A969" s="1"/>
      <c r="B969" s="1"/>
      <c r="C969" s="3"/>
      <c r="D969" s="3"/>
      <c r="E969" s="5"/>
      <c r="F969" s="5"/>
      <c r="G969" s="3"/>
      <c r="H969" s="5"/>
      <c r="I969" s="1"/>
      <c r="J969" s="7"/>
      <c r="K969" s="1"/>
      <c r="L969" s="1"/>
      <c r="M969" s="1"/>
      <c r="N969" s="1"/>
      <c r="O969" s="1"/>
      <c r="P969" s="1"/>
      <c r="Q969" s="1"/>
      <c r="R969" s="1"/>
      <c r="S969" s="1"/>
      <c r="T969" s="1"/>
      <c r="U969" s="1"/>
      <c r="V969" s="1"/>
      <c r="W969" s="1"/>
      <c r="X969" s="1"/>
      <c r="Y969" s="1"/>
      <c r="Z969" s="1"/>
    </row>
    <row r="970" spans="1:26" ht="12.75" customHeight="1" x14ac:dyDescent="0.25">
      <c r="A970" s="1"/>
      <c r="B970" s="1"/>
      <c r="C970" s="3"/>
      <c r="D970" s="3"/>
      <c r="E970" s="5"/>
      <c r="F970" s="5"/>
      <c r="G970" s="3"/>
      <c r="H970" s="5"/>
      <c r="I970" s="1"/>
      <c r="J970" s="7"/>
      <c r="K970" s="1"/>
      <c r="L970" s="1"/>
      <c r="M970" s="1"/>
      <c r="N970" s="1"/>
      <c r="O970" s="1"/>
      <c r="P970" s="1"/>
      <c r="Q970" s="1"/>
      <c r="R970" s="1"/>
      <c r="S970" s="1"/>
      <c r="T970" s="1"/>
      <c r="U970" s="1"/>
      <c r="V970" s="1"/>
      <c r="W970" s="1"/>
      <c r="X970" s="1"/>
      <c r="Y970" s="1"/>
      <c r="Z970" s="1"/>
    </row>
    <row r="971" spans="1:26" ht="12.75" customHeight="1" x14ac:dyDescent="0.25">
      <c r="A971" s="1"/>
      <c r="B971" s="1"/>
      <c r="C971" s="3"/>
      <c r="D971" s="3"/>
      <c r="E971" s="5"/>
      <c r="F971" s="5"/>
      <c r="G971" s="3"/>
      <c r="H971" s="5"/>
      <c r="I971" s="1"/>
      <c r="J971" s="7"/>
      <c r="K971" s="1"/>
      <c r="L971" s="1"/>
      <c r="M971" s="1"/>
      <c r="N971" s="1"/>
      <c r="O971" s="1"/>
      <c r="P971" s="1"/>
      <c r="Q971" s="1"/>
      <c r="R971" s="1"/>
      <c r="S971" s="1"/>
      <c r="T971" s="1"/>
      <c r="U971" s="1"/>
      <c r="V971" s="1"/>
      <c r="W971" s="1"/>
      <c r="X971" s="1"/>
      <c r="Y971" s="1"/>
      <c r="Z971" s="1"/>
    </row>
    <row r="972" spans="1:26" ht="12.75" customHeight="1" x14ac:dyDescent="0.25">
      <c r="A972" s="1"/>
      <c r="B972" s="1"/>
      <c r="C972" s="3"/>
      <c r="D972" s="3"/>
      <c r="E972" s="5"/>
      <c r="F972" s="5"/>
      <c r="G972" s="3"/>
      <c r="H972" s="5"/>
      <c r="I972" s="1"/>
      <c r="J972" s="7"/>
      <c r="K972" s="1"/>
      <c r="L972" s="1"/>
      <c r="M972" s="1"/>
      <c r="N972" s="1"/>
      <c r="O972" s="1"/>
      <c r="P972" s="1"/>
      <c r="Q972" s="1"/>
      <c r="R972" s="1"/>
      <c r="S972" s="1"/>
      <c r="T972" s="1"/>
      <c r="U972" s="1"/>
      <c r="V972" s="1"/>
      <c r="W972" s="1"/>
      <c r="X972" s="1"/>
      <c r="Y972" s="1"/>
      <c r="Z972" s="1"/>
    </row>
    <row r="973" spans="1:26" ht="12.75" customHeight="1" x14ac:dyDescent="0.25">
      <c r="A973" s="1"/>
      <c r="B973" s="1"/>
      <c r="C973" s="3"/>
      <c r="D973" s="3"/>
      <c r="E973" s="5"/>
      <c r="F973" s="5"/>
      <c r="G973" s="3"/>
      <c r="H973" s="5"/>
      <c r="I973" s="1"/>
      <c r="J973" s="7"/>
      <c r="K973" s="1"/>
      <c r="L973" s="1"/>
      <c r="M973" s="1"/>
      <c r="N973" s="1"/>
      <c r="O973" s="1"/>
      <c r="P973" s="1"/>
      <c r="Q973" s="1"/>
      <c r="R973" s="1"/>
      <c r="S973" s="1"/>
      <c r="T973" s="1"/>
      <c r="U973" s="1"/>
      <c r="V973" s="1"/>
      <c r="W973" s="1"/>
      <c r="X973" s="1"/>
      <c r="Y973" s="1"/>
      <c r="Z973" s="1"/>
    </row>
    <row r="974" spans="1:26" ht="12.75" customHeight="1" x14ac:dyDescent="0.25">
      <c r="A974" s="1"/>
      <c r="B974" s="1"/>
      <c r="C974" s="3"/>
      <c r="D974" s="3"/>
      <c r="E974" s="5"/>
      <c r="F974" s="5"/>
      <c r="G974" s="3"/>
      <c r="H974" s="5"/>
      <c r="I974" s="1"/>
      <c r="J974" s="7"/>
      <c r="K974" s="1"/>
      <c r="L974" s="1"/>
      <c r="M974" s="1"/>
      <c r="N974" s="1"/>
      <c r="O974" s="1"/>
      <c r="P974" s="1"/>
      <c r="Q974" s="1"/>
      <c r="R974" s="1"/>
      <c r="S974" s="1"/>
      <c r="T974" s="1"/>
      <c r="U974" s="1"/>
      <c r="V974" s="1"/>
      <c r="W974" s="1"/>
      <c r="X974" s="1"/>
      <c r="Y974" s="1"/>
      <c r="Z974" s="1"/>
    </row>
    <row r="975" spans="1:26" ht="12.75" customHeight="1" x14ac:dyDescent="0.25">
      <c r="A975" s="1"/>
      <c r="B975" s="1"/>
      <c r="C975" s="3"/>
      <c r="D975" s="3"/>
      <c r="E975" s="5"/>
      <c r="F975" s="5"/>
      <c r="G975" s="3"/>
      <c r="H975" s="5"/>
      <c r="I975" s="1"/>
      <c r="J975" s="7"/>
      <c r="K975" s="1"/>
      <c r="L975" s="1"/>
      <c r="M975" s="1"/>
      <c r="N975" s="1"/>
      <c r="O975" s="1"/>
      <c r="P975" s="1"/>
      <c r="Q975" s="1"/>
      <c r="R975" s="1"/>
      <c r="S975" s="1"/>
      <c r="T975" s="1"/>
      <c r="U975" s="1"/>
      <c r="V975" s="1"/>
      <c r="W975" s="1"/>
      <c r="X975" s="1"/>
      <c r="Y975" s="1"/>
      <c r="Z975" s="1"/>
    </row>
    <row r="976" spans="1:26" ht="12.75" customHeight="1" x14ac:dyDescent="0.25">
      <c r="A976" s="1"/>
      <c r="B976" s="1"/>
      <c r="C976" s="3"/>
      <c r="D976" s="3"/>
      <c r="E976" s="5"/>
      <c r="F976" s="5"/>
      <c r="G976" s="3"/>
      <c r="H976" s="5"/>
      <c r="I976" s="1"/>
      <c r="J976" s="7"/>
      <c r="K976" s="1"/>
      <c r="L976" s="1"/>
      <c r="M976" s="1"/>
      <c r="N976" s="1"/>
      <c r="O976" s="1"/>
      <c r="P976" s="1"/>
      <c r="Q976" s="1"/>
      <c r="R976" s="1"/>
      <c r="S976" s="1"/>
      <c r="T976" s="1"/>
      <c r="U976" s="1"/>
      <c r="V976" s="1"/>
      <c r="W976" s="1"/>
      <c r="X976" s="1"/>
      <c r="Y976" s="1"/>
      <c r="Z976" s="1"/>
    </row>
    <row r="977" spans="1:26" ht="12.75" customHeight="1" x14ac:dyDescent="0.25">
      <c r="A977" s="1"/>
      <c r="B977" s="1"/>
      <c r="C977" s="3"/>
      <c r="D977" s="3"/>
      <c r="E977" s="5"/>
      <c r="F977" s="5"/>
      <c r="G977" s="3"/>
      <c r="H977" s="5"/>
      <c r="I977" s="1"/>
      <c r="J977" s="7"/>
      <c r="K977" s="1"/>
      <c r="L977" s="1"/>
      <c r="M977" s="1"/>
      <c r="N977" s="1"/>
      <c r="O977" s="1"/>
      <c r="P977" s="1"/>
      <c r="Q977" s="1"/>
      <c r="R977" s="1"/>
      <c r="S977" s="1"/>
      <c r="T977" s="1"/>
      <c r="U977" s="1"/>
      <c r="V977" s="1"/>
      <c r="W977" s="1"/>
      <c r="X977" s="1"/>
      <c r="Y977" s="1"/>
      <c r="Z977" s="1"/>
    </row>
    <row r="978" spans="1:26" ht="12.75" customHeight="1" x14ac:dyDescent="0.25">
      <c r="A978" s="1"/>
      <c r="B978" s="1"/>
      <c r="C978" s="3"/>
      <c r="D978" s="3"/>
      <c r="E978" s="5"/>
      <c r="F978" s="5"/>
      <c r="G978" s="3"/>
      <c r="H978" s="5"/>
      <c r="I978" s="1"/>
      <c r="J978" s="7"/>
      <c r="K978" s="1"/>
      <c r="L978" s="1"/>
      <c r="M978" s="1"/>
      <c r="N978" s="1"/>
      <c r="O978" s="1"/>
      <c r="P978" s="1"/>
      <c r="Q978" s="1"/>
      <c r="R978" s="1"/>
      <c r="S978" s="1"/>
      <c r="T978" s="1"/>
      <c r="U978" s="1"/>
      <c r="V978" s="1"/>
      <c r="W978" s="1"/>
      <c r="X978" s="1"/>
      <c r="Y978" s="1"/>
      <c r="Z978" s="1"/>
    </row>
    <row r="979" spans="1:26" ht="12.75" customHeight="1" x14ac:dyDescent="0.25">
      <c r="A979" s="1"/>
      <c r="B979" s="1"/>
      <c r="C979" s="3"/>
      <c r="D979" s="3"/>
      <c r="E979" s="5"/>
      <c r="F979" s="5"/>
      <c r="G979" s="3"/>
      <c r="H979" s="5"/>
      <c r="I979" s="1"/>
      <c r="J979" s="7"/>
      <c r="K979" s="1"/>
      <c r="L979" s="1"/>
      <c r="M979" s="1"/>
      <c r="N979" s="1"/>
      <c r="O979" s="1"/>
      <c r="P979" s="1"/>
      <c r="Q979" s="1"/>
      <c r="R979" s="1"/>
      <c r="S979" s="1"/>
      <c r="T979" s="1"/>
      <c r="U979" s="1"/>
      <c r="V979" s="1"/>
      <c r="W979" s="1"/>
      <c r="X979" s="1"/>
      <c r="Y979" s="1"/>
      <c r="Z979" s="1"/>
    </row>
    <row r="980" spans="1:26" ht="12.75" customHeight="1" x14ac:dyDescent="0.25">
      <c r="A980" s="1"/>
      <c r="B980" s="1"/>
      <c r="C980" s="3"/>
      <c r="D980" s="3"/>
      <c r="E980" s="5"/>
      <c r="F980" s="5"/>
      <c r="G980" s="3"/>
      <c r="H980" s="5"/>
      <c r="I980" s="1"/>
      <c r="J980" s="7"/>
      <c r="K980" s="1"/>
      <c r="L980" s="1"/>
      <c r="M980" s="1"/>
      <c r="N980" s="1"/>
      <c r="O980" s="1"/>
      <c r="P980" s="1"/>
      <c r="Q980" s="1"/>
      <c r="R980" s="1"/>
      <c r="S980" s="1"/>
      <c r="T980" s="1"/>
      <c r="U980" s="1"/>
      <c r="V980" s="1"/>
      <c r="W980" s="1"/>
      <c r="X980" s="1"/>
      <c r="Y980" s="1"/>
      <c r="Z980" s="1"/>
    </row>
    <row r="981" spans="1:26" ht="12.75" customHeight="1" x14ac:dyDescent="0.25">
      <c r="A981" s="1"/>
      <c r="B981" s="1"/>
      <c r="C981" s="3"/>
      <c r="D981" s="3"/>
      <c r="E981" s="5"/>
      <c r="F981" s="5"/>
      <c r="G981" s="3"/>
      <c r="H981" s="5"/>
      <c r="I981" s="1"/>
      <c r="J981" s="7"/>
      <c r="K981" s="1"/>
      <c r="L981" s="1"/>
      <c r="M981" s="1"/>
      <c r="N981" s="1"/>
      <c r="O981" s="1"/>
      <c r="P981" s="1"/>
      <c r="Q981" s="1"/>
      <c r="R981" s="1"/>
      <c r="S981" s="1"/>
      <c r="T981" s="1"/>
      <c r="U981" s="1"/>
      <c r="V981" s="1"/>
      <c r="W981" s="1"/>
      <c r="X981" s="1"/>
      <c r="Y981" s="1"/>
      <c r="Z981" s="1"/>
    </row>
    <row r="982" spans="1:26" ht="12.75" customHeight="1" x14ac:dyDescent="0.25">
      <c r="A982" s="1"/>
      <c r="B982" s="1"/>
      <c r="C982" s="3"/>
      <c r="D982" s="3"/>
      <c r="E982" s="5"/>
      <c r="F982" s="5"/>
      <c r="G982" s="3"/>
      <c r="H982" s="5"/>
      <c r="I982" s="1"/>
      <c r="J982" s="7"/>
      <c r="K982" s="1"/>
      <c r="L982" s="1"/>
      <c r="M982" s="1"/>
      <c r="N982" s="1"/>
      <c r="O982" s="1"/>
      <c r="P982" s="1"/>
      <c r="Q982" s="1"/>
      <c r="R982" s="1"/>
      <c r="S982" s="1"/>
      <c r="T982" s="1"/>
      <c r="U982" s="1"/>
      <c r="V982" s="1"/>
      <c r="W982" s="1"/>
      <c r="X982" s="1"/>
      <c r="Y982" s="1"/>
      <c r="Z982" s="1"/>
    </row>
    <row r="983" spans="1:26" ht="12.75" customHeight="1" x14ac:dyDescent="0.25">
      <c r="A983" s="1"/>
      <c r="B983" s="1"/>
      <c r="C983" s="3"/>
      <c r="D983" s="3"/>
      <c r="E983" s="5"/>
      <c r="F983" s="5"/>
      <c r="G983" s="3"/>
      <c r="H983" s="5"/>
      <c r="I983" s="1"/>
      <c r="J983" s="7"/>
      <c r="K983" s="1"/>
      <c r="L983" s="1"/>
      <c r="M983" s="1"/>
      <c r="N983" s="1"/>
      <c r="O983" s="1"/>
      <c r="P983" s="1"/>
      <c r="Q983" s="1"/>
      <c r="R983" s="1"/>
      <c r="S983" s="1"/>
      <c r="T983" s="1"/>
      <c r="U983" s="1"/>
      <c r="V983" s="1"/>
      <c r="W983" s="1"/>
      <c r="X983" s="1"/>
      <c r="Y983" s="1"/>
      <c r="Z983" s="1"/>
    </row>
    <row r="984" spans="1:26" ht="12.75" customHeight="1" x14ac:dyDescent="0.25">
      <c r="A984" s="1"/>
      <c r="B984" s="1"/>
      <c r="C984" s="3"/>
      <c r="D984" s="3"/>
      <c r="E984" s="5"/>
      <c r="F984" s="5"/>
      <c r="G984" s="3"/>
      <c r="H984" s="5"/>
      <c r="I984" s="1"/>
      <c r="J984" s="7"/>
      <c r="K984" s="1"/>
      <c r="L984" s="1"/>
      <c r="M984" s="1"/>
      <c r="N984" s="1"/>
      <c r="O984" s="1"/>
      <c r="P984" s="1"/>
      <c r="Q984" s="1"/>
      <c r="R984" s="1"/>
      <c r="S984" s="1"/>
      <c r="T984" s="1"/>
      <c r="U984" s="1"/>
      <c r="V984" s="1"/>
      <c r="W984" s="1"/>
      <c r="X984" s="1"/>
      <c r="Y984" s="1"/>
      <c r="Z984" s="1"/>
    </row>
    <row r="985" spans="1:26" ht="12.75" customHeight="1" x14ac:dyDescent="0.25">
      <c r="A985" s="1"/>
      <c r="B985" s="1"/>
      <c r="C985" s="3"/>
      <c r="D985" s="3"/>
      <c r="E985" s="5"/>
      <c r="F985" s="5"/>
      <c r="G985" s="3"/>
      <c r="H985" s="5"/>
      <c r="I985" s="1"/>
      <c r="J985" s="7"/>
      <c r="K985" s="1"/>
      <c r="L985" s="1"/>
      <c r="M985" s="1"/>
      <c r="N985" s="1"/>
      <c r="O985" s="1"/>
      <c r="P985" s="1"/>
      <c r="Q985" s="1"/>
      <c r="R985" s="1"/>
      <c r="S985" s="1"/>
      <c r="T985" s="1"/>
      <c r="U985" s="1"/>
      <c r="V985" s="1"/>
      <c r="W985" s="1"/>
      <c r="X985" s="1"/>
      <c r="Y985" s="1"/>
      <c r="Z985" s="1"/>
    </row>
    <row r="986" spans="1:26" ht="12.75" customHeight="1" x14ac:dyDescent="0.25">
      <c r="A986" s="1"/>
      <c r="B986" s="1"/>
      <c r="C986" s="3"/>
      <c r="D986" s="3"/>
      <c r="E986" s="5"/>
      <c r="F986" s="5"/>
      <c r="G986" s="3"/>
      <c r="H986" s="5"/>
      <c r="I986" s="1"/>
      <c r="J986" s="7"/>
      <c r="K986" s="1"/>
      <c r="L986" s="1"/>
      <c r="M986" s="1"/>
      <c r="N986" s="1"/>
      <c r="O986" s="1"/>
      <c r="P986" s="1"/>
      <c r="Q986" s="1"/>
      <c r="R986" s="1"/>
      <c r="S986" s="1"/>
      <c r="T986" s="1"/>
      <c r="U986" s="1"/>
      <c r="V986" s="1"/>
      <c r="W986" s="1"/>
      <c r="X986" s="1"/>
      <c r="Y986" s="1"/>
      <c r="Z986" s="1"/>
    </row>
    <row r="987" spans="1:26" ht="12.75" customHeight="1" x14ac:dyDescent="0.25">
      <c r="A987" s="1"/>
      <c r="B987" s="1"/>
      <c r="C987" s="3"/>
      <c r="D987" s="3"/>
      <c r="E987" s="5"/>
      <c r="F987" s="5"/>
      <c r="G987" s="3"/>
      <c r="H987" s="5"/>
      <c r="I987" s="1"/>
      <c r="J987" s="7"/>
      <c r="K987" s="1"/>
      <c r="L987" s="1"/>
      <c r="M987" s="1"/>
      <c r="N987" s="1"/>
      <c r="O987" s="1"/>
      <c r="P987" s="1"/>
      <c r="Q987" s="1"/>
      <c r="R987" s="1"/>
      <c r="S987" s="1"/>
      <c r="T987" s="1"/>
      <c r="U987" s="1"/>
      <c r="V987" s="1"/>
      <c r="W987" s="1"/>
      <c r="X987" s="1"/>
      <c r="Y987" s="1"/>
      <c r="Z987" s="1"/>
    </row>
    <row r="988" spans="1:26" ht="12.75" customHeight="1" x14ac:dyDescent="0.25">
      <c r="A988" s="1"/>
      <c r="B988" s="1"/>
      <c r="C988" s="3"/>
      <c r="D988" s="3"/>
      <c r="E988" s="5"/>
      <c r="F988" s="5"/>
      <c r="G988" s="3"/>
      <c r="H988" s="5"/>
      <c r="I988" s="1"/>
      <c r="J988" s="7"/>
      <c r="K988" s="1"/>
      <c r="L988" s="1"/>
      <c r="M988" s="1"/>
      <c r="N988" s="1"/>
      <c r="O988" s="1"/>
      <c r="P988" s="1"/>
      <c r="Q988" s="1"/>
      <c r="R988" s="1"/>
      <c r="S988" s="1"/>
      <c r="T988" s="1"/>
      <c r="U988" s="1"/>
      <c r="V988" s="1"/>
      <c r="W988" s="1"/>
      <c r="X988" s="1"/>
      <c r="Y988" s="1"/>
      <c r="Z988" s="1"/>
    </row>
    <row r="989" spans="1:26" ht="12.75" customHeight="1" x14ac:dyDescent="0.25">
      <c r="A989" s="1"/>
      <c r="B989" s="1"/>
      <c r="C989" s="3"/>
      <c r="D989" s="3"/>
      <c r="E989" s="5"/>
      <c r="F989" s="5"/>
      <c r="G989" s="3"/>
      <c r="H989" s="5"/>
      <c r="I989" s="1"/>
      <c r="J989" s="7"/>
      <c r="K989" s="1"/>
      <c r="L989" s="1"/>
      <c r="M989" s="1"/>
      <c r="N989" s="1"/>
      <c r="O989" s="1"/>
      <c r="P989" s="1"/>
      <c r="Q989" s="1"/>
      <c r="R989" s="1"/>
      <c r="S989" s="1"/>
      <c r="T989" s="1"/>
      <c r="U989" s="1"/>
      <c r="V989" s="1"/>
      <c r="W989" s="1"/>
      <c r="X989" s="1"/>
      <c r="Y989" s="1"/>
      <c r="Z989" s="1"/>
    </row>
    <row r="990" spans="1:26" ht="12.75" customHeight="1" x14ac:dyDescent="0.25">
      <c r="A990" s="1"/>
      <c r="B990" s="1"/>
      <c r="C990" s="3"/>
      <c r="D990" s="3"/>
      <c r="E990" s="5"/>
      <c r="F990" s="5"/>
      <c r="G990" s="3"/>
      <c r="H990" s="5"/>
      <c r="I990" s="1"/>
      <c r="J990" s="7"/>
      <c r="K990" s="1"/>
      <c r="L990" s="1"/>
      <c r="M990" s="1"/>
      <c r="N990" s="1"/>
      <c r="O990" s="1"/>
      <c r="P990" s="1"/>
      <c r="Q990" s="1"/>
      <c r="R990" s="1"/>
      <c r="S990" s="1"/>
      <c r="T990" s="1"/>
      <c r="U990" s="1"/>
      <c r="V990" s="1"/>
      <c r="W990" s="1"/>
      <c r="X990" s="1"/>
      <c r="Y990" s="1"/>
      <c r="Z990" s="1"/>
    </row>
    <row r="991" spans="1:26" ht="12.75" customHeight="1" x14ac:dyDescent="0.25">
      <c r="A991" s="1"/>
      <c r="B991" s="1"/>
      <c r="C991" s="3"/>
      <c r="D991" s="3"/>
      <c r="E991" s="5"/>
      <c r="F991" s="5"/>
      <c r="G991" s="3"/>
      <c r="H991" s="5"/>
      <c r="I991" s="1"/>
      <c r="J991" s="7"/>
      <c r="K991" s="1"/>
      <c r="L991" s="1"/>
      <c r="M991" s="1"/>
      <c r="N991" s="1"/>
      <c r="O991" s="1"/>
      <c r="P991" s="1"/>
      <c r="Q991" s="1"/>
      <c r="R991" s="1"/>
      <c r="S991" s="1"/>
      <c r="T991" s="1"/>
      <c r="U991" s="1"/>
      <c r="V991" s="1"/>
      <c r="W991" s="1"/>
      <c r="X991" s="1"/>
      <c r="Y991" s="1"/>
      <c r="Z991" s="1"/>
    </row>
    <row r="992" spans="1:26" ht="12.75" customHeight="1" x14ac:dyDescent="0.25">
      <c r="A992" s="1"/>
      <c r="B992" s="1"/>
      <c r="C992" s="3"/>
      <c r="D992" s="3"/>
      <c r="E992" s="5"/>
      <c r="F992" s="5"/>
      <c r="G992" s="3"/>
      <c r="H992" s="5"/>
      <c r="I992" s="1"/>
      <c r="J992" s="7"/>
      <c r="K992" s="1"/>
      <c r="L992" s="1"/>
      <c r="M992" s="1"/>
      <c r="N992" s="1"/>
      <c r="O992" s="1"/>
      <c r="P992" s="1"/>
      <c r="Q992" s="1"/>
      <c r="R992" s="1"/>
      <c r="S992" s="1"/>
      <c r="T992" s="1"/>
      <c r="U992" s="1"/>
      <c r="V992" s="1"/>
      <c r="W992" s="1"/>
      <c r="X992" s="1"/>
      <c r="Y992" s="1"/>
      <c r="Z992" s="1"/>
    </row>
    <row r="993" spans="1:26" ht="12.75" customHeight="1" x14ac:dyDescent="0.25">
      <c r="A993" s="1"/>
      <c r="B993" s="1"/>
      <c r="C993" s="3"/>
      <c r="D993" s="3"/>
      <c r="E993" s="5"/>
      <c r="F993" s="5"/>
      <c r="G993" s="3"/>
      <c r="H993" s="5"/>
      <c r="I993" s="1"/>
      <c r="J993" s="7"/>
      <c r="K993" s="1"/>
      <c r="L993" s="1"/>
      <c r="M993" s="1"/>
      <c r="N993" s="1"/>
      <c r="O993" s="1"/>
      <c r="P993" s="1"/>
      <c r="Q993" s="1"/>
      <c r="R993" s="1"/>
      <c r="S993" s="1"/>
      <c r="T993" s="1"/>
      <c r="U993" s="1"/>
      <c r="V993" s="1"/>
      <c r="W993" s="1"/>
      <c r="X993" s="1"/>
      <c r="Y993" s="1"/>
      <c r="Z993" s="1"/>
    </row>
    <row r="994" spans="1:26" ht="12.75" customHeight="1" x14ac:dyDescent="0.25">
      <c r="A994" s="1"/>
      <c r="B994" s="1"/>
      <c r="C994" s="3"/>
      <c r="D994" s="3"/>
      <c r="E994" s="5"/>
      <c r="F994" s="5"/>
      <c r="G994" s="3"/>
      <c r="H994" s="5"/>
      <c r="I994" s="1"/>
      <c r="J994" s="7"/>
      <c r="K994" s="1"/>
      <c r="L994" s="1"/>
      <c r="M994" s="1"/>
      <c r="N994" s="1"/>
      <c r="O994" s="1"/>
      <c r="P994" s="1"/>
      <c r="Q994" s="1"/>
      <c r="R994" s="1"/>
      <c r="S994" s="1"/>
      <c r="T994" s="1"/>
      <c r="U994" s="1"/>
      <c r="V994" s="1"/>
      <c r="W994" s="1"/>
      <c r="X994" s="1"/>
      <c r="Y994" s="1"/>
      <c r="Z994" s="1"/>
    </row>
    <row r="995" spans="1:26" ht="12.75" customHeight="1" x14ac:dyDescent="0.25">
      <c r="A995" s="1"/>
      <c r="B995" s="1"/>
      <c r="C995" s="3"/>
      <c r="D995" s="3"/>
      <c r="E995" s="5"/>
      <c r="F995" s="5"/>
      <c r="G995" s="3"/>
      <c r="H995" s="5"/>
      <c r="I995" s="1"/>
      <c r="J995" s="7"/>
      <c r="K995" s="1"/>
      <c r="L995" s="1"/>
      <c r="M995" s="1"/>
      <c r="N995" s="1"/>
      <c r="O995" s="1"/>
      <c r="P995" s="1"/>
      <c r="Q995" s="1"/>
      <c r="R995" s="1"/>
      <c r="S995" s="1"/>
      <c r="T995" s="1"/>
      <c r="U995" s="1"/>
      <c r="V995" s="1"/>
      <c r="W995" s="1"/>
      <c r="X995" s="1"/>
      <c r="Y995" s="1"/>
      <c r="Z995" s="1"/>
    </row>
    <row r="996" spans="1:26" ht="12.75" customHeight="1" x14ac:dyDescent="0.25">
      <c r="A996" s="1"/>
      <c r="B996" s="1"/>
      <c r="C996" s="3"/>
      <c r="D996" s="3"/>
      <c r="E996" s="5"/>
      <c r="F996" s="5"/>
      <c r="G996" s="3"/>
      <c r="H996" s="5"/>
      <c r="I996" s="1"/>
      <c r="J996" s="7"/>
      <c r="K996" s="1"/>
      <c r="L996" s="1"/>
      <c r="M996" s="1"/>
      <c r="N996" s="1"/>
      <c r="O996" s="1"/>
      <c r="P996" s="1"/>
      <c r="Q996" s="1"/>
      <c r="R996" s="1"/>
      <c r="S996" s="1"/>
      <c r="T996" s="1"/>
      <c r="U996" s="1"/>
      <c r="V996" s="1"/>
      <c r="W996" s="1"/>
      <c r="X996" s="1"/>
      <c r="Y996" s="1"/>
      <c r="Z996" s="1"/>
    </row>
    <row r="997" spans="1:26" ht="12.75" customHeight="1" x14ac:dyDescent="0.25">
      <c r="A997" s="1"/>
      <c r="B997" s="1"/>
      <c r="C997" s="3"/>
      <c r="D997" s="3"/>
      <c r="E997" s="5"/>
      <c r="F997" s="5"/>
      <c r="G997" s="3"/>
      <c r="H997" s="5"/>
      <c r="I997" s="1"/>
      <c r="J997" s="7"/>
      <c r="K997" s="1"/>
      <c r="L997" s="1"/>
      <c r="M997" s="1"/>
      <c r="N997" s="1"/>
      <c r="O997" s="1"/>
      <c r="P997" s="1"/>
      <c r="Q997" s="1"/>
      <c r="R997" s="1"/>
      <c r="S997" s="1"/>
      <c r="T997" s="1"/>
      <c r="U997" s="1"/>
      <c r="V997" s="1"/>
      <c r="W997" s="1"/>
      <c r="X997" s="1"/>
      <c r="Y997" s="1"/>
      <c r="Z997" s="1"/>
    </row>
    <row r="998" spans="1:26" ht="12.75" customHeight="1" x14ac:dyDescent="0.25">
      <c r="A998" s="1"/>
      <c r="B998" s="1"/>
      <c r="C998" s="3"/>
      <c r="D998" s="3"/>
      <c r="E998" s="5"/>
      <c r="F998" s="5"/>
      <c r="G998" s="3"/>
      <c r="H998" s="5"/>
      <c r="I998" s="1"/>
      <c r="J998" s="7"/>
      <c r="K998" s="1"/>
      <c r="L998" s="1"/>
      <c r="M998" s="1"/>
      <c r="N998" s="1"/>
      <c r="O998" s="1"/>
      <c r="P998" s="1"/>
      <c r="Q998" s="1"/>
      <c r="R998" s="1"/>
      <c r="S998" s="1"/>
      <c r="T998" s="1"/>
      <c r="U998" s="1"/>
      <c r="V998" s="1"/>
      <c r="W998" s="1"/>
      <c r="X998" s="1"/>
      <c r="Y998" s="1"/>
      <c r="Z998" s="1"/>
    </row>
    <row r="999" spans="1:26" ht="12.75" customHeight="1" x14ac:dyDescent="0.25">
      <c r="A999" s="1"/>
      <c r="B999" s="1"/>
      <c r="C999" s="3"/>
      <c r="D999" s="3"/>
      <c r="E999" s="5"/>
      <c r="F999" s="5"/>
      <c r="G999" s="3"/>
      <c r="H999" s="5"/>
      <c r="I999" s="1"/>
      <c r="J999" s="7"/>
      <c r="K999" s="1"/>
      <c r="L999" s="1"/>
      <c r="M999" s="1"/>
      <c r="N999" s="1"/>
      <c r="O999" s="1"/>
      <c r="P999" s="1"/>
      <c r="Q999" s="1"/>
      <c r="R999" s="1"/>
      <c r="S999" s="1"/>
      <c r="T999" s="1"/>
      <c r="U999" s="1"/>
      <c r="V999" s="1"/>
      <c r="W999" s="1"/>
      <c r="X999" s="1"/>
      <c r="Y999" s="1"/>
      <c r="Z999" s="1"/>
    </row>
    <row r="1000" spans="1:26" ht="12.75" customHeight="1" x14ac:dyDescent="0.25">
      <c r="A1000" s="1"/>
      <c r="B1000" s="1"/>
      <c r="C1000" s="3"/>
      <c r="D1000" s="3"/>
      <c r="E1000" s="5"/>
      <c r="F1000" s="5"/>
      <c r="G1000" s="3"/>
      <c r="H1000" s="5"/>
      <c r="I1000" s="1"/>
      <c r="J1000" s="7"/>
      <c r="K1000" s="1"/>
      <c r="L1000" s="1"/>
      <c r="M1000" s="1"/>
      <c r="N1000" s="1"/>
      <c r="O1000" s="1"/>
      <c r="P1000" s="1"/>
      <c r="Q1000" s="1"/>
      <c r="R1000" s="1"/>
      <c r="S1000" s="1"/>
      <c r="T1000" s="1"/>
      <c r="U1000" s="1"/>
      <c r="V1000" s="1"/>
      <c r="W1000" s="1"/>
      <c r="X1000" s="1"/>
      <c r="Y1000" s="1"/>
      <c r="Z1000" s="1"/>
    </row>
  </sheetData>
  <mergeCells count="15">
    <mergeCell ref="G115:J115"/>
    <mergeCell ref="G116:J116"/>
    <mergeCell ref="A2:J2"/>
    <mergeCell ref="A3:J3"/>
    <mergeCell ref="A4:J4"/>
    <mergeCell ref="A5:J5"/>
    <mergeCell ref="A6:J6"/>
    <mergeCell ref="A103:A104"/>
    <mergeCell ref="A106:A107"/>
    <mergeCell ref="G114:J114"/>
    <mergeCell ref="H113:J113"/>
    <mergeCell ref="C114:E114"/>
    <mergeCell ref="C115:E115"/>
    <mergeCell ref="C116:E116"/>
    <mergeCell ref="A100:A101"/>
  </mergeCells>
  <dataValidations count="1">
    <dataValidation type="decimal" operator="equal" allowBlank="1" showErrorMessage="1" sqref="D9:J75 E76:F76 H76:J76 D77:J109" xr:uid="{00000000-0002-0000-0100-000000000000}">
      <formula1>1</formula1>
    </dataValidation>
  </dataValidations>
  <pageMargins left="0.7" right="0.7" top="0.75" bottom="0.75" header="0" footer="0"/>
  <pageSetup scale="7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showGridLines="0" view="pageBreakPreview" topLeftCell="A76" zoomScale="115" zoomScaleNormal="100" zoomScaleSheetLayoutView="115" workbookViewId="0">
      <selection activeCell="O31" sqref="O31"/>
    </sheetView>
  </sheetViews>
  <sheetFormatPr baseColWidth="10" defaultColWidth="14.42578125" defaultRowHeight="15" customHeight="1" outlineLevelRow="1" x14ac:dyDescent="0.25"/>
  <cols>
    <col min="1" max="1" width="35.140625" customWidth="1"/>
    <col min="2" max="2" width="6.28515625" customWidth="1"/>
    <col min="3" max="3" width="9.7109375" customWidth="1"/>
    <col min="4" max="4" width="14.140625" customWidth="1"/>
    <col min="5" max="5" width="10.28515625" bestFit="1" customWidth="1"/>
    <col min="6" max="6" width="5.140625" customWidth="1"/>
    <col min="7" max="7" width="12.42578125" customWidth="1"/>
    <col min="8" max="8" width="9.28515625" bestFit="1" customWidth="1"/>
    <col min="9" max="9" width="12.7109375" customWidth="1"/>
    <col min="10" max="10" width="11.28515625" customWidth="1"/>
    <col min="11" max="26" width="11.42578125" customWidth="1"/>
  </cols>
  <sheetData>
    <row r="1" spans="1:26" ht="12.75" customHeight="1" x14ac:dyDescent="0.25">
      <c r="A1" s="1"/>
      <c r="B1" s="1"/>
      <c r="C1" s="3"/>
      <c r="D1" s="3"/>
      <c r="E1" s="5"/>
      <c r="F1" s="5"/>
      <c r="G1" s="3"/>
      <c r="H1" s="5"/>
      <c r="I1" s="1"/>
      <c r="J1" s="7"/>
      <c r="K1" s="1"/>
      <c r="L1" s="1"/>
      <c r="M1" s="1"/>
      <c r="N1" s="1"/>
      <c r="O1" s="1"/>
      <c r="P1" s="1"/>
      <c r="Q1" s="1"/>
      <c r="R1" s="1"/>
      <c r="S1" s="1"/>
      <c r="T1" s="1"/>
      <c r="U1" s="1"/>
      <c r="V1" s="1"/>
      <c r="W1" s="1"/>
      <c r="X1" s="1"/>
      <c r="Y1" s="1"/>
      <c r="Z1" s="1"/>
    </row>
    <row r="2" spans="1:26" ht="12.75" customHeight="1" x14ac:dyDescent="0.25">
      <c r="A2" s="404" t="str">
        <f>+DATOS!H6</f>
        <v>GRUPO DE LOLITA S.A.S</v>
      </c>
      <c r="B2" s="400"/>
      <c r="C2" s="400"/>
      <c r="D2" s="400"/>
      <c r="E2" s="400"/>
      <c r="F2" s="400"/>
      <c r="G2" s="400"/>
      <c r="H2" s="400"/>
      <c r="I2" s="400"/>
      <c r="J2" s="400"/>
      <c r="K2" s="1"/>
      <c r="L2" s="1"/>
      <c r="M2" s="1"/>
      <c r="N2" s="1"/>
      <c r="O2" s="1"/>
      <c r="P2" s="1"/>
      <c r="Q2" s="1"/>
      <c r="R2" s="1"/>
      <c r="S2" s="1"/>
      <c r="T2" s="1"/>
      <c r="U2" s="1"/>
      <c r="V2" s="1"/>
      <c r="W2" s="1"/>
      <c r="X2" s="1"/>
      <c r="Y2" s="1"/>
      <c r="Z2" s="1"/>
    </row>
    <row r="3" spans="1:26" ht="12.75" customHeight="1" x14ac:dyDescent="0.25">
      <c r="A3" s="404" t="str">
        <f>+DATOS!H7</f>
        <v>NIT: 900.307.969-5</v>
      </c>
      <c r="B3" s="400"/>
      <c r="C3" s="400"/>
      <c r="D3" s="400"/>
      <c r="E3" s="400"/>
      <c r="F3" s="400"/>
      <c r="G3" s="400"/>
      <c r="H3" s="400"/>
      <c r="I3" s="400"/>
      <c r="J3" s="400"/>
      <c r="K3" s="1"/>
      <c r="L3" s="1"/>
      <c r="M3" s="1"/>
      <c r="N3" s="1"/>
      <c r="O3" s="1"/>
      <c r="P3" s="1"/>
      <c r="Q3" s="1"/>
      <c r="R3" s="1"/>
      <c r="S3" s="1"/>
      <c r="T3" s="1"/>
      <c r="U3" s="1"/>
      <c r="V3" s="1"/>
      <c r="W3" s="1"/>
      <c r="X3" s="1"/>
      <c r="Y3" s="1"/>
      <c r="Z3" s="1"/>
    </row>
    <row r="4" spans="1:26" ht="12.75" customHeight="1" x14ac:dyDescent="0.25">
      <c r="A4" s="405" t="s">
        <v>2</v>
      </c>
      <c r="B4" s="400"/>
      <c r="C4" s="400"/>
      <c r="D4" s="400"/>
      <c r="E4" s="400"/>
      <c r="F4" s="400"/>
      <c r="G4" s="400"/>
      <c r="H4" s="400"/>
      <c r="I4" s="400"/>
      <c r="J4" s="400"/>
      <c r="K4" s="1"/>
      <c r="L4" s="1"/>
      <c r="M4" s="1"/>
      <c r="N4" s="1"/>
      <c r="O4" s="1"/>
      <c r="P4" s="1"/>
      <c r="Q4" s="1"/>
      <c r="R4" s="1"/>
      <c r="S4" s="1"/>
      <c r="T4" s="1"/>
      <c r="U4" s="1"/>
      <c r="V4" s="1"/>
      <c r="W4" s="1"/>
      <c r="X4" s="1"/>
      <c r="Y4" s="1"/>
      <c r="Z4" s="1"/>
    </row>
    <row r="5" spans="1:26" ht="12.75" customHeight="1" x14ac:dyDescent="0.25">
      <c r="A5" s="405" t="str">
        <f>+DATOS!H8</f>
        <v>A 30 de Junio de 2026 y 2025</v>
      </c>
      <c r="B5" s="400"/>
      <c r="C5" s="400"/>
      <c r="D5" s="400"/>
      <c r="E5" s="400"/>
      <c r="F5" s="400"/>
      <c r="G5" s="400"/>
      <c r="H5" s="400"/>
      <c r="I5" s="400"/>
      <c r="J5" s="400"/>
      <c r="K5" s="1"/>
      <c r="L5" s="1"/>
      <c r="M5" s="1"/>
      <c r="N5" s="1"/>
      <c r="O5" s="1"/>
      <c r="P5" s="1"/>
      <c r="Q5" s="1"/>
      <c r="R5" s="1"/>
      <c r="S5" s="1"/>
      <c r="T5" s="1"/>
      <c r="U5" s="1"/>
      <c r="V5" s="1"/>
      <c r="W5" s="1"/>
      <c r="X5" s="1"/>
      <c r="Y5" s="1"/>
      <c r="Z5" s="1"/>
    </row>
    <row r="6" spans="1:26" ht="12.75" customHeight="1" x14ac:dyDescent="0.25">
      <c r="A6" s="405" t="s">
        <v>5</v>
      </c>
      <c r="B6" s="400"/>
      <c r="C6" s="400"/>
      <c r="D6" s="400"/>
      <c r="E6" s="400"/>
      <c r="F6" s="400"/>
      <c r="G6" s="400"/>
      <c r="H6" s="400"/>
      <c r="I6" s="400"/>
      <c r="J6" s="400"/>
      <c r="K6" s="1"/>
      <c r="L6" s="1"/>
      <c r="M6" s="1"/>
      <c r="N6" s="1"/>
      <c r="O6" s="1"/>
      <c r="P6" s="1"/>
      <c r="Q6" s="1"/>
      <c r="R6" s="1"/>
      <c r="S6" s="1"/>
      <c r="T6" s="1"/>
      <c r="U6" s="1"/>
      <c r="V6" s="1"/>
      <c r="W6" s="1"/>
      <c r="X6" s="1"/>
      <c r="Y6" s="1"/>
      <c r="Z6" s="1"/>
    </row>
    <row r="7" spans="1:26" ht="12.75" customHeight="1" x14ac:dyDescent="0.25">
      <c r="A7" s="14"/>
      <c r="B7" s="14"/>
      <c r="C7" s="14"/>
      <c r="D7" s="14"/>
      <c r="E7" s="15"/>
      <c r="F7" s="15"/>
      <c r="G7" s="14"/>
      <c r="H7" s="15"/>
      <c r="I7" s="1"/>
      <c r="J7" s="7"/>
      <c r="K7" s="1"/>
      <c r="L7" s="1"/>
      <c r="M7" s="1"/>
      <c r="N7" s="1"/>
      <c r="O7" s="1"/>
      <c r="P7" s="1"/>
      <c r="Q7" s="1"/>
      <c r="R7" s="1"/>
      <c r="S7" s="1"/>
      <c r="T7" s="1"/>
      <c r="U7" s="1"/>
      <c r="V7" s="1"/>
      <c r="W7" s="1"/>
      <c r="X7" s="1"/>
      <c r="Y7" s="1"/>
      <c r="Z7" s="1"/>
    </row>
    <row r="8" spans="1:26" ht="12.75" customHeight="1" x14ac:dyDescent="0.25">
      <c r="A8" s="14"/>
      <c r="B8" s="14"/>
      <c r="C8" s="14"/>
      <c r="D8" s="14"/>
      <c r="E8" s="15"/>
      <c r="F8" s="15"/>
      <c r="G8" s="14"/>
      <c r="H8" s="15"/>
      <c r="I8" s="1"/>
      <c r="J8" s="7"/>
      <c r="K8" s="1"/>
      <c r="L8" s="1"/>
      <c r="M8" s="1"/>
      <c r="N8" s="1"/>
      <c r="O8" s="1"/>
      <c r="P8" s="1"/>
      <c r="Q8" s="1"/>
      <c r="R8" s="1"/>
      <c r="S8" s="1"/>
      <c r="T8" s="1"/>
      <c r="U8" s="1"/>
      <c r="V8" s="1"/>
      <c r="W8" s="1"/>
      <c r="X8" s="1"/>
      <c r="Y8" s="1"/>
      <c r="Z8" s="1"/>
    </row>
    <row r="9" spans="1:26" ht="18" customHeight="1" x14ac:dyDescent="0.25">
      <c r="A9" s="16"/>
      <c r="B9" s="18"/>
      <c r="C9" s="28" t="s">
        <v>8</v>
      </c>
      <c r="D9" s="29" t="str">
        <f>+DATOS!H10</f>
        <v>2026-06</v>
      </c>
      <c r="E9" s="31" t="s">
        <v>49</v>
      </c>
      <c r="F9" s="31"/>
      <c r="G9" s="29" t="str">
        <f>+DATOS!H11</f>
        <v>2025-06</v>
      </c>
      <c r="H9" s="31" t="s">
        <v>49</v>
      </c>
      <c r="I9" s="29" t="s">
        <v>51</v>
      </c>
      <c r="J9" s="33" t="s">
        <v>52</v>
      </c>
      <c r="K9" s="1"/>
      <c r="L9" s="1"/>
      <c r="M9" s="1"/>
      <c r="N9" s="1"/>
      <c r="O9" s="1"/>
      <c r="P9" s="1"/>
      <c r="Q9" s="1"/>
      <c r="R9" s="1"/>
      <c r="S9" s="1"/>
      <c r="T9" s="1"/>
      <c r="U9" s="1"/>
      <c r="V9" s="1"/>
      <c r="W9" s="1"/>
      <c r="X9" s="1"/>
      <c r="Y9" s="1"/>
      <c r="Z9" s="1"/>
    </row>
    <row r="10" spans="1:26" x14ac:dyDescent="0.25">
      <c r="A10" s="35" t="s">
        <v>53</v>
      </c>
      <c r="B10" s="35"/>
      <c r="C10" s="36">
        <v>12</v>
      </c>
      <c r="D10" s="38">
        <f>+DATOS!D91</f>
        <v>0</v>
      </c>
      <c r="E10" s="41">
        <f>+D10/$D$13</f>
        <v>0</v>
      </c>
      <c r="F10" s="39"/>
      <c r="G10" s="38">
        <f>+DATOS!G91</f>
        <v>0</v>
      </c>
      <c r="H10" s="41">
        <f>+G10/$G$13</f>
        <v>0</v>
      </c>
      <c r="I10" s="43">
        <f>+D10-G10</f>
        <v>0</v>
      </c>
      <c r="J10" s="7">
        <f>IFERROR(I10/G10,100%)*OR(IF(D10-G10=0,(0%),+I10/I10))</f>
        <v>0</v>
      </c>
      <c r="K10" s="1"/>
      <c r="L10" s="1"/>
      <c r="M10" s="1"/>
      <c r="N10" s="1"/>
      <c r="O10" s="1"/>
      <c r="P10" s="1"/>
      <c r="Q10" s="1"/>
      <c r="R10" s="1"/>
      <c r="S10" s="1"/>
      <c r="T10" s="1"/>
      <c r="U10" s="1"/>
      <c r="V10" s="1"/>
      <c r="W10" s="1"/>
      <c r="X10" s="1"/>
      <c r="Y10" s="1"/>
      <c r="Z10" s="1"/>
    </row>
    <row r="11" spans="1:26" x14ac:dyDescent="0.25">
      <c r="A11" s="35" t="s">
        <v>56</v>
      </c>
      <c r="B11" s="35"/>
      <c r="C11" s="36"/>
      <c r="D11" s="38">
        <f>+DATOS!D92</f>
        <v>2120978.2415999998</v>
      </c>
      <c r="E11" s="41">
        <f>+D11/$D$13</f>
        <v>1.0020530742665517</v>
      </c>
      <c r="F11" s="39"/>
      <c r="G11" s="38">
        <f>+DATOS!G92</f>
        <v>2943371.6668000002</v>
      </c>
      <c r="H11" s="41">
        <f>+G11/$G$13</f>
        <v>1.0015102619068794</v>
      </c>
      <c r="I11" s="43">
        <f>+D11-G11</f>
        <v>-822393.42520000041</v>
      </c>
      <c r="J11" s="7">
        <f>IFERROR(I11/G11,100%)*OR(IF(D11-G11=0,(0%),+I11/G11))</f>
        <v>-0.27940522580829796</v>
      </c>
      <c r="K11" s="1"/>
      <c r="L11" s="1"/>
      <c r="M11" s="1"/>
      <c r="N11" s="1"/>
      <c r="O11" s="1"/>
      <c r="P11" s="1"/>
      <c r="Q11" s="1"/>
      <c r="R11" s="1"/>
      <c r="S11" s="1"/>
      <c r="T11" s="1"/>
      <c r="U11" s="1"/>
      <c r="V11" s="1"/>
      <c r="W11" s="1"/>
      <c r="X11" s="1"/>
      <c r="Y11" s="1"/>
      <c r="Z11" s="1"/>
    </row>
    <row r="12" spans="1:26" x14ac:dyDescent="0.25">
      <c r="A12" s="35" t="s">
        <v>58</v>
      </c>
      <c r="B12" s="35"/>
      <c r="C12" s="36"/>
      <c r="D12" s="38">
        <f>-DATOS!D93-DATOS!D94</f>
        <v>-4345.6040000000003</v>
      </c>
      <c r="E12" s="41">
        <f>+D12/$D$13</f>
        <v>-2.0530742665516954E-3</v>
      </c>
      <c r="F12" s="39"/>
      <c r="G12" s="38">
        <f>-DATOS!G93-DATOS!G94</f>
        <v>-4438.55872</v>
      </c>
      <c r="H12" s="41">
        <f>+G12/$G$13</f>
        <v>-1.510261906879433E-3</v>
      </c>
      <c r="I12" s="43">
        <f>+D12-G12</f>
        <v>92.954719999999725</v>
      </c>
      <c r="J12" s="7">
        <v>0</v>
      </c>
      <c r="K12" s="1"/>
      <c r="L12" s="1"/>
      <c r="M12" s="1"/>
      <c r="N12" s="1"/>
      <c r="O12" s="1"/>
      <c r="P12" s="1"/>
      <c r="Q12" s="1"/>
      <c r="R12" s="1"/>
      <c r="S12" s="1"/>
      <c r="T12" s="1"/>
      <c r="U12" s="1"/>
      <c r="V12" s="1"/>
      <c r="W12" s="1"/>
      <c r="X12" s="1"/>
      <c r="Y12" s="1"/>
      <c r="Z12" s="1"/>
    </row>
    <row r="13" spans="1:26" ht="15.75" thickBot="1" x14ac:dyDescent="0.3">
      <c r="A13" s="45" t="s">
        <v>61</v>
      </c>
      <c r="B13" s="45"/>
      <c r="C13" s="46"/>
      <c r="D13" s="47">
        <f>SUM(D10:D12)</f>
        <v>2116632.6376</v>
      </c>
      <c r="E13" s="49">
        <f>+D13/$D$13</f>
        <v>1</v>
      </c>
      <c r="F13" s="48"/>
      <c r="G13" s="47">
        <f>SUM(G10:G12)</f>
        <v>2938933.1080800002</v>
      </c>
      <c r="H13" s="49">
        <f>+G13/$G$13</f>
        <v>1</v>
      </c>
      <c r="I13" s="47">
        <f>+D13-G13</f>
        <v>-822300.47048000013</v>
      </c>
      <c r="J13" s="50">
        <f>IFERROR(I13/G13,100%)*OR(IF(D13-G13=0,(0%),+I13/G13))</f>
        <v>-0.27979557214801926</v>
      </c>
      <c r="K13" s="1"/>
      <c r="L13" s="1"/>
      <c r="M13" s="1"/>
      <c r="N13" s="1"/>
      <c r="O13" s="1"/>
      <c r="P13" s="1"/>
      <c r="Q13" s="1"/>
      <c r="R13" s="1"/>
      <c r="S13" s="1"/>
      <c r="T13" s="1"/>
      <c r="U13" s="1"/>
      <c r="V13" s="1"/>
      <c r="W13" s="1"/>
      <c r="X13" s="1"/>
      <c r="Y13" s="1"/>
      <c r="Z13" s="1"/>
    </row>
    <row r="14" spans="1:26" ht="15.75" thickTop="1" x14ac:dyDescent="0.25">
      <c r="A14" s="35"/>
      <c r="B14" s="35"/>
      <c r="C14" s="36"/>
      <c r="D14" s="38"/>
      <c r="E14" s="41"/>
      <c r="F14" s="39"/>
      <c r="G14" s="38"/>
      <c r="H14" s="41"/>
      <c r="I14" s="43"/>
      <c r="J14" s="7"/>
      <c r="K14" s="1"/>
      <c r="L14" s="1"/>
      <c r="M14" s="1"/>
      <c r="N14" s="1"/>
      <c r="O14" s="1"/>
      <c r="P14" s="1"/>
      <c r="Q14" s="1"/>
      <c r="R14" s="1"/>
      <c r="S14" s="1"/>
      <c r="T14" s="1"/>
      <c r="U14" s="1"/>
      <c r="V14" s="1"/>
      <c r="W14" s="1"/>
      <c r="X14" s="1"/>
      <c r="Y14" s="1"/>
      <c r="Z14" s="1"/>
    </row>
    <row r="15" spans="1:26" x14ac:dyDescent="0.25">
      <c r="A15" s="52" t="s">
        <v>64</v>
      </c>
      <c r="B15" s="52"/>
      <c r="C15" s="53"/>
      <c r="D15" s="55">
        <f>SUM(D16:D17)</f>
        <v>-956551.83900000004</v>
      </c>
      <c r="E15" s="57">
        <f>+D15/$D$13</f>
        <v>-0.45192152006340208</v>
      </c>
      <c r="F15" s="56"/>
      <c r="G15" s="55">
        <f>SUM(G16:G17)</f>
        <v>-1241064.943</v>
      </c>
      <c r="H15" s="57">
        <f>+G15/$G$13</f>
        <v>-0.42228417502526472</v>
      </c>
      <c r="I15" s="55">
        <f>+D15-G15</f>
        <v>284513.10399999993</v>
      </c>
      <c r="J15" s="59">
        <f>IFERROR(I15/G15,100%)*OR(IF(D15-G15=0,(0%),+I15/G15))</f>
        <v>-0.22924916669731435</v>
      </c>
      <c r="K15" s="1"/>
      <c r="L15" s="1"/>
      <c r="M15" s="1"/>
      <c r="N15" s="1"/>
      <c r="O15" s="1"/>
      <c r="P15" s="1"/>
      <c r="Q15" s="1"/>
      <c r="R15" s="1"/>
      <c r="S15" s="1"/>
      <c r="T15" s="1"/>
      <c r="U15" s="1"/>
      <c r="V15" s="1"/>
      <c r="W15" s="1"/>
      <c r="X15" s="1"/>
      <c r="Y15" s="1"/>
      <c r="Z15" s="1"/>
    </row>
    <row r="16" spans="1:26" hidden="1" outlineLevel="1" x14ac:dyDescent="0.25">
      <c r="A16" s="35" t="s">
        <v>67</v>
      </c>
      <c r="B16" s="35"/>
      <c r="C16" s="61"/>
      <c r="D16" s="38">
        <f>-DATOS!D165</f>
        <v>-956551.83900000004</v>
      </c>
      <c r="E16" s="41">
        <f>+D16/(D10+D12)</f>
        <v>220.11942160399337</v>
      </c>
      <c r="F16" s="39"/>
      <c r="G16" s="38">
        <f>-DATOS!G165</f>
        <v>-1241064.943</v>
      </c>
      <c r="H16" s="41">
        <f>+G16/(G10+G12)</f>
        <v>279.60989620522582</v>
      </c>
      <c r="I16" s="43">
        <f>+D16-G16</f>
        <v>284513.10399999993</v>
      </c>
      <c r="J16" s="7">
        <f>IFERROR(I16/G16,100%)*OR(IF(D16-G16=0,(0%),+I16/G16))</f>
        <v>-0.22924916669731435</v>
      </c>
      <c r="K16" s="1"/>
      <c r="L16" s="1"/>
      <c r="M16" s="1"/>
      <c r="N16" s="1"/>
      <c r="O16" s="1"/>
      <c r="P16" s="1"/>
      <c r="Q16" s="1"/>
      <c r="R16" s="1"/>
      <c r="S16" s="1"/>
      <c r="T16" s="1"/>
      <c r="U16" s="1"/>
      <c r="V16" s="1"/>
      <c r="W16" s="1"/>
      <c r="X16" s="1"/>
      <c r="Y16" s="1"/>
      <c r="Z16" s="1"/>
    </row>
    <row r="17" spans="1:26" hidden="1" outlineLevel="1" x14ac:dyDescent="0.25">
      <c r="A17" s="35" t="s">
        <v>70</v>
      </c>
      <c r="B17" s="35"/>
      <c r="C17" s="61"/>
      <c r="D17" s="38">
        <f>-DATOS!D166</f>
        <v>0</v>
      </c>
      <c r="E17" s="41">
        <f>+D17/$D$11</f>
        <v>0</v>
      </c>
      <c r="F17" s="39"/>
      <c r="G17" s="38">
        <f>-DATOS!G166</f>
        <v>0</v>
      </c>
      <c r="H17" s="41">
        <f>+G17/$G$11</f>
        <v>0</v>
      </c>
      <c r="I17" s="43">
        <f>+D17-G17</f>
        <v>0</v>
      </c>
      <c r="J17" s="7">
        <f>IFERROR(I17/G17,100%)*OR(IF(D17-G17=0,(0%),+I17/G17))</f>
        <v>0</v>
      </c>
      <c r="K17" s="1"/>
      <c r="L17" s="1"/>
      <c r="M17" s="1"/>
      <c r="N17" s="1"/>
      <c r="O17" s="1"/>
      <c r="P17" s="1"/>
      <c r="Q17" s="1"/>
      <c r="R17" s="1"/>
      <c r="S17" s="1"/>
      <c r="T17" s="1"/>
      <c r="U17" s="1"/>
      <c r="V17" s="1"/>
      <c r="W17" s="1"/>
      <c r="X17" s="1"/>
      <c r="Y17" s="1"/>
      <c r="Z17" s="1"/>
    </row>
    <row r="18" spans="1:26" collapsed="1" x14ac:dyDescent="0.25">
      <c r="A18" s="62"/>
      <c r="B18" s="62"/>
      <c r="C18" s="36"/>
      <c r="D18" s="63"/>
      <c r="E18" s="65"/>
      <c r="F18" s="64"/>
      <c r="G18" s="63"/>
      <c r="H18" s="65"/>
      <c r="I18" s="66"/>
      <c r="J18" s="67"/>
      <c r="K18" s="68"/>
      <c r="L18" s="68"/>
      <c r="M18" s="68"/>
      <c r="N18" s="68"/>
      <c r="O18" s="68"/>
      <c r="P18" s="68"/>
      <c r="Q18" s="68"/>
      <c r="R18" s="68"/>
      <c r="S18" s="68"/>
      <c r="T18" s="68"/>
      <c r="U18" s="68"/>
      <c r="V18" s="68"/>
      <c r="W18" s="68"/>
      <c r="X18" s="68"/>
      <c r="Y18" s="68"/>
      <c r="Z18" s="68"/>
    </row>
    <row r="19" spans="1:26" ht="15.75" thickBot="1" x14ac:dyDescent="0.3">
      <c r="A19" s="45" t="s">
        <v>75</v>
      </c>
      <c r="B19" s="45"/>
      <c r="C19" s="46"/>
      <c r="D19" s="47">
        <f>+D13+D15</f>
        <v>1160080.7985999999</v>
      </c>
      <c r="E19" s="49">
        <f>+D19/$D$13</f>
        <v>0.54807847993659786</v>
      </c>
      <c r="F19" s="48"/>
      <c r="G19" s="47">
        <f>+G13+G15</f>
        <v>1697868.1650800002</v>
      </c>
      <c r="H19" s="49">
        <f>+G19/$G$13</f>
        <v>0.57771582497473528</v>
      </c>
      <c r="I19" s="47">
        <f>+D19-G19</f>
        <v>-537787.36648000032</v>
      </c>
      <c r="J19" s="50">
        <f>IFERROR(I19/G19,100%)*OR(IF(D19-G19=0,(0%),+I19/G19))</f>
        <v>-0.31674271156068284</v>
      </c>
      <c r="K19" s="1"/>
      <c r="L19" s="1"/>
      <c r="M19" s="1"/>
      <c r="N19" s="1"/>
      <c r="O19" s="1"/>
      <c r="P19" s="1"/>
      <c r="Q19" s="1"/>
      <c r="R19" s="1"/>
      <c r="S19" s="1"/>
      <c r="T19" s="1"/>
      <c r="U19" s="1"/>
      <c r="V19" s="1"/>
      <c r="W19" s="1"/>
      <c r="X19" s="1"/>
      <c r="Y19" s="1"/>
      <c r="Z19" s="1"/>
    </row>
    <row r="20" spans="1:26" ht="15.75" thickTop="1" x14ac:dyDescent="0.25">
      <c r="A20" s="62"/>
      <c r="B20" s="62"/>
      <c r="C20" s="36"/>
      <c r="D20" s="63"/>
      <c r="E20" s="65"/>
      <c r="F20" s="64"/>
      <c r="G20" s="63"/>
      <c r="H20" s="65"/>
      <c r="I20" s="1"/>
      <c r="J20" s="7"/>
      <c r="K20" s="1"/>
      <c r="L20" s="1"/>
      <c r="M20" s="1"/>
      <c r="N20" s="1"/>
      <c r="O20" s="1"/>
      <c r="P20" s="1"/>
      <c r="Q20" s="1"/>
      <c r="R20" s="1"/>
      <c r="S20" s="1"/>
      <c r="T20" s="1"/>
      <c r="U20" s="1"/>
      <c r="V20" s="1"/>
      <c r="W20" s="1"/>
      <c r="X20" s="1"/>
      <c r="Y20" s="1"/>
      <c r="Z20" s="1"/>
    </row>
    <row r="21" spans="1:26" x14ac:dyDescent="0.25">
      <c r="A21" s="62" t="s">
        <v>78</v>
      </c>
      <c r="B21" s="62"/>
      <c r="C21" s="36">
        <v>13</v>
      </c>
      <c r="D21" s="63">
        <f>SUM(D22:D29)</f>
        <v>11029.21672</v>
      </c>
      <c r="E21" s="65">
        <f t="shared" ref="E21:E72" si="0">+D21/$D$13</f>
        <v>5.2107373400921237E-3</v>
      </c>
      <c r="F21" s="64"/>
      <c r="G21" s="63">
        <f>SUM(G22:G29)</f>
        <v>9958.08007</v>
      </c>
      <c r="H21" s="65">
        <f t="shared" ref="H21:H72" si="1">+G21/$G$13</f>
        <v>3.3883316509049763E-3</v>
      </c>
      <c r="I21" s="66">
        <f t="shared" ref="I21:I72" si="2">+D21-G21</f>
        <v>1071.1366500000004</v>
      </c>
      <c r="J21" s="67">
        <f t="shared" ref="J21:J29" si="3">+I21/G21</f>
        <v>0.10756457494521837</v>
      </c>
      <c r="K21" s="1"/>
      <c r="L21" s="1"/>
      <c r="M21" s="1"/>
      <c r="N21" s="1"/>
      <c r="O21" s="1"/>
      <c r="P21" s="1"/>
      <c r="Q21" s="1"/>
      <c r="R21" s="1"/>
      <c r="S21" s="1"/>
      <c r="T21" s="1"/>
      <c r="U21" s="1"/>
      <c r="V21" s="1"/>
      <c r="W21" s="1"/>
      <c r="X21" s="1"/>
      <c r="Y21" s="1"/>
      <c r="Z21" s="1"/>
    </row>
    <row r="22" spans="1:26" hidden="1" outlineLevel="1" x14ac:dyDescent="0.25">
      <c r="A22" s="35" t="s">
        <v>80</v>
      </c>
      <c r="B22" s="35"/>
      <c r="C22" s="61"/>
      <c r="D22" s="38">
        <f>+DATOS!D96</f>
        <v>0</v>
      </c>
      <c r="E22" s="41">
        <f t="shared" si="0"/>
        <v>0</v>
      </c>
      <c r="F22" s="39"/>
      <c r="G22" s="38">
        <f>+DATOS!G96</f>
        <v>0</v>
      </c>
      <c r="H22" s="41">
        <f t="shared" si="1"/>
        <v>0</v>
      </c>
      <c r="I22" s="43">
        <f t="shared" si="2"/>
        <v>0</v>
      </c>
      <c r="J22" s="7" t="e">
        <f t="shared" si="3"/>
        <v>#DIV/0!</v>
      </c>
      <c r="K22" s="1"/>
      <c r="L22" s="1"/>
      <c r="M22" s="1"/>
      <c r="N22" s="1"/>
      <c r="O22" s="1"/>
      <c r="P22" s="1"/>
      <c r="Q22" s="1"/>
      <c r="R22" s="1"/>
      <c r="S22" s="1"/>
      <c r="T22" s="1"/>
      <c r="U22" s="1"/>
      <c r="V22" s="1"/>
      <c r="W22" s="1"/>
      <c r="X22" s="1"/>
      <c r="Y22" s="1"/>
      <c r="Z22" s="1"/>
    </row>
    <row r="23" spans="1:26" hidden="1" outlineLevel="1" x14ac:dyDescent="0.25">
      <c r="A23" s="35" t="s">
        <v>82</v>
      </c>
      <c r="B23" s="35"/>
      <c r="C23" s="61"/>
      <c r="D23" s="38">
        <f>+DATOS!D97</f>
        <v>0</v>
      </c>
      <c r="E23" s="41">
        <f t="shared" si="0"/>
        <v>0</v>
      </c>
      <c r="F23" s="39"/>
      <c r="G23" s="38">
        <f>+DATOS!G97</f>
        <v>0</v>
      </c>
      <c r="H23" s="41">
        <f t="shared" si="1"/>
        <v>0</v>
      </c>
      <c r="I23" s="43">
        <f t="shared" si="2"/>
        <v>0</v>
      </c>
      <c r="J23" s="7" t="e">
        <f t="shared" si="3"/>
        <v>#DIV/0!</v>
      </c>
      <c r="K23" s="1"/>
      <c r="L23" s="1"/>
      <c r="M23" s="1"/>
      <c r="N23" s="1"/>
      <c r="O23" s="1"/>
      <c r="P23" s="1"/>
      <c r="Q23" s="1"/>
      <c r="R23" s="1"/>
      <c r="S23" s="1"/>
      <c r="T23" s="1"/>
      <c r="U23" s="1"/>
      <c r="V23" s="1"/>
      <c r="W23" s="1"/>
      <c r="X23" s="1"/>
      <c r="Y23" s="1"/>
      <c r="Z23" s="1"/>
    </row>
    <row r="24" spans="1:26" hidden="1" outlineLevel="1" x14ac:dyDescent="0.25">
      <c r="A24" s="35" t="s">
        <v>84</v>
      </c>
      <c r="B24" s="35"/>
      <c r="C24" s="61"/>
      <c r="D24" s="38">
        <f>+DATOS!D98</f>
        <v>0</v>
      </c>
      <c r="E24" s="41">
        <f t="shared" si="0"/>
        <v>0</v>
      </c>
      <c r="F24" s="39"/>
      <c r="G24" s="38">
        <f>+DATOS!G98</f>
        <v>0</v>
      </c>
      <c r="H24" s="41">
        <f t="shared" si="1"/>
        <v>0</v>
      </c>
      <c r="I24" s="43">
        <f t="shared" si="2"/>
        <v>0</v>
      </c>
      <c r="J24" s="7" t="e">
        <f t="shared" si="3"/>
        <v>#DIV/0!</v>
      </c>
      <c r="K24" s="1"/>
      <c r="L24" s="1"/>
      <c r="M24" s="1"/>
      <c r="N24" s="1"/>
      <c r="O24" s="1"/>
      <c r="P24" s="1"/>
      <c r="Q24" s="1"/>
      <c r="R24" s="1"/>
      <c r="S24" s="1"/>
      <c r="T24" s="1"/>
      <c r="U24" s="1"/>
      <c r="V24" s="1"/>
      <c r="W24" s="1"/>
      <c r="X24" s="1"/>
      <c r="Y24" s="1"/>
      <c r="Z24" s="1"/>
    </row>
    <row r="25" spans="1:26" hidden="1" outlineLevel="1" x14ac:dyDescent="0.25">
      <c r="A25" s="35" t="s">
        <v>85</v>
      </c>
      <c r="B25" s="35"/>
      <c r="C25" s="61"/>
      <c r="D25" s="38">
        <f>+DATOS!D99</f>
        <v>0</v>
      </c>
      <c r="E25" s="41">
        <f t="shared" si="0"/>
        <v>0</v>
      </c>
      <c r="F25" s="39"/>
      <c r="G25" s="38">
        <f>+DATOS!G99</f>
        <v>0</v>
      </c>
      <c r="H25" s="41">
        <f t="shared" si="1"/>
        <v>0</v>
      </c>
      <c r="I25" s="43">
        <f t="shared" si="2"/>
        <v>0</v>
      </c>
      <c r="J25" s="7" t="e">
        <f t="shared" si="3"/>
        <v>#DIV/0!</v>
      </c>
      <c r="K25" s="1"/>
      <c r="L25" s="1"/>
      <c r="M25" s="1"/>
      <c r="N25" s="1"/>
      <c r="O25" s="1"/>
      <c r="P25" s="1"/>
      <c r="Q25" s="1"/>
      <c r="R25" s="1"/>
      <c r="S25" s="1"/>
      <c r="T25" s="1"/>
      <c r="U25" s="1"/>
      <c r="V25" s="1"/>
      <c r="W25" s="1"/>
      <c r="X25" s="1"/>
      <c r="Y25" s="1"/>
      <c r="Z25" s="1"/>
    </row>
    <row r="26" spans="1:26" hidden="1" outlineLevel="1" x14ac:dyDescent="0.25">
      <c r="A26" s="35" t="s">
        <v>87</v>
      </c>
      <c r="B26" s="35"/>
      <c r="C26" s="61"/>
      <c r="D26" s="38">
        <f>+DATOS!D100</f>
        <v>16.806720000000002</v>
      </c>
      <c r="E26" s="41">
        <f t="shared" si="0"/>
        <v>7.9403103313462784E-6</v>
      </c>
      <c r="F26" s="39"/>
      <c r="G26" s="38">
        <f>+DATOS!G100</f>
        <v>4160.5028199999997</v>
      </c>
      <c r="H26" s="41">
        <f t="shared" si="1"/>
        <v>1.4156507368478519E-3</v>
      </c>
      <c r="I26" s="43">
        <f t="shared" si="2"/>
        <v>-4143.6961000000001</v>
      </c>
      <c r="J26" s="7">
        <f t="shared" si="3"/>
        <v>-0.99596041134278102</v>
      </c>
      <c r="K26" s="1"/>
      <c r="L26" s="1"/>
      <c r="M26" s="1"/>
      <c r="N26" s="1"/>
      <c r="O26" s="1"/>
      <c r="P26" s="1"/>
      <c r="Q26" s="1"/>
      <c r="R26" s="1"/>
      <c r="S26" s="1"/>
      <c r="T26" s="1"/>
      <c r="U26" s="1"/>
      <c r="V26" s="1"/>
      <c r="W26" s="1"/>
      <c r="X26" s="1"/>
      <c r="Y26" s="1"/>
      <c r="Z26" s="1"/>
    </row>
    <row r="27" spans="1:26" hidden="1" outlineLevel="1" x14ac:dyDescent="0.25">
      <c r="A27" s="35" t="s">
        <v>88</v>
      </c>
      <c r="B27" s="35"/>
      <c r="C27" s="36"/>
      <c r="D27" s="38">
        <f>+DATOS!D101</f>
        <v>13.847</v>
      </c>
      <c r="E27" s="41">
        <f t="shared" si="0"/>
        <v>6.5419949376292277E-6</v>
      </c>
      <c r="F27" s="39"/>
      <c r="G27" s="38">
        <f>+DATOS!G101</f>
        <v>19.562999999999999</v>
      </c>
      <c r="H27" s="41">
        <f t="shared" si="1"/>
        <v>6.6564971983253038E-6</v>
      </c>
      <c r="I27" s="43">
        <f t="shared" si="2"/>
        <v>-5.7159999999999993</v>
      </c>
      <c r="J27" s="7">
        <f t="shared" si="3"/>
        <v>-0.29218422532331439</v>
      </c>
      <c r="K27" s="1"/>
      <c r="L27" s="1"/>
      <c r="M27" s="1"/>
      <c r="N27" s="1"/>
      <c r="O27" s="1"/>
      <c r="P27" s="1"/>
      <c r="Q27" s="1"/>
      <c r="R27" s="1"/>
      <c r="S27" s="1"/>
      <c r="T27" s="1"/>
      <c r="U27" s="1"/>
      <c r="V27" s="1"/>
      <c r="W27" s="1"/>
      <c r="X27" s="1"/>
      <c r="Y27" s="1"/>
      <c r="Z27" s="1"/>
    </row>
    <row r="28" spans="1:26" hidden="1" outlineLevel="1" x14ac:dyDescent="0.25">
      <c r="A28" s="35" t="s">
        <v>90</v>
      </c>
      <c r="B28" s="35"/>
      <c r="C28" s="36"/>
      <c r="D28" s="38">
        <f>+DATOS!D102</f>
        <v>7831.45</v>
      </c>
      <c r="E28" s="41">
        <f t="shared" si="0"/>
        <v>3.6999571209862365E-3</v>
      </c>
      <c r="F28" s="39"/>
      <c r="G28" s="38">
        <f>+DATOS!G102</f>
        <v>1051.249</v>
      </c>
      <c r="H28" s="41">
        <f t="shared" si="1"/>
        <v>3.5769749134806919E-4</v>
      </c>
      <c r="I28" s="43">
        <f t="shared" si="2"/>
        <v>6780.201</v>
      </c>
      <c r="J28" s="7">
        <f t="shared" si="3"/>
        <v>6.4496622588939445</v>
      </c>
      <c r="K28" s="1"/>
      <c r="L28" s="1"/>
      <c r="M28" s="1"/>
      <c r="N28" s="1"/>
      <c r="O28" s="1"/>
      <c r="P28" s="1"/>
      <c r="Q28" s="1"/>
      <c r="R28" s="1"/>
      <c r="S28" s="1"/>
      <c r="T28" s="1"/>
      <c r="U28" s="1"/>
      <c r="V28" s="1"/>
      <c r="W28" s="1"/>
      <c r="X28" s="1"/>
      <c r="Y28" s="1"/>
      <c r="Z28" s="1"/>
    </row>
    <row r="29" spans="1:26" hidden="1" outlineLevel="1" x14ac:dyDescent="0.25">
      <c r="A29" s="35" t="s">
        <v>92</v>
      </c>
      <c r="B29" s="35"/>
      <c r="C29" s="36"/>
      <c r="D29" s="38">
        <f>+DATOS!D103</f>
        <v>3167.1129999999998</v>
      </c>
      <c r="E29" s="41">
        <f t="shared" si="0"/>
        <v>1.4962979138369117E-3</v>
      </c>
      <c r="F29" s="39"/>
      <c r="G29" s="38">
        <f>+DATOS!G103</f>
        <v>4726.7652500000004</v>
      </c>
      <c r="H29" s="41">
        <f t="shared" si="1"/>
        <v>1.6083269255107299E-3</v>
      </c>
      <c r="I29" s="43">
        <f t="shared" si="2"/>
        <v>-1559.6522500000005</v>
      </c>
      <c r="J29" s="7">
        <f t="shared" si="3"/>
        <v>-0.3299618592228587</v>
      </c>
      <c r="K29" s="1"/>
      <c r="L29" s="1"/>
      <c r="M29" s="1"/>
      <c r="N29" s="1"/>
      <c r="O29" s="1"/>
      <c r="P29" s="1"/>
      <c r="Q29" s="1"/>
      <c r="R29" s="1"/>
      <c r="S29" s="1"/>
      <c r="T29" s="1"/>
      <c r="U29" s="1"/>
      <c r="V29" s="1"/>
      <c r="W29" s="1"/>
      <c r="X29" s="1"/>
      <c r="Y29" s="1"/>
      <c r="Z29" s="1"/>
    </row>
    <row r="30" spans="1:26" collapsed="1" x14ac:dyDescent="0.25">
      <c r="A30" s="62" t="s">
        <v>93</v>
      </c>
      <c r="B30" s="62"/>
      <c r="C30" s="36"/>
      <c r="D30" s="63">
        <f>SUM(D31:D51)</f>
        <v>-1008903.7412</v>
      </c>
      <c r="E30" s="65">
        <f t="shared" si="0"/>
        <v>-0.47665509984008009</v>
      </c>
      <c r="F30" s="64"/>
      <c r="G30" s="63">
        <f>SUM(G31:G51)</f>
        <v>-1570195.0111999998</v>
      </c>
      <c r="H30" s="65">
        <f t="shared" si="1"/>
        <v>-0.53427381755748959</v>
      </c>
      <c r="I30" s="66">
        <f t="shared" si="2"/>
        <v>561291.26999999979</v>
      </c>
      <c r="J30" s="67">
        <f t="shared" ref="J30:J72" si="4">IFERROR(I30/G30,100%)*OR(IF(D30-G30=0,(0%),+I30/G30))</f>
        <v>-0.35746596186867302</v>
      </c>
      <c r="K30" s="1"/>
      <c r="L30" s="1"/>
      <c r="M30" s="1"/>
      <c r="N30" s="1"/>
      <c r="O30" s="1"/>
      <c r="P30" s="1"/>
      <c r="Q30" s="1"/>
      <c r="R30" s="1"/>
      <c r="S30" s="1"/>
      <c r="T30" s="1"/>
      <c r="U30" s="1"/>
      <c r="V30" s="1"/>
      <c r="W30" s="1"/>
      <c r="X30" s="1"/>
      <c r="Y30" s="1"/>
      <c r="Z30" s="1"/>
    </row>
    <row r="31" spans="1:26" hidden="1" outlineLevel="1" x14ac:dyDescent="0.25">
      <c r="A31" s="35" t="s">
        <v>96</v>
      </c>
      <c r="B31" s="35"/>
      <c r="C31" s="36"/>
      <c r="D31" s="38">
        <f>-DATOS!D126</f>
        <v>-63233.053</v>
      </c>
      <c r="E31" s="41">
        <f t="shared" si="0"/>
        <v>-2.9874363588996942E-2</v>
      </c>
      <c r="F31" s="39"/>
      <c r="G31" s="38">
        <f>-DATOS!G126</f>
        <v>-66610.884000000005</v>
      </c>
      <c r="H31" s="41">
        <f t="shared" si="1"/>
        <v>-2.2664988126768485E-2</v>
      </c>
      <c r="I31" s="43">
        <f t="shared" si="2"/>
        <v>3377.8310000000056</v>
      </c>
      <c r="J31" s="7">
        <f t="shared" si="4"/>
        <v>-5.070989599837776E-2</v>
      </c>
      <c r="K31" s="1"/>
      <c r="L31" s="1"/>
      <c r="M31" s="1"/>
      <c r="N31" s="1"/>
      <c r="O31" s="1"/>
      <c r="P31" s="1"/>
      <c r="Q31" s="1"/>
      <c r="R31" s="1"/>
      <c r="S31" s="1"/>
      <c r="T31" s="1"/>
      <c r="U31" s="1"/>
      <c r="V31" s="1"/>
      <c r="W31" s="1"/>
      <c r="X31" s="1"/>
      <c r="Y31" s="1"/>
      <c r="Z31" s="1"/>
    </row>
    <row r="32" spans="1:26" hidden="1" outlineLevel="1" x14ac:dyDescent="0.25">
      <c r="A32" s="35" t="s">
        <v>98</v>
      </c>
      <c r="B32" s="35"/>
      <c r="C32" s="36"/>
      <c r="D32" s="38">
        <f>-DATOS!D127</f>
        <v>-464409.85700000002</v>
      </c>
      <c r="E32" s="41">
        <f t="shared" si="0"/>
        <v>-0.21940975904377222</v>
      </c>
      <c r="F32" s="39"/>
      <c r="G32" s="38">
        <f>-DATOS!G127</f>
        <v>-493062.06300000002</v>
      </c>
      <c r="H32" s="41">
        <f t="shared" si="1"/>
        <v>-0.16776906614322931</v>
      </c>
      <c r="I32" s="43">
        <f t="shared" si="2"/>
        <v>28652.206000000006</v>
      </c>
      <c r="J32" s="7">
        <f t="shared" si="4"/>
        <v>-5.8110749437236674E-2</v>
      </c>
      <c r="K32" s="1"/>
      <c r="L32" s="1"/>
      <c r="M32" s="1"/>
      <c r="N32" s="1"/>
      <c r="O32" s="1"/>
      <c r="P32" s="1"/>
      <c r="Q32" s="1"/>
      <c r="R32" s="1"/>
      <c r="S32" s="1"/>
      <c r="T32" s="1"/>
      <c r="U32" s="1"/>
      <c r="V32" s="1"/>
      <c r="W32" s="1"/>
      <c r="X32" s="1"/>
      <c r="Y32" s="1"/>
      <c r="Z32" s="1"/>
    </row>
    <row r="33" spans="1:26" hidden="1" outlineLevel="1" x14ac:dyDescent="0.25">
      <c r="A33" s="35" t="s">
        <v>85</v>
      </c>
      <c r="B33" s="35"/>
      <c r="C33" s="36"/>
      <c r="D33" s="38">
        <f>-DATOS!D128</f>
        <v>-39255.786</v>
      </c>
      <c r="E33" s="41">
        <f t="shared" si="0"/>
        <v>-1.8546338794298858E-2</v>
      </c>
      <c r="F33" s="39"/>
      <c r="G33" s="38">
        <f>-DATOS!G128</f>
        <v>-121030.173</v>
      </c>
      <c r="H33" s="41">
        <f t="shared" si="1"/>
        <v>-4.118166986082538E-2</v>
      </c>
      <c r="I33" s="43">
        <f t="shared" si="2"/>
        <v>81774.386999999988</v>
      </c>
      <c r="J33" s="7">
        <f t="shared" si="4"/>
        <v>-0.67565289690199803</v>
      </c>
      <c r="K33" s="1"/>
      <c r="L33" s="1"/>
      <c r="M33" s="1"/>
      <c r="N33" s="1"/>
      <c r="O33" s="1"/>
      <c r="P33" s="1"/>
      <c r="Q33" s="1"/>
      <c r="R33" s="1"/>
      <c r="S33" s="1"/>
      <c r="T33" s="1"/>
      <c r="U33" s="1"/>
      <c r="V33" s="1"/>
      <c r="W33" s="1"/>
      <c r="X33" s="1"/>
      <c r="Y33" s="1"/>
      <c r="Z33" s="1"/>
    </row>
    <row r="34" spans="1:26" hidden="1" outlineLevel="1" x14ac:dyDescent="0.25">
      <c r="A34" s="35" t="s">
        <v>100</v>
      </c>
      <c r="B34" s="35"/>
      <c r="C34" s="36"/>
      <c r="D34" s="38">
        <f>-DATOS!D129</f>
        <v>-25132.839899999999</v>
      </c>
      <c r="E34" s="41">
        <f t="shared" si="0"/>
        <v>-1.1873973524521257E-2</v>
      </c>
      <c r="F34" s="39"/>
      <c r="G34" s="38">
        <f>-DATOS!G129</f>
        <v>-51562.600899999998</v>
      </c>
      <c r="H34" s="41">
        <f t="shared" si="1"/>
        <v>-1.7544666381905424E-2</v>
      </c>
      <c r="I34" s="43">
        <f t="shared" si="2"/>
        <v>26429.760999999999</v>
      </c>
      <c r="J34" s="7">
        <f t="shared" si="4"/>
        <v>-0.51257617999638183</v>
      </c>
      <c r="K34" s="1"/>
      <c r="L34" s="1"/>
      <c r="M34" s="1"/>
      <c r="N34" s="1"/>
      <c r="O34" s="1"/>
      <c r="P34" s="1"/>
      <c r="Q34" s="1"/>
      <c r="R34" s="1"/>
      <c r="S34" s="1"/>
      <c r="T34" s="1"/>
      <c r="U34" s="1"/>
      <c r="V34" s="1"/>
      <c r="W34" s="1"/>
      <c r="X34" s="1"/>
      <c r="Y34" s="1"/>
      <c r="Z34" s="1"/>
    </row>
    <row r="35" spans="1:26" hidden="1" outlineLevel="1" x14ac:dyDescent="0.25">
      <c r="A35" s="35" t="s">
        <v>102</v>
      </c>
      <c r="B35" s="62"/>
      <c r="C35" s="36"/>
      <c r="D35" s="38">
        <f>-DATOS!D130</f>
        <v>-151823.94399999999</v>
      </c>
      <c r="E35" s="41">
        <f t="shared" si="0"/>
        <v>-7.1729000726431957E-2</v>
      </c>
      <c r="F35" s="39"/>
      <c r="G35" s="38">
        <f>-DATOS!G130</f>
        <v>-394048.55200000003</v>
      </c>
      <c r="H35" s="41">
        <f t="shared" si="1"/>
        <v>-0.13407877536125049</v>
      </c>
      <c r="I35" s="43">
        <f t="shared" si="2"/>
        <v>242224.60800000004</v>
      </c>
      <c r="J35" s="7">
        <f t="shared" si="4"/>
        <v>-0.61470751959519954</v>
      </c>
      <c r="K35" s="68"/>
      <c r="L35" s="68"/>
      <c r="M35" s="68"/>
      <c r="N35" s="68"/>
      <c r="O35" s="68"/>
      <c r="P35" s="68"/>
      <c r="Q35" s="68"/>
      <c r="R35" s="68"/>
      <c r="S35" s="68"/>
      <c r="T35" s="68"/>
      <c r="U35" s="68"/>
      <c r="V35" s="68"/>
      <c r="W35" s="68"/>
      <c r="X35" s="68"/>
      <c r="Y35" s="68"/>
      <c r="Z35" s="68"/>
    </row>
    <row r="36" spans="1:26" hidden="1" outlineLevel="1" x14ac:dyDescent="0.25">
      <c r="A36" s="35" t="s">
        <v>103</v>
      </c>
      <c r="B36" s="62"/>
      <c r="C36" s="36"/>
      <c r="D36" s="38">
        <f>-DATOS!D131</f>
        <v>-12891.579</v>
      </c>
      <c r="E36" s="41">
        <f t="shared" si="0"/>
        <v>-6.0906076808006976E-3</v>
      </c>
      <c r="F36" s="39"/>
      <c r="G36" s="38">
        <f>-DATOS!G131</f>
        <v>-73967.343999999997</v>
      </c>
      <c r="H36" s="41">
        <f t="shared" si="1"/>
        <v>-2.5168093753696469E-2</v>
      </c>
      <c r="I36" s="43">
        <f t="shared" si="2"/>
        <v>61075.764999999999</v>
      </c>
      <c r="J36" s="7">
        <f t="shared" si="4"/>
        <v>-0.82571256039692331</v>
      </c>
      <c r="K36" s="68"/>
      <c r="L36" s="68"/>
      <c r="M36" s="68"/>
      <c r="N36" s="68"/>
      <c r="O36" s="68"/>
      <c r="P36" s="68"/>
      <c r="Q36" s="68"/>
      <c r="R36" s="68"/>
      <c r="S36" s="68"/>
      <c r="T36" s="68"/>
      <c r="U36" s="68"/>
      <c r="V36" s="68"/>
      <c r="W36" s="68"/>
      <c r="X36" s="68"/>
      <c r="Y36" s="68"/>
      <c r="Z36" s="68"/>
    </row>
    <row r="37" spans="1:26" hidden="1" outlineLevel="1" x14ac:dyDescent="0.25">
      <c r="A37" s="35" t="s">
        <v>105</v>
      </c>
      <c r="B37" s="35"/>
      <c r="C37" s="36"/>
      <c r="D37" s="38">
        <f>-DATOS!D132</f>
        <v>-2014.3879999999999</v>
      </c>
      <c r="E37" s="41">
        <f t="shared" si="0"/>
        <v>-9.51694670211675E-4</v>
      </c>
      <c r="F37" s="39"/>
      <c r="G37" s="38">
        <f>-DATOS!G132</f>
        <v>-10729.971</v>
      </c>
      <c r="H37" s="41">
        <f t="shared" si="1"/>
        <v>-3.6509748964684233E-3</v>
      </c>
      <c r="I37" s="43">
        <f t="shared" si="2"/>
        <v>8715.5829999999987</v>
      </c>
      <c r="J37" s="7">
        <f t="shared" si="4"/>
        <v>-0.81226528944020437</v>
      </c>
      <c r="K37" s="1"/>
      <c r="L37" s="1"/>
      <c r="M37" s="1"/>
      <c r="N37" s="1"/>
      <c r="O37" s="1"/>
      <c r="P37" s="1"/>
      <c r="Q37" s="1"/>
      <c r="R37" s="1"/>
      <c r="S37" s="1"/>
      <c r="T37" s="1"/>
      <c r="U37" s="1"/>
      <c r="V37" s="1"/>
      <c r="W37" s="1"/>
      <c r="X37" s="1"/>
      <c r="Y37" s="1"/>
      <c r="Z37" s="1"/>
    </row>
    <row r="38" spans="1:26" hidden="1" outlineLevel="1" x14ac:dyDescent="0.25">
      <c r="A38" s="35" t="s">
        <v>87</v>
      </c>
      <c r="B38" s="35"/>
      <c r="C38" s="36"/>
      <c r="D38" s="38">
        <f>-DATOS!D133</f>
        <v>-70819.081999999995</v>
      </c>
      <c r="E38" s="41">
        <f t="shared" si="0"/>
        <v>-3.3458371916772527E-2</v>
      </c>
      <c r="F38" s="39"/>
      <c r="G38" s="38">
        <f>-DATOS!G133</f>
        <v>-165220.57799999998</v>
      </c>
      <c r="H38" s="41">
        <f t="shared" si="1"/>
        <v>-5.6217876325854281E-2</v>
      </c>
      <c r="I38" s="43">
        <f t="shared" si="2"/>
        <v>94401.495999999985</v>
      </c>
      <c r="J38" s="7">
        <f t="shared" si="4"/>
        <v>-0.571366455333427</v>
      </c>
      <c r="K38" s="1"/>
      <c r="L38" s="1"/>
      <c r="M38" s="1"/>
      <c r="N38" s="1"/>
      <c r="O38" s="1"/>
      <c r="P38" s="1"/>
      <c r="Q38" s="1"/>
      <c r="R38" s="1"/>
      <c r="S38" s="1"/>
      <c r="T38" s="1"/>
      <c r="U38" s="1"/>
      <c r="V38" s="1"/>
      <c r="W38" s="1"/>
      <c r="X38" s="1"/>
      <c r="Y38" s="1"/>
      <c r="Z38" s="1"/>
    </row>
    <row r="39" spans="1:26" hidden="1" outlineLevel="1" x14ac:dyDescent="0.25">
      <c r="A39" s="70" t="s">
        <v>107</v>
      </c>
      <c r="B39" s="35"/>
      <c r="C39" s="36"/>
      <c r="D39" s="38">
        <f>-DATOS!D134</f>
        <v>-22943.238000000001</v>
      </c>
      <c r="E39" s="41">
        <f t="shared" si="0"/>
        <v>-1.083949930301311E-2</v>
      </c>
      <c r="F39" s="39"/>
      <c r="G39" s="38">
        <f>-DATOS!G134</f>
        <v>-21747.764999999999</v>
      </c>
      <c r="H39" s="41">
        <f t="shared" si="1"/>
        <v>-7.3998843118303487E-3</v>
      </c>
      <c r="I39" s="43">
        <f t="shared" si="2"/>
        <v>-1195.4730000000018</v>
      </c>
      <c r="J39" s="7">
        <f t="shared" si="4"/>
        <v>5.4969924495689639E-2</v>
      </c>
      <c r="K39" s="1"/>
      <c r="L39" s="1"/>
      <c r="M39" s="1"/>
      <c r="N39" s="1"/>
      <c r="O39" s="1"/>
      <c r="P39" s="1"/>
      <c r="Q39" s="1"/>
      <c r="R39" s="1"/>
      <c r="S39" s="1"/>
      <c r="T39" s="1"/>
      <c r="U39" s="1"/>
      <c r="V39" s="1"/>
      <c r="W39" s="1"/>
      <c r="X39" s="1"/>
      <c r="Y39" s="1"/>
      <c r="Z39" s="1"/>
    </row>
    <row r="40" spans="1:26" hidden="1" outlineLevel="1" x14ac:dyDescent="0.25">
      <c r="A40" s="70" t="s">
        <v>109</v>
      </c>
      <c r="B40" s="35"/>
      <c r="C40" s="36"/>
      <c r="D40" s="38">
        <f>-DATOS!D135</f>
        <v>-94757.328999999998</v>
      </c>
      <c r="E40" s="41">
        <f t="shared" si="0"/>
        <v>-4.4767961769427836E-2</v>
      </c>
      <c r="F40" s="39"/>
      <c r="G40" s="38">
        <f>-DATOS!G135</f>
        <v>-98550.994999999995</v>
      </c>
      <c r="H40" s="41">
        <f t="shared" si="1"/>
        <v>-3.3532915304895522E-2</v>
      </c>
      <c r="I40" s="43">
        <f t="shared" si="2"/>
        <v>3793.6659999999974</v>
      </c>
      <c r="J40" s="7">
        <f t="shared" si="4"/>
        <v>-3.849444645383842E-2</v>
      </c>
      <c r="K40" s="1"/>
      <c r="L40" s="1"/>
      <c r="M40" s="1"/>
      <c r="N40" s="1"/>
      <c r="O40" s="1"/>
      <c r="P40" s="1"/>
      <c r="Q40" s="1"/>
      <c r="R40" s="1"/>
      <c r="S40" s="1"/>
      <c r="T40" s="1"/>
      <c r="U40" s="1"/>
      <c r="V40" s="1"/>
      <c r="W40" s="1"/>
      <c r="X40" s="1"/>
      <c r="Y40" s="1"/>
      <c r="Z40" s="1"/>
    </row>
    <row r="41" spans="1:26" hidden="1" outlineLevel="1" x14ac:dyDescent="0.25">
      <c r="A41" s="35" t="s">
        <v>111</v>
      </c>
      <c r="B41" s="62"/>
      <c r="C41" s="36"/>
      <c r="D41" s="38">
        <f>-DATOS!D136</f>
        <v>-4667.6000000000004</v>
      </c>
      <c r="E41" s="41">
        <f t="shared" si="0"/>
        <v>-2.2052008067363462E-3</v>
      </c>
      <c r="F41" s="39"/>
      <c r="G41" s="38">
        <f>-DATOS!G136</f>
        <v>-6130.1189999999997</v>
      </c>
      <c r="H41" s="41">
        <f t="shared" si="1"/>
        <v>-2.0858314138373826E-3</v>
      </c>
      <c r="I41" s="43">
        <f t="shared" si="2"/>
        <v>1462.5189999999993</v>
      </c>
      <c r="J41" s="7">
        <f t="shared" si="4"/>
        <v>-0.23857921844584085</v>
      </c>
      <c r="K41" s="68"/>
      <c r="L41" s="68"/>
      <c r="M41" s="68"/>
      <c r="N41" s="68"/>
      <c r="O41" s="68"/>
      <c r="P41" s="68"/>
      <c r="Q41" s="68"/>
      <c r="R41" s="68"/>
      <c r="S41" s="68"/>
      <c r="T41" s="68"/>
      <c r="U41" s="68"/>
      <c r="V41" s="68"/>
      <c r="W41" s="68"/>
      <c r="X41" s="68"/>
      <c r="Y41" s="68"/>
      <c r="Z41" s="68"/>
    </row>
    <row r="42" spans="1:26" hidden="1" outlineLevel="1" x14ac:dyDescent="0.25">
      <c r="A42" s="35" t="s">
        <v>113</v>
      </c>
      <c r="B42" s="62"/>
      <c r="C42" s="36"/>
      <c r="D42" s="38">
        <f>-DATOS!D137</f>
        <v>-8123.857</v>
      </c>
      <c r="E42" s="41">
        <f t="shared" si="0"/>
        <v>-3.8381043813117475E-3</v>
      </c>
      <c r="F42" s="39"/>
      <c r="G42" s="38">
        <f>-DATOS!G137</f>
        <v>-15052.446</v>
      </c>
      <c r="H42" s="41">
        <f t="shared" si="1"/>
        <v>-5.1217382112632489E-3</v>
      </c>
      <c r="I42" s="43">
        <f t="shared" si="2"/>
        <v>6928.5889999999999</v>
      </c>
      <c r="J42" s="7">
        <f t="shared" si="4"/>
        <v>-0.46029655246728673</v>
      </c>
      <c r="K42" s="68"/>
      <c r="L42" s="68"/>
      <c r="M42" s="68"/>
      <c r="N42" s="68"/>
      <c r="O42" s="68"/>
      <c r="P42" s="68"/>
      <c r="Q42" s="68"/>
      <c r="R42" s="68"/>
      <c r="S42" s="68"/>
      <c r="T42" s="68"/>
      <c r="U42" s="68"/>
      <c r="V42" s="68"/>
      <c r="W42" s="68"/>
      <c r="X42" s="68"/>
      <c r="Y42" s="68"/>
      <c r="Z42" s="68"/>
    </row>
    <row r="43" spans="1:26" hidden="1" outlineLevel="1" x14ac:dyDescent="0.25">
      <c r="A43" s="35" t="s">
        <v>114</v>
      </c>
      <c r="B43" s="62"/>
      <c r="C43" s="36"/>
      <c r="D43" s="38">
        <f>-DATOS!D138</f>
        <v>-4786.8180000000002</v>
      </c>
      <c r="E43" s="41">
        <f t="shared" si="0"/>
        <v>-2.2615251768146505E-3</v>
      </c>
      <c r="F43" s="39"/>
      <c r="G43" s="38">
        <f>-DATOS!G138</f>
        <v>-13491.779</v>
      </c>
      <c r="H43" s="41">
        <f t="shared" si="1"/>
        <v>-4.5907063903248063E-3</v>
      </c>
      <c r="I43" s="43">
        <f t="shared" si="2"/>
        <v>8704.9609999999993</v>
      </c>
      <c r="J43" s="7">
        <f t="shared" si="4"/>
        <v>-0.64520483177199972</v>
      </c>
      <c r="K43" s="68"/>
      <c r="L43" s="68"/>
      <c r="M43" s="68"/>
      <c r="N43" s="68"/>
      <c r="O43" s="68"/>
      <c r="P43" s="68"/>
      <c r="Q43" s="68"/>
      <c r="R43" s="68"/>
      <c r="S43" s="68"/>
      <c r="T43" s="68"/>
      <c r="U43" s="68"/>
      <c r="V43" s="68"/>
      <c r="W43" s="68"/>
      <c r="X43" s="68"/>
      <c r="Y43" s="68"/>
      <c r="Z43" s="68"/>
    </row>
    <row r="44" spans="1:26" hidden="1" outlineLevel="1" x14ac:dyDescent="0.25">
      <c r="A44" s="35" t="s">
        <v>115</v>
      </c>
      <c r="B44" s="62"/>
      <c r="C44" s="36"/>
      <c r="D44" s="38">
        <f>-DATOS!D139</f>
        <v>0</v>
      </c>
      <c r="E44" s="41">
        <f t="shared" si="0"/>
        <v>0</v>
      </c>
      <c r="F44" s="39"/>
      <c r="G44" s="38">
        <f>-DATOS!G139</f>
        <v>0</v>
      </c>
      <c r="H44" s="41">
        <f t="shared" si="1"/>
        <v>0</v>
      </c>
      <c r="I44" s="43">
        <f t="shared" si="2"/>
        <v>0</v>
      </c>
      <c r="J44" s="7">
        <f t="shared" si="4"/>
        <v>0</v>
      </c>
      <c r="K44" s="68"/>
      <c r="L44" s="68"/>
      <c r="M44" s="68"/>
      <c r="N44" s="68"/>
      <c r="O44" s="68"/>
      <c r="P44" s="68"/>
      <c r="Q44" s="68"/>
      <c r="R44" s="68"/>
      <c r="S44" s="68"/>
      <c r="T44" s="68"/>
      <c r="U44" s="68"/>
      <c r="V44" s="68"/>
      <c r="W44" s="68"/>
      <c r="X44" s="68"/>
      <c r="Y44" s="68"/>
      <c r="Z44" s="68"/>
    </row>
    <row r="45" spans="1:26" hidden="1" outlineLevel="1" x14ac:dyDescent="0.25">
      <c r="A45" s="35" t="s">
        <v>116</v>
      </c>
      <c r="B45" s="62"/>
      <c r="C45" s="36"/>
      <c r="D45" s="38">
        <f>-DATOS!D140</f>
        <v>-27469.890299999999</v>
      </c>
      <c r="E45" s="41">
        <f t="shared" si="0"/>
        <v>-1.2978109574624844E-2</v>
      </c>
      <c r="F45" s="39"/>
      <c r="G45" s="38">
        <f>-DATOS!G140</f>
        <v>-5480.6292999999996</v>
      </c>
      <c r="H45" s="41">
        <f t="shared" si="1"/>
        <v>-1.8648363533460906E-3</v>
      </c>
      <c r="I45" s="43">
        <f t="shared" si="2"/>
        <v>-21989.260999999999</v>
      </c>
      <c r="J45" s="7">
        <f t="shared" si="4"/>
        <v>4.0121781270628905</v>
      </c>
      <c r="K45" s="68"/>
      <c r="L45" s="68"/>
      <c r="M45" s="68"/>
      <c r="N45" s="68"/>
      <c r="O45" s="68"/>
      <c r="P45" s="68"/>
      <c r="Q45" s="68"/>
      <c r="R45" s="68"/>
      <c r="S45" s="68"/>
      <c r="T45" s="68"/>
      <c r="U45" s="68"/>
      <c r="V45" s="68"/>
      <c r="W45" s="68"/>
      <c r="X45" s="68"/>
      <c r="Y45" s="68"/>
      <c r="Z45" s="68"/>
    </row>
    <row r="46" spans="1:26" hidden="1" outlineLevel="1" x14ac:dyDescent="0.25">
      <c r="A46" s="35" t="s">
        <v>118</v>
      </c>
      <c r="B46" s="62"/>
      <c r="C46" s="36"/>
      <c r="D46" s="38">
        <f>-DATOS!D141</f>
        <v>0</v>
      </c>
      <c r="E46" s="41">
        <f t="shared" si="0"/>
        <v>0</v>
      </c>
      <c r="F46" s="39"/>
      <c r="G46" s="38">
        <f>-DATOS!G141</f>
        <v>0</v>
      </c>
      <c r="H46" s="41">
        <f t="shared" si="1"/>
        <v>0</v>
      </c>
      <c r="I46" s="43">
        <f t="shared" si="2"/>
        <v>0</v>
      </c>
      <c r="J46" s="7">
        <f t="shared" si="4"/>
        <v>0</v>
      </c>
      <c r="K46" s="68"/>
      <c r="L46" s="68"/>
      <c r="M46" s="68"/>
      <c r="N46" s="68"/>
      <c r="O46" s="68"/>
      <c r="P46" s="68"/>
      <c r="Q46" s="68"/>
      <c r="R46" s="68"/>
      <c r="S46" s="68"/>
      <c r="T46" s="68"/>
      <c r="U46" s="68"/>
      <c r="V46" s="68"/>
      <c r="W46" s="68"/>
      <c r="X46" s="68"/>
      <c r="Y46" s="68"/>
      <c r="Z46" s="68"/>
    </row>
    <row r="47" spans="1:26" hidden="1" outlineLevel="1" x14ac:dyDescent="0.25">
      <c r="A47" s="35" t="s">
        <v>92</v>
      </c>
      <c r="B47" s="62"/>
      <c r="C47" s="36"/>
      <c r="D47" s="38">
        <f>-DATOS!D142</f>
        <v>-8187.2289999999994</v>
      </c>
      <c r="E47" s="41">
        <f t="shared" si="0"/>
        <v>-3.8680443902080739E-3</v>
      </c>
      <c r="F47" s="39"/>
      <c r="G47" s="38">
        <f>-DATOS!G142</f>
        <v>-17036.772000000001</v>
      </c>
      <c r="H47" s="41">
        <f t="shared" si="1"/>
        <v>-5.7969240447020903E-3</v>
      </c>
      <c r="I47" s="43">
        <f t="shared" si="2"/>
        <v>8849.5430000000015</v>
      </c>
      <c r="J47" s="7">
        <f t="shared" si="4"/>
        <v>-0.51943777847117989</v>
      </c>
      <c r="K47" s="68"/>
      <c r="L47" s="68"/>
      <c r="M47" s="68"/>
      <c r="N47" s="68"/>
      <c r="O47" s="68"/>
      <c r="P47" s="68"/>
      <c r="Q47" s="68"/>
      <c r="R47" s="68"/>
      <c r="S47" s="68"/>
      <c r="T47" s="68"/>
      <c r="U47" s="68"/>
      <c r="V47" s="68"/>
      <c r="W47" s="68"/>
      <c r="X47" s="68"/>
      <c r="Y47" s="68"/>
      <c r="Z47" s="68"/>
    </row>
    <row r="48" spans="1:26" hidden="1" outlineLevel="1" x14ac:dyDescent="0.25">
      <c r="A48" s="35" t="s">
        <v>120</v>
      </c>
      <c r="B48" s="62"/>
      <c r="C48" s="36"/>
      <c r="D48" s="38">
        <f>-DATOS!D143</f>
        <v>0</v>
      </c>
      <c r="E48" s="41">
        <f t="shared" si="0"/>
        <v>0</v>
      </c>
      <c r="F48" s="39"/>
      <c r="G48" s="38">
        <f>-DATOS!G143</f>
        <v>0</v>
      </c>
      <c r="H48" s="41">
        <f t="shared" si="1"/>
        <v>0</v>
      </c>
      <c r="I48" s="43">
        <f t="shared" si="2"/>
        <v>0</v>
      </c>
      <c r="J48" s="7">
        <f t="shared" si="4"/>
        <v>0</v>
      </c>
      <c r="K48" s="68"/>
      <c r="L48" s="68"/>
      <c r="M48" s="68"/>
      <c r="N48" s="68"/>
      <c r="O48" s="68"/>
      <c r="P48" s="68"/>
      <c r="Q48" s="68"/>
      <c r="R48" s="68"/>
      <c r="S48" s="68"/>
      <c r="T48" s="68"/>
      <c r="U48" s="68"/>
      <c r="V48" s="68"/>
      <c r="W48" s="68"/>
      <c r="X48" s="68"/>
      <c r="Y48" s="68"/>
      <c r="Z48" s="68"/>
    </row>
    <row r="49" spans="1:26" hidden="1" outlineLevel="1" x14ac:dyDescent="0.25">
      <c r="A49" s="35" t="s">
        <v>121</v>
      </c>
      <c r="B49" s="62"/>
      <c r="C49" s="36"/>
      <c r="D49" s="38">
        <f>-DATOS!D144</f>
        <v>0</v>
      </c>
      <c r="E49" s="41">
        <f t="shared" si="0"/>
        <v>0</v>
      </c>
      <c r="F49" s="39"/>
      <c r="G49" s="38">
        <f>-DATOS!G144</f>
        <v>0</v>
      </c>
      <c r="H49" s="41">
        <f t="shared" si="1"/>
        <v>0</v>
      </c>
      <c r="I49" s="43">
        <f t="shared" si="2"/>
        <v>0</v>
      </c>
      <c r="J49" s="7">
        <f t="shared" si="4"/>
        <v>0</v>
      </c>
      <c r="K49" s="68"/>
      <c r="L49" s="68"/>
      <c r="M49" s="68"/>
      <c r="N49" s="68"/>
      <c r="O49" s="68"/>
      <c r="P49" s="68"/>
      <c r="Q49" s="68"/>
      <c r="R49" s="68"/>
      <c r="S49" s="68"/>
      <c r="T49" s="68"/>
      <c r="U49" s="68"/>
      <c r="V49" s="68"/>
      <c r="W49" s="68"/>
      <c r="X49" s="68"/>
      <c r="Y49" s="68"/>
      <c r="Z49" s="68"/>
    </row>
    <row r="50" spans="1:26" hidden="1" outlineLevel="1" x14ac:dyDescent="0.25">
      <c r="A50" s="35" t="s">
        <v>122</v>
      </c>
      <c r="B50" s="62"/>
      <c r="C50" s="36"/>
      <c r="D50" s="38">
        <f>-DATOS!D145</f>
        <v>-7242.8850000000002</v>
      </c>
      <c r="E50" s="41">
        <f t="shared" si="0"/>
        <v>-3.4218904458605238E-3</v>
      </c>
      <c r="F50" s="39"/>
      <c r="G50" s="38">
        <f>-DATOS!G145</f>
        <v>-10585.483</v>
      </c>
      <c r="H50" s="41">
        <f t="shared" si="1"/>
        <v>-3.6018114774022461E-3</v>
      </c>
      <c r="I50" s="43">
        <f t="shared" si="2"/>
        <v>3342.598</v>
      </c>
      <c r="J50" s="7">
        <f t="shared" si="4"/>
        <v>-0.31577189250599147</v>
      </c>
      <c r="K50" s="68"/>
      <c r="L50" s="68"/>
      <c r="M50" s="68"/>
      <c r="N50" s="68"/>
      <c r="O50" s="68"/>
      <c r="P50" s="68"/>
      <c r="Q50" s="68"/>
      <c r="R50" s="68"/>
      <c r="S50" s="68"/>
      <c r="T50" s="68"/>
      <c r="U50" s="68"/>
      <c r="V50" s="68"/>
      <c r="W50" s="68"/>
      <c r="X50" s="68"/>
      <c r="Y50" s="68"/>
      <c r="Z50" s="68"/>
    </row>
    <row r="51" spans="1:26" hidden="1" outlineLevel="1" x14ac:dyDescent="0.25">
      <c r="A51" s="35" t="s">
        <v>124</v>
      </c>
      <c r="B51" s="62"/>
      <c r="C51" s="36"/>
      <c r="D51" s="38">
        <f>-DATOS!D146</f>
        <v>-1144.366</v>
      </c>
      <c r="E51" s="41">
        <f t="shared" si="0"/>
        <v>-5.4065404627681149E-4</v>
      </c>
      <c r="F51" s="39"/>
      <c r="G51" s="38">
        <f>-DATOS!G146</f>
        <v>-5886.857</v>
      </c>
      <c r="H51" s="41">
        <f t="shared" si="1"/>
        <v>-2.0030591998896749E-3</v>
      </c>
      <c r="I51" s="43">
        <f t="shared" si="2"/>
        <v>4742.491</v>
      </c>
      <c r="J51" s="7">
        <f t="shared" si="4"/>
        <v>-0.80560662506325531</v>
      </c>
      <c r="K51" s="68"/>
      <c r="L51" s="68"/>
      <c r="M51" s="68"/>
      <c r="N51" s="68"/>
      <c r="O51" s="68"/>
      <c r="P51" s="68"/>
      <c r="Q51" s="68"/>
      <c r="R51" s="68"/>
      <c r="S51" s="68"/>
      <c r="T51" s="68"/>
      <c r="U51" s="68"/>
      <c r="V51" s="68"/>
      <c r="W51" s="68"/>
      <c r="X51" s="68"/>
      <c r="Y51" s="68"/>
      <c r="Z51" s="68"/>
    </row>
    <row r="52" spans="1:26" collapsed="1" x14ac:dyDescent="0.25">
      <c r="A52" s="62" t="s">
        <v>126</v>
      </c>
      <c r="B52" s="62"/>
      <c r="C52" s="36">
        <v>14</v>
      </c>
      <c r="D52" s="63">
        <f>SUM(D53:D67)</f>
        <v>0</v>
      </c>
      <c r="E52" s="65">
        <f t="shared" si="0"/>
        <v>0</v>
      </c>
      <c r="F52" s="64"/>
      <c r="G52" s="63">
        <f>SUM(G53:G67)</f>
        <v>0</v>
      </c>
      <c r="H52" s="65">
        <f t="shared" si="1"/>
        <v>0</v>
      </c>
      <c r="I52" s="66">
        <f t="shared" si="2"/>
        <v>0</v>
      </c>
      <c r="J52" s="67">
        <f t="shared" si="4"/>
        <v>0</v>
      </c>
      <c r="K52" s="1"/>
      <c r="L52" s="1"/>
      <c r="M52" s="1"/>
      <c r="N52" s="1"/>
      <c r="O52" s="1"/>
      <c r="P52" s="1"/>
      <c r="Q52" s="1"/>
      <c r="R52" s="1"/>
      <c r="S52" s="1"/>
      <c r="T52" s="1"/>
      <c r="U52" s="1"/>
      <c r="V52" s="1"/>
      <c r="W52" s="1"/>
      <c r="X52" s="1"/>
      <c r="Y52" s="1"/>
      <c r="Z52" s="1"/>
    </row>
    <row r="53" spans="1:26" hidden="1" outlineLevel="1" x14ac:dyDescent="0.25">
      <c r="A53" s="35" t="s">
        <v>96</v>
      </c>
      <c r="B53" s="35"/>
      <c r="C53" s="36"/>
      <c r="D53" s="38">
        <f>-DATOS!D110</f>
        <v>0</v>
      </c>
      <c r="E53" s="41">
        <f t="shared" si="0"/>
        <v>0</v>
      </c>
      <c r="F53" s="39"/>
      <c r="G53" s="38">
        <f>-DATOS!G110</f>
        <v>0</v>
      </c>
      <c r="H53" s="41">
        <f t="shared" si="1"/>
        <v>0</v>
      </c>
      <c r="I53" s="43">
        <f t="shared" si="2"/>
        <v>0</v>
      </c>
      <c r="J53" s="7">
        <f t="shared" si="4"/>
        <v>0</v>
      </c>
      <c r="K53" s="1"/>
      <c r="L53" s="1"/>
      <c r="M53" s="1"/>
      <c r="N53" s="1"/>
      <c r="O53" s="1"/>
      <c r="P53" s="1"/>
      <c r="Q53" s="1"/>
      <c r="R53" s="1"/>
      <c r="S53" s="1"/>
      <c r="T53" s="1"/>
      <c r="U53" s="1"/>
      <c r="V53" s="1"/>
      <c r="W53" s="1"/>
      <c r="X53" s="1"/>
      <c r="Y53" s="1"/>
      <c r="Z53" s="1"/>
    </row>
    <row r="54" spans="1:26" hidden="1" outlineLevel="1" x14ac:dyDescent="0.25">
      <c r="A54" s="35" t="s">
        <v>98</v>
      </c>
      <c r="B54" s="35"/>
      <c r="C54" s="36"/>
      <c r="D54" s="38">
        <f>-DATOS!D111</f>
        <v>0</v>
      </c>
      <c r="E54" s="41">
        <f t="shared" si="0"/>
        <v>0</v>
      </c>
      <c r="F54" s="39"/>
      <c r="G54" s="38">
        <f>-DATOS!G111</f>
        <v>0</v>
      </c>
      <c r="H54" s="41">
        <f t="shared" si="1"/>
        <v>0</v>
      </c>
      <c r="I54" s="43">
        <f t="shared" si="2"/>
        <v>0</v>
      </c>
      <c r="J54" s="7">
        <f t="shared" si="4"/>
        <v>0</v>
      </c>
      <c r="K54" s="1"/>
      <c r="L54" s="1"/>
      <c r="M54" s="1"/>
      <c r="N54" s="1"/>
      <c r="O54" s="1"/>
      <c r="P54" s="1"/>
      <c r="Q54" s="1"/>
      <c r="R54" s="1"/>
      <c r="S54" s="1"/>
      <c r="T54" s="1"/>
      <c r="U54" s="1"/>
      <c r="V54" s="1"/>
      <c r="W54" s="1"/>
      <c r="X54" s="1"/>
      <c r="Y54" s="1"/>
      <c r="Z54" s="1"/>
    </row>
    <row r="55" spans="1:26" hidden="1" outlineLevel="1" x14ac:dyDescent="0.25">
      <c r="A55" s="35" t="s">
        <v>85</v>
      </c>
      <c r="B55" s="35"/>
      <c r="C55" s="36"/>
      <c r="D55" s="38">
        <f>-DATOS!D112</f>
        <v>0</v>
      </c>
      <c r="E55" s="41">
        <f t="shared" si="0"/>
        <v>0</v>
      </c>
      <c r="F55" s="39"/>
      <c r="G55" s="38">
        <f>-DATOS!G112</f>
        <v>0</v>
      </c>
      <c r="H55" s="41">
        <f t="shared" si="1"/>
        <v>0</v>
      </c>
      <c r="I55" s="43">
        <f t="shared" si="2"/>
        <v>0</v>
      </c>
      <c r="J55" s="7">
        <f t="shared" si="4"/>
        <v>0</v>
      </c>
      <c r="K55" s="1"/>
      <c r="L55" s="1"/>
      <c r="M55" s="1"/>
      <c r="N55" s="1"/>
      <c r="O55" s="1"/>
      <c r="P55" s="1"/>
      <c r="Q55" s="1"/>
      <c r="R55" s="1"/>
      <c r="S55" s="1"/>
      <c r="T55" s="1"/>
      <c r="U55" s="1"/>
      <c r="V55" s="1"/>
      <c r="W55" s="1"/>
      <c r="X55" s="1"/>
      <c r="Y55" s="1"/>
      <c r="Z55" s="1"/>
    </row>
    <row r="56" spans="1:26" hidden="1" outlineLevel="1" x14ac:dyDescent="0.25">
      <c r="A56" s="35" t="s">
        <v>100</v>
      </c>
      <c r="B56" s="35"/>
      <c r="C56" s="36"/>
      <c r="D56" s="38">
        <f>-DATOS!D113</f>
        <v>0</v>
      </c>
      <c r="E56" s="41">
        <f t="shared" si="0"/>
        <v>0</v>
      </c>
      <c r="F56" s="39"/>
      <c r="G56" s="38">
        <f>-DATOS!G113</f>
        <v>0</v>
      </c>
      <c r="H56" s="41">
        <f t="shared" si="1"/>
        <v>0</v>
      </c>
      <c r="I56" s="43">
        <f t="shared" si="2"/>
        <v>0</v>
      </c>
      <c r="J56" s="7">
        <f t="shared" si="4"/>
        <v>0</v>
      </c>
      <c r="K56" s="1"/>
      <c r="L56" s="1"/>
      <c r="M56" s="1"/>
      <c r="N56" s="1"/>
      <c r="O56" s="1"/>
      <c r="P56" s="1"/>
      <c r="Q56" s="1"/>
      <c r="R56" s="1"/>
      <c r="S56" s="1"/>
      <c r="T56" s="1"/>
      <c r="U56" s="1"/>
      <c r="V56" s="1"/>
      <c r="W56" s="1"/>
      <c r="X56" s="1"/>
      <c r="Y56" s="1"/>
      <c r="Z56" s="1"/>
    </row>
    <row r="57" spans="1:26" hidden="1" outlineLevel="1" x14ac:dyDescent="0.25">
      <c r="A57" s="35" t="s">
        <v>102</v>
      </c>
      <c r="B57" s="35"/>
      <c r="C57" s="36"/>
      <c r="D57" s="38">
        <f>-DATOS!D114</f>
        <v>0</v>
      </c>
      <c r="E57" s="41">
        <f t="shared" si="0"/>
        <v>0</v>
      </c>
      <c r="F57" s="39"/>
      <c r="G57" s="38">
        <f>-DATOS!G114</f>
        <v>0</v>
      </c>
      <c r="H57" s="41">
        <f t="shared" si="1"/>
        <v>0</v>
      </c>
      <c r="I57" s="43">
        <f t="shared" si="2"/>
        <v>0</v>
      </c>
      <c r="J57" s="7">
        <f t="shared" si="4"/>
        <v>0</v>
      </c>
      <c r="K57" s="1"/>
      <c r="L57" s="1"/>
      <c r="M57" s="1"/>
      <c r="N57" s="1"/>
      <c r="O57" s="1"/>
      <c r="P57" s="1"/>
      <c r="Q57" s="1"/>
      <c r="R57" s="1"/>
      <c r="S57" s="1"/>
      <c r="T57" s="1"/>
      <c r="U57" s="1"/>
      <c r="V57" s="1"/>
      <c r="W57" s="1"/>
      <c r="X57" s="1"/>
      <c r="Y57" s="1"/>
      <c r="Z57" s="1"/>
    </row>
    <row r="58" spans="1:26" hidden="1" outlineLevel="1" x14ac:dyDescent="0.25">
      <c r="A58" s="35" t="s">
        <v>132</v>
      </c>
      <c r="B58" s="35"/>
      <c r="C58" s="36"/>
      <c r="D58" s="38">
        <f>-DATOS!D115</f>
        <v>0</v>
      </c>
      <c r="E58" s="41">
        <f t="shared" si="0"/>
        <v>0</v>
      </c>
      <c r="F58" s="39"/>
      <c r="G58" s="38">
        <f>-DATOS!G115</f>
        <v>0</v>
      </c>
      <c r="H58" s="41">
        <f t="shared" si="1"/>
        <v>0</v>
      </c>
      <c r="I58" s="43">
        <f t="shared" si="2"/>
        <v>0</v>
      </c>
      <c r="J58" s="7">
        <f t="shared" si="4"/>
        <v>0</v>
      </c>
      <c r="K58" s="1"/>
      <c r="L58" s="1"/>
      <c r="M58" s="1"/>
      <c r="N58" s="1"/>
      <c r="O58" s="1"/>
      <c r="P58" s="1"/>
      <c r="Q58" s="1"/>
      <c r="R58" s="1"/>
      <c r="S58" s="1"/>
      <c r="T58" s="1"/>
      <c r="U58" s="1"/>
      <c r="V58" s="1"/>
      <c r="W58" s="1"/>
      <c r="X58" s="1"/>
      <c r="Y58" s="1"/>
      <c r="Z58" s="1"/>
    </row>
    <row r="59" spans="1:26" hidden="1" outlineLevel="1" x14ac:dyDescent="0.25">
      <c r="A59" s="35" t="s">
        <v>105</v>
      </c>
      <c r="B59" s="35"/>
      <c r="C59" s="36"/>
      <c r="D59" s="38">
        <f>-DATOS!D116</f>
        <v>0</v>
      </c>
      <c r="E59" s="41">
        <f t="shared" si="0"/>
        <v>0</v>
      </c>
      <c r="F59" s="39"/>
      <c r="G59" s="38">
        <f>-DATOS!G116</f>
        <v>0</v>
      </c>
      <c r="H59" s="41">
        <f t="shared" si="1"/>
        <v>0</v>
      </c>
      <c r="I59" s="43">
        <f t="shared" si="2"/>
        <v>0</v>
      </c>
      <c r="J59" s="7">
        <f t="shared" si="4"/>
        <v>0</v>
      </c>
      <c r="K59" s="1"/>
      <c r="L59" s="1"/>
      <c r="M59" s="1"/>
      <c r="N59" s="1"/>
      <c r="O59" s="1"/>
      <c r="P59" s="1"/>
      <c r="Q59" s="1"/>
      <c r="R59" s="1"/>
      <c r="S59" s="1"/>
      <c r="T59" s="1"/>
      <c r="U59" s="1"/>
      <c r="V59" s="1"/>
      <c r="W59" s="1"/>
      <c r="X59" s="1"/>
      <c r="Y59" s="1"/>
      <c r="Z59" s="1"/>
    </row>
    <row r="60" spans="1:26" hidden="1" outlineLevel="1" x14ac:dyDescent="0.25">
      <c r="A60" s="35" t="s">
        <v>87</v>
      </c>
      <c r="B60" s="35"/>
      <c r="C60" s="36"/>
      <c r="D60" s="38">
        <f>-DATOS!D117</f>
        <v>0</v>
      </c>
      <c r="E60" s="41">
        <f t="shared" si="0"/>
        <v>0</v>
      </c>
      <c r="F60" s="39"/>
      <c r="G60" s="38">
        <f>-DATOS!G117</f>
        <v>0</v>
      </c>
      <c r="H60" s="41">
        <f t="shared" si="1"/>
        <v>0</v>
      </c>
      <c r="I60" s="43">
        <f t="shared" si="2"/>
        <v>0</v>
      </c>
      <c r="J60" s="7">
        <f t="shared" si="4"/>
        <v>0</v>
      </c>
      <c r="K60" s="1"/>
      <c r="L60" s="1"/>
      <c r="M60" s="1"/>
      <c r="N60" s="1"/>
      <c r="O60" s="1"/>
      <c r="P60" s="1"/>
      <c r="Q60" s="1"/>
      <c r="R60" s="1"/>
      <c r="S60" s="1"/>
      <c r="T60" s="1"/>
      <c r="U60" s="1"/>
      <c r="V60" s="1"/>
      <c r="W60" s="1"/>
      <c r="X60" s="1"/>
      <c r="Y60" s="1"/>
      <c r="Z60" s="1"/>
    </row>
    <row r="61" spans="1:26" hidden="1" outlineLevel="1" x14ac:dyDescent="0.25">
      <c r="A61" s="35" t="s">
        <v>134</v>
      </c>
      <c r="B61" s="35"/>
      <c r="C61" s="36"/>
      <c r="D61" s="38">
        <f>-DATOS!D118</f>
        <v>0</v>
      </c>
      <c r="E61" s="41">
        <f t="shared" si="0"/>
        <v>0</v>
      </c>
      <c r="F61" s="39"/>
      <c r="G61" s="38">
        <f>-DATOS!G118</f>
        <v>0</v>
      </c>
      <c r="H61" s="41">
        <f t="shared" si="1"/>
        <v>0</v>
      </c>
      <c r="I61" s="43">
        <f t="shared" si="2"/>
        <v>0</v>
      </c>
      <c r="J61" s="7">
        <f t="shared" si="4"/>
        <v>0</v>
      </c>
      <c r="K61" s="1"/>
      <c r="L61" s="1"/>
      <c r="M61" s="1"/>
      <c r="N61" s="1"/>
      <c r="O61" s="1"/>
      <c r="P61" s="1"/>
      <c r="Q61" s="1"/>
      <c r="R61" s="1"/>
      <c r="S61" s="1"/>
      <c r="T61" s="1"/>
      <c r="U61" s="1"/>
      <c r="V61" s="1"/>
      <c r="W61" s="1"/>
      <c r="X61" s="1"/>
      <c r="Y61" s="1"/>
      <c r="Z61" s="1"/>
    </row>
    <row r="62" spans="1:26" hidden="1" outlineLevel="1" x14ac:dyDescent="0.25">
      <c r="A62" s="35" t="s">
        <v>136</v>
      </c>
      <c r="B62" s="35"/>
      <c r="C62" s="36"/>
      <c r="D62" s="38">
        <f>-DATOS!D119</f>
        <v>0</v>
      </c>
      <c r="E62" s="41">
        <f t="shared" si="0"/>
        <v>0</v>
      </c>
      <c r="F62" s="39"/>
      <c r="G62" s="38">
        <f>-DATOS!G119</f>
        <v>0</v>
      </c>
      <c r="H62" s="41">
        <f t="shared" si="1"/>
        <v>0</v>
      </c>
      <c r="I62" s="43">
        <f t="shared" si="2"/>
        <v>0</v>
      </c>
      <c r="J62" s="7">
        <f t="shared" si="4"/>
        <v>0</v>
      </c>
      <c r="K62" s="1"/>
      <c r="L62" s="1"/>
      <c r="M62" s="1"/>
      <c r="N62" s="1"/>
      <c r="O62" s="1"/>
      <c r="P62" s="1"/>
      <c r="Q62" s="1"/>
      <c r="R62" s="1"/>
      <c r="S62" s="1"/>
      <c r="T62" s="1"/>
      <c r="U62" s="1"/>
      <c r="V62" s="1"/>
      <c r="W62" s="1"/>
      <c r="X62" s="1"/>
      <c r="Y62" s="1"/>
      <c r="Z62" s="1"/>
    </row>
    <row r="63" spans="1:26" hidden="1" outlineLevel="1" x14ac:dyDescent="0.25">
      <c r="A63" s="35" t="s">
        <v>138</v>
      </c>
      <c r="B63" s="62"/>
      <c r="C63" s="36"/>
      <c r="D63" s="38">
        <f>-DATOS!D120</f>
        <v>0</v>
      </c>
      <c r="E63" s="41">
        <f t="shared" si="0"/>
        <v>0</v>
      </c>
      <c r="F63" s="39"/>
      <c r="G63" s="38">
        <f>-DATOS!G120</f>
        <v>0</v>
      </c>
      <c r="H63" s="41">
        <f t="shared" si="1"/>
        <v>0</v>
      </c>
      <c r="I63" s="43">
        <f t="shared" si="2"/>
        <v>0</v>
      </c>
      <c r="J63" s="7">
        <f t="shared" si="4"/>
        <v>0</v>
      </c>
      <c r="K63" s="68"/>
      <c r="L63" s="68"/>
      <c r="M63" s="68"/>
      <c r="N63" s="68"/>
      <c r="O63" s="68"/>
      <c r="P63" s="68"/>
      <c r="Q63" s="68"/>
      <c r="R63" s="68"/>
      <c r="S63" s="68"/>
      <c r="T63" s="68"/>
      <c r="U63" s="68"/>
      <c r="V63" s="68"/>
      <c r="W63" s="68"/>
      <c r="X63" s="68"/>
      <c r="Y63" s="68"/>
      <c r="Z63" s="68"/>
    </row>
    <row r="64" spans="1:26" hidden="1" outlineLevel="1" x14ac:dyDescent="0.25">
      <c r="A64" s="35" t="s">
        <v>116</v>
      </c>
      <c r="B64" s="35"/>
      <c r="C64" s="36"/>
      <c r="D64" s="38">
        <f>-DATOS!D121</f>
        <v>0</v>
      </c>
      <c r="E64" s="41">
        <f t="shared" si="0"/>
        <v>0</v>
      </c>
      <c r="F64" s="39"/>
      <c r="G64" s="38">
        <f>-DATOS!G121</f>
        <v>0</v>
      </c>
      <c r="H64" s="41">
        <f t="shared" si="1"/>
        <v>0</v>
      </c>
      <c r="I64" s="43">
        <f t="shared" si="2"/>
        <v>0</v>
      </c>
      <c r="J64" s="7">
        <f t="shared" si="4"/>
        <v>0</v>
      </c>
      <c r="K64" s="1"/>
      <c r="L64" s="1"/>
      <c r="M64" s="1"/>
      <c r="N64" s="1"/>
      <c r="O64" s="1"/>
      <c r="P64" s="1"/>
      <c r="Q64" s="1"/>
      <c r="R64" s="1"/>
      <c r="S64" s="1"/>
      <c r="T64" s="1"/>
      <c r="U64" s="1"/>
      <c r="V64" s="1"/>
      <c r="W64" s="1"/>
      <c r="X64" s="1"/>
      <c r="Y64" s="1"/>
      <c r="Z64" s="1"/>
    </row>
    <row r="65" spans="1:26" hidden="1" outlineLevel="1" x14ac:dyDescent="0.25">
      <c r="A65" s="35" t="s">
        <v>139</v>
      </c>
      <c r="B65" s="35"/>
      <c r="C65" s="36"/>
      <c r="D65" s="38">
        <f>-DATOS!D122</f>
        <v>0</v>
      </c>
      <c r="E65" s="41">
        <f t="shared" si="0"/>
        <v>0</v>
      </c>
      <c r="F65" s="39"/>
      <c r="G65" s="38">
        <f>-DATOS!G122</f>
        <v>0</v>
      </c>
      <c r="H65" s="41">
        <f t="shared" si="1"/>
        <v>0</v>
      </c>
      <c r="I65" s="43">
        <f t="shared" si="2"/>
        <v>0</v>
      </c>
      <c r="J65" s="7">
        <f t="shared" si="4"/>
        <v>0</v>
      </c>
      <c r="K65" s="1"/>
      <c r="L65" s="1"/>
      <c r="M65" s="1"/>
      <c r="N65" s="1"/>
      <c r="O65" s="1"/>
      <c r="P65" s="1"/>
      <c r="Q65" s="1"/>
      <c r="R65" s="1"/>
      <c r="S65" s="1"/>
      <c r="T65" s="1"/>
      <c r="U65" s="1"/>
      <c r="V65" s="1"/>
      <c r="W65" s="1"/>
      <c r="X65" s="1"/>
      <c r="Y65" s="1"/>
      <c r="Z65" s="1"/>
    </row>
    <row r="66" spans="1:26" hidden="1" outlineLevel="1" x14ac:dyDescent="0.25">
      <c r="A66" s="35" t="s">
        <v>92</v>
      </c>
      <c r="B66" s="62"/>
      <c r="C66" s="36"/>
      <c r="D66" s="38">
        <f>-DATOS!D123</f>
        <v>0</v>
      </c>
      <c r="E66" s="41">
        <f t="shared" si="0"/>
        <v>0</v>
      </c>
      <c r="F66" s="39"/>
      <c r="G66" s="38">
        <f>-DATOS!G123</f>
        <v>0</v>
      </c>
      <c r="H66" s="41">
        <f t="shared" si="1"/>
        <v>0</v>
      </c>
      <c r="I66" s="43">
        <f t="shared" si="2"/>
        <v>0</v>
      </c>
      <c r="J66" s="7">
        <f t="shared" si="4"/>
        <v>0</v>
      </c>
      <c r="K66" s="68"/>
      <c r="L66" s="68"/>
      <c r="M66" s="68"/>
      <c r="N66" s="68"/>
      <c r="O66" s="68"/>
      <c r="P66" s="68"/>
      <c r="Q66" s="68"/>
      <c r="R66" s="68"/>
      <c r="S66" s="68"/>
      <c r="T66" s="68"/>
      <c r="U66" s="68"/>
      <c r="V66" s="68"/>
      <c r="W66" s="68"/>
      <c r="X66" s="68"/>
      <c r="Y66" s="68"/>
      <c r="Z66" s="68"/>
    </row>
    <row r="67" spans="1:26" hidden="1" outlineLevel="1" x14ac:dyDescent="0.25">
      <c r="A67" s="35" t="s">
        <v>124</v>
      </c>
      <c r="B67" s="62"/>
      <c r="C67" s="36"/>
      <c r="D67" s="38">
        <f>-DATOS!D124</f>
        <v>0</v>
      </c>
      <c r="E67" s="41">
        <f t="shared" si="0"/>
        <v>0</v>
      </c>
      <c r="F67" s="39"/>
      <c r="G67" s="38">
        <f>-DATOS!G124</f>
        <v>0</v>
      </c>
      <c r="H67" s="41">
        <f t="shared" si="1"/>
        <v>0</v>
      </c>
      <c r="I67" s="43">
        <f t="shared" si="2"/>
        <v>0</v>
      </c>
      <c r="J67" s="7">
        <f t="shared" si="4"/>
        <v>0</v>
      </c>
      <c r="K67" s="68"/>
      <c r="L67" s="68"/>
      <c r="M67" s="68"/>
      <c r="N67" s="68"/>
      <c r="O67" s="68"/>
      <c r="P67" s="68"/>
      <c r="Q67" s="68"/>
      <c r="R67" s="68"/>
      <c r="S67" s="68"/>
      <c r="T67" s="68"/>
      <c r="U67" s="68"/>
      <c r="V67" s="68"/>
      <c r="W67" s="68"/>
      <c r="X67" s="68"/>
      <c r="Y67" s="68"/>
      <c r="Z67" s="68"/>
    </row>
    <row r="68" spans="1:26" collapsed="1" x14ac:dyDescent="0.25">
      <c r="A68" s="62" t="s">
        <v>141</v>
      </c>
      <c r="B68" s="62"/>
      <c r="C68" s="36">
        <v>15</v>
      </c>
      <c r="D68" s="63">
        <f>SUM(D69:D72)</f>
        <v>-840.44598999999994</v>
      </c>
      <c r="E68" s="65">
        <f t="shared" si="0"/>
        <v>-3.9706748118226214E-4</v>
      </c>
      <c r="F68" s="39"/>
      <c r="G68" s="63">
        <f>SUM(G69:G72)</f>
        <v>-581.74644000000001</v>
      </c>
      <c r="H68" s="65">
        <f t="shared" si="1"/>
        <v>-1.9794477063823134E-4</v>
      </c>
      <c r="I68" s="66">
        <f t="shared" si="2"/>
        <v>-258.69954999999993</v>
      </c>
      <c r="J68" s="67">
        <f t="shared" si="4"/>
        <v>0.44469468519652638</v>
      </c>
      <c r="K68" s="1"/>
      <c r="L68" s="1"/>
      <c r="M68" s="1"/>
      <c r="N68" s="1"/>
      <c r="O68" s="1"/>
      <c r="P68" s="1"/>
      <c r="Q68" s="1"/>
      <c r="R68" s="1"/>
      <c r="S68" s="1"/>
      <c r="T68" s="1"/>
      <c r="U68" s="1"/>
      <c r="V68" s="1"/>
      <c r="W68" s="1"/>
      <c r="X68" s="1"/>
      <c r="Y68" s="1"/>
      <c r="Z68" s="1"/>
    </row>
    <row r="69" spans="1:26" hidden="1" outlineLevel="1" x14ac:dyDescent="0.25">
      <c r="A69" s="35" t="s">
        <v>142</v>
      </c>
      <c r="B69" s="35"/>
      <c r="C69" s="36"/>
      <c r="D69" s="38">
        <f>-DATOS!D160</f>
        <v>0</v>
      </c>
      <c r="E69" s="41">
        <f t="shared" si="0"/>
        <v>0</v>
      </c>
      <c r="F69" s="39"/>
      <c r="G69" s="38">
        <f>-+DATOS!G160</f>
        <v>0</v>
      </c>
      <c r="H69" s="41">
        <f t="shared" si="1"/>
        <v>0</v>
      </c>
      <c r="I69" s="43">
        <f t="shared" si="2"/>
        <v>0</v>
      </c>
      <c r="J69" s="7">
        <f t="shared" si="4"/>
        <v>0</v>
      </c>
      <c r="K69" s="1"/>
      <c r="L69" s="1"/>
      <c r="M69" s="1"/>
      <c r="N69" s="1"/>
      <c r="O69" s="1"/>
      <c r="P69" s="1"/>
      <c r="Q69" s="1"/>
      <c r="R69" s="1"/>
      <c r="S69" s="1"/>
      <c r="T69" s="1"/>
      <c r="U69" s="1"/>
      <c r="V69" s="1"/>
      <c r="W69" s="1"/>
      <c r="X69" s="1"/>
      <c r="Y69" s="1"/>
      <c r="Z69" s="1"/>
    </row>
    <row r="70" spans="1:26" hidden="1" outlineLevel="1" x14ac:dyDescent="0.25">
      <c r="A70" s="35" t="s">
        <v>122</v>
      </c>
      <c r="B70" s="35"/>
      <c r="C70" s="36"/>
      <c r="D70" s="38">
        <f>-DATOS!D161</f>
        <v>0</v>
      </c>
      <c r="E70" s="41">
        <f t="shared" si="0"/>
        <v>0</v>
      </c>
      <c r="F70" s="39"/>
      <c r="G70" s="38">
        <f>-+DATOS!G161</f>
        <v>0</v>
      </c>
      <c r="H70" s="41">
        <f t="shared" si="1"/>
        <v>0</v>
      </c>
      <c r="I70" s="43">
        <f t="shared" si="2"/>
        <v>0</v>
      </c>
      <c r="J70" s="7">
        <f t="shared" si="4"/>
        <v>0</v>
      </c>
      <c r="K70" s="1"/>
      <c r="L70" s="1"/>
      <c r="M70" s="1"/>
      <c r="N70" s="1"/>
      <c r="O70" s="1"/>
      <c r="P70" s="1"/>
      <c r="Q70" s="1"/>
      <c r="R70" s="1"/>
      <c r="S70" s="1"/>
      <c r="T70" s="1"/>
      <c r="U70" s="1"/>
      <c r="V70" s="1"/>
      <c r="W70" s="1"/>
      <c r="X70" s="1"/>
      <c r="Y70" s="1"/>
      <c r="Z70" s="1"/>
    </row>
    <row r="71" spans="1:26" hidden="1" outlineLevel="1" x14ac:dyDescent="0.25">
      <c r="A71" s="35" t="s">
        <v>144</v>
      </c>
      <c r="B71" s="35"/>
      <c r="C71" s="36"/>
      <c r="D71" s="38">
        <f>-DATOS!D162</f>
        <v>0</v>
      </c>
      <c r="E71" s="41">
        <f t="shared" si="0"/>
        <v>0</v>
      </c>
      <c r="F71" s="39"/>
      <c r="G71" s="38">
        <f>-+DATOS!G162</f>
        <v>-369.738</v>
      </c>
      <c r="H71" s="41">
        <f t="shared" si="1"/>
        <v>-1.2580687834761546E-4</v>
      </c>
      <c r="I71" s="43">
        <f t="shared" si="2"/>
        <v>369.738</v>
      </c>
      <c r="J71" s="7">
        <f t="shared" si="4"/>
        <v>-1</v>
      </c>
      <c r="K71" s="1"/>
      <c r="L71" s="1"/>
      <c r="M71" s="1"/>
      <c r="N71" s="1"/>
      <c r="O71" s="1"/>
      <c r="P71" s="1"/>
      <c r="Q71" s="1"/>
      <c r="R71" s="1"/>
      <c r="S71" s="1"/>
      <c r="T71" s="1"/>
      <c r="U71" s="1"/>
      <c r="V71" s="1"/>
      <c r="W71" s="1"/>
      <c r="X71" s="1"/>
      <c r="Y71" s="1"/>
      <c r="Z71" s="1"/>
    </row>
    <row r="72" spans="1:26" hidden="1" outlineLevel="1" x14ac:dyDescent="0.25">
      <c r="A72" s="35" t="s">
        <v>146</v>
      </c>
      <c r="B72" s="35"/>
      <c r="C72" s="36"/>
      <c r="D72" s="38">
        <f>-DATOS!D163</f>
        <v>-840.44598999999994</v>
      </c>
      <c r="E72" s="41">
        <f t="shared" si="0"/>
        <v>-3.9706748118226214E-4</v>
      </c>
      <c r="F72" s="39"/>
      <c r="G72" s="38">
        <f>-+DATOS!G163</f>
        <v>-212.00844000000001</v>
      </c>
      <c r="H72" s="41">
        <f t="shared" si="1"/>
        <v>-7.2137892290615883E-5</v>
      </c>
      <c r="I72" s="43">
        <f t="shared" si="2"/>
        <v>-628.43754999999987</v>
      </c>
      <c r="J72" s="7">
        <f t="shared" si="4"/>
        <v>2.9642100569203746</v>
      </c>
      <c r="K72" s="1"/>
      <c r="L72" s="1"/>
      <c r="M72" s="1"/>
      <c r="N72" s="1"/>
      <c r="O72" s="1"/>
      <c r="P72" s="1"/>
      <c r="Q72" s="1"/>
      <c r="R72" s="1"/>
      <c r="S72" s="1"/>
      <c r="T72" s="1"/>
      <c r="U72" s="1"/>
      <c r="V72" s="1"/>
      <c r="W72" s="1"/>
      <c r="X72" s="1"/>
      <c r="Y72" s="1"/>
      <c r="Z72" s="1"/>
    </row>
    <row r="73" spans="1:26" collapsed="1" x14ac:dyDescent="0.25">
      <c r="A73" s="35"/>
      <c r="B73" s="35"/>
      <c r="C73" s="36"/>
      <c r="D73" s="38"/>
      <c r="E73" s="41"/>
      <c r="F73" s="39"/>
      <c r="G73" s="38"/>
      <c r="H73" s="41"/>
      <c r="I73" s="1"/>
      <c r="J73" s="7"/>
      <c r="K73" s="1"/>
      <c r="L73" s="1"/>
      <c r="M73" s="1"/>
      <c r="N73" s="1"/>
      <c r="O73" s="1"/>
      <c r="P73" s="1"/>
      <c r="Q73" s="1"/>
      <c r="R73" s="1"/>
      <c r="S73" s="1"/>
      <c r="T73" s="1"/>
      <c r="U73" s="1"/>
      <c r="V73" s="1"/>
      <c r="W73" s="1"/>
      <c r="X73" s="1"/>
      <c r="Y73" s="1"/>
      <c r="Z73" s="1"/>
    </row>
    <row r="74" spans="1:26" ht="15.75" thickBot="1" x14ac:dyDescent="0.3">
      <c r="A74" s="45" t="s">
        <v>147</v>
      </c>
      <c r="B74" s="45"/>
      <c r="C74" s="91"/>
      <c r="D74" s="47">
        <f>+D19+D21+D30+D52+D68</f>
        <v>161365.82812999972</v>
      </c>
      <c r="E74" s="49">
        <f>+D74/$D$13</f>
        <v>7.6237049955427613E-2</v>
      </c>
      <c r="F74" s="48"/>
      <c r="G74" s="47">
        <f>+G19+G21+G30+G52+G68</f>
        <v>137049.48751000027</v>
      </c>
      <c r="H74" s="49">
        <f>+G74/$G$13</f>
        <v>4.6632394297512425E-2</v>
      </c>
      <c r="I74" s="47">
        <f>+D74-G74</f>
        <v>24316.34061999945</v>
      </c>
      <c r="J74" s="50">
        <f>IFERROR(I74/G74,100%)*OR(IF(D74-G74=0,(0%),+I74/G74))</f>
        <v>0.1774274465508317</v>
      </c>
      <c r="K74" s="1"/>
      <c r="L74" s="1"/>
      <c r="M74" s="1"/>
      <c r="N74" s="1"/>
      <c r="O74" s="1"/>
      <c r="P74" s="1"/>
      <c r="Q74" s="1"/>
      <c r="R74" s="1"/>
      <c r="S74" s="1"/>
      <c r="T74" s="1"/>
      <c r="U74" s="1"/>
      <c r="V74" s="1"/>
      <c r="W74" s="1"/>
      <c r="X74" s="1"/>
      <c r="Y74" s="1"/>
      <c r="Z74" s="1"/>
    </row>
    <row r="75" spans="1:26" ht="15.75" thickTop="1" x14ac:dyDescent="0.25">
      <c r="A75" s="35"/>
      <c r="B75" s="35"/>
      <c r="C75" s="36"/>
      <c r="D75" s="38"/>
      <c r="E75" s="41"/>
      <c r="F75" s="39"/>
      <c r="G75" s="38"/>
      <c r="H75" s="41"/>
      <c r="I75" s="1"/>
      <c r="J75" s="7"/>
      <c r="K75" s="1"/>
      <c r="L75" s="1"/>
      <c r="M75" s="1"/>
      <c r="N75" s="1"/>
      <c r="O75" s="1"/>
      <c r="P75" s="1"/>
      <c r="Q75" s="1"/>
      <c r="R75" s="1"/>
      <c r="S75" s="1"/>
      <c r="T75" s="1"/>
      <c r="U75" s="1"/>
      <c r="V75" s="1"/>
      <c r="W75" s="1"/>
      <c r="X75" s="1"/>
      <c r="Y75" s="1"/>
      <c r="Z75" s="1"/>
    </row>
    <row r="76" spans="1:26" x14ac:dyDescent="0.25">
      <c r="A76" s="62" t="s">
        <v>149</v>
      </c>
      <c r="B76" s="62"/>
      <c r="C76" s="36">
        <v>16</v>
      </c>
      <c r="D76" s="66">
        <f>SUM(D77:D79)</f>
        <v>2452.58115</v>
      </c>
      <c r="E76" s="65">
        <f t="shared" ref="E76:E87" si="5">+D76/$D$13</f>
        <v>1.1587183843016443E-3</v>
      </c>
      <c r="F76" s="64"/>
      <c r="G76" s="66">
        <f>SUM(G77:G79)</f>
        <v>1661.00018</v>
      </c>
      <c r="H76" s="65">
        <f t="shared" ref="H76:H87" si="6">+G76/$G$13</f>
        <v>5.6517114167498983E-4</v>
      </c>
      <c r="I76" s="66">
        <f>SUM(I77:I79)</f>
        <v>791.58096999999998</v>
      </c>
      <c r="J76" s="67">
        <f t="shared" ref="J76:J82" si="7">IFERROR(I76/G76,100%)*OR(IF(D76-G76=0,(0%),+I76/G76))</f>
        <v>0.47656886467044213</v>
      </c>
      <c r="K76" s="1"/>
      <c r="L76" s="1">
        <f>SUM(L77:L79)</f>
        <v>0</v>
      </c>
      <c r="M76" s="1"/>
      <c r="N76" s="1"/>
      <c r="O76" s="1"/>
      <c r="P76" s="1"/>
      <c r="Q76" s="1"/>
      <c r="R76" s="1"/>
      <c r="S76" s="1"/>
      <c r="T76" s="1"/>
      <c r="U76" s="1"/>
      <c r="V76" s="1"/>
      <c r="W76" s="1"/>
      <c r="X76" s="1"/>
      <c r="Y76" s="1"/>
      <c r="Z76" s="1"/>
    </row>
    <row r="77" spans="1:26" hidden="1" outlineLevel="1" x14ac:dyDescent="0.25">
      <c r="A77" s="35" t="s">
        <v>151</v>
      </c>
      <c r="B77" s="35"/>
      <c r="C77" s="36"/>
      <c r="D77" s="38">
        <f>+DATOS!D105</f>
        <v>1599.70615</v>
      </c>
      <c r="E77" s="41">
        <f t="shared" si="5"/>
        <v>7.5577883548742265E-4</v>
      </c>
      <c r="F77" s="39"/>
      <c r="G77" s="38">
        <f>+DATOS!G105</f>
        <v>1152.49218</v>
      </c>
      <c r="H77" s="41">
        <f t="shared" si="6"/>
        <v>3.9214644825751787E-4</v>
      </c>
      <c r="I77" s="43">
        <f t="shared" ref="I77:I87" si="8">+D77-G77</f>
        <v>447.21397000000002</v>
      </c>
      <c r="J77" s="7">
        <f t="shared" si="7"/>
        <v>0.38804078479734244</v>
      </c>
      <c r="K77" s="1"/>
      <c r="L77" s="1"/>
      <c r="M77" s="1"/>
      <c r="N77" s="1"/>
      <c r="O77" s="1"/>
      <c r="P77" s="1"/>
      <c r="Q77" s="1"/>
      <c r="R77" s="1"/>
      <c r="S77" s="1"/>
      <c r="T77" s="1"/>
      <c r="U77" s="1"/>
      <c r="V77" s="1"/>
      <c r="W77" s="1"/>
      <c r="X77" s="1"/>
      <c r="Y77" s="1"/>
      <c r="Z77" s="1"/>
    </row>
    <row r="78" spans="1:26" hidden="1" outlineLevel="1" x14ac:dyDescent="0.25">
      <c r="A78" s="35" t="s">
        <v>153</v>
      </c>
      <c r="B78" s="35"/>
      <c r="C78" s="36"/>
      <c r="D78" s="38">
        <f>+DATOS!D106</f>
        <v>852.875</v>
      </c>
      <c r="E78" s="41">
        <f t="shared" si="5"/>
        <v>4.0293954881422166E-4</v>
      </c>
      <c r="F78" s="39"/>
      <c r="G78" s="38">
        <f>+DATOS!G106</f>
        <v>508.50799999999998</v>
      </c>
      <c r="H78" s="41">
        <f t="shared" si="6"/>
        <v>1.7302469341747196E-4</v>
      </c>
      <c r="I78" s="43">
        <f t="shared" si="8"/>
        <v>344.36700000000002</v>
      </c>
      <c r="J78" s="7">
        <f t="shared" si="7"/>
        <v>0.67721058469089968</v>
      </c>
      <c r="K78" s="1"/>
      <c r="L78" s="1"/>
      <c r="M78" s="1"/>
      <c r="N78" s="1"/>
      <c r="O78" s="1"/>
      <c r="P78" s="1"/>
      <c r="Q78" s="1"/>
      <c r="R78" s="1"/>
      <c r="S78" s="1"/>
      <c r="T78" s="1"/>
      <c r="U78" s="1"/>
      <c r="V78" s="1"/>
      <c r="W78" s="1"/>
      <c r="X78" s="1"/>
      <c r="Y78" s="1"/>
      <c r="Z78" s="1"/>
    </row>
    <row r="79" spans="1:26" hidden="1" outlineLevel="1" x14ac:dyDescent="0.25">
      <c r="A79" s="35" t="s">
        <v>142</v>
      </c>
      <c r="B79" s="35"/>
      <c r="C79" s="36"/>
      <c r="D79" s="38">
        <f>+DATOS!D107</f>
        <v>0</v>
      </c>
      <c r="E79" s="41">
        <f t="shared" si="5"/>
        <v>0</v>
      </c>
      <c r="F79" s="39"/>
      <c r="G79" s="38">
        <f>+DATOS!G107</f>
        <v>0</v>
      </c>
      <c r="H79" s="41">
        <f t="shared" si="6"/>
        <v>0</v>
      </c>
      <c r="I79" s="43">
        <f t="shared" si="8"/>
        <v>0</v>
      </c>
      <c r="J79" s="7">
        <f t="shared" si="7"/>
        <v>0</v>
      </c>
      <c r="K79" s="1"/>
      <c r="L79" s="1"/>
      <c r="M79" s="1"/>
      <c r="N79" s="1"/>
      <c r="O79" s="1"/>
      <c r="P79" s="1"/>
      <c r="Q79" s="1"/>
      <c r="R79" s="1"/>
      <c r="S79" s="1"/>
      <c r="T79" s="1"/>
      <c r="U79" s="1"/>
      <c r="V79" s="1"/>
      <c r="W79" s="1"/>
      <c r="X79" s="1"/>
      <c r="Y79" s="1"/>
      <c r="Z79" s="1"/>
    </row>
    <row r="80" spans="1:26" collapsed="1" x14ac:dyDescent="0.25">
      <c r="A80" s="62" t="s">
        <v>155</v>
      </c>
      <c r="B80" s="62"/>
      <c r="C80" s="36">
        <v>16</v>
      </c>
      <c r="D80" s="63">
        <f>SUM(D81:D87)</f>
        <v>-72494.39516</v>
      </c>
      <c r="E80" s="65">
        <f t="shared" si="5"/>
        <v>-3.4249871173771415E-2</v>
      </c>
      <c r="F80" s="64"/>
      <c r="G80" s="63">
        <f>SUM(G81:G87)</f>
        <v>-79418.319589999999</v>
      </c>
      <c r="H80" s="65">
        <f t="shared" si="6"/>
        <v>-2.7022840149595596E-2</v>
      </c>
      <c r="I80" s="66">
        <f t="shared" si="8"/>
        <v>6923.9244299999991</v>
      </c>
      <c r="J80" s="67">
        <f t="shared" si="7"/>
        <v>-8.7182963146853448E-2</v>
      </c>
      <c r="K80" s="1"/>
      <c r="L80" s="1"/>
      <c r="M80" s="1"/>
      <c r="N80" s="1"/>
      <c r="O80" s="1"/>
      <c r="P80" s="1"/>
      <c r="Q80" s="1"/>
      <c r="R80" s="1"/>
      <c r="S80" s="1"/>
      <c r="T80" s="1"/>
      <c r="U80" s="1"/>
      <c r="V80" s="1"/>
      <c r="W80" s="1"/>
      <c r="X80" s="1"/>
      <c r="Y80" s="1"/>
      <c r="Z80" s="1"/>
    </row>
    <row r="81" spans="1:26" hidden="1" outlineLevel="1" x14ac:dyDescent="0.25">
      <c r="A81" s="35" t="s">
        <v>156</v>
      </c>
      <c r="B81" s="35"/>
      <c r="C81" s="36"/>
      <c r="D81" s="38">
        <f>-DATOS!D148</f>
        <v>-9928.1186300000008</v>
      </c>
      <c r="E81" s="41">
        <f t="shared" si="5"/>
        <v>-4.6905251547369412E-3</v>
      </c>
      <c r="F81" s="39"/>
      <c r="G81" s="38">
        <f>-DATOS!G148</f>
        <v>-2497.4308799999999</v>
      </c>
      <c r="H81" s="41">
        <f t="shared" si="6"/>
        <v>-8.4977465908761941E-4</v>
      </c>
      <c r="I81" s="43">
        <f t="shared" si="8"/>
        <v>-7430.687750000001</v>
      </c>
      <c r="J81" s="7">
        <f t="shared" si="7"/>
        <v>2.9753326946930363</v>
      </c>
      <c r="K81" s="1"/>
      <c r="L81" s="1"/>
      <c r="M81" s="1"/>
      <c r="N81" s="1"/>
      <c r="O81" s="1"/>
      <c r="P81" s="1"/>
      <c r="Q81" s="1"/>
      <c r="R81" s="1"/>
      <c r="S81" s="1"/>
      <c r="T81" s="1"/>
      <c r="U81" s="1"/>
      <c r="V81" s="1"/>
      <c r="W81" s="1"/>
      <c r="X81" s="1"/>
      <c r="Y81" s="1"/>
      <c r="Z81" s="1"/>
    </row>
    <row r="82" spans="1:26" hidden="1" outlineLevel="1" x14ac:dyDescent="0.25">
      <c r="A82" s="35" t="s">
        <v>84</v>
      </c>
      <c r="B82" s="35"/>
      <c r="C82" s="36"/>
      <c r="D82" s="38">
        <f>-DATOS!D149</f>
        <v>-18281.941329999998</v>
      </c>
      <c r="E82" s="41">
        <f t="shared" si="5"/>
        <v>-8.6372764953343353E-3</v>
      </c>
      <c r="F82" s="39"/>
      <c r="G82" s="38">
        <f>-DATOS!G149</f>
        <v>-39181.594380000002</v>
      </c>
      <c r="H82" s="41">
        <f t="shared" si="6"/>
        <v>-1.3331910914296811E-2</v>
      </c>
      <c r="I82" s="43">
        <f t="shared" si="8"/>
        <v>20899.653050000004</v>
      </c>
      <c r="J82" s="7">
        <f t="shared" si="7"/>
        <v>-0.53340486472567084</v>
      </c>
      <c r="K82" s="1"/>
      <c r="L82" s="1"/>
      <c r="M82" s="1"/>
      <c r="N82" s="1"/>
      <c r="O82" s="1"/>
      <c r="P82" s="1"/>
      <c r="Q82" s="1"/>
      <c r="R82" s="1"/>
      <c r="S82" s="1"/>
      <c r="T82" s="1"/>
      <c r="U82" s="1"/>
      <c r="V82" s="1"/>
      <c r="W82" s="1"/>
      <c r="X82" s="1"/>
      <c r="Y82" s="1"/>
      <c r="Z82" s="1"/>
    </row>
    <row r="83" spans="1:26" hidden="1" outlineLevel="1" x14ac:dyDescent="0.25">
      <c r="A83" s="35" t="s">
        <v>151</v>
      </c>
      <c r="B83" s="35"/>
      <c r="C83" s="36"/>
      <c r="D83" s="38">
        <f>-DATOS!D150</f>
        <v>-31993.781999999999</v>
      </c>
      <c r="E83" s="41">
        <f t="shared" si="5"/>
        <v>-1.511541560479621E-2</v>
      </c>
      <c r="F83" s="39"/>
      <c r="G83" s="38">
        <f>-DATOS!G150</f>
        <v>-23040.618869999998</v>
      </c>
      <c r="H83" s="41">
        <f t="shared" si="6"/>
        <v>-7.8397901628500816E-3</v>
      </c>
      <c r="I83" s="43">
        <f t="shared" si="8"/>
        <v>-8953.1631300000008</v>
      </c>
      <c r="J83" s="7">
        <v>0</v>
      </c>
      <c r="K83" s="1"/>
      <c r="L83" s="1"/>
      <c r="M83" s="1"/>
      <c r="N83" s="1"/>
      <c r="O83" s="1"/>
      <c r="P83" s="1"/>
      <c r="Q83" s="1"/>
      <c r="R83" s="1"/>
      <c r="S83" s="1"/>
      <c r="T83" s="1"/>
      <c r="U83" s="1"/>
      <c r="V83" s="1"/>
      <c r="W83" s="1"/>
      <c r="X83" s="1"/>
      <c r="Y83" s="1"/>
      <c r="Z83" s="1"/>
    </row>
    <row r="84" spans="1:26" hidden="1" outlineLevel="1" x14ac:dyDescent="0.25">
      <c r="A84" s="35" t="s">
        <v>153</v>
      </c>
      <c r="B84" s="35"/>
      <c r="C84" s="36"/>
      <c r="D84" s="38">
        <f>-DATOS!D151</f>
        <v>0</v>
      </c>
      <c r="E84" s="41">
        <f t="shared" si="5"/>
        <v>0</v>
      </c>
      <c r="F84" s="39"/>
      <c r="G84" s="38">
        <f>-DATOS!G151</f>
        <v>0</v>
      </c>
      <c r="H84" s="41">
        <f t="shared" si="6"/>
        <v>0</v>
      </c>
      <c r="I84" s="43">
        <f t="shared" si="8"/>
        <v>0</v>
      </c>
      <c r="J84" s="7">
        <f>IFERROR(I84/G84,100%)*OR(IF(D84-G84=0,(0%),+I84/G84))</f>
        <v>0</v>
      </c>
      <c r="K84" s="1"/>
      <c r="L84" s="1"/>
      <c r="M84" s="1"/>
      <c r="N84" s="1"/>
      <c r="O84" s="1"/>
      <c r="P84" s="1"/>
      <c r="Q84" s="1"/>
      <c r="R84" s="1"/>
      <c r="S84" s="1"/>
      <c r="T84" s="1"/>
      <c r="U84" s="1"/>
      <c r="V84" s="1"/>
      <c r="W84" s="1"/>
      <c r="X84" s="1"/>
      <c r="Y84" s="1"/>
      <c r="Z84" s="1"/>
    </row>
    <row r="85" spans="1:26" hidden="1" outlineLevel="1" x14ac:dyDescent="0.25">
      <c r="A85" s="35" t="s">
        <v>158</v>
      </c>
      <c r="B85" s="35"/>
      <c r="C85" s="61"/>
      <c r="D85" s="38">
        <f>-DATOS!D152</f>
        <v>-1851.43</v>
      </c>
      <c r="E85" s="41">
        <f t="shared" si="5"/>
        <v>-8.7470540098034824E-4</v>
      </c>
      <c r="F85" s="39"/>
      <c r="G85" s="38">
        <f>-DATOS!G152</f>
        <v>-48.841000000000001</v>
      </c>
      <c r="H85" s="41">
        <f t="shared" si="6"/>
        <v>-1.6618615737024291E-5</v>
      </c>
      <c r="I85" s="43">
        <f t="shared" si="8"/>
        <v>-1802.5890000000002</v>
      </c>
      <c r="J85" s="7">
        <v>0</v>
      </c>
      <c r="K85" s="1"/>
      <c r="L85" s="1"/>
      <c r="M85" s="1"/>
      <c r="N85" s="1"/>
      <c r="O85" s="1"/>
      <c r="P85" s="1"/>
      <c r="Q85" s="1"/>
      <c r="R85" s="1"/>
      <c r="S85" s="1"/>
      <c r="T85" s="1"/>
      <c r="U85" s="1"/>
      <c r="V85" s="1"/>
      <c r="W85" s="1"/>
      <c r="X85" s="1"/>
      <c r="Y85" s="1"/>
      <c r="Z85" s="1"/>
    </row>
    <row r="86" spans="1:26" hidden="1" outlineLevel="1" x14ac:dyDescent="0.25">
      <c r="A86" s="35" t="s">
        <v>160</v>
      </c>
      <c r="B86" s="35"/>
      <c r="C86" s="61"/>
      <c r="D86" s="38">
        <f>-DATOS!D153</f>
        <v>-10439.123300000001</v>
      </c>
      <c r="E86" s="41">
        <f t="shared" si="5"/>
        <v>-4.9319485651684357E-3</v>
      </c>
      <c r="F86" s="39"/>
      <c r="G86" s="38">
        <f>-DATOS!G153</f>
        <v>-14603.198460000001</v>
      </c>
      <c r="H86" s="41">
        <f t="shared" si="6"/>
        <v>-4.9688774541521447E-3</v>
      </c>
      <c r="I86" s="43">
        <f t="shared" si="8"/>
        <v>4164.0751600000003</v>
      </c>
      <c r="J86" s="7">
        <f>IFERROR(I86/G86,100%)*OR(IF(D86-G86=0,(0%),+I86/G86))</f>
        <v>-0.28514815924784742</v>
      </c>
      <c r="K86" s="1"/>
      <c r="L86" s="1"/>
      <c r="M86" s="1"/>
      <c r="N86" s="1"/>
      <c r="O86" s="1"/>
      <c r="P86" s="1"/>
      <c r="Q86" s="1"/>
      <c r="R86" s="1"/>
      <c r="S86" s="1"/>
      <c r="T86" s="1"/>
      <c r="U86" s="1"/>
      <c r="V86" s="1"/>
      <c r="W86" s="1"/>
      <c r="X86" s="1"/>
      <c r="Y86" s="1"/>
      <c r="Z86" s="1"/>
    </row>
    <row r="87" spans="1:26" hidden="1" outlineLevel="1" x14ac:dyDescent="0.25">
      <c r="A87" s="35" t="s">
        <v>161</v>
      </c>
      <c r="B87" s="35"/>
      <c r="C87" s="61"/>
      <c r="D87" s="38">
        <f>-DATOS!D154</f>
        <v>9.9999999976716899E-5</v>
      </c>
      <c r="E87" s="41">
        <f t="shared" si="5"/>
        <v>4.7244854019686925E-11</v>
      </c>
      <c r="F87" s="39"/>
      <c r="G87" s="38">
        <f>-DATOS!G154</f>
        <v>-46.636000000000003</v>
      </c>
      <c r="H87" s="41">
        <f t="shared" si="6"/>
        <v>-1.5868343471916319E-5</v>
      </c>
      <c r="I87" s="43">
        <f t="shared" si="8"/>
        <v>46.636099999999978</v>
      </c>
      <c r="J87" s="7">
        <f>IFERROR(I87/G87,100%)*OR(IF(D87-G87=0,(0%),+I87/G87))</f>
        <v>-1.0000021442662315</v>
      </c>
      <c r="K87" s="1"/>
      <c r="L87" s="1"/>
      <c r="M87" s="1"/>
      <c r="N87" s="1"/>
      <c r="O87" s="1"/>
      <c r="P87" s="1"/>
      <c r="Q87" s="1"/>
      <c r="R87" s="1"/>
      <c r="S87" s="1"/>
      <c r="T87" s="1"/>
      <c r="U87" s="1"/>
      <c r="V87" s="1"/>
      <c r="W87" s="1"/>
      <c r="X87" s="1"/>
      <c r="Y87" s="1"/>
      <c r="Z87" s="1"/>
    </row>
    <row r="88" spans="1:26" collapsed="1" x14ac:dyDescent="0.25">
      <c r="A88" s="35"/>
      <c r="B88" s="35"/>
      <c r="C88" s="61"/>
      <c r="D88" s="38"/>
      <c r="E88" s="41"/>
      <c r="F88" s="39"/>
      <c r="G88" s="38"/>
      <c r="H88" s="41"/>
      <c r="I88" s="1"/>
      <c r="J88" s="7"/>
      <c r="K88" s="1"/>
      <c r="L88" s="1"/>
      <c r="M88" s="1"/>
      <c r="N88" s="1"/>
      <c r="O88" s="1"/>
      <c r="P88" s="1"/>
      <c r="Q88" s="1"/>
      <c r="R88" s="1"/>
      <c r="S88" s="1"/>
      <c r="T88" s="1"/>
      <c r="U88" s="1"/>
      <c r="V88" s="1"/>
      <c r="W88" s="1"/>
      <c r="X88" s="1"/>
      <c r="Y88" s="1"/>
      <c r="Z88" s="1"/>
    </row>
    <row r="89" spans="1:26" ht="15.75" thickBot="1" x14ac:dyDescent="0.3">
      <c r="A89" s="45" t="s">
        <v>163</v>
      </c>
      <c r="B89" s="45"/>
      <c r="C89" s="91"/>
      <c r="D89" s="47">
        <f>+D74+D76+D80</f>
        <v>91324.014119999731</v>
      </c>
      <c r="E89" s="49">
        <f>+D89/$D$13</f>
        <v>4.3145897165957847E-2</v>
      </c>
      <c r="F89" s="48"/>
      <c r="G89" s="47">
        <f>+G74+G76+G80</f>
        <v>59292.168100000272</v>
      </c>
      <c r="H89" s="49">
        <f>+G89/$G$13</f>
        <v>2.017472528959182E-2</v>
      </c>
      <c r="I89" s="47">
        <f>+D89-G89</f>
        <v>32031.846019999459</v>
      </c>
      <c r="J89" s="50">
        <f>IFERROR(I89/G89,100%)*OR(IF(D89-G89=0,(0%),+I89/G89))</f>
        <v>0.54023738794600284</v>
      </c>
      <c r="K89" s="1"/>
      <c r="L89" s="1"/>
      <c r="M89" s="1"/>
      <c r="N89" s="1"/>
      <c r="O89" s="1"/>
      <c r="P89" s="1"/>
      <c r="Q89" s="1"/>
      <c r="R89" s="1"/>
      <c r="S89" s="1"/>
      <c r="T89" s="1"/>
      <c r="U89" s="1"/>
      <c r="V89" s="1"/>
      <c r="W89" s="1"/>
      <c r="X89" s="1"/>
      <c r="Y89" s="1"/>
      <c r="Z89" s="1"/>
    </row>
    <row r="90" spans="1:26" ht="15.75" thickTop="1" x14ac:dyDescent="0.25">
      <c r="A90" s="62"/>
      <c r="B90" s="62"/>
      <c r="C90" s="94"/>
      <c r="D90" s="63"/>
      <c r="E90" s="65"/>
      <c r="F90" s="64"/>
      <c r="G90" s="63"/>
      <c r="H90" s="65"/>
      <c r="I90" s="1"/>
      <c r="J90" s="7"/>
      <c r="K90" s="1"/>
      <c r="L90" s="1"/>
      <c r="M90" s="1"/>
      <c r="N90" s="1"/>
      <c r="O90" s="1"/>
      <c r="P90" s="1"/>
      <c r="Q90" s="1"/>
      <c r="R90" s="1"/>
      <c r="S90" s="1"/>
      <c r="T90" s="1"/>
      <c r="U90" s="1"/>
      <c r="V90" s="1"/>
      <c r="W90" s="1"/>
      <c r="X90" s="1"/>
      <c r="Y90" s="1"/>
      <c r="Z90" s="1"/>
    </row>
    <row r="91" spans="1:26" x14ac:dyDescent="0.25">
      <c r="A91" s="62" t="s">
        <v>165</v>
      </c>
      <c r="B91" s="62"/>
      <c r="C91" s="94"/>
      <c r="D91" s="63">
        <f>+D93+D92+D94</f>
        <v>-34336</v>
      </c>
      <c r="E91" s="65">
        <f>+D91/$D$13</f>
        <v>-1.6221993079976686E-2</v>
      </c>
      <c r="F91" s="64"/>
      <c r="G91" s="63">
        <f>+G93+G92+G94</f>
        <v>-26671.196</v>
      </c>
      <c r="H91" s="65">
        <f>+G91/$G$13</f>
        <v>-9.0751286331332143E-3</v>
      </c>
      <c r="I91" s="66">
        <f>+D91-G91</f>
        <v>-7664.8040000000001</v>
      </c>
      <c r="J91" s="67">
        <f>IFERROR(I91/G91,100%)*OR(IF(D91-G91=0,(0%),+I91/G91))</f>
        <v>0.2873813382796932</v>
      </c>
      <c r="K91" s="68"/>
      <c r="L91" s="68"/>
      <c r="M91" s="68"/>
      <c r="N91" s="68"/>
      <c r="O91" s="68"/>
      <c r="P91" s="68"/>
      <c r="Q91" s="68"/>
      <c r="R91" s="68"/>
      <c r="S91" s="68"/>
      <c r="T91" s="68"/>
      <c r="U91" s="68"/>
      <c r="V91" s="68"/>
      <c r="W91" s="68"/>
      <c r="X91" s="68"/>
      <c r="Y91" s="68"/>
      <c r="Z91" s="68"/>
    </row>
    <row r="92" spans="1:26" hidden="1" outlineLevel="1" x14ac:dyDescent="0.25">
      <c r="A92" s="35" t="s">
        <v>166</v>
      </c>
      <c r="B92" s="35" t="s">
        <v>167</v>
      </c>
      <c r="C92" s="95"/>
      <c r="D92" s="38">
        <f>-+DATOS!D156</f>
        <v>0</v>
      </c>
      <c r="E92" s="41">
        <f>+D92/$D$13</f>
        <v>0</v>
      </c>
      <c r="F92" s="39"/>
      <c r="G92" s="38">
        <f>-+DATOS!G156</f>
        <v>0</v>
      </c>
      <c r="H92" s="41">
        <f>+G92/$G$13</f>
        <v>0</v>
      </c>
      <c r="I92" s="43">
        <f>+D92-G92</f>
        <v>0</v>
      </c>
      <c r="J92" s="7">
        <f>IFERROR(I92/G92,100%)*OR(IF(D92-G92=0,(0%),+I92/G92))</f>
        <v>0</v>
      </c>
      <c r="K92" s="1"/>
      <c r="L92" s="1"/>
      <c r="M92" s="1"/>
      <c r="N92" s="1"/>
      <c r="O92" s="1"/>
      <c r="P92" s="1"/>
      <c r="Q92" s="1"/>
      <c r="R92" s="1"/>
      <c r="S92" s="1"/>
      <c r="T92" s="1"/>
      <c r="U92" s="1"/>
      <c r="V92" s="1"/>
      <c r="W92" s="1"/>
      <c r="X92" s="1"/>
      <c r="Y92" s="1"/>
      <c r="Z92" s="1"/>
    </row>
    <row r="93" spans="1:26" hidden="1" outlineLevel="1" x14ac:dyDescent="0.25">
      <c r="A93" s="35" t="s">
        <v>169</v>
      </c>
      <c r="B93" s="35"/>
      <c r="C93" s="95"/>
      <c r="D93" s="38">
        <f>-+DATOS!D157</f>
        <v>-34336</v>
      </c>
      <c r="E93" s="41">
        <f>+D93/$D$13</f>
        <v>-1.6221993079976686E-2</v>
      </c>
      <c r="F93" s="39"/>
      <c r="G93" s="38">
        <f>-+DATOS!G157</f>
        <v>-26671.196</v>
      </c>
      <c r="H93" s="41">
        <f>+G93/$G$13</f>
        <v>-9.0751286331332143E-3</v>
      </c>
      <c r="I93" s="43">
        <f>+D93-G93</f>
        <v>-7664.8040000000001</v>
      </c>
      <c r="J93" s="7">
        <f>IFERROR(I93/G93,100%)*OR(IF(D93-G93=0,(0%),+I93/G93))</f>
        <v>0.2873813382796932</v>
      </c>
      <c r="K93" s="1"/>
      <c r="L93" s="1"/>
      <c r="M93" s="1"/>
      <c r="N93" s="1"/>
      <c r="O93" s="1"/>
      <c r="P93" s="1"/>
      <c r="Q93" s="1"/>
      <c r="R93" s="1"/>
      <c r="S93" s="1"/>
      <c r="T93" s="1"/>
      <c r="U93" s="1"/>
      <c r="V93" s="1"/>
      <c r="W93" s="1"/>
      <c r="X93" s="1"/>
      <c r="Y93" s="1"/>
      <c r="Z93" s="1"/>
    </row>
    <row r="94" spans="1:26" hidden="1" outlineLevel="1" x14ac:dyDescent="0.25">
      <c r="A94" s="1" t="s">
        <v>170</v>
      </c>
      <c r="B94" s="1"/>
      <c r="C94" s="3"/>
      <c r="D94" s="38">
        <f>-+DATOS!D158</f>
        <v>0</v>
      </c>
      <c r="E94" s="41">
        <f>+D94/$D$13</f>
        <v>0</v>
      </c>
      <c r="F94" s="5"/>
      <c r="G94" s="38">
        <f>-+DATOS!G158</f>
        <v>0</v>
      </c>
      <c r="H94" s="41">
        <f>+G94/$G$13</f>
        <v>0</v>
      </c>
      <c r="I94" s="43">
        <f>+D94-G94</f>
        <v>0</v>
      </c>
      <c r="J94" s="7">
        <f>IFERROR(I94/G94,100%)*OR(IF(D94-G94=0,(0%),+I94/G94))</f>
        <v>0</v>
      </c>
      <c r="K94" s="1"/>
      <c r="L94" s="1"/>
      <c r="M94" s="1"/>
      <c r="N94" s="1"/>
      <c r="O94" s="1"/>
      <c r="P94" s="1"/>
      <c r="Q94" s="1"/>
      <c r="R94" s="1"/>
      <c r="S94" s="1"/>
      <c r="T94" s="1"/>
      <c r="U94" s="1"/>
      <c r="V94" s="1"/>
      <c r="W94" s="1"/>
      <c r="X94" s="1"/>
      <c r="Y94" s="1"/>
      <c r="Z94" s="1"/>
    </row>
    <row r="95" spans="1:26" collapsed="1" x14ac:dyDescent="0.25">
      <c r="A95" s="35"/>
      <c r="B95" s="35"/>
      <c r="C95" s="95"/>
      <c r="D95" s="38"/>
      <c r="E95" s="41"/>
      <c r="F95" s="39"/>
      <c r="G95" s="38"/>
      <c r="H95" s="41"/>
      <c r="I95" s="1"/>
      <c r="J95" s="7"/>
      <c r="K95" s="1"/>
      <c r="L95" s="1"/>
      <c r="M95" s="1"/>
      <c r="N95" s="1"/>
      <c r="O95" s="1"/>
      <c r="P95" s="1"/>
      <c r="Q95" s="1"/>
      <c r="R95" s="1"/>
      <c r="S95" s="1"/>
      <c r="T95" s="1"/>
      <c r="U95" s="1"/>
      <c r="V95" s="1"/>
      <c r="W95" s="1"/>
      <c r="X95" s="1"/>
      <c r="Y95" s="1"/>
      <c r="Z95" s="1"/>
    </row>
    <row r="96" spans="1:26" ht="15.75" thickBot="1" x14ac:dyDescent="0.3">
      <c r="A96" s="45" t="s">
        <v>171</v>
      </c>
      <c r="B96" s="45"/>
      <c r="C96" s="91"/>
      <c r="D96" s="47">
        <f>+D89+D91</f>
        <v>56988.014119999731</v>
      </c>
      <c r="E96" s="49">
        <f>+D96/$D$13</f>
        <v>2.6923904085981165E-2</v>
      </c>
      <c r="F96" s="48"/>
      <c r="G96" s="47">
        <f>+G89+G91</f>
        <v>32620.972100000272</v>
      </c>
      <c r="H96" s="49">
        <f>+G96/$G$13</f>
        <v>1.1099596656458608E-2</v>
      </c>
      <c r="I96" s="47">
        <f>+D96-G96</f>
        <v>24367.042019999459</v>
      </c>
      <c r="J96" s="50">
        <f>IFERROR(I96/G96,100%)*OR(IF(D96-G96=0,(0%),+I96/G96))</f>
        <v>0.746974735924539</v>
      </c>
      <c r="K96" s="1"/>
      <c r="L96" s="1"/>
      <c r="M96" s="1"/>
      <c r="N96" s="1"/>
      <c r="O96" s="1"/>
      <c r="P96" s="1"/>
      <c r="Q96" s="1"/>
      <c r="R96" s="1"/>
      <c r="S96" s="1"/>
      <c r="T96" s="1"/>
      <c r="U96" s="1"/>
      <c r="V96" s="1"/>
      <c r="W96" s="1"/>
      <c r="X96" s="1"/>
      <c r="Y96" s="1"/>
      <c r="Z96" s="1"/>
    </row>
    <row r="97" spans="1:26" ht="15.75" thickTop="1" x14ac:dyDescent="0.25">
      <c r="A97" s="62"/>
      <c r="B97" s="62"/>
      <c r="C97" s="94"/>
      <c r="D97" s="94"/>
      <c r="E97" s="106"/>
      <c r="F97" s="96"/>
      <c r="G97" s="94"/>
      <c r="H97" s="106"/>
      <c r="I97" s="1"/>
      <c r="J97" s="7"/>
      <c r="K97" s="1"/>
      <c r="L97" s="1"/>
      <c r="M97" s="1"/>
      <c r="N97" s="1"/>
      <c r="O97" s="1"/>
      <c r="P97" s="1"/>
      <c r="Q97" s="1"/>
      <c r="R97" s="1"/>
      <c r="S97" s="1"/>
      <c r="T97" s="1"/>
      <c r="U97" s="1"/>
      <c r="V97" s="1"/>
      <c r="W97" s="1"/>
      <c r="X97" s="1"/>
      <c r="Y97" s="1"/>
      <c r="Z97" s="1"/>
    </row>
    <row r="98" spans="1:26" ht="15.75" thickBot="1" x14ac:dyDescent="0.3">
      <c r="A98" s="45" t="s">
        <v>173</v>
      </c>
      <c r="B98" s="45"/>
      <c r="C98" s="91"/>
      <c r="D98" s="47">
        <v>0</v>
      </c>
      <c r="E98" s="49">
        <v>0</v>
      </c>
      <c r="F98" s="48"/>
      <c r="G98" s="47">
        <v>0</v>
      </c>
      <c r="H98" s="49">
        <v>0</v>
      </c>
      <c r="I98" s="47">
        <f>+D98-G98</f>
        <v>0</v>
      </c>
      <c r="J98" s="50">
        <f>IFERROR(I98/G98,100%)*OR(IF(D98-G98=0,(0%),+I98/G98))</f>
        <v>0</v>
      </c>
      <c r="K98" s="1"/>
      <c r="L98" s="1"/>
      <c r="M98" s="1"/>
      <c r="N98" s="1"/>
      <c r="O98" s="1"/>
      <c r="P98" s="1"/>
      <c r="Q98" s="1"/>
      <c r="R98" s="1"/>
      <c r="S98" s="1"/>
      <c r="T98" s="1"/>
      <c r="U98" s="1"/>
      <c r="V98" s="1"/>
      <c r="W98" s="1"/>
      <c r="X98" s="1"/>
      <c r="Y98" s="1"/>
      <c r="Z98" s="1"/>
    </row>
    <row r="99" spans="1:26" ht="15.75" hidden="1" outlineLevel="1" thickTop="1" x14ac:dyDescent="0.25">
      <c r="A99" s="62"/>
      <c r="B99" s="62"/>
      <c r="C99" s="94"/>
      <c r="D99" s="94"/>
      <c r="E99" s="106"/>
      <c r="F99" s="96"/>
      <c r="G99" s="94"/>
      <c r="H99" s="106"/>
      <c r="I99" s="1"/>
      <c r="J99" s="7"/>
      <c r="K99" s="1"/>
      <c r="L99" s="1"/>
      <c r="M99" s="1"/>
      <c r="N99" s="1"/>
      <c r="O99" s="1"/>
      <c r="P99" s="1"/>
      <c r="Q99" s="1"/>
      <c r="R99" s="1"/>
      <c r="S99" s="1"/>
      <c r="T99" s="1"/>
      <c r="U99" s="1"/>
      <c r="V99" s="1"/>
      <c r="W99" s="1"/>
      <c r="X99" s="1"/>
      <c r="Y99" s="1"/>
      <c r="Z99" s="1"/>
    </row>
    <row r="100" spans="1:26" hidden="1" outlineLevel="1" x14ac:dyDescent="0.25">
      <c r="A100" s="406" t="s">
        <v>174</v>
      </c>
      <c r="B100" s="62"/>
      <c r="C100" s="94"/>
      <c r="D100" s="94"/>
      <c r="E100" s="106"/>
      <c r="F100" s="96"/>
      <c r="G100" s="94"/>
      <c r="H100" s="106"/>
      <c r="I100" s="1"/>
      <c r="J100" s="7"/>
      <c r="K100" s="1"/>
      <c r="L100" s="1"/>
      <c r="M100" s="1"/>
      <c r="N100" s="1"/>
      <c r="O100" s="1"/>
      <c r="P100" s="1"/>
      <c r="Q100" s="1"/>
      <c r="R100" s="1"/>
      <c r="S100" s="1"/>
      <c r="T100" s="1"/>
      <c r="U100" s="1"/>
      <c r="V100" s="1"/>
      <c r="W100" s="1"/>
      <c r="X100" s="1"/>
      <c r="Y100" s="1"/>
      <c r="Z100" s="1"/>
    </row>
    <row r="101" spans="1:26" ht="15.75" hidden="1" outlineLevel="1" thickBot="1" x14ac:dyDescent="0.3">
      <c r="A101" s="400"/>
      <c r="B101" s="62"/>
      <c r="C101" s="94"/>
      <c r="D101" s="97">
        <v>0</v>
      </c>
      <c r="E101" s="110">
        <f>+D101/$D$13</f>
        <v>0</v>
      </c>
      <c r="F101" s="99"/>
      <c r="G101" s="97">
        <v>0</v>
      </c>
      <c r="H101" s="110">
        <f>+G101/$G$13</f>
        <v>0</v>
      </c>
      <c r="I101" s="43">
        <f>+D101-G101</f>
        <v>0</v>
      </c>
      <c r="J101" s="50">
        <f>IFERROR(I101/G101,100%)*OR(IF(D101-G101=0,(0%),+I101/G101))</f>
        <v>0</v>
      </c>
      <c r="K101" s="1"/>
      <c r="L101" s="1"/>
      <c r="M101" s="1"/>
      <c r="N101" s="1"/>
      <c r="O101" s="1"/>
      <c r="P101" s="1"/>
      <c r="Q101" s="1"/>
      <c r="R101" s="1"/>
      <c r="S101" s="1"/>
      <c r="T101" s="1"/>
      <c r="U101" s="1"/>
      <c r="V101" s="1"/>
      <c r="W101" s="1"/>
      <c r="X101" s="1"/>
      <c r="Y101" s="1"/>
      <c r="Z101" s="1"/>
    </row>
    <row r="102" spans="1:26" ht="15.75" hidden="1" outlineLevel="1" thickTop="1" x14ac:dyDescent="0.25">
      <c r="A102" s="62"/>
      <c r="B102" s="62"/>
      <c r="C102" s="94"/>
      <c r="D102" s="97"/>
      <c r="E102" s="110"/>
      <c r="F102" s="99"/>
      <c r="G102" s="97"/>
      <c r="H102" s="110"/>
      <c r="I102" s="1"/>
      <c r="J102" s="7"/>
      <c r="K102" s="1"/>
      <c r="L102" s="1"/>
      <c r="M102" s="1"/>
      <c r="N102" s="1"/>
      <c r="O102" s="1"/>
      <c r="P102" s="1"/>
      <c r="Q102" s="1"/>
      <c r="R102" s="1"/>
      <c r="S102" s="1"/>
      <c r="T102" s="1"/>
      <c r="U102" s="1"/>
      <c r="V102" s="1"/>
      <c r="W102" s="1"/>
      <c r="X102" s="1"/>
      <c r="Y102" s="1"/>
      <c r="Z102" s="1"/>
    </row>
    <row r="103" spans="1:26" ht="15.75" hidden="1" outlineLevel="1" thickBot="1" x14ac:dyDescent="0.3">
      <c r="A103" s="406" t="s">
        <v>177</v>
      </c>
      <c r="B103" s="62"/>
      <c r="C103" s="94"/>
      <c r="D103" s="97">
        <v>0</v>
      </c>
      <c r="E103" s="110">
        <f>+D103/$D$13</f>
        <v>0</v>
      </c>
      <c r="F103" s="99"/>
      <c r="G103" s="97">
        <v>0</v>
      </c>
      <c r="H103" s="110">
        <f>+G103/$G$13</f>
        <v>0</v>
      </c>
      <c r="I103" s="43">
        <f>+D103-G103</f>
        <v>0</v>
      </c>
      <c r="J103" s="50">
        <f>IFERROR(I103/G103,100%)*OR(IF(D103-G103=0,(0%),+I103/G103))</f>
        <v>0</v>
      </c>
      <c r="K103" s="1"/>
      <c r="L103" s="1"/>
      <c r="M103" s="1"/>
      <c r="N103" s="1"/>
      <c r="O103" s="1"/>
      <c r="P103" s="1"/>
      <c r="Q103" s="1"/>
      <c r="R103" s="1"/>
      <c r="S103" s="1"/>
      <c r="T103" s="1"/>
      <c r="U103" s="1"/>
      <c r="V103" s="1"/>
      <c r="W103" s="1"/>
      <c r="X103" s="1"/>
      <c r="Y103" s="1"/>
      <c r="Z103" s="1"/>
    </row>
    <row r="104" spans="1:26" ht="15.75" hidden="1" outlineLevel="1" thickTop="1" x14ac:dyDescent="0.25">
      <c r="A104" s="400"/>
      <c r="B104" s="62"/>
      <c r="C104" s="94"/>
      <c r="D104" s="97"/>
      <c r="E104" s="110"/>
      <c r="F104" s="99"/>
      <c r="G104" s="97"/>
      <c r="H104" s="110"/>
      <c r="I104" s="1"/>
      <c r="J104" s="7"/>
      <c r="K104" s="1"/>
      <c r="L104" s="1"/>
      <c r="M104" s="1"/>
      <c r="N104" s="1"/>
      <c r="O104" s="1"/>
      <c r="P104" s="1"/>
      <c r="Q104" s="1"/>
      <c r="R104" s="1"/>
      <c r="S104" s="1"/>
      <c r="T104" s="1"/>
      <c r="U104" s="1"/>
      <c r="V104" s="1"/>
      <c r="W104" s="1"/>
      <c r="X104" s="1"/>
      <c r="Y104" s="1"/>
      <c r="Z104" s="1"/>
    </row>
    <row r="105" spans="1:26" hidden="1" outlineLevel="1" x14ac:dyDescent="0.25">
      <c r="A105" s="62"/>
      <c r="B105" s="62"/>
      <c r="C105" s="94"/>
      <c r="D105" s="97"/>
      <c r="E105" s="110"/>
      <c r="F105" s="99"/>
      <c r="G105" s="97"/>
      <c r="H105" s="110"/>
      <c r="I105" s="1"/>
      <c r="J105" s="7"/>
      <c r="K105" s="1"/>
      <c r="L105" s="1"/>
      <c r="M105" s="1"/>
      <c r="N105" s="1"/>
      <c r="O105" s="1"/>
      <c r="P105" s="1"/>
      <c r="Q105" s="1"/>
      <c r="R105" s="1"/>
      <c r="S105" s="1"/>
      <c r="T105" s="1"/>
      <c r="U105" s="1"/>
      <c r="V105" s="1"/>
      <c r="W105" s="1"/>
      <c r="X105" s="1"/>
      <c r="Y105" s="1"/>
      <c r="Z105" s="1"/>
    </row>
    <row r="106" spans="1:26" ht="15.75" hidden="1" outlineLevel="1" thickBot="1" x14ac:dyDescent="0.3">
      <c r="A106" s="406" t="s">
        <v>178</v>
      </c>
      <c r="B106" s="62"/>
      <c r="C106" s="94"/>
      <c r="D106" s="97">
        <v>0</v>
      </c>
      <c r="E106" s="110">
        <f>+D106/$D$13</f>
        <v>0</v>
      </c>
      <c r="F106" s="99"/>
      <c r="G106" s="97">
        <v>0</v>
      </c>
      <c r="H106" s="110">
        <f>+G106/$G$13</f>
        <v>0</v>
      </c>
      <c r="I106" s="43">
        <f>+D106-G106</f>
        <v>0</v>
      </c>
      <c r="J106" s="50">
        <f>IFERROR(I106/G106,100%)*OR(IF(D106-G106=0,(0%),+I106/G106))</f>
        <v>0</v>
      </c>
      <c r="K106" s="1"/>
      <c r="L106" s="1"/>
      <c r="M106" s="1"/>
      <c r="N106" s="1"/>
      <c r="O106" s="1"/>
      <c r="P106" s="1"/>
      <c r="Q106" s="1"/>
      <c r="R106" s="1"/>
      <c r="S106" s="1"/>
      <c r="T106" s="1"/>
      <c r="U106" s="1"/>
      <c r="V106" s="1"/>
      <c r="W106" s="1"/>
      <c r="X106" s="1"/>
      <c r="Y106" s="1"/>
      <c r="Z106" s="1"/>
    </row>
    <row r="107" spans="1:26" ht="15.75" hidden="1" outlineLevel="1" thickTop="1" x14ac:dyDescent="0.25">
      <c r="A107" s="400"/>
      <c r="B107" s="62"/>
      <c r="C107" s="94"/>
      <c r="D107" s="97"/>
      <c r="E107" s="110"/>
      <c r="F107" s="99"/>
      <c r="G107" s="97"/>
      <c r="H107" s="110"/>
      <c r="I107" s="1"/>
      <c r="J107" s="7"/>
      <c r="K107" s="1"/>
      <c r="L107" s="1"/>
      <c r="M107" s="1"/>
      <c r="N107" s="1"/>
      <c r="O107" s="1"/>
      <c r="P107" s="1"/>
      <c r="Q107" s="1"/>
      <c r="R107" s="1"/>
      <c r="S107" s="1"/>
      <c r="T107" s="1"/>
      <c r="U107" s="1"/>
      <c r="V107" s="1"/>
      <c r="W107" s="1"/>
      <c r="X107" s="1"/>
      <c r="Y107" s="1"/>
      <c r="Z107" s="1"/>
    </row>
    <row r="108" spans="1:26" ht="15.75" collapsed="1" thickTop="1" x14ac:dyDescent="0.25">
      <c r="A108" s="62"/>
      <c r="B108" s="62"/>
      <c r="C108" s="94"/>
      <c r="D108" s="94"/>
      <c r="E108" s="106"/>
      <c r="F108" s="96"/>
      <c r="G108" s="94"/>
      <c r="H108" s="106"/>
      <c r="I108" s="1"/>
      <c r="J108" s="7"/>
      <c r="K108" s="1"/>
      <c r="L108" s="1"/>
      <c r="M108" s="1"/>
      <c r="N108" s="1"/>
      <c r="O108" s="1"/>
      <c r="P108" s="1"/>
      <c r="Q108" s="1"/>
      <c r="R108" s="1"/>
      <c r="S108" s="1"/>
      <c r="T108" s="1"/>
      <c r="U108" s="1"/>
      <c r="V108" s="1"/>
      <c r="W108" s="1"/>
      <c r="X108" s="1"/>
      <c r="Y108" s="1"/>
      <c r="Z108" s="1"/>
    </row>
    <row r="109" spans="1:26" ht="15.75" thickBot="1" x14ac:dyDescent="0.3">
      <c r="A109" s="45" t="s">
        <v>180</v>
      </c>
      <c r="B109" s="45"/>
      <c r="C109" s="91"/>
      <c r="D109" s="47">
        <f>+D96+D98</f>
        <v>56988.014119999731</v>
      </c>
      <c r="E109" s="49">
        <f>+D109/$D$13</f>
        <v>2.6923904085981165E-2</v>
      </c>
      <c r="F109" s="48"/>
      <c r="G109" s="47">
        <f>+G96+G98</f>
        <v>32620.972100000272</v>
      </c>
      <c r="H109" s="49">
        <f>+G109/G13</f>
        <v>1.1099596656458608E-2</v>
      </c>
      <c r="I109" s="47">
        <f>+D109-G109</f>
        <v>24367.042019999459</v>
      </c>
      <c r="J109" s="50">
        <f>IFERROR(I109/G109,100%)*OR(IF(D109-G109=0,(0%),+I109/G109))</f>
        <v>0.746974735924539</v>
      </c>
      <c r="K109" s="1"/>
      <c r="L109" s="1">
        <v>-194995</v>
      </c>
      <c r="M109" s="1"/>
      <c r="N109" s="1"/>
      <c r="O109" s="1"/>
      <c r="P109" s="1"/>
      <c r="Q109" s="1"/>
      <c r="R109" s="1"/>
      <c r="S109" s="1"/>
      <c r="T109" s="1"/>
      <c r="U109" s="1"/>
      <c r="V109" s="1"/>
      <c r="W109" s="1"/>
      <c r="X109" s="1"/>
      <c r="Y109" s="1"/>
      <c r="Z109" s="1"/>
    </row>
    <row r="110" spans="1:26" ht="15.75" thickTop="1" x14ac:dyDescent="0.25">
      <c r="A110" s="62"/>
      <c r="B110" s="62"/>
      <c r="C110" s="94"/>
      <c r="D110" s="3"/>
      <c r="E110" s="96"/>
      <c r="F110" s="96"/>
      <c r="G110" s="94"/>
      <c r="H110" s="96"/>
      <c r="I110" s="1"/>
      <c r="J110" s="7"/>
      <c r="K110" s="1"/>
      <c r="L110" s="1"/>
      <c r="M110" s="1"/>
      <c r="N110" s="1"/>
      <c r="O110" s="1"/>
      <c r="P110" s="1"/>
      <c r="Q110" s="1"/>
      <c r="R110" s="1"/>
      <c r="S110" s="1"/>
      <c r="T110" s="1"/>
      <c r="U110" s="1"/>
      <c r="V110" s="1"/>
      <c r="W110" s="1"/>
      <c r="X110" s="1"/>
      <c r="Y110" s="1"/>
      <c r="Z110" s="1"/>
    </row>
    <row r="111" spans="1:26" x14ac:dyDescent="0.25">
      <c r="A111" s="62"/>
      <c r="B111" s="62"/>
      <c r="C111" s="94"/>
      <c r="D111" s="3"/>
      <c r="E111" s="96"/>
      <c r="F111" s="96"/>
      <c r="G111" s="94"/>
      <c r="H111" s="96"/>
      <c r="I111" s="1"/>
      <c r="J111" s="7"/>
      <c r="K111" s="1"/>
      <c r="L111" s="1"/>
      <c r="M111" s="1"/>
      <c r="N111" s="1"/>
      <c r="O111" s="1"/>
      <c r="P111" s="1"/>
      <c r="Q111" s="1"/>
      <c r="R111" s="1"/>
      <c r="S111" s="1"/>
      <c r="T111" s="1"/>
      <c r="U111" s="1"/>
      <c r="V111" s="1"/>
      <c r="W111" s="1"/>
      <c r="X111" s="1"/>
      <c r="Y111" s="1"/>
      <c r="Z111" s="1"/>
    </row>
    <row r="112" spans="1:26" x14ac:dyDescent="0.25">
      <c r="A112" s="62"/>
      <c r="B112" s="62"/>
      <c r="C112" s="94"/>
      <c r="D112" s="3"/>
      <c r="E112" s="96"/>
      <c r="F112" s="96"/>
      <c r="G112" s="94"/>
      <c r="H112" s="96"/>
      <c r="I112" s="1"/>
      <c r="J112" s="7"/>
      <c r="K112" s="1"/>
      <c r="L112" s="1"/>
      <c r="M112" s="1"/>
      <c r="N112" s="1"/>
      <c r="O112" s="1"/>
      <c r="P112" s="1"/>
      <c r="Q112" s="1"/>
      <c r="R112" s="1"/>
      <c r="S112" s="1"/>
      <c r="T112" s="1"/>
      <c r="U112" s="1"/>
      <c r="V112" s="1"/>
      <c r="W112" s="1"/>
      <c r="X112" s="1"/>
      <c r="Y112" s="1"/>
      <c r="Z112" s="1"/>
    </row>
    <row r="113" spans="1:26" x14ac:dyDescent="0.25">
      <c r="A113" s="62"/>
      <c r="B113" s="62"/>
      <c r="C113" s="390"/>
      <c r="D113" s="391"/>
      <c r="E113" s="392"/>
      <c r="F113" s="104"/>
      <c r="G113" s="102"/>
      <c r="H113" s="408"/>
      <c r="I113" s="409"/>
      <c r="J113" s="409"/>
      <c r="K113" s="1"/>
      <c r="L113" s="1"/>
      <c r="M113" s="1"/>
      <c r="N113" s="1"/>
      <c r="O113" s="1"/>
      <c r="P113" s="1"/>
      <c r="Q113" s="1"/>
      <c r="R113" s="1"/>
      <c r="S113" s="1"/>
      <c r="T113" s="1"/>
      <c r="U113" s="1"/>
      <c r="V113" s="1"/>
      <c r="W113" s="1"/>
      <c r="X113" s="1"/>
      <c r="Y113" s="1"/>
      <c r="Z113" s="1"/>
    </row>
    <row r="114" spans="1:26" x14ac:dyDescent="0.25">
      <c r="A114" s="107" t="str">
        <f>+DATOS!H12</f>
        <v>Fernando Filevich Leiva</v>
      </c>
      <c r="B114" s="68"/>
      <c r="C114" s="412" t="str">
        <f>+'E.R.I.MES'!C114</f>
        <v>Fabian Elver Hernandez Garcia</v>
      </c>
      <c r="D114" s="413"/>
      <c r="E114" s="413"/>
      <c r="F114" s="146"/>
      <c r="G114" s="407" t="str">
        <f>+'E.R.I.MES'!G114</f>
        <v>Leidy Yasmin Gomez Toro</v>
      </c>
      <c r="H114" s="400"/>
      <c r="I114" s="400"/>
      <c r="J114" s="400"/>
      <c r="K114" s="68"/>
      <c r="L114" s="68"/>
      <c r="M114" s="68"/>
      <c r="N114" s="68"/>
      <c r="O114" s="68"/>
      <c r="P114" s="68"/>
      <c r="Q114" s="68"/>
      <c r="R114" s="68"/>
      <c r="S114" s="68"/>
      <c r="T114" s="68"/>
      <c r="U114" s="68"/>
      <c r="V114" s="68"/>
      <c r="W114" s="68"/>
      <c r="X114" s="68"/>
      <c r="Y114" s="68"/>
      <c r="Z114" s="68"/>
    </row>
    <row r="115" spans="1:26" x14ac:dyDescent="0.25">
      <c r="A115" s="112" t="s">
        <v>184</v>
      </c>
      <c r="B115" s="1"/>
      <c r="C115" s="414" t="str">
        <f>+'E.R.I.MES'!C115</f>
        <v>Revisor Fiscal</v>
      </c>
      <c r="D115" s="415"/>
      <c r="E115" s="415"/>
      <c r="F115" s="114"/>
      <c r="G115" s="407" t="str">
        <f>+'E.R.I.MES'!G115</f>
        <v>Contador</v>
      </c>
      <c r="H115" s="400"/>
      <c r="I115" s="400"/>
      <c r="J115" s="400"/>
      <c r="K115" s="1"/>
      <c r="L115" s="1"/>
      <c r="M115" s="1"/>
      <c r="N115" s="1"/>
      <c r="O115" s="1"/>
      <c r="P115" s="1"/>
      <c r="Q115" s="1"/>
      <c r="R115" s="1"/>
      <c r="S115" s="1"/>
      <c r="T115" s="1"/>
      <c r="U115" s="1"/>
      <c r="V115" s="1"/>
      <c r="W115" s="1"/>
      <c r="X115" s="1"/>
      <c r="Y115" s="1"/>
      <c r="Z115" s="1"/>
    </row>
    <row r="116" spans="1:26" x14ac:dyDescent="0.25">
      <c r="A116" s="112" t="str">
        <f>+DATOS!H13</f>
        <v>C.E 274.113</v>
      </c>
      <c r="B116" s="1"/>
      <c r="C116" s="414" t="str">
        <f>+'E.R.I.MES'!C116</f>
        <v>333711-T</v>
      </c>
      <c r="D116" s="415"/>
      <c r="E116" s="415"/>
      <c r="F116" s="114"/>
      <c r="G116" s="407" t="str">
        <f>+'E.R.I.MES'!G116</f>
        <v>TP: 318364-T</v>
      </c>
      <c r="H116" s="400"/>
      <c r="I116" s="400"/>
      <c r="J116" s="400"/>
      <c r="K116" s="1"/>
      <c r="L116" s="1"/>
      <c r="M116" s="1"/>
      <c r="N116" s="1"/>
      <c r="O116" s="1"/>
      <c r="P116" s="1"/>
      <c r="Q116" s="1"/>
      <c r="R116" s="1"/>
      <c r="S116" s="1"/>
      <c r="T116" s="1"/>
      <c r="U116" s="1"/>
      <c r="V116" s="1"/>
      <c r="W116" s="1"/>
      <c r="X116" s="1"/>
      <c r="Y116" s="1"/>
      <c r="Z116" s="1"/>
    </row>
    <row r="117" spans="1:26" x14ac:dyDescent="0.25">
      <c r="A117" s="112"/>
      <c r="B117" s="112"/>
      <c r="C117" s="114"/>
      <c r="D117" s="114"/>
      <c r="E117" s="115"/>
      <c r="F117" s="115"/>
      <c r="G117" s="114"/>
      <c r="H117" s="115"/>
      <c r="I117" s="1"/>
      <c r="J117" s="7"/>
      <c r="K117" s="1"/>
      <c r="L117" s="1"/>
      <c r="M117" s="1"/>
      <c r="N117" s="1"/>
      <c r="O117" s="1"/>
      <c r="P117" s="1"/>
      <c r="Q117" s="1"/>
      <c r="R117" s="1"/>
      <c r="S117" s="1"/>
      <c r="T117" s="1"/>
      <c r="U117" s="1"/>
      <c r="V117" s="1"/>
      <c r="W117" s="1"/>
      <c r="X117" s="1"/>
      <c r="Y117" s="1"/>
      <c r="Z117" s="1"/>
    </row>
    <row r="118" spans="1:26" x14ac:dyDescent="0.25">
      <c r="A118" s="116" t="s">
        <v>186</v>
      </c>
      <c r="B118" s="116"/>
      <c r="C118" s="117"/>
      <c r="D118" s="118">
        <f>+DATOS!D89-DATOS!D108-DATOS!D164</f>
        <v>56988.014119999832</v>
      </c>
      <c r="E118" s="119"/>
      <c r="F118" s="119"/>
      <c r="G118" s="118">
        <f>+DATOS!G89-DATOS!G108-DATOS!G164</f>
        <v>32620.972100000596</v>
      </c>
      <c r="H118" s="119"/>
      <c r="I118" s="68"/>
      <c r="J118" s="67"/>
      <c r="K118" s="68"/>
      <c r="L118" s="68"/>
      <c r="M118" s="68"/>
      <c r="N118" s="68"/>
      <c r="O118" s="68"/>
      <c r="P118" s="68"/>
      <c r="Q118" s="68"/>
      <c r="R118" s="68"/>
      <c r="S118" s="68"/>
      <c r="T118" s="68"/>
      <c r="U118" s="68"/>
      <c r="V118" s="68"/>
      <c r="W118" s="68"/>
      <c r="X118" s="68"/>
      <c r="Y118" s="68"/>
      <c r="Z118" s="68"/>
    </row>
    <row r="119" spans="1:26" ht="12.75" customHeight="1" x14ac:dyDescent="0.25">
      <c r="A119" s="1" t="s">
        <v>167</v>
      </c>
      <c r="B119" s="1"/>
      <c r="C119" s="3"/>
      <c r="D119" s="3"/>
      <c r="E119" s="5"/>
      <c r="F119" s="5"/>
      <c r="G119" s="3"/>
      <c r="H119" s="5"/>
      <c r="I119" s="1"/>
      <c r="J119" s="7"/>
      <c r="K119" s="1"/>
      <c r="L119" s="1"/>
      <c r="M119" s="1"/>
      <c r="N119" s="1"/>
      <c r="O119" s="1"/>
      <c r="P119" s="1"/>
      <c r="Q119" s="1"/>
      <c r="R119" s="1"/>
      <c r="S119" s="1"/>
      <c r="T119" s="1"/>
      <c r="U119" s="1"/>
      <c r="V119" s="1"/>
      <c r="W119" s="1"/>
      <c r="X119" s="1"/>
      <c r="Y119" s="1"/>
      <c r="Z119" s="1"/>
    </row>
    <row r="120" spans="1:26" ht="12.75" customHeight="1" x14ac:dyDescent="0.25">
      <c r="A120" s="1"/>
      <c r="B120" s="1"/>
      <c r="C120" s="3"/>
      <c r="D120" s="3"/>
      <c r="E120" s="5"/>
      <c r="F120" s="5"/>
      <c r="G120" s="3"/>
      <c r="H120" s="5"/>
      <c r="I120" s="1"/>
      <c r="J120" s="7"/>
      <c r="K120" s="1"/>
      <c r="L120" s="1"/>
      <c r="M120" s="1"/>
      <c r="N120" s="1"/>
      <c r="O120" s="1"/>
      <c r="P120" s="1"/>
      <c r="Q120" s="1"/>
      <c r="R120" s="1"/>
      <c r="S120" s="1"/>
      <c r="T120" s="1"/>
      <c r="U120" s="1"/>
      <c r="V120" s="1"/>
      <c r="W120" s="1"/>
      <c r="X120" s="1"/>
      <c r="Y120" s="1"/>
      <c r="Z120" s="1"/>
    </row>
    <row r="121" spans="1:26" ht="12.75" customHeight="1" x14ac:dyDescent="0.25">
      <c r="A121" s="121"/>
      <c r="B121" s="121"/>
      <c r="C121" s="122"/>
      <c r="D121" s="122"/>
      <c r="E121" s="123"/>
      <c r="F121" s="123"/>
      <c r="G121" s="122"/>
      <c r="H121" s="123"/>
      <c r="I121" s="121"/>
      <c r="J121" s="124"/>
      <c r="K121" s="121"/>
      <c r="L121" s="121"/>
      <c r="M121" s="121"/>
      <c r="N121" s="121"/>
      <c r="O121" s="121"/>
      <c r="P121" s="121"/>
      <c r="Q121" s="121"/>
      <c r="R121" s="121"/>
      <c r="S121" s="121"/>
      <c r="T121" s="121"/>
      <c r="U121" s="121"/>
      <c r="V121" s="121"/>
      <c r="W121" s="121"/>
      <c r="X121" s="121"/>
      <c r="Y121" s="121"/>
      <c r="Z121" s="121"/>
    </row>
    <row r="122" spans="1:26" ht="12.75" customHeight="1" x14ac:dyDescent="0.25">
      <c r="A122" s="121"/>
      <c r="B122" s="121"/>
      <c r="C122" s="122"/>
      <c r="D122" s="314">
        <f>+D13/12</f>
        <v>176386.05313333333</v>
      </c>
      <c r="E122" s="123"/>
      <c r="F122" s="123"/>
      <c r="G122" s="122"/>
      <c r="H122" s="123"/>
      <c r="I122" s="121"/>
      <c r="J122" s="124" t="s">
        <v>656</v>
      </c>
      <c r="K122" s="121"/>
      <c r="L122" s="121"/>
      <c r="M122" s="121"/>
      <c r="N122" s="121"/>
      <c r="O122" s="121"/>
      <c r="P122" s="121"/>
      <c r="Q122" s="121"/>
      <c r="R122" s="121"/>
      <c r="S122" s="121"/>
      <c r="T122" s="121"/>
      <c r="U122" s="121"/>
      <c r="V122" s="121"/>
      <c r="W122" s="121"/>
      <c r="X122" s="121"/>
      <c r="Y122" s="121"/>
      <c r="Z122" s="121"/>
    </row>
    <row r="123" spans="1:26" ht="12.75" customHeight="1" x14ac:dyDescent="0.25">
      <c r="A123" s="121"/>
      <c r="B123" s="121"/>
      <c r="C123" s="122"/>
      <c r="D123" s="125"/>
      <c r="E123" s="123"/>
      <c r="F123" s="123"/>
      <c r="G123" s="125"/>
      <c r="H123" s="123"/>
      <c r="I123" s="121"/>
      <c r="J123" s="124"/>
      <c r="K123" s="121"/>
      <c r="L123" s="121"/>
      <c r="M123" s="121"/>
      <c r="N123" s="121"/>
      <c r="O123" s="121"/>
      <c r="P123" s="121"/>
      <c r="Q123" s="121"/>
      <c r="R123" s="121"/>
      <c r="S123" s="121"/>
      <c r="T123" s="121"/>
      <c r="U123" s="121"/>
      <c r="V123" s="121"/>
      <c r="W123" s="121"/>
      <c r="X123" s="121"/>
      <c r="Y123" s="121"/>
      <c r="Z123" s="121"/>
    </row>
    <row r="124" spans="1:26" ht="12.75" customHeight="1" x14ac:dyDescent="0.25">
      <c r="A124" s="121"/>
      <c r="B124" s="121"/>
      <c r="C124" s="122"/>
      <c r="D124" s="310">
        <f>+D15+D30+D52+D80</f>
        <v>-2037949.9753600003</v>
      </c>
      <c r="E124" s="123"/>
      <c r="F124" s="123"/>
      <c r="G124" s="122"/>
      <c r="H124" s="123"/>
      <c r="I124" s="121"/>
      <c r="J124" s="124"/>
      <c r="K124" s="121"/>
      <c r="L124" s="121"/>
      <c r="M124" s="121"/>
      <c r="N124" s="121"/>
      <c r="O124" s="121"/>
      <c r="P124" s="121"/>
      <c r="Q124" s="121"/>
      <c r="R124" s="121"/>
      <c r="S124" s="121"/>
      <c r="T124" s="121"/>
      <c r="U124" s="121"/>
      <c r="V124" s="121"/>
      <c r="W124" s="121"/>
      <c r="X124" s="121"/>
      <c r="Y124" s="121"/>
      <c r="Z124" s="121"/>
    </row>
    <row r="125" spans="1:26" ht="12.75" customHeight="1" x14ac:dyDescent="0.25">
      <c r="A125" s="121"/>
      <c r="B125" s="121"/>
      <c r="C125" s="122"/>
      <c r="D125" s="125"/>
      <c r="E125" s="123"/>
      <c r="F125" s="123"/>
      <c r="G125" s="125"/>
      <c r="H125" s="123"/>
      <c r="I125" s="121"/>
      <c r="J125" s="124"/>
      <c r="K125" s="121"/>
      <c r="L125" s="121"/>
      <c r="M125" s="121"/>
      <c r="N125" s="121"/>
      <c r="O125" s="121"/>
      <c r="P125" s="121"/>
      <c r="Q125" s="121"/>
      <c r="R125" s="121"/>
      <c r="S125" s="121"/>
      <c r="T125" s="121"/>
      <c r="U125" s="121"/>
      <c r="V125" s="121"/>
      <c r="W125" s="121"/>
      <c r="X125" s="121"/>
      <c r="Y125" s="121"/>
      <c r="Z125" s="121"/>
    </row>
    <row r="126" spans="1:26" ht="12.75" customHeight="1" x14ac:dyDescent="0.25">
      <c r="A126" s="121"/>
      <c r="B126" s="121"/>
      <c r="C126" s="122"/>
      <c r="D126" s="311"/>
      <c r="E126" s="123"/>
      <c r="F126" s="123"/>
      <c r="G126" s="122"/>
      <c r="H126" s="123"/>
      <c r="I126" s="121"/>
      <c r="J126" s="124"/>
      <c r="K126" s="121"/>
      <c r="L126" s="121"/>
      <c r="M126" s="121"/>
      <c r="N126" s="121"/>
      <c r="O126" s="121"/>
      <c r="P126" s="121"/>
      <c r="Q126" s="121"/>
      <c r="R126" s="121"/>
      <c r="S126" s="121"/>
      <c r="T126" s="121"/>
      <c r="U126" s="121"/>
      <c r="V126" s="121"/>
      <c r="W126" s="121"/>
      <c r="X126" s="121"/>
      <c r="Y126" s="121"/>
      <c r="Z126" s="121"/>
    </row>
    <row r="127" spans="1:26" ht="12.75" customHeight="1" x14ac:dyDescent="0.25">
      <c r="A127" s="121"/>
      <c r="B127" s="121"/>
      <c r="C127" s="122"/>
      <c r="D127" s="312"/>
      <c r="E127" s="123"/>
      <c r="F127" s="123"/>
      <c r="G127" s="122"/>
      <c r="H127" s="123"/>
      <c r="I127" s="121"/>
      <c r="J127" s="124"/>
      <c r="K127" s="121"/>
      <c r="L127" s="121"/>
      <c r="M127" s="121"/>
      <c r="N127" s="121"/>
      <c r="O127" s="121"/>
      <c r="P127" s="121"/>
      <c r="Q127" s="121"/>
      <c r="R127" s="121"/>
      <c r="S127" s="121"/>
      <c r="T127" s="121"/>
      <c r="U127" s="121"/>
      <c r="V127" s="121"/>
      <c r="W127" s="121"/>
      <c r="X127" s="121"/>
      <c r="Y127" s="121"/>
      <c r="Z127" s="121"/>
    </row>
    <row r="128" spans="1:26" ht="12.75" customHeight="1" x14ac:dyDescent="0.25">
      <c r="A128" s="1"/>
      <c r="B128" s="1"/>
      <c r="C128" s="3"/>
      <c r="D128" s="313"/>
      <c r="E128" s="5"/>
      <c r="F128" s="5"/>
      <c r="G128" s="3"/>
      <c r="H128" s="5"/>
      <c r="I128" s="1"/>
      <c r="J128" s="7"/>
      <c r="K128" s="1"/>
      <c r="L128" s="1"/>
      <c r="M128" s="1"/>
      <c r="N128" s="1"/>
      <c r="O128" s="1"/>
      <c r="P128" s="1"/>
      <c r="Q128" s="1"/>
      <c r="R128" s="1"/>
      <c r="S128" s="1"/>
      <c r="T128" s="1"/>
      <c r="U128" s="1"/>
      <c r="V128" s="1"/>
      <c r="W128" s="1"/>
      <c r="X128" s="1"/>
      <c r="Y128" s="1"/>
      <c r="Z128" s="1"/>
    </row>
    <row r="129" spans="1:26" ht="12.75" customHeight="1" x14ac:dyDescent="0.25">
      <c r="A129" s="1"/>
      <c r="B129" s="1"/>
      <c r="C129" s="3"/>
      <c r="D129" s="3"/>
      <c r="E129" s="5"/>
      <c r="F129" s="5"/>
      <c r="G129" s="3"/>
      <c r="H129" s="5"/>
      <c r="I129" s="1"/>
      <c r="J129" s="7"/>
      <c r="K129" s="1"/>
      <c r="L129" s="1"/>
      <c r="M129" s="1"/>
      <c r="N129" s="1"/>
      <c r="O129" s="1"/>
      <c r="P129" s="1"/>
      <c r="Q129" s="1"/>
      <c r="R129" s="1"/>
      <c r="S129" s="1"/>
      <c r="T129" s="1"/>
      <c r="U129" s="1"/>
      <c r="V129" s="1"/>
      <c r="W129" s="1"/>
      <c r="X129" s="1"/>
      <c r="Y129" s="1"/>
      <c r="Z129" s="1"/>
    </row>
    <row r="130" spans="1:26" ht="12.75" customHeight="1" x14ac:dyDescent="0.25">
      <c r="A130" s="1"/>
      <c r="B130" s="1"/>
      <c r="C130" s="3"/>
      <c r="D130" s="3"/>
      <c r="E130" s="5"/>
      <c r="F130" s="5"/>
      <c r="G130" s="3"/>
      <c r="H130" s="5"/>
      <c r="I130" s="1"/>
      <c r="J130" s="7"/>
      <c r="K130" s="1"/>
      <c r="L130" s="1"/>
      <c r="M130" s="1"/>
      <c r="N130" s="1"/>
      <c r="O130" s="1"/>
      <c r="P130" s="1"/>
      <c r="Q130" s="1"/>
      <c r="R130" s="1"/>
      <c r="S130" s="1"/>
      <c r="T130" s="1"/>
      <c r="U130" s="1"/>
      <c r="V130" s="1"/>
      <c r="W130" s="1"/>
      <c r="X130" s="1"/>
      <c r="Y130" s="1"/>
      <c r="Z130" s="1"/>
    </row>
    <row r="131" spans="1:26" ht="12.75" customHeight="1" x14ac:dyDescent="0.25">
      <c r="A131" s="1"/>
      <c r="B131" s="1"/>
      <c r="C131" s="3"/>
      <c r="D131" s="3"/>
      <c r="E131" s="5"/>
      <c r="F131" s="5"/>
      <c r="G131" s="3"/>
      <c r="H131" s="5"/>
      <c r="I131" s="1"/>
      <c r="J131" s="7"/>
      <c r="K131" s="1"/>
      <c r="L131" s="1"/>
      <c r="M131" s="1"/>
      <c r="N131" s="1"/>
      <c r="O131" s="1"/>
      <c r="P131" s="1"/>
      <c r="Q131" s="1"/>
      <c r="R131" s="1"/>
      <c r="S131" s="1"/>
      <c r="T131" s="1"/>
      <c r="U131" s="1"/>
      <c r="V131" s="1"/>
      <c r="W131" s="1"/>
      <c r="X131" s="1"/>
      <c r="Y131" s="1"/>
      <c r="Z131" s="1"/>
    </row>
    <row r="132" spans="1:26" ht="12.75" customHeight="1" x14ac:dyDescent="0.25">
      <c r="A132" s="1"/>
      <c r="B132" s="1"/>
      <c r="C132" s="3"/>
      <c r="D132" s="3"/>
      <c r="E132" s="5"/>
      <c r="F132" s="5"/>
      <c r="G132" s="3"/>
      <c r="H132" s="5"/>
      <c r="I132" s="1"/>
      <c r="J132" s="7"/>
      <c r="K132" s="1"/>
      <c r="L132" s="1"/>
      <c r="M132" s="1"/>
      <c r="N132" s="1"/>
      <c r="O132" s="1"/>
      <c r="P132" s="1"/>
      <c r="Q132" s="1"/>
      <c r="R132" s="1"/>
      <c r="S132" s="1"/>
      <c r="T132" s="1"/>
      <c r="U132" s="1"/>
      <c r="V132" s="1"/>
      <c r="W132" s="1"/>
      <c r="X132" s="1"/>
      <c r="Y132" s="1"/>
      <c r="Z132" s="1"/>
    </row>
    <row r="133" spans="1:26" ht="12.75" customHeight="1" x14ac:dyDescent="0.25">
      <c r="A133" s="1"/>
      <c r="B133" s="1"/>
      <c r="C133" s="3"/>
      <c r="D133" s="3"/>
      <c r="E133" s="5"/>
      <c r="F133" s="5"/>
      <c r="G133" s="3"/>
      <c r="H133" s="5"/>
      <c r="I133" s="1"/>
      <c r="J133" s="7"/>
      <c r="K133" s="1"/>
      <c r="L133" s="1"/>
      <c r="M133" s="1"/>
      <c r="N133" s="1"/>
      <c r="O133" s="1"/>
      <c r="P133" s="1"/>
      <c r="Q133" s="1"/>
      <c r="R133" s="1"/>
      <c r="S133" s="1"/>
      <c r="T133" s="1"/>
      <c r="U133" s="1"/>
      <c r="V133" s="1"/>
      <c r="W133" s="1"/>
      <c r="X133" s="1"/>
      <c r="Y133" s="1"/>
      <c r="Z133" s="1"/>
    </row>
    <row r="134" spans="1:26" ht="12.75" customHeight="1" x14ac:dyDescent="0.25">
      <c r="A134" s="1"/>
      <c r="B134" s="1"/>
      <c r="C134" s="3"/>
      <c r="D134" s="3"/>
      <c r="E134" s="5"/>
      <c r="F134" s="5"/>
      <c r="G134" s="3"/>
      <c r="H134" s="5"/>
      <c r="I134" s="1"/>
      <c r="J134" s="7"/>
      <c r="K134" s="1"/>
      <c r="L134" s="1"/>
      <c r="M134" s="1"/>
      <c r="N134" s="1"/>
      <c r="O134" s="1"/>
      <c r="P134" s="1"/>
      <c r="Q134" s="1"/>
      <c r="R134" s="1"/>
      <c r="S134" s="1"/>
      <c r="T134" s="1"/>
      <c r="U134" s="1"/>
      <c r="V134" s="1"/>
      <c r="W134" s="1"/>
      <c r="X134" s="1"/>
      <c r="Y134" s="1"/>
      <c r="Z134" s="1"/>
    </row>
    <row r="135" spans="1:26" ht="12.75" customHeight="1" x14ac:dyDescent="0.25">
      <c r="A135" s="1"/>
      <c r="B135" s="1"/>
      <c r="C135" s="3"/>
      <c r="D135" s="3"/>
      <c r="E135" s="5"/>
      <c r="F135" s="5"/>
      <c r="G135" s="3"/>
      <c r="H135" s="5"/>
      <c r="I135" s="1"/>
      <c r="J135" s="7"/>
      <c r="K135" s="1"/>
      <c r="L135" s="1"/>
      <c r="M135" s="1"/>
      <c r="N135" s="1"/>
      <c r="O135" s="1"/>
      <c r="P135" s="1"/>
      <c r="Q135" s="1"/>
      <c r="R135" s="1"/>
      <c r="S135" s="1"/>
      <c r="T135" s="1"/>
      <c r="U135" s="1"/>
      <c r="V135" s="1"/>
      <c r="W135" s="1"/>
      <c r="X135" s="1"/>
      <c r="Y135" s="1"/>
      <c r="Z135" s="1"/>
    </row>
    <row r="136" spans="1:26" ht="12.75" customHeight="1" x14ac:dyDescent="0.25">
      <c r="A136" s="1"/>
      <c r="B136" s="1"/>
      <c r="C136" s="3"/>
      <c r="D136" s="3"/>
      <c r="E136" s="5"/>
      <c r="F136" s="5"/>
      <c r="G136" s="3"/>
      <c r="H136" s="5"/>
      <c r="I136" s="1"/>
      <c r="J136" s="7"/>
      <c r="K136" s="1"/>
      <c r="L136" s="1"/>
      <c r="M136" s="1"/>
      <c r="N136" s="1"/>
      <c r="O136" s="1"/>
      <c r="P136" s="1"/>
      <c r="Q136" s="1"/>
      <c r="R136" s="1"/>
      <c r="S136" s="1"/>
      <c r="T136" s="1"/>
      <c r="U136" s="1"/>
      <c r="V136" s="1"/>
      <c r="W136" s="1"/>
      <c r="X136" s="1"/>
      <c r="Y136" s="1"/>
      <c r="Z136" s="1"/>
    </row>
    <row r="137" spans="1:26" ht="12.75" customHeight="1" x14ac:dyDescent="0.25">
      <c r="A137" s="1"/>
      <c r="B137" s="1"/>
      <c r="C137" s="3"/>
      <c r="D137" s="3"/>
      <c r="E137" s="5"/>
      <c r="F137" s="5"/>
      <c r="G137" s="3"/>
      <c r="H137" s="5"/>
      <c r="I137" s="1"/>
      <c r="J137" s="7"/>
      <c r="K137" s="1"/>
      <c r="L137" s="1"/>
      <c r="M137" s="1"/>
      <c r="N137" s="1"/>
      <c r="O137" s="1"/>
      <c r="P137" s="1"/>
      <c r="Q137" s="1"/>
      <c r="R137" s="1"/>
      <c r="S137" s="1"/>
      <c r="T137" s="1"/>
      <c r="U137" s="1"/>
      <c r="V137" s="1"/>
      <c r="W137" s="1"/>
      <c r="X137" s="1"/>
      <c r="Y137" s="1"/>
      <c r="Z137" s="1"/>
    </row>
    <row r="138" spans="1:26" ht="12.75" customHeight="1" x14ac:dyDescent="0.25">
      <c r="A138" s="1"/>
      <c r="B138" s="1"/>
      <c r="C138" s="3"/>
      <c r="D138" s="3"/>
      <c r="E138" s="5"/>
      <c r="F138" s="5"/>
      <c r="G138" s="3"/>
      <c r="H138" s="5"/>
      <c r="I138" s="1"/>
      <c r="J138" s="7"/>
      <c r="K138" s="1"/>
      <c r="L138" s="1"/>
      <c r="M138" s="1"/>
      <c r="N138" s="1"/>
      <c r="O138" s="1"/>
      <c r="P138" s="1"/>
      <c r="Q138" s="1"/>
      <c r="R138" s="1"/>
      <c r="S138" s="1"/>
      <c r="T138" s="1"/>
      <c r="U138" s="1"/>
      <c r="V138" s="1"/>
      <c r="W138" s="1"/>
      <c r="X138" s="1"/>
      <c r="Y138" s="1"/>
      <c r="Z138" s="1"/>
    </row>
    <row r="139" spans="1:26" ht="12.75" customHeight="1" x14ac:dyDescent="0.25">
      <c r="A139" s="1"/>
      <c r="B139" s="1"/>
      <c r="C139" s="3"/>
      <c r="D139" s="3"/>
      <c r="E139" s="5"/>
      <c r="F139" s="5"/>
      <c r="G139" s="3"/>
      <c r="H139" s="5"/>
      <c r="I139" s="1"/>
      <c r="J139" s="7"/>
      <c r="K139" s="1"/>
      <c r="L139" s="1"/>
      <c r="M139" s="1"/>
      <c r="N139" s="1"/>
      <c r="O139" s="1"/>
      <c r="P139" s="1"/>
      <c r="Q139" s="1"/>
      <c r="R139" s="1"/>
      <c r="S139" s="1"/>
      <c r="T139" s="1"/>
      <c r="U139" s="1"/>
      <c r="V139" s="1"/>
      <c r="W139" s="1"/>
      <c r="X139" s="1"/>
      <c r="Y139" s="1"/>
      <c r="Z139" s="1"/>
    </row>
    <row r="140" spans="1:26" ht="12.75" customHeight="1" x14ac:dyDescent="0.25">
      <c r="A140" s="1"/>
      <c r="B140" s="1"/>
      <c r="C140" s="3"/>
      <c r="D140" s="3"/>
      <c r="E140" s="5"/>
      <c r="F140" s="5"/>
      <c r="G140" s="3"/>
      <c r="H140" s="5"/>
      <c r="I140" s="1"/>
      <c r="J140" s="7"/>
      <c r="K140" s="1"/>
      <c r="L140" s="1"/>
      <c r="M140" s="1"/>
      <c r="N140" s="1"/>
      <c r="O140" s="1"/>
      <c r="P140" s="1"/>
      <c r="Q140" s="1"/>
      <c r="R140" s="1"/>
      <c r="S140" s="1"/>
      <c r="T140" s="1"/>
      <c r="U140" s="1"/>
      <c r="V140" s="1"/>
      <c r="W140" s="1"/>
      <c r="X140" s="1"/>
      <c r="Y140" s="1"/>
      <c r="Z140" s="1"/>
    </row>
    <row r="141" spans="1:26" ht="12.75" customHeight="1" x14ac:dyDescent="0.25">
      <c r="A141" s="1"/>
      <c r="B141" s="1"/>
      <c r="C141" s="3"/>
      <c r="D141" s="3"/>
      <c r="E141" s="5"/>
      <c r="F141" s="5"/>
      <c r="G141" s="3"/>
      <c r="H141" s="5"/>
      <c r="I141" s="1"/>
      <c r="J141" s="7"/>
      <c r="K141" s="1"/>
      <c r="L141" s="1"/>
      <c r="M141" s="1"/>
      <c r="N141" s="1"/>
      <c r="O141" s="1"/>
      <c r="P141" s="1"/>
      <c r="Q141" s="1"/>
      <c r="R141" s="1"/>
      <c r="S141" s="1"/>
      <c r="T141" s="1"/>
      <c r="U141" s="1"/>
      <c r="V141" s="1"/>
      <c r="W141" s="1"/>
      <c r="X141" s="1"/>
      <c r="Y141" s="1"/>
      <c r="Z141" s="1"/>
    </row>
    <row r="142" spans="1:26" ht="12.75" customHeight="1" x14ac:dyDescent="0.25">
      <c r="A142" s="1"/>
      <c r="B142" s="1"/>
      <c r="C142" s="3"/>
      <c r="D142" s="3"/>
      <c r="E142" s="5"/>
      <c r="F142" s="5"/>
      <c r="G142" s="3"/>
      <c r="H142" s="5"/>
      <c r="I142" s="1"/>
      <c r="J142" s="7"/>
      <c r="K142" s="1"/>
      <c r="L142" s="1"/>
      <c r="M142" s="1"/>
      <c r="N142" s="1"/>
      <c r="O142" s="1"/>
      <c r="P142" s="1"/>
      <c r="Q142" s="1"/>
      <c r="R142" s="1"/>
      <c r="S142" s="1"/>
      <c r="T142" s="1"/>
      <c r="U142" s="1"/>
      <c r="V142" s="1"/>
      <c r="W142" s="1"/>
      <c r="X142" s="1"/>
      <c r="Y142" s="1"/>
      <c r="Z142" s="1"/>
    </row>
    <row r="143" spans="1:26" ht="12.75" customHeight="1" x14ac:dyDescent="0.25">
      <c r="A143" s="1"/>
      <c r="B143" s="1"/>
      <c r="C143" s="3"/>
      <c r="D143" s="3"/>
      <c r="E143" s="5"/>
      <c r="F143" s="5"/>
      <c r="G143" s="3"/>
      <c r="H143" s="5"/>
      <c r="I143" s="1"/>
      <c r="J143" s="7"/>
      <c r="K143" s="1"/>
      <c r="L143" s="1"/>
      <c r="M143" s="1"/>
      <c r="N143" s="1"/>
      <c r="O143" s="1"/>
      <c r="P143" s="1"/>
      <c r="Q143" s="1"/>
      <c r="R143" s="1"/>
      <c r="S143" s="1"/>
      <c r="T143" s="1"/>
      <c r="U143" s="1"/>
      <c r="V143" s="1"/>
      <c r="W143" s="1"/>
      <c r="X143" s="1"/>
      <c r="Y143" s="1"/>
      <c r="Z143" s="1"/>
    </row>
    <row r="144" spans="1:26" ht="12.75" customHeight="1" x14ac:dyDescent="0.25">
      <c r="A144" s="1"/>
      <c r="B144" s="1"/>
      <c r="C144" s="3"/>
      <c r="D144" s="3"/>
      <c r="E144" s="5"/>
      <c r="F144" s="5"/>
      <c r="G144" s="3"/>
      <c r="H144" s="5"/>
      <c r="I144" s="1"/>
      <c r="J144" s="7"/>
      <c r="K144" s="1"/>
      <c r="L144" s="1"/>
      <c r="M144" s="1"/>
      <c r="N144" s="1"/>
      <c r="O144" s="1"/>
      <c r="P144" s="1"/>
      <c r="Q144" s="1"/>
      <c r="R144" s="1"/>
      <c r="S144" s="1"/>
      <c r="T144" s="1"/>
      <c r="U144" s="1"/>
      <c r="V144" s="1"/>
      <c r="W144" s="1"/>
      <c r="X144" s="1"/>
      <c r="Y144" s="1"/>
      <c r="Z144" s="1"/>
    </row>
    <row r="145" spans="1:26" ht="12.75" customHeight="1" x14ac:dyDescent="0.25">
      <c r="A145" s="1"/>
      <c r="B145" s="1"/>
      <c r="C145" s="3"/>
      <c r="D145" s="3"/>
      <c r="E145" s="5"/>
      <c r="F145" s="5"/>
      <c r="G145" s="3"/>
      <c r="H145" s="5"/>
      <c r="I145" s="1"/>
      <c r="J145" s="7"/>
      <c r="K145" s="1"/>
      <c r="L145" s="1"/>
      <c r="M145" s="1"/>
      <c r="N145" s="1"/>
      <c r="O145" s="1"/>
      <c r="P145" s="1"/>
      <c r="Q145" s="1"/>
      <c r="R145" s="1"/>
      <c r="S145" s="1"/>
      <c r="T145" s="1"/>
      <c r="U145" s="1"/>
      <c r="V145" s="1"/>
      <c r="W145" s="1"/>
      <c r="X145" s="1"/>
      <c r="Y145" s="1"/>
      <c r="Z145" s="1"/>
    </row>
    <row r="146" spans="1:26" ht="12.75" customHeight="1" x14ac:dyDescent="0.25">
      <c r="A146" s="1"/>
      <c r="B146" s="1"/>
      <c r="C146" s="3"/>
      <c r="D146" s="3"/>
      <c r="E146" s="5"/>
      <c r="F146" s="5"/>
      <c r="G146" s="3"/>
      <c r="H146" s="5"/>
      <c r="I146" s="1"/>
      <c r="J146" s="7"/>
      <c r="K146" s="1"/>
      <c r="L146" s="1"/>
      <c r="M146" s="1"/>
      <c r="N146" s="1"/>
      <c r="O146" s="1"/>
      <c r="P146" s="1"/>
      <c r="Q146" s="1"/>
      <c r="R146" s="1"/>
      <c r="S146" s="1"/>
      <c r="T146" s="1"/>
      <c r="U146" s="1"/>
      <c r="V146" s="1"/>
      <c r="W146" s="1"/>
      <c r="X146" s="1"/>
      <c r="Y146" s="1"/>
      <c r="Z146" s="1"/>
    </row>
    <row r="147" spans="1:26" ht="12.75" customHeight="1" x14ac:dyDescent="0.25">
      <c r="A147" s="1"/>
      <c r="B147" s="1"/>
      <c r="C147" s="3"/>
      <c r="D147" s="3"/>
      <c r="E147" s="5"/>
      <c r="F147" s="5"/>
      <c r="G147" s="3"/>
      <c r="H147" s="5"/>
      <c r="I147" s="1"/>
      <c r="J147" s="7"/>
      <c r="K147" s="1"/>
      <c r="L147" s="1"/>
      <c r="M147" s="1"/>
      <c r="N147" s="1"/>
      <c r="O147" s="1"/>
      <c r="P147" s="1"/>
      <c r="Q147" s="1"/>
      <c r="R147" s="1"/>
      <c r="S147" s="1"/>
      <c r="T147" s="1"/>
      <c r="U147" s="1"/>
      <c r="V147" s="1"/>
      <c r="W147" s="1"/>
      <c r="X147" s="1"/>
      <c r="Y147" s="1"/>
      <c r="Z147" s="1"/>
    </row>
    <row r="148" spans="1:26" ht="12.75" customHeight="1" x14ac:dyDescent="0.25">
      <c r="A148" s="1"/>
      <c r="B148" s="1"/>
      <c r="C148" s="3"/>
      <c r="D148" s="3"/>
      <c r="E148" s="5"/>
      <c r="F148" s="5"/>
      <c r="G148" s="3"/>
      <c r="H148" s="5"/>
      <c r="I148" s="1"/>
      <c r="J148" s="7"/>
      <c r="K148" s="1"/>
      <c r="L148" s="1"/>
      <c r="M148" s="1"/>
      <c r="N148" s="1"/>
      <c r="O148" s="1"/>
      <c r="P148" s="1"/>
      <c r="Q148" s="1"/>
      <c r="R148" s="1"/>
      <c r="S148" s="1"/>
      <c r="T148" s="1"/>
      <c r="U148" s="1"/>
      <c r="V148" s="1"/>
      <c r="W148" s="1"/>
      <c r="X148" s="1"/>
      <c r="Y148" s="1"/>
      <c r="Z148" s="1"/>
    </row>
    <row r="149" spans="1:26" ht="12.75" customHeight="1" x14ac:dyDescent="0.25">
      <c r="A149" s="1"/>
      <c r="B149" s="1"/>
      <c r="C149" s="3"/>
      <c r="D149" s="3"/>
      <c r="E149" s="5"/>
      <c r="F149" s="5"/>
      <c r="G149" s="3"/>
      <c r="H149" s="5"/>
      <c r="I149" s="1"/>
      <c r="J149" s="7"/>
      <c r="K149" s="1"/>
      <c r="L149" s="1"/>
      <c r="M149" s="1"/>
      <c r="N149" s="1"/>
      <c r="O149" s="1"/>
      <c r="P149" s="1"/>
      <c r="Q149" s="1"/>
      <c r="R149" s="1"/>
      <c r="S149" s="1"/>
      <c r="T149" s="1"/>
      <c r="U149" s="1"/>
      <c r="V149" s="1"/>
      <c r="W149" s="1"/>
      <c r="X149" s="1"/>
      <c r="Y149" s="1"/>
      <c r="Z149" s="1"/>
    </row>
    <row r="150" spans="1:26" ht="12.75" customHeight="1" x14ac:dyDescent="0.25">
      <c r="A150" s="1"/>
      <c r="B150" s="1"/>
      <c r="C150" s="3"/>
      <c r="D150" s="3"/>
      <c r="E150" s="5"/>
      <c r="F150" s="5"/>
      <c r="G150" s="3"/>
      <c r="H150" s="5"/>
      <c r="I150" s="1"/>
      <c r="J150" s="7"/>
      <c r="K150" s="1"/>
      <c r="L150" s="1"/>
      <c r="M150" s="1"/>
      <c r="N150" s="1"/>
      <c r="O150" s="1"/>
      <c r="P150" s="1"/>
      <c r="Q150" s="1"/>
      <c r="R150" s="1"/>
      <c r="S150" s="1"/>
      <c r="T150" s="1"/>
      <c r="U150" s="1"/>
      <c r="V150" s="1"/>
      <c r="W150" s="1"/>
      <c r="X150" s="1"/>
      <c r="Y150" s="1"/>
      <c r="Z150" s="1"/>
    </row>
    <row r="151" spans="1:26" ht="12.75" customHeight="1" x14ac:dyDescent="0.25">
      <c r="A151" s="1"/>
      <c r="B151" s="1"/>
      <c r="C151" s="3"/>
      <c r="D151" s="3"/>
      <c r="E151" s="5"/>
      <c r="F151" s="5"/>
      <c r="G151" s="3"/>
      <c r="H151" s="5"/>
      <c r="I151" s="1"/>
      <c r="J151" s="7"/>
      <c r="K151" s="1"/>
      <c r="L151" s="1"/>
      <c r="M151" s="1"/>
      <c r="N151" s="1"/>
      <c r="O151" s="1"/>
      <c r="P151" s="1"/>
      <c r="Q151" s="1"/>
      <c r="R151" s="1"/>
      <c r="S151" s="1"/>
      <c r="T151" s="1"/>
      <c r="U151" s="1"/>
      <c r="V151" s="1"/>
      <c r="W151" s="1"/>
      <c r="X151" s="1"/>
      <c r="Y151" s="1"/>
      <c r="Z151" s="1"/>
    </row>
    <row r="152" spans="1:26" ht="12.75" customHeight="1" x14ac:dyDescent="0.25">
      <c r="A152" s="1"/>
      <c r="B152" s="1"/>
      <c r="C152" s="3"/>
      <c r="D152" s="3"/>
      <c r="E152" s="5"/>
      <c r="F152" s="5"/>
      <c r="G152" s="3"/>
      <c r="H152" s="5"/>
      <c r="I152" s="1"/>
      <c r="J152" s="7"/>
      <c r="K152" s="1"/>
      <c r="L152" s="1"/>
      <c r="M152" s="1"/>
      <c r="N152" s="1"/>
      <c r="O152" s="1"/>
      <c r="P152" s="1"/>
      <c r="Q152" s="1"/>
      <c r="R152" s="1"/>
      <c r="S152" s="1"/>
      <c r="T152" s="1"/>
      <c r="U152" s="1"/>
      <c r="V152" s="1"/>
      <c r="W152" s="1"/>
      <c r="X152" s="1"/>
      <c r="Y152" s="1"/>
      <c r="Z152" s="1"/>
    </row>
    <row r="153" spans="1:26" ht="12.75" customHeight="1" x14ac:dyDescent="0.25">
      <c r="A153" s="1"/>
      <c r="B153" s="1"/>
      <c r="C153" s="3"/>
      <c r="D153" s="3"/>
      <c r="E153" s="5"/>
      <c r="F153" s="5"/>
      <c r="G153" s="3"/>
      <c r="H153" s="5"/>
      <c r="I153" s="1"/>
      <c r="J153" s="7"/>
      <c r="K153" s="1"/>
      <c r="L153" s="1"/>
      <c r="M153" s="1"/>
      <c r="N153" s="1"/>
      <c r="O153" s="1"/>
      <c r="P153" s="1"/>
      <c r="Q153" s="1"/>
      <c r="R153" s="1"/>
      <c r="S153" s="1"/>
      <c r="T153" s="1"/>
      <c r="U153" s="1"/>
      <c r="V153" s="1"/>
      <c r="W153" s="1"/>
      <c r="X153" s="1"/>
      <c r="Y153" s="1"/>
      <c r="Z153" s="1"/>
    </row>
    <row r="154" spans="1:26" ht="12.75" customHeight="1" x14ac:dyDescent="0.25">
      <c r="A154" s="1"/>
      <c r="B154" s="1"/>
      <c r="C154" s="3"/>
      <c r="D154" s="3"/>
      <c r="E154" s="5"/>
      <c r="F154" s="5"/>
      <c r="G154" s="3"/>
      <c r="H154" s="5"/>
      <c r="I154" s="1"/>
      <c r="J154" s="7"/>
      <c r="K154" s="1"/>
      <c r="L154" s="1"/>
      <c r="M154" s="1"/>
      <c r="N154" s="1"/>
      <c r="O154" s="1"/>
      <c r="P154" s="1"/>
      <c r="Q154" s="1"/>
      <c r="R154" s="1"/>
      <c r="S154" s="1"/>
      <c r="T154" s="1"/>
      <c r="U154" s="1"/>
      <c r="V154" s="1"/>
      <c r="W154" s="1"/>
      <c r="X154" s="1"/>
      <c r="Y154" s="1"/>
      <c r="Z154" s="1"/>
    </row>
    <row r="155" spans="1:26" ht="12.75" customHeight="1" x14ac:dyDescent="0.25">
      <c r="A155" s="1"/>
      <c r="B155" s="1"/>
      <c r="C155" s="3"/>
      <c r="D155" s="3"/>
      <c r="E155" s="5"/>
      <c r="F155" s="5"/>
      <c r="G155" s="3"/>
      <c r="H155" s="5"/>
      <c r="I155" s="1"/>
      <c r="J155" s="7"/>
      <c r="K155" s="1"/>
      <c r="L155" s="1"/>
      <c r="M155" s="1"/>
      <c r="N155" s="1"/>
      <c r="O155" s="1"/>
      <c r="P155" s="1"/>
      <c r="Q155" s="1"/>
      <c r="R155" s="1"/>
      <c r="S155" s="1"/>
      <c r="T155" s="1"/>
      <c r="U155" s="1"/>
      <c r="V155" s="1"/>
      <c r="W155" s="1"/>
      <c r="X155" s="1"/>
      <c r="Y155" s="1"/>
      <c r="Z155" s="1"/>
    </row>
    <row r="156" spans="1:26" ht="12.75" customHeight="1" x14ac:dyDescent="0.25">
      <c r="A156" s="1"/>
      <c r="B156" s="1"/>
      <c r="C156" s="3"/>
      <c r="D156" s="3"/>
      <c r="E156" s="5"/>
      <c r="F156" s="5"/>
      <c r="G156" s="3"/>
      <c r="H156" s="5"/>
      <c r="I156" s="1"/>
      <c r="J156" s="7"/>
      <c r="K156" s="1"/>
      <c r="L156" s="1"/>
      <c r="M156" s="1"/>
      <c r="N156" s="1"/>
      <c r="O156" s="1"/>
      <c r="P156" s="1"/>
      <c r="Q156" s="1"/>
      <c r="R156" s="1"/>
      <c r="S156" s="1"/>
      <c r="T156" s="1"/>
      <c r="U156" s="1"/>
      <c r="V156" s="1"/>
      <c r="W156" s="1"/>
      <c r="X156" s="1"/>
      <c r="Y156" s="1"/>
      <c r="Z156" s="1"/>
    </row>
    <row r="157" spans="1:26" ht="12.75" customHeight="1" x14ac:dyDescent="0.25">
      <c r="A157" s="1"/>
      <c r="B157" s="1"/>
      <c r="C157" s="3"/>
      <c r="D157" s="3"/>
      <c r="E157" s="5"/>
      <c r="F157" s="5"/>
      <c r="G157" s="3"/>
      <c r="H157" s="5"/>
      <c r="I157" s="1"/>
      <c r="J157" s="7"/>
      <c r="K157" s="1"/>
      <c r="L157" s="1"/>
      <c r="M157" s="1"/>
      <c r="N157" s="1"/>
      <c r="O157" s="1"/>
      <c r="P157" s="1"/>
      <c r="Q157" s="1"/>
      <c r="R157" s="1"/>
      <c r="S157" s="1"/>
      <c r="T157" s="1"/>
      <c r="U157" s="1"/>
      <c r="V157" s="1"/>
      <c r="W157" s="1"/>
      <c r="X157" s="1"/>
      <c r="Y157" s="1"/>
      <c r="Z157" s="1"/>
    </row>
    <row r="158" spans="1:26" ht="12.75" customHeight="1" x14ac:dyDescent="0.25">
      <c r="A158" s="1"/>
      <c r="B158" s="1"/>
      <c r="C158" s="3"/>
      <c r="D158" s="3"/>
      <c r="E158" s="5"/>
      <c r="F158" s="5"/>
      <c r="G158" s="3"/>
      <c r="H158" s="5"/>
      <c r="I158" s="1"/>
      <c r="J158" s="7"/>
      <c r="K158" s="1"/>
      <c r="L158" s="1"/>
      <c r="M158" s="1"/>
      <c r="N158" s="1"/>
      <c r="O158" s="1"/>
      <c r="P158" s="1"/>
      <c r="Q158" s="1"/>
      <c r="R158" s="1"/>
      <c r="S158" s="1"/>
      <c r="T158" s="1"/>
      <c r="U158" s="1"/>
      <c r="V158" s="1"/>
      <c r="W158" s="1"/>
      <c r="X158" s="1"/>
      <c r="Y158" s="1"/>
      <c r="Z158" s="1"/>
    </row>
    <row r="159" spans="1:26" ht="12.75" customHeight="1" x14ac:dyDescent="0.25">
      <c r="A159" s="1"/>
      <c r="B159" s="1"/>
      <c r="C159" s="3"/>
      <c r="D159" s="3"/>
      <c r="E159" s="5"/>
      <c r="F159" s="5"/>
      <c r="G159" s="3"/>
      <c r="H159" s="5"/>
      <c r="I159" s="1"/>
      <c r="J159" s="7"/>
      <c r="K159" s="1"/>
      <c r="L159" s="1"/>
      <c r="M159" s="1"/>
      <c r="N159" s="1"/>
      <c r="O159" s="1"/>
      <c r="P159" s="1"/>
      <c r="Q159" s="1"/>
      <c r="R159" s="1"/>
      <c r="S159" s="1"/>
      <c r="T159" s="1"/>
      <c r="U159" s="1"/>
      <c r="V159" s="1"/>
      <c r="W159" s="1"/>
      <c r="X159" s="1"/>
      <c r="Y159" s="1"/>
      <c r="Z159" s="1"/>
    </row>
    <row r="160" spans="1:26" ht="12.75" customHeight="1" x14ac:dyDescent="0.25">
      <c r="A160" s="1"/>
      <c r="B160" s="1"/>
      <c r="C160" s="3"/>
      <c r="D160" s="3"/>
      <c r="E160" s="5"/>
      <c r="F160" s="5"/>
      <c r="G160" s="3"/>
      <c r="H160" s="5"/>
      <c r="I160" s="1"/>
      <c r="J160" s="7"/>
      <c r="K160" s="1"/>
      <c r="L160" s="1"/>
      <c r="M160" s="1"/>
      <c r="N160" s="1"/>
      <c r="O160" s="1"/>
      <c r="P160" s="1"/>
      <c r="Q160" s="1"/>
      <c r="R160" s="1"/>
      <c r="S160" s="1"/>
      <c r="T160" s="1"/>
      <c r="U160" s="1"/>
      <c r="V160" s="1"/>
      <c r="W160" s="1"/>
      <c r="X160" s="1"/>
      <c r="Y160" s="1"/>
      <c r="Z160" s="1"/>
    </row>
    <row r="161" spans="1:26" ht="12.75" customHeight="1" x14ac:dyDescent="0.25">
      <c r="A161" s="1"/>
      <c r="B161" s="1"/>
      <c r="C161" s="3"/>
      <c r="D161" s="3"/>
      <c r="E161" s="5"/>
      <c r="F161" s="5"/>
      <c r="G161" s="3"/>
      <c r="H161" s="5"/>
      <c r="I161" s="1"/>
      <c r="J161" s="7"/>
      <c r="K161" s="1"/>
      <c r="L161" s="1"/>
      <c r="M161" s="1"/>
      <c r="N161" s="1"/>
      <c r="O161" s="1"/>
      <c r="P161" s="1"/>
      <c r="Q161" s="1"/>
      <c r="R161" s="1"/>
      <c r="S161" s="1"/>
      <c r="T161" s="1"/>
      <c r="U161" s="1"/>
      <c r="V161" s="1"/>
      <c r="W161" s="1"/>
      <c r="X161" s="1"/>
      <c r="Y161" s="1"/>
      <c r="Z161" s="1"/>
    </row>
    <row r="162" spans="1:26" ht="12.75" customHeight="1" x14ac:dyDescent="0.25">
      <c r="A162" s="1"/>
      <c r="B162" s="1"/>
      <c r="C162" s="3"/>
      <c r="D162" s="3"/>
      <c r="E162" s="5"/>
      <c r="F162" s="5"/>
      <c r="G162" s="3"/>
      <c r="H162" s="5"/>
      <c r="I162" s="1"/>
      <c r="J162" s="7"/>
      <c r="K162" s="1"/>
      <c r="L162" s="1"/>
      <c r="M162" s="1"/>
      <c r="N162" s="1"/>
      <c r="O162" s="1"/>
      <c r="P162" s="1"/>
      <c r="Q162" s="1"/>
      <c r="R162" s="1"/>
      <c r="S162" s="1"/>
      <c r="T162" s="1"/>
      <c r="U162" s="1"/>
      <c r="V162" s="1"/>
      <c r="W162" s="1"/>
      <c r="X162" s="1"/>
      <c r="Y162" s="1"/>
      <c r="Z162" s="1"/>
    </row>
    <row r="163" spans="1:26" ht="12.75" customHeight="1" x14ac:dyDescent="0.25">
      <c r="A163" s="1"/>
      <c r="B163" s="1"/>
      <c r="C163" s="3"/>
      <c r="D163" s="3"/>
      <c r="E163" s="5"/>
      <c r="F163" s="5"/>
      <c r="G163" s="3"/>
      <c r="H163" s="5"/>
      <c r="I163" s="1"/>
      <c r="J163" s="7"/>
      <c r="K163" s="1"/>
      <c r="L163" s="1"/>
      <c r="M163" s="1"/>
      <c r="N163" s="1"/>
      <c r="O163" s="1"/>
      <c r="P163" s="1"/>
      <c r="Q163" s="1"/>
      <c r="R163" s="1"/>
      <c r="S163" s="1"/>
      <c r="T163" s="1"/>
      <c r="U163" s="1"/>
      <c r="V163" s="1"/>
      <c r="W163" s="1"/>
      <c r="X163" s="1"/>
      <c r="Y163" s="1"/>
      <c r="Z163" s="1"/>
    </row>
    <row r="164" spans="1:26" ht="12.75" customHeight="1" x14ac:dyDescent="0.25">
      <c r="A164" s="1"/>
      <c r="B164" s="1"/>
      <c r="C164" s="3"/>
      <c r="D164" s="3"/>
      <c r="E164" s="5"/>
      <c r="F164" s="5"/>
      <c r="G164" s="3"/>
      <c r="H164" s="5"/>
      <c r="I164" s="1"/>
      <c r="J164" s="7"/>
      <c r="K164" s="1"/>
      <c r="L164" s="1"/>
      <c r="M164" s="1"/>
      <c r="N164" s="1"/>
      <c r="O164" s="1"/>
      <c r="P164" s="1"/>
      <c r="Q164" s="1"/>
      <c r="R164" s="1"/>
      <c r="S164" s="1"/>
      <c r="T164" s="1"/>
      <c r="U164" s="1"/>
      <c r="V164" s="1"/>
      <c r="W164" s="1"/>
      <c r="X164" s="1"/>
      <c r="Y164" s="1"/>
      <c r="Z164" s="1"/>
    </row>
    <row r="165" spans="1:26" ht="12.75" customHeight="1" x14ac:dyDescent="0.25">
      <c r="A165" s="1"/>
      <c r="B165" s="1"/>
      <c r="C165" s="3"/>
      <c r="D165" s="3"/>
      <c r="E165" s="5"/>
      <c r="F165" s="5"/>
      <c r="G165" s="3"/>
      <c r="H165" s="5"/>
      <c r="I165" s="1"/>
      <c r="J165" s="7"/>
      <c r="K165" s="1"/>
      <c r="L165" s="1"/>
      <c r="M165" s="1"/>
      <c r="N165" s="1"/>
      <c r="O165" s="1"/>
      <c r="P165" s="1"/>
      <c r="Q165" s="1"/>
      <c r="R165" s="1"/>
      <c r="S165" s="1"/>
      <c r="T165" s="1"/>
      <c r="U165" s="1"/>
      <c r="V165" s="1"/>
      <c r="W165" s="1"/>
      <c r="X165" s="1"/>
      <c r="Y165" s="1"/>
      <c r="Z165" s="1"/>
    </row>
    <row r="166" spans="1:26" ht="12.75" customHeight="1" x14ac:dyDescent="0.25">
      <c r="A166" s="1"/>
      <c r="B166" s="1"/>
      <c r="C166" s="3"/>
      <c r="D166" s="3"/>
      <c r="E166" s="5"/>
      <c r="F166" s="5"/>
      <c r="G166" s="3"/>
      <c r="H166" s="5"/>
      <c r="I166" s="1"/>
      <c r="J166" s="7"/>
      <c r="K166" s="1"/>
      <c r="L166" s="1"/>
      <c r="M166" s="1"/>
      <c r="N166" s="1"/>
      <c r="O166" s="1"/>
      <c r="P166" s="1"/>
      <c r="Q166" s="1"/>
      <c r="R166" s="1"/>
      <c r="S166" s="1"/>
      <c r="T166" s="1"/>
      <c r="U166" s="1"/>
      <c r="V166" s="1"/>
      <c r="W166" s="1"/>
      <c r="X166" s="1"/>
      <c r="Y166" s="1"/>
      <c r="Z166" s="1"/>
    </row>
    <row r="167" spans="1:26" ht="12.75" customHeight="1" x14ac:dyDescent="0.25">
      <c r="A167" s="1"/>
      <c r="B167" s="1"/>
      <c r="C167" s="3"/>
      <c r="D167" s="3"/>
      <c r="E167" s="5"/>
      <c r="F167" s="5"/>
      <c r="G167" s="3"/>
      <c r="H167" s="5"/>
      <c r="I167" s="1"/>
      <c r="J167" s="7"/>
      <c r="K167" s="1"/>
      <c r="L167" s="1"/>
      <c r="M167" s="1"/>
      <c r="N167" s="1"/>
      <c r="O167" s="1"/>
      <c r="P167" s="1"/>
      <c r="Q167" s="1"/>
      <c r="R167" s="1"/>
      <c r="S167" s="1"/>
      <c r="T167" s="1"/>
      <c r="U167" s="1"/>
      <c r="V167" s="1"/>
      <c r="W167" s="1"/>
      <c r="X167" s="1"/>
      <c r="Y167" s="1"/>
      <c r="Z167" s="1"/>
    </row>
    <row r="168" spans="1:26" ht="12.75" customHeight="1" x14ac:dyDescent="0.25">
      <c r="A168" s="1"/>
      <c r="B168" s="1"/>
      <c r="C168" s="3"/>
      <c r="D168" s="3"/>
      <c r="E168" s="5"/>
      <c r="F168" s="5"/>
      <c r="G168" s="3"/>
      <c r="H168" s="5"/>
      <c r="I168" s="1"/>
      <c r="J168" s="7"/>
      <c r="K168" s="1"/>
      <c r="L168" s="1"/>
      <c r="M168" s="1"/>
      <c r="N168" s="1"/>
      <c r="O168" s="1"/>
      <c r="P168" s="1"/>
      <c r="Q168" s="1"/>
      <c r="R168" s="1"/>
      <c r="S168" s="1"/>
      <c r="T168" s="1"/>
      <c r="U168" s="1"/>
      <c r="V168" s="1"/>
      <c r="W168" s="1"/>
      <c r="X168" s="1"/>
      <c r="Y168" s="1"/>
      <c r="Z168" s="1"/>
    </row>
    <row r="169" spans="1:26" ht="12.75" customHeight="1" x14ac:dyDescent="0.25">
      <c r="A169" s="1"/>
      <c r="B169" s="1"/>
      <c r="C169" s="3"/>
      <c r="D169" s="3"/>
      <c r="E169" s="5"/>
      <c r="F169" s="5"/>
      <c r="G169" s="3"/>
      <c r="H169" s="5"/>
      <c r="I169" s="1"/>
      <c r="J169" s="7"/>
      <c r="K169" s="1"/>
      <c r="L169" s="1"/>
      <c r="M169" s="1"/>
      <c r="N169" s="1"/>
      <c r="O169" s="1"/>
      <c r="P169" s="1"/>
      <c r="Q169" s="1"/>
      <c r="R169" s="1"/>
      <c r="S169" s="1"/>
      <c r="T169" s="1"/>
      <c r="U169" s="1"/>
      <c r="V169" s="1"/>
      <c r="W169" s="1"/>
      <c r="X169" s="1"/>
      <c r="Y169" s="1"/>
      <c r="Z169" s="1"/>
    </row>
    <row r="170" spans="1:26" ht="12.75" customHeight="1" x14ac:dyDescent="0.25">
      <c r="A170" s="1"/>
      <c r="B170" s="1"/>
      <c r="C170" s="3"/>
      <c r="D170" s="3"/>
      <c r="E170" s="5"/>
      <c r="F170" s="5"/>
      <c r="G170" s="3"/>
      <c r="H170" s="5"/>
      <c r="I170" s="1"/>
      <c r="J170" s="7"/>
      <c r="K170" s="1"/>
      <c r="L170" s="1"/>
      <c r="M170" s="1"/>
      <c r="N170" s="1"/>
      <c r="O170" s="1"/>
      <c r="P170" s="1"/>
      <c r="Q170" s="1"/>
      <c r="R170" s="1"/>
      <c r="S170" s="1"/>
      <c r="T170" s="1"/>
      <c r="U170" s="1"/>
      <c r="V170" s="1"/>
      <c r="W170" s="1"/>
      <c r="X170" s="1"/>
      <c r="Y170" s="1"/>
      <c r="Z170" s="1"/>
    </row>
    <row r="171" spans="1:26" ht="12.75" customHeight="1" x14ac:dyDescent="0.25">
      <c r="A171" s="1"/>
      <c r="B171" s="1"/>
      <c r="C171" s="3"/>
      <c r="D171" s="3"/>
      <c r="E171" s="5"/>
      <c r="F171" s="5"/>
      <c r="G171" s="3"/>
      <c r="H171" s="5"/>
      <c r="I171" s="1"/>
      <c r="J171" s="7"/>
      <c r="K171" s="1"/>
      <c r="L171" s="1"/>
      <c r="M171" s="1"/>
      <c r="N171" s="1"/>
      <c r="O171" s="1"/>
      <c r="P171" s="1"/>
      <c r="Q171" s="1"/>
      <c r="R171" s="1"/>
      <c r="S171" s="1"/>
      <c r="T171" s="1"/>
      <c r="U171" s="1"/>
      <c r="V171" s="1"/>
      <c r="W171" s="1"/>
      <c r="X171" s="1"/>
      <c r="Y171" s="1"/>
      <c r="Z171" s="1"/>
    </row>
    <row r="172" spans="1:26" ht="12.75" customHeight="1" x14ac:dyDescent="0.25">
      <c r="A172" s="1"/>
      <c r="B172" s="1"/>
      <c r="C172" s="3"/>
      <c r="D172" s="3"/>
      <c r="E172" s="5"/>
      <c r="F172" s="5"/>
      <c r="G172" s="3"/>
      <c r="H172" s="5"/>
      <c r="I172" s="1"/>
      <c r="J172" s="7"/>
      <c r="K172" s="1"/>
      <c r="L172" s="1"/>
      <c r="M172" s="1"/>
      <c r="N172" s="1"/>
      <c r="O172" s="1"/>
      <c r="P172" s="1"/>
      <c r="Q172" s="1"/>
      <c r="R172" s="1"/>
      <c r="S172" s="1"/>
      <c r="T172" s="1"/>
      <c r="U172" s="1"/>
      <c r="V172" s="1"/>
      <c r="W172" s="1"/>
      <c r="X172" s="1"/>
      <c r="Y172" s="1"/>
      <c r="Z172" s="1"/>
    </row>
    <row r="173" spans="1:26" ht="12.75" customHeight="1" x14ac:dyDescent="0.25">
      <c r="A173" s="1"/>
      <c r="B173" s="1"/>
      <c r="C173" s="3"/>
      <c r="D173" s="3"/>
      <c r="E173" s="5"/>
      <c r="F173" s="5"/>
      <c r="G173" s="3"/>
      <c r="H173" s="5"/>
      <c r="I173" s="1"/>
      <c r="J173" s="7"/>
      <c r="K173" s="1"/>
      <c r="L173" s="1"/>
      <c r="M173" s="1"/>
      <c r="N173" s="1"/>
      <c r="O173" s="1"/>
      <c r="P173" s="1"/>
      <c r="Q173" s="1"/>
      <c r="R173" s="1"/>
      <c r="S173" s="1"/>
      <c r="T173" s="1"/>
      <c r="U173" s="1"/>
      <c r="V173" s="1"/>
      <c r="W173" s="1"/>
      <c r="X173" s="1"/>
      <c r="Y173" s="1"/>
      <c r="Z173" s="1"/>
    </row>
    <row r="174" spans="1:26" ht="12.75" customHeight="1" x14ac:dyDescent="0.25">
      <c r="A174" s="1"/>
      <c r="B174" s="1"/>
      <c r="C174" s="3"/>
      <c r="D174" s="3"/>
      <c r="E174" s="5"/>
      <c r="F174" s="5"/>
      <c r="G174" s="3"/>
      <c r="H174" s="5"/>
      <c r="I174" s="1"/>
      <c r="J174" s="7"/>
      <c r="K174" s="1"/>
      <c r="L174" s="1"/>
      <c r="M174" s="1"/>
      <c r="N174" s="1"/>
      <c r="O174" s="1"/>
      <c r="P174" s="1"/>
      <c r="Q174" s="1"/>
      <c r="R174" s="1"/>
      <c r="S174" s="1"/>
      <c r="T174" s="1"/>
      <c r="U174" s="1"/>
      <c r="V174" s="1"/>
      <c r="W174" s="1"/>
      <c r="X174" s="1"/>
      <c r="Y174" s="1"/>
      <c r="Z174" s="1"/>
    </row>
    <row r="175" spans="1:26" ht="12.75" customHeight="1" x14ac:dyDescent="0.25">
      <c r="A175" s="1"/>
      <c r="B175" s="1"/>
      <c r="C175" s="3"/>
      <c r="D175" s="3"/>
      <c r="E175" s="5"/>
      <c r="F175" s="5"/>
      <c r="G175" s="3"/>
      <c r="H175" s="5"/>
      <c r="I175" s="1"/>
      <c r="J175" s="7"/>
      <c r="K175" s="1"/>
      <c r="L175" s="1"/>
      <c r="M175" s="1"/>
      <c r="N175" s="1"/>
      <c r="O175" s="1"/>
      <c r="P175" s="1"/>
      <c r="Q175" s="1"/>
      <c r="R175" s="1"/>
      <c r="S175" s="1"/>
      <c r="T175" s="1"/>
      <c r="U175" s="1"/>
      <c r="V175" s="1"/>
      <c r="W175" s="1"/>
      <c r="X175" s="1"/>
      <c r="Y175" s="1"/>
      <c r="Z175" s="1"/>
    </row>
    <row r="176" spans="1:26" ht="12.75" customHeight="1" x14ac:dyDescent="0.25">
      <c r="A176" s="1"/>
      <c r="B176" s="1"/>
      <c r="C176" s="3"/>
      <c r="D176" s="3"/>
      <c r="E176" s="5"/>
      <c r="F176" s="5"/>
      <c r="G176" s="3"/>
      <c r="H176" s="5"/>
      <c r="I176" s="1"/>
      <c r="J176" s="7"/>
      <c r="K176" s="1"/>
      <c r="L176" s="1"/>
      <c r="M176" s="1"/>
      <c r="N176" s="1"/>
      <c r="O176" s="1"/>
      <c r="P176" s="1"/>
      <c r="Q176" s="1"/>
      <c r="R176" s="1"/>
      <c r="S176" s="1"/>
      <c r="T176" s="1"/>
      <c r="U176" s="1"/>
      <c r="V176" s="1"/>
      <c r="W176" s="1"/>
      <c r="X176" s="1"/>
      <c r="Y176" s="1"/>
      <c r="Z176" s="1"/>
    </row>
    <row r="177" spans="1:26" ht="12.75" customHeight="1" x14ac:dyDescent="0.25">
      <c r="A177" s="1"/>
      <c r="B177" s="1"/>
      <c r="C177" s="3"/>
      <c r="D177" s="3"/>
      <c r="E177" s="5"/>
      <c r="F177" s="5"/>
      <c r="G177" s="3"/>
      <c r="H177" s="5"/>
      <c r="I177" s="1"/>
      <c r="J177" s="7"/>
      <c r="K177" s="1"/>
      <c r="L177" s="1"/>
      <c r="M177" s="1"/>
      <c r="N177" s="1"/>
      <c r="O177" s="1"/>
      <c r="P177" s="1"/>
      <c r="Q177" s="1"/>
      <c r="R177" s="1"/>
      <c r="S177" s="1"/>
      <c r="T177" s="1"/>
      <c r="U177" s="1"/>
      <c r="V177" s="1"/>
      <c r="W177" s="1"/>
      <c r="X177" s="1"/>
      <c r="Y177" s="1"/>
      <c r="Z177" s="1"/>
    </row>
    <row r="178" spans="1:26" ht="12.75" customHeight="1" x14ac:dyDescent="0.25">
      <c r="A178" s="1"/>
      <c r="B178" s="1"/>
      <c r="C178" s="3"/>
      <c r="D178" s="3"/>
      <c r="E178" s="5"/>
      <c r="F178" s="5"/>
      <c r="G178" s="3"/>
      <c r="H178" s="5"/>
      <c r="I178" s="1"/>
      <c r="J178" s="7"/>
      <c r="K178" s="1"/>
      <c r="L178" s="1"/>
      <c r="M178" s="1"/>
      <c r="N178" s="1"/>
      <c r="O178" s="1"/>
      <c r="P178" s="1"/>
      <c r="Q178" s="1"/>
      <c r="R178" s="1"/>
      <c r="S178" s="1"/>
      <c r="T178" s="1"/>
      <c r="U178" s="1"/>
      <c r="V178" s="1"/>
      <c r="W178" s="1"/>
      <c r="X178" s="1"/>
      <c r="Y178" s="1"/>
      <c r="Z178" s="1"/>
    </row>
    <row r="179" spans="1:26" ht="12.75" customHeight="1" x14ac:dyDescent="0.25">
      <c r="A179" s="1"/>
      <c r="B179" s="1"/>
      <c r="C179" s="3"/>
      <c r="D179" s="3"/>
      <c r="E179" s="5"/>
      <c r="F179" s="5"/>
      <c r="G179" s="3"/>
      <c r="H179" s="5"/>
      <c r="I179" s="1"/>
      <c r="J179" s="7"/>
      <c r="K179" s="1"/>
      <c r="L179" s="1"/>
      <c r="M179" s="1"/>
      <c r="N179" s="1"/>
      <c r="O179" s="1"/>
      <c r="P179" s="1"/>
      <c r="Q179" s="1"/>
      <c r="R179" s="1"/>
      <c r="S179" s="1"/>
      <c r="T179" s="1"/>
      <c r="U179" s="1"/>
      <c r="V179" s="1"/>
      <c r="W179" s="1"/>
      <c r="X179" s="1"/>
      <c r="Y179" s="1"/>
      <c r="Z179" s="1"/>
    </row>
    <row r="180" spans="1:26" ht="12.75" customHeight="1" x14ac:dyDescent="0.25">
      <c r="A180" s="1"/>
      <c r="B180" s="1"/>
      <c r="C180" s="3"/>
      <c r="D180" s="3"/>
      <c r="E180" s="5"/>
      <c r="F180" s="5"/>
      <c r="G180" s="3"/>
      <c r="H180" s="5"/>
      <c r="I180" s="1"/>
      <c r="J180" s="7"/>
      <c r="K180" s="1"/>
      <c r="L180" s="1"/>
      <c r="M180" s="1"/>
      <c r="N180" s="1"/>
      <c r="O180" s="1"/>
      <c r="P180" s="1"/>
      <c r="Q180" s="1"/>
      <c r="R180" s="1"/>
      <c r="S180" s="1"/>
      <c r="T180" s="1"/>
      <c r="U180" s="1"/>
      <c r="V180" s="1"/>
      <c r="W180" s="1"/>
      <c r="X180" s="1"/>
      <c r="Y180" s="1"/>
      <c r="Z180" s="1"/>
    </row>
    <row r="181" spans="1:26" ht="12.75" customHeight="1" x14ac:dyDescent="0.25">
      <c r="A181" s="1"/>
      <c r="B181" s="1"/>
      <c r="C181" s="3"/>
      <c r="D181" s="3"/>
      <c r="E181" s="5"/>
      <c r="F181" s="5"/>
      <c r="G181" s="3"/>
      <c r="H181" s="5"/>
      <c r="I181" s="1"/>
      <c r="J181" s="7"/>
      <c r="K181" s="1"/>
      <c r="L181" s="1"/>
      <c r="M181" s="1"/>
      <c r="N181" s="1"/>
      <c r="O181" s="1"/>
      <c r="P181" s="1"/>
      <c r="Q181" s="1"/>
      <c r="R181" s="1"/>
      <c r="S181" s="1"/>
      <c r="T181" s="1"/>
      <c r="U181" s="1"/>
      <c r="V181" s="1"/>
      <c r="W181" s="1"/>
      <c r="X181" s="1"/>
      <c r="Y181" s="1"/>
      <c r="Z181" s="1"/>
    </row>
    <row r="182" spans="1:26" ht="12.75" customHeight="1" x14ac:dyDescent="0.25">
      <c r="A182" s="1"/>
      <c r="B182" s="1"/>
      <c r="C182" s="3"/>
      <c r="D182" s="3"/>
      <c r="E182" s="5"/>
      <c r="F182" s="5"/>
      <c r="G182" s="3"/>
      <c r="H182" s="5"/>
      <c r="I182" s="1"/>
      <c r="J182" s="7"/>
      <c r="K182" s="1"/>
      <c r="L182" s="1"/>
      <c r="M182" s="1"/>
      <c r="N182" s="1"/>
      <c r="O182" s="1"/>
      <c r="P182" s="1"/>
      <c r="Q182" s="1"/>
      <c r="R182" s="1"/>
      <c r="S182" s="1"/>
      <c r="T182" s="1"/>
      <c r="U182" s="1"/>
      <c r="V182" s="1"/>
      <c r="W182" s="1"/>
      <c r="X182" s="1"/>
      <c r="Y182" s="1"/>
      <c r="Z182" s="1"/>
    </row>
    <row r="183" spans="1:26" ht="12.75" customHeight="1" x14ac:dyDescent="0.25">
      <c r="A183" s="1"/>
      <c r="B183" s="1"/>
      <c r="C183" s="3"/>
      <c r="D183" s="3"/>
      <c r="E183" s="5"/>
      <c r="F183" s="5"/>
      <c r="G183" s="3"/>
      <c r="H183" s="5"/>
      <c r="I183" s="1"/>
      <c r="J183" s="7"/>
      <c r="K183" s="1"/>
      <c r="L183" s="1"/>
      <c r="M183" s="1"/>
      <c r="N183" s="1"/>
      <c r="O183" s="1"/>
      <c r="P183" s="1"/>
      <c r="Q183" s="1"/>
      <c r="R183" s="1"/>
      <c r="S183" s="1"/>
      <c r="T183" s="1"/>
      <c r="U183" s="1"/>
      <c r="V183" s="1"/>
      <c r="W183" s="1"/>
      <c r="X183" s="1"/>
      <c r="Y183" s="1"/>
      <c r="Z183" s="1"/>
    </row>
    <row r="184" spans="1:26" ht="12.75" customHeight="1" x14ac:dyDescent="0.25">
      <c r="A184" s="1"/>
      <c r="B184" s="1"/>
      <c r="C184" s="3"/>
      <c r="D184" s="3"/>
      <c r="E184" s="5"/>
      <c r="F184" s="5"/>
      <c r="G184" s="3"/>
      <c r="H184" s="5"/>
      <c r="I184" s="1"/>
      <c r="J184" s="7"/>
      <c r="K184" s="1"/>
      <c r="L184" s="1"/>
      <c r="M184" s="1"/>
      <c r="N184" s="1"/>
      <c r="O184" s="1"/>
      <c r="P184" s="1"/>
      <c r="Q184" s="1"/>
      <c r="R184" s="1"/>
      <c r="S184" s="1"/>
      <c r="T184" s="1"/>
      <c r="U184" s="1"/>
      <c r="V184" s="1"/>
      <c r="W184" s="1"/>
      <c r="X184" s="1"/>
      <c r="Y184" s="1"/>
      <c r="Z184" s="1"/>
    </row>
    <row r="185" spans="1:26" ht="12.75" customHeight="1" x14ac:dyDescent="0.25">
      <c r="A185" s="1"/>
      <c r="B185" s="1"/>
      <c r="C185" s="3"/>
      <c r="D185" s="3"/>
      <c r="E185" s="5"/>
      <c r="F185" s="5"/>
      <c r="G185" s="3"/>
      <c r="H185" s="5"/>
      <c r="I185" s="1"/>
      <c r="J185" s="7"/>
      <c r="K185" s="1"/>
      <c r="L185" s="1"/>
      <c r="M185" s="1"/>
      <c r="N185" s="1"/>
      <c r="O185" s="1"/>
      <c r="P185" s="1"/>
      <c r="Q185" s="1"/>
      <c r="R185" s="1"/>
      <c r="S185" s="1"/>
      <c r="T185" s="1"/>
      <c r="U185" s="1"/>
      <c r="V185" s="1"/>
      <c r="W185" s="1"/>
      <c r="X185" s="1"/>
      <c r="Y185" s="1"/>
      <c r="Z185" s="1"/>
    </row>
    <row r="186" spans="1:26" ht="12.75" customHeight="1" x14ac:dyDescent="0.25">
      <c r="A186" s="1"/>
      <c r="B186" s="1"/>
      <c r="C186" s="3"/>
      <c r="D186" s="3"/>
      <c r="E186" s="5"/>
      <c r="F186" s="5"/>
      <c r="G186" s="3"/>
      <c r="H186" s="5"/>
      <c r="I186" s="1"/>
      <c r="J186" s="7"/>
      <c r="K186" s="1"/>
      <c r="L186" s="1"/>
      <c r="M186" s="1"/>
      <c r="N186" s="1"/>
      <c r="O186" s="1"/>
      <c r="P186" s="1"/>
      <c r="Q186" s="1"/>
      <c r="R186" s="1"/>
      <c r="S186" s="1"/>
      <c r="T186" s="1"/>
      <c r="U186" s="1"/>
      <c r="V186" s="1"/>
      <c r="W186" s="1"/>
      <c r="X186" s="1"/>
      <c r="Y186" s="1"/>
      <c r="Z186" s="1"/>
    </row>
    <row r="187" spans="1:26" ht="12.75" customHeight="1" x14ac:dyDescent="0.25">
      <c r="A187" s="1"/>
      <c r="B187" s="1"/>
      <c r="C187" s="3"/>
      <c r="D187" s="3"/>
      <c r="E187" s="5"/>
      <c r="F187" s="5"/>
      <c r="G187" s="3"/>
      <c r="H187" s="5"/>
      <c r="I187" s="1"/>
      <c r="J187" s="7"/>
      <c r="K187" s="1"/>
      <c r="L187" s="1"/>
      <c r="M187" s="1"/>
      <c r="N187" s="1"/>
      <c r="O187" s="1"/>
      <c r="P187" s="1"/>
      <c r="Q187" s="1"/>
      <c r="R187" s="1"/>
      <c r="S187" s="1"/>
      <c r="T187" s="1"/>
      <c r="U187" s="1"/>
      <c r="V187" s="1"/>
      <c r="W187" s="1"/>
      <c r="X187" s="1"/>
      <c r="Y187" s="1"/>
      <c r="Z187" s="1"/>
    </row>
    <row r="188" spans="1:26" ht="12.75" customHeight="1" x14ac:dyDescent="0.25">
      <c r="A188" s="1"/>
      <c r="B188" s="1"/>
      <c r="C188" s="3"/>
      <c r="D188" s="3"/>
      <c r="E188" s="5"/>
      <c r="F188" s="5"/>
      <c r="G188" s="3"/>
      <c r="H188" s="5"/>
      <c r="I188" s="1"/>
      <c r="J188" s="7"/>
      <c r="K188" s="1"/>
      <c r="L188" s="1"/>
      <c r="M188" s="1"/>
      <c r="N188" s="1"/>
      <c r="O188" s="1"/>
      <c r="P188" s="1"/>
      <c r="Q188" s="1"/>
      <c r="R188" s="1"/>
      <c r="S188" s="1"/>
      <c r="T188" s="1"/>
      <c r="U188" s="1"/>
      <c r="V188" s="1"/>
      <c r="W188" s="1"/>
      <c r="X188" s="1"/>
      <c r="Y188" s="1"/>
      <c r="Z188" s="1"/>
    </row>
    <row r="189" spans="1:26" ht="12.75" customHeight="1" x14ac:dyDescent="0.25">
      <c r="A189" s="1"/>
      <c r="B189" s="1"/>
      <c r="C189" s="3"/>
      <c r="D189" s="3"/>
      <c r="E189" s="5"/>
      <c r="F189" s="5"/>
      <c r="G189" s="3"/>
      <c r="H189" s="5"/>
      <c r="I189" s="1"/>
      <c r="J189" s="7"/>
      <c r="K189" s="1"/>
      <c r="L189" s="1"/>
      <c r="M189" s="1"/>
      <c r="N189" s="1"/>
      <c r="O189" s="1"/>
      <c r="P189" s="1"/>
      <c r="Q189" s="1"/>
      <c r="R189" s="1"/>
      <c r="S189" s="1"/>
      <c r="T189" s="1"/>
      <c r="U189" s="1"/>
      <c r="V189" s="1"/>
      <c r="W189" s="1"/>
      <c r="X189" s="1"/>
      <c r="Y189" s="1"/>
      <c r="Z189" s="1"/>
    </row>
    <row r="190" spans="1:26" ht="12.75" customHeight="1" x14ac:dyDescent="0.25">
      <c r="A190" s="1"/>
      <c r="B190" s="1"/>
      <c r="C190" s="3"/>
      <c r="D190" s="3"/>
      <c r="E190" s="5"/>
      <c r="F190" s="5"/>
      <c r="G190" s="3"/>
      <c r="H190" s="5"/>
      <c r="I190" s="1"/>
      <c r="J190" s="7"/>
      <c r="K190" s="1"/>
      <c r="L190" s="1"/>
      <c r="M190" s="1"/>
      <c r="N190" s="1"/>
      <c r="O190" s="1"/>
      <c r="P190" s="1"/>
      <c r="Q190" s="1"/>
      <c r="R190" s="1"/>
      <c r="S190" s="1"/>
      <c r="T190" s="1"/>
      <c r="U190" s="1"/>
      <c r="V190" s="1"/>
      <c r="W190" s="1"/>
      <c r="X190" s="1"/>
      <c r="Y190" s="1"/>
      <c r="Z190" s="1"/>
    </row>
    <row r="191" spans="1:26" ht="12.75" customHeight="1" x14ac:dyDescent="0.25">
      <c r="A191" s="1"/>
      <c r="B191" s="1"/>
      <c r="C191" s="3"/>
      <c r="D191" s="3"/>
      <c r="E191" s="5"/>
      <c r="F191" s="5"/>
      <c r="G191" s="3"/>
      <c r="H191" s="5"/>
      <c r="I191" s="1"/>
      <c r="J191" s="7"/>
      <c r="K191" s="1"/>
      <c r="L191" s="1"/>
      <c r="M191" s="1"/>
      <c r="N191" s="1"/>
      <c r="O191" s="1"/>
      <c r="P191" s="1"/>
      <c r="Q191" s="1"/>
      <c r="R191" s="1"/>
      <c r="S191" s="1"/>
      <c r="T191" s="1"/>
      <c r="U191" s="1"/>
      <c r="V191" s="1"/>
      <c r="W191" s="1"/>
      <c r="X191" s="1"/>
      <c r="Y191" s="1"/>
      <c r="Z191" s="1"/>
    </row>
    <row r="192" spans="1:26" ht="12.75" customHeight="1" x14ac:dyDescent="0.25">
      <c r="A192" s="1"/>
      <c r="B192" s="1"/>
      <c r="C192" s="3"/>
      <c r="D192" s="3"/>
      <c r="E192" s="5"/>
      <c r="F192" s="5"/>
      <c r="G192" s="3"/>
      <c r="H192" s="5"/>
      <c r="I192" s="1"/>
      <c r="J192" s="7"/>
      <c r="K192" s="1"/>
      <c r="L192" s="1"/>
      <c r="M192" s="1"/>
      <c r="N192" s="1"/>
      <c r="O192" s="1"/>
      <c r="P192" s="1"/>
      <c r="Q192" s="1"/>
      <c r="R192" s="1"/>
      <c r="S192" s="1"/>
      <c r="T192" s="1"/>
      <c r="U192" s="1"/>
      <c r="V192" s="1"/>
      <c r="W192" s="1"/>
      <c r="X192" s="1"/>
      <c r="Y192" s="1"/>
      <c r="Z192" s="1"/>
    </row>
    <row r="193" spans="1:26" ht="12.75" customHeight="1" x14ac:dyDescent="0.25">
      <c r="A193" s="1"/>
      <c r="B193" s="1"/>
      <c r="C193" s="3"/>
      <c r="D193" s="3"/>
      <c r="E193" s="5"/>
      <c r="F193" s="5"/>
      <c r="G193" s="3"/>
      <c r="H193" s="5"/>
      <c r="I193" s="1"/>
      <c r="J193" s="7"/>
      <c r="K193" s="1"/>
      <c r="L193" s="1"/>
      <c r="M193" s="1"/>
      <c r="N193" s="1"/>
      <c r="O193" s="1"/>
      <c r="P193" s="1"/>
      <c r="Q193" s="1"/>
      <c r="R193" s="1"/>
      <c r="S193" s="1"/>
      <c r="T193" s="1"/>
      <c r="U193" s="1"/>
      <c r="V193" s="1"/>
      <c r="W193" s="1"/>
      <c r="X193" s="1"/>
      <c r="Y193" s="1"/>
      <c r="Z193" s="1"/>
    </row>
    <row r="194" spans="1:26" ht="12.75" customHeight="1" x14ac:dyDescent="0.25">
      <c r="A194" s="1"/>
      <c r="B194" s="1"/>
      <c r="C194" s="3"/>
      <c r="D194" s="3"/>
      <c r="E194" s="5"/>
      <c r="F194" s="5"/>
      <c r="G194" s="3"/>
      <c r="H194" s="5"/>
      <c r="I194" s="1"/>
      <c r="J194" s="7"/>
      <c r="K194" s="1"/>
      <c r="L194" s="1"/>
      <c r="M194" s="1"/>
      <c r="N194" s="1"/>
      <c r="O194" s="1"/>
      <c r="P194" s="1"/>
      <c r="Q194" s="1"/>
      <c r="R194" s="1"/>
      <c r="S194" s="1"/>
      <c r="T194" s="1"/>
      <c r="U194" s="1"/>
      <c r="V194" s="1"/>
      <c r="W194" s="1"/>
      <c r="X194" s="1"/>
      <c r="Y194" s="1"/>
      <c r="Z194" s="1"/>
    </row>
    <row r="195" spans="1:26" ht="12.75" customHeight="1" x14ac:dyDescent="0.25">
      <c r="A195" s="1"/>
      <c r="B195" s="1"/>
      <c r="C195" s="3"/>
      <c r="D195" s="3"/>
      <c r="E195" s="5"/>
      <c r="F195" s="5"/>
      <c r="G195" s="3"/>
      <c r="H195" s="5"/>
      <c r="I195" s="1"/>
      <c r="J195" s="7"/>
      <c r="K195" s="1"/>
      <c r="L195" s="1"/>
      <c r="M195" s="1"/>
      <c r="N195" s="1"/>
      <c r="O195" s="1"/>
      <c r="P195" s="1"/>
      <c r="Q195" s="1"/>
      <c r="R195" s="1"/>
      <c r="S195" s="1"/>
      <c r="T195" s="1"/>
      <c r="U195" s="1"/>
      <c r="V195" s="1"/>
      <c r="W195" s="1"/>
      <c r="X195" s="1"/>
      <c r="Y195" s="1"/>
      <c r="Z195" s="1"/>
    </row>
    <row r="196" spans="1:26" ht="12.75" customHeight="1" x14ac:dyDescent="0.25">
      <c r="A196" s="1"/>
      <c r="B196" s="1"/>
      <c r="C196" s="3"/>
      <c r="D196" s="3"/>
      <c r="E196" s="5"/>
      <c r="F196" s="5"/>
      <c r="G196" s="3"/>
      <c r="H196" s="5"/>
      <c r="I196" s="1"/>
      <c r="J196" s="7"/>
      <c r="K196" s="1"/>
      <c r="L196" s="1"/>
      <c r="M196" s="1"/>
      <c r="N196" s="1"/>
      <c r="O196" s="1"/>
      <c r="P196" s="1"/>
      <c r="Q196" s="1"/>
      <c r="R196" s="1"/>
      <c r="S196" s="1"/>
      <c r="T196" s="1"/>
      <c r="U196" s="1"/>
      <c r="V196" s="1"/>
      <c r="W196" s="1"/>
      <c r="X196" s="1"/>
      <c r="Y196" s="1"/>
      <c r="Z196" s="1"/>
    </row>
    <row r="197" spans="1:26" ht="12.75" customHeight="1" x14ac:dyDescent="0.25">
      <c r="A197" s="1"/>
      <c r="B197" s="1"/>
      <c r="C197" s="3"/>
      <c r="D197" s="3"/>
      <c r="E197" s="5"/>
      <c r="F197" s="5"/>
      <c r="G197" s="3"/>
      <c r="H197" s="5"/>
      <c r="I197" s="1"/>
      <c r="J197" s="7"/>
      <c r="K197" s="1"/>
      <c r="L197" s="1"/>
      <c r="M197" s="1"/>
      <c r="N197" s="1"/>
      <c r="O197" s="1"/>
      <c r="P197" s="1"/>
      <c r="Q197" s="1"/>
      <c r="R197" s="1"/>
      <c r="S197" s="1"/>
      <c r="T197" s="1"/>
      <c r="U197" s="1"/>
      <c r="V197" s="1"/>
      <c r="W197" s="1"/>
      <c r="X197" s="1"/>
      <c r="Y197" s="1"/>
      <c r="Z197" s="1"/>
    </row>
    <row r="198" spans="1:26" ht="12.75" customHeight="1" x14ac:dyDescent="0.25">
      <c r="A198" s="1"/>
      <c r="B198" s="1"/>
      <c r="C198" s="3"/>
      <c r="D198" s="3"/>
      <c r="E198" s="5"/>
      <c r="F198" s="5"/>
      <c r="G198" s="3"/>
      <c r="H198" s="5"/>
      <c r="I198" s="1"/>
      <c r="J198" s="7"/>
      <c r="K198" s="1"/>
      <c r="L198" s="1"/>
      <c r="M198" s="1"/>
      <c r="N198" s="1"/>
      <c r="O198" s="1"/>
      <c r="P198" s="1"/>
      <c r="Q198" s="1"/>
      <c r="R198" s="1"/>
      <c r="S198" s="1"/>
      <c r="T198" s="1"/>
      <c r="U198" s="1"/>
      <c r="V198" s="1"/>
      <c r="W198" s="1"/>
      <c r="X198" s="1"/>
      <c r="Y198" s="1"/>
      <c r="Z198" s="1"/>
    </row>
    <row r="199" spans="1:26" ht="12.75" customHeight="1" x14ac:dyDescent="0.25">
      <c r="A199" s="1"/>
      <c r="B199" s="1"/>
      <c r="C199" s="3"/>
      <c r="D199" s="3"/>
      <c r="E199" s="5"/>
      <c r="F199" s="5"/>
      <c r="G199" s="3"/>
      <c r="H199" s="5"/>
      <c r="I199" s="1"/>
      <c r="J199" s="7"/>
      <c r="K199" s="1"/>
      <c r="L199" s="1"/>
      <c r="M199" s="1"/>
      <c r="N199" s="1"/>
      <c r="O199" s="1"/>
      <c r="P199" s="1"/>
      <c r="Q199" s="1"/>
      <c r="R199" s="1"/>
      <c r="S199" s="1"/>
      <c r="T199" s="1"/>
      <c r="U199" s="1"/>
      <c r="V199" s="1"/>
      <c r="W199" s="1"/>
      <c r="X199" s="1"/>
      <c r="Y199" s="1"/>
      <c r="Z199" s="1"/>
    </row>
    <row r="200" spans="1:26" ht="12.75" customHeight="1" x14ac:dyDescent="0.25">
      <c r="A200" s="1"/>
      <c r="B200" s="1"/>
      <c r="C200" s="3"/>
      <c r="D200" s="3"/>
      <c r="E200" s="5"/>
      <c r="F200" s="5"/>
      <c r="G200" s="3"/>
      <c r="H200" s="5"/>
      <c r="I200" s="1"/>
      <c r="J200" s="7"/>
      <c r="K200" s="1"/>
      <c r="L200" s="1"/>
      <c r="M200" s="1"/>
      <c r="N200" s="1"/>
      <c r="O200" s="1"/>
      <c r="P200" s="1"/>
      <c r="Q200" s="1"/>
      <c r="R200" s="1"/>
      <c r="S200" s="1"/>
      <c r="T200" s="1"/>
      <c r="U200" s="1"/>
      <c r="V200" s="1"/>
      <c r="W200" s="1"/>
      <c r="X200" s="1"/>
      <c r="Y200" s="1"/>
      <c r="Z200" s="1"/>
    </row>
    <row r="201" spans="1:26" ht="12.75" customHeight="1" x14ac:dyDescent="0.25">
      <c r="A201" s="1"/>
      <c r="B201" s="1"/>
      <c r="C201" s="3"/>
      <c r="D201" s="3"/>
      <c r="E201" s="5"/>
      <c r="F201" s="5"/>
      <c r="G201" s="3"/>
      <c r="H201" s="5"/>
      <c r="I201" s="1"/>
      <c r="J201" s="7"/>
      <c r="K201" s="1"/>
      <c r="L201" s="1"/>
      <c r="M201" s="1"/>
      <c r="N201" s="1"/>
      <c r="O201" s="1"/>
      <c r="P201" s="1"/>
      <c r="Q201" s="1"/>
      <c r="R201" s="1"/>
      <c r="S201" s="1"/>
      <c r="T201" s="1"/>
      <c r="U201" s="1"/>
      <c r="V201" s="1"/>
      <c r="W201" s="1"/>
      <c r="X201" s="1"/>
      <c r="Y201" s="1"/>
      <c r="Z201" s="1"/>
    </row>
    <row r="202" spans="1:26" ht="12.75" customHeight="1" x14ac:dyDescent="0.25">
      <c r="A202" s="1"/>
      <c r="B202" s="1"/>
      <c r="C202" s="3"/>
      <c r="D202" s="3"/>
      <c r="E202" s="5"/>
      <c r="F202" s="5"/>
      <c r="G202" s="3"/>
      <c r="H202" s="5"/>
      <c r="I202" s="1"/>
      <c r="J202" s="7"/>
      <c r="K202" s="1"/>
      <c r="L202" s="1"/>
      <c r="M202" s="1"/>
      <c r="N202" s="1"/>
      <c r="O202" s="1"/>
      <c r="P202" s="1"/>
      <c r="Q202" s="1"/>
      <c r="R202" s="1"/>
      <c r="S202" s="1"/>
      <c r="T202" s="1"/>
      <c r="U202" s="1"/>
      <c r="V202" s="1"/>
      <c r="W202" s="1"/>
      <c r="X202" s="1"/>
      <c r="Y202" s="1"/>
      <c r="Z202" s="1"/>
    </row>
    <row r="203" spans="1:26" ht="12.75" customHeight="1" x14ac:dyDescent="0.25">
      <c r="A203" s="1"/>
      <c r="B203" s="1"/>
      <c r="C203" s="3"/>
      <c r="D203" s="3"/>
      <c r="E203" s="5"/>
      <c r="F203" s="5"/>
      <c r="G203" s="3"/>
      <c r="H203" s="5"/>
      <c r="I203" s="1"/>
      <c r="J203" s="7"/>
      <c r="K203" s="1"/>
      <c r="L203" s="1"/>
      <c r="M203" s="1"/>
      <c r="N203" s="1"/>
      <c r="O203" s="1"/>
      <c r="P203" s="1"/>
      <c r="Q203" s="1"/>
      <c r="R203" s="1"/>
      <c r="S203" s="1"/>
      <c r="T203" s="1"/>
      <c r="U203" s="1"/>
      <c r="V203" s="1"/>
      <c r="W203" s="1"/>
      <c r="X203" s="1"/>
      <c r="Y203" s="1"/>
      <c r="Z203" s="1"/>
    </row>
    <row r="204" spans="1:26" ht="12.75" customHeight="1" x14ac:dyDescent="0.25">
      <c r="A204" s="1"/>
      <c r="B204" s="1"/>
      <c r="C204" s="3"/>
      <c r="D204" s="3"/>
      <c r="E204" s="5"/>
      <c r="F204" s="5"/>
      <c r="G204" s="3"/>
      <c r="H204" s="5"/>
      <c r="I204" s="1"/>
      <c r="J204" s="7"/>
      <c r="K204" s="1"/>
      <c r="L204" s="1"/>
      <c r="M204" s="1"/>
      <c r="N204" s="1"/>
      <c r="O204" s="1"/>
      <c r="P204" s="1"/>
      <c r="Q204" s="1"/>
      <c r="R204" s="1"/>
      <c r="S204" s="1"/>
      <c r="T204" s="1"/>
      <c r="U204" s="1"/>
      <c r="V204" s="1"/>
      <c r="W204" s="1"/>
      <c r="X204" s="1"/>
      <c r="Y204" s="1"/>
      <c r="Z204" s="1"/>
    </row>
    <row r="205" spans="1:26" ht="12.75" customHeight="1" x14ac:dyDescent="0.25">
      <c r="A205" s="1"/>
      <c r="B205" s="1"/>
      <c r="C205" s="3"/>
      <c r="D205" s="3"/>
      <c r="E205" s="5"/>
      <c r="F205" s="5"/>
      <c r="G205" s="3"/>
      <c r="H205" s="5"/>
      <c r="I205" s="1"/>
      <c r="J205" s="7"/>
      <c r="K205" s="1"/>
      <c r="L205" s="1"/>
      <c r="M205" s="1"/>
      <c r="N205" s="1"/>
      <c r="O205" s="1"/>
      <c r="P205" s="1"/>
      <c r="Q205" s="1"/>
      <c r="R205" s="1"/>
      <c r="S205" s="1"/>
      <c r="T205" s="1"/>
      <c r="U205" s="1"/>
      <c r="V205" s="1"/>
      <c r="W205" s="1"/>
      <c r="X205" s="1"/>
      <c r="Y205" s="1"/>
      <c r="Z205" s="1"/>
    </row>
    <row r="206" spans="1:26" ht="12.75" customHeight="1" x14ac:dyDescent="0.25">
      <c r="A206" s="1"/>
      <c r="B206" s="1"/>
      <c r="C206" s="3"/>
      <c r="D206" s="3"/>
      <c r="E206" s="5"/>
      <c r="F206" s="5"/>
      <c r="G206" s="3"/>
      <c r="H206" s="5"/>
      <c r="I206" s="1"/>
      <c r="J206" s="7"/>
      <c r="K206" s="1"/>
      <c r="L206" s="1"/>
      <c r="M206" s="1"/>
      <c r="N206" s="1"/>
      <c r="O206" s="1"/>
      <c r="P206" s="1"/>
      <c r="Q206" s="1"/>
      <c r="R206" s="1"/>
      <c r="S206" s="1"/>
      <c r="T206" s="1"/>
      <c r="U206" s="1"/>
      <c r="V206" s="1"/>
      <c r="W206" s="1"/>
      <c r="X206" s="1"/>
      <c r="Y206" s="1"/>
      <c r="Z206" s="1"/>
    </row>
    <row r="207" spans="1:26" ht="12.75" customHeight="1" x14ac:dyDescent="0.25">
      <c r="A207" s="1"/>
      <c r="B207" s="1"/>
      <c r="C207" s="3"/>
      <c r="D207" s="3"/>
      <c r="E207" s="5"/>
      <c r="F207" s="5"/>
      <c r="G207" s="3"/>
      <c r="H207" s="5"/>
      <c r="I207" s="1"/>
      <c r="J207" s="7"/>
      <c r="K207" s="1"/>
      <c r="L207" s="1"/>
      <c r="M207" s="1"/>
      <c r="N207" s="1"/>
      <c r="O207" s="1"/>
      <c r="P207" s="1"/>
      <c r="Q207" s="1"/>
      <c r="R207" s="1"/>
      <c r="S207" s="1"/>
      <c r="T207" s="1"/>
      <c r="U207" s="1"/>
      <c r="V207" s="1"/>
      <c r="W207" s="1"/>
      <c r="X207" s="1"/>
      <c r="Y207" s="1"/>
      <c r="Z207" s="1"/>
    </row>
    <row r="208" spans="1:26" ht="12.75" customHeight="1" x14ac:dyDescent="0.25">
      <c r="A208" s="1"/>
      <c r="B208" s="1"/>
      <c r="C208" s="3"/>
      <c r="D208" s="3"/>
      <c r="E208" s="5"/>
      <c r="F208" s="5"/>
      <c r="G208" s="3"/>
      <c r="H208" s="5"/>
      <c r="I208" s="1"/>
      <c r="J208" s="7"/>
      <c r="K208" s="1"/>
      <c r="L208" s="1"/>
      <c r="M208" s="1"/>
      <c r="N208" s="1"/>
      <c r="O208" s="1"/>
      <c r="P208" s="1"/>
      <c r="Q208" s="1"/>
      <c r="R208" s="1"/>
      <c r="S208" s="1"/>
      <c r="T208" s="1"/>
      <c r="U208" s="1"/>
      <c r="V208" s="1"/>
      <c r="W208" s="1"/>
      <c r="X208" s="1"/>
      <c r="Y208" s="1"/>
      <c r="Z208" s="1"/>
    </row>
    <row r="209" spans="1:26" ht="12.75" customHeight="1" x14ac:dyDescent="0.25">
      <c r="A209" s="1"/>
      <c r="B209" s="1"/>
      <c r="C209" s="3"/>
      <c r="D209" s="3"/>
      <c r="E209" s="5"/>
      <c r="F209" s="5"/>
      <c r="G209" s="3"/>
      <c r="H209" s="5"/>
      <c r="I209" s="1"/>
      <c r="J209" s="7"/>
      <c r="K209" s="1"/>
      <c r="L209" s="1"/>
      <c r="M209" s="1"/>
      <c r="N209" s="1"/>
      <c r="O209" s="1"/>
      <c r="P209" s="1"/>
      <c r="Q209" s="1"/>
      <c r="R209" s="1"/>
      <c r="S209" s="1"/>
      <c r="T209" s="1"/>
      <c r="U209" s="1"/>
      <c r="V209" s="1"/>
      <c r="W209" s="1"/>
      <c r="X209" s="1"/>
      <c r="Y209" s="1"/>
      <c r="Z209" s="1"/>
    </row>
    <row r="210" spans="1:26" ht="12.75" customHeight="1" x14ac:dyDescent="0.25">
      <c r="A210" s="1"/>
      <c r="B210" s="1"/>
      <c r="C210" s="3"/>
      <c r="D210" s="3"/>
      <c r="E210" s="5"/>
      <c r="F210" s="5"/>
      <c r="G210" s="3"/>
      <c r="H210" s="5"/>
      <c r="I210" s="1"/>
      <c r="J210" s="7"/>
      <c r="K210" s="1"/>
      <c r="L210" s="1"/>
      <c r="M210" s="1"/>
      <c r="N210" s="1"/>
      <c r="O210" s="1"/>
      <c r="P210" s="1"/>
      <c r="Q210" s="1"/>
      <c r="R210" s="1"/>
      <c r="S210" s="1"/>
      <c r="T210" s="1"/>
      <c r="U210" s="1"/>
      <c r="V210" s="1"/>
      <c r="W210" s="1"/>
      <c r="X210" s="1"/>
      <c r="Y210" s="1"/>
      <c r="Z210" s="1"/>
    </row>
    <row r="211" spans="1:26" ht="12.75" customHeight="1" x14ac:dyDescent="0.25">
      <c r="A211" s="1"/>
      <c r="B211" s="1"/>
      <c r="C211" s="3"/>
      <c r="D211" s="3"/>
      <c r="E211" s="5"/>
      <c r="F211" s="5"/>
      <c r="G211" s="3"/>
      <c r="H211" s="5"/>
      <c r="I211" s="1"/>
      <c r="J211" s="7"/>
      <c r="K211" s="1"/>
      <c r="L211" s="1"/>
      <c r="M211" s="1"/>
      <c r="N211" s="1"/>
      <c r="O211" s="1"/>
      <c r="P211" s="1"/>
      <c r="Q211" s="1"/>
      <c r="R211" s="1"/>
      <c r="S211" s="1"/>
      <c r="T211" s="1"/>
      <c r="U211" s="1"/>
      <c r="V211" s="1"/>
      <c r="W211" s="1"/>
      <c r="X211" s="1"/>
      <c r="Y211" s="1"/>
      <c r="Z211" s="1"/>
    </row>
    <row r="212" spans="1:26" ht="12.75" customHeight="1" x14ac:dyDescent="0.25">
      <c r="A212" s="1"/>
      <c r="B212" s="1"/>
      <c r="C212" s="3"/>
      <c r="D212" s="3"/>
      <c r="E212" s="5"/>
      <c r="F212" s="5"/>
      <c r="G212" s="3"/>
      <c r="H212" s="5"/>
      <c r="I212" s="1"/>
      <c r="J212" s="7"/>
      <c r="K212" s="1"/>
      <c r="L212" s="1"/>
      <c r="M212" s="1"/>
      <c r="N212" s="1"/>
      <c r="O212" s="1"/>
      <c r="P212" s="1"/>
      <c r="Q212" s="1"/>
      <c r="R212" s="1"/>
      <c r="S212" s="1"/>
      <c r="T212" s="1"/>
      <c r="U212" s="1"/>
      <c r="V212" s="1"/>
      <c r="W212" s="1"/>
      <c r="X212" s="1"/>
      <c r="Y212" s="1"/>
      <c r="Z212" s="1"/>
    </row>
    <row r="213" spans="1:26" ht="12.75" customHeight="1" x14ac:dyDescent="0.25">
      <c r="A213" s="1"/>
      <c r="B213" s="1"/>
      <c r="C213" s="3"/>
      <c r="D213" s="3"/>
      <c r="E213" s="5"/>
      <c r="F213" s="5"/>
      <c r="G213" s="3"/>
      <c r="H213" s="5"/>
      <c r="I213" s="1"/>
      <c r="J213" s="7"/>
      <c r="K213" s="1"/>
      <c r="L213" s="1"/>
      <c r="M213" s="1"/>
      <c r="N213" s="1"/>
      <c r="O213" s="1"/>
      <c r="P213" s="1"/>
      <c r="Q213" s="1"/>
      <c r="R213" s="1"/>
      <c r="S213" s="1"/>
      <c r="T213" s="1"/>
      <c r="U213" s="1"/>
      <c r="V213" s="1"/>
      <c r="W213" s="1"/>
      <c r="X213" s="1"/>
      <c r="Y213" s="1"/>
      <c r="Z213" s="1"/>
    </row>
    <row r="214" spans="1:26" ht="12.75" customHeight="1" x14ac:dyDescent="0.25">
      <c r="A214" s="1"/>
      <c r="B214" s="1"/>
      <c r="C214" s="3"/>
      <c r="D214" s="3"/>
      <c r="E214" s="5"/>
      <c r="F214" s="5"/>
      <c r="G214" s="3"/>
      <c r="H214" s="5"/>
      <c r="I214" s="1"/>
      <c r="J214" s="7"/>
      <c r="K214" s="1"/>
      <c r="L214" s="1"/>
      <c r="M214" s="1"/>
      <c r="N214" s="1"/>
      <c r="O214" s="1"/>
      <c r="P214" s="1"/>
      <c r="Q214" s="1"/>
      <c r="R214" s="1"/>
      <c r="S214" s="1"/>
      <c r="T214" s="1"/>
      <c r="U214" s="1"/>
      <c r="V214" s="1"/>
      <c r="W214" s="1"/>
      <c r="X214" s="1"/>
      <c r="Y214" s="1"/>
      <c r="Z214" s="1"/>
    </row>
    <row r="215" spans="1:26" ht="12.75" customHeight="1" x14ac:dyDescent="0.25">
      <c r="A215" s="1"/>
      <c r="B215" s="1"/>
      <c r="C215" s="3"/>
      <c r="D215" s="3"/>
      <c r="E215" s="5"/>
      <c r="F215" s="5"/>
      <c r="G215" s="3"/>
      <c r="H215" s="5"/>
      <c r="I215" s="1"/>
      <c r="J215" s="7"/>
      <c r="K215" s="1"/>
      <c r="L215" s="1"/>
      <c r="M215" s="1"/>
      <c r="N215" s="1"/>
      <c r="O215" s="1"/>
      <c r="P215" s="1"/>
      <c r="Q215" s="1"/>
      <c r="R215" s="1"/>
      <c r="S215" s="1"/>
      <c r="T215" s="1"/>
      <c r="U215" s="1"/>
      <c r="V215" s="1"/>
      <c r="W215" s="1"/>
      <c r="X215" s="1"/>
      <c r="Y215" s="1"/>
      <c r="Z215" s="1"/>
    </row>
    <row r="216" spans="1:26" ht="12.75" customHeight="1" x14ac:dyDescent="0.25">
      <c r="A216" s="1"/>
      <c r="B216" s="1"/>
      <c r="C216" s="3"/>
      <c r="D216" s="3"/>
      <c r="E216" s="5"/>
      <c r="F216" s="5"/>
      <c r="G216" s="3"/>
      <c r="H216" s="5"/>
      <c r="I216" s="1"/>
      <c r="J216" s="7"/>
      <c r="K216" s="1"/>
      <c r="L216" s="1"/>
      <c r="M216" s="1"/>
      <c r="N216" s="1"/>
      <c r="O216" s="1"/>
      <c r="P216" s="1"/>
      <c r="Q216" s="1"/>
      <c r="R216" s="1"/>
      <c r="S216" s="1"/>
      <c r="T216" s="1"/>
      <c r="U216" s="1"/>
      <c r="V216" s="1"/>
      <c r="W216" s="1"/>
      <c r="X216" s="1"/>
      <c r="Y216" s="1"/>
      <c r="Z216" s="1"/>
    </row>
    <row r="217" spans="1:26" ht="12.75" customHeight="1" x14ac:dyDescent="0.25">
      <c r="A217" s="1"/>
      <c r="B217" s="1"/>
      <c r="C217" s="3"/>
      <c r="D217" s="3"/>
      <c r="E217" s="5"/>
      <c r="F217" s="5"/>
      <c r="G217" s="3"/>
      <c r="H217" s="5"/>
      <c r="I217" s="1"/>
      <c r="J217" s="7"/>
      <c r="K217" s="1"/>
      <c r="L217" s="1"/>
      <c r="M217" s="1"/>
      <c r="N217" s="1"/>
      <c r="O217" s="1"/>
      <c r="P217" s="1"/>
      <c r="Q217" s="1"/>
      <c r="R217" s="1"/>
      <c r="S217" s="1"/>
      <c r="T217" s="1"/>
      <c r="U217" s="1"/>
      <c r="V217" s="1"/>
      <c r="W217" s="1"/>
      <c r="X217" s="1"/>
      <c r="Y217" s="1"/>
      <c r="Z217" s="1"/>
    </row>
    <row r="218" spans="1:26" ht="12.75" customHeight="1" x14ac:dyDescent="0.25">
      <c r="A218" s="1"/>
      <c r="B218" s="1"/>
      <c r="C218" s="3"/>
      <c r="D218" s="3"/>
      <c r="E218" s="5"/>
      <c r="F218" s="5"/>
      <c r="G218" s="3"/>
      <c r="H218" s="5"/>
      <c r="I218" s="1"/>
      <c r="J218" s="7"/>
      <c r="K218" s="1"/>
      <c r="L218" s="1"/>
      <c r="M218" s="1"/>
      <c r="N218" s="1"/>
      <c r="O218" s="1"/>
      <c r="P218" s="1"/>
      <c r="Q218" s="1"/>
      <c r="R218" s="1"/>
      <c r="S218" s="1"/>
      <c r="T218" s="1"/>
      <c r="U218" s="1"/>
      <c r="V218" s="1"/>
      <c r="W218" s="1"/>
      <c r="X218" s="1"/>
      <c r="Y218" s="1"/>
      <c r="Z218" s="1"/>
    </row>
    <row r="219" spans="1:26" ht="12.75" customHeight="1" x14ac:dyDescent="0.25">
      <c r="A219" s="1"/>
      <c r="B219" s="1"/>
      <c r="C219" s="3"/>
      <c r="D219" s="3"/>
      <c r="E219" s="5"/>
      <c r="F219" s="5"/>
      <c r="G219" s="3"/>
      <c r="H219" s="5"/>
      <c r="I219" s="1"/>
      <c r="J219" s="7"/>
      <c r="K219" s="1"/>
      <c r="L219" s="1"/>
      <c r="M219" s="1"/>
      <c r="N219" s="1"/>
      <c r="O219" s="1"/>
      <c r="P219" s="1"/>
      <c r="Q219" s="1"/>
      <c r="R219" s="1"/>
      <c r="S219" s="1"/>
      <c r="T219" s="1"/>
      <c r="U219" s="1"/>
      <c r="V219" s="1"/>
      <c r="W219" s="1"/>
      <c r="X219" s="1"/>
      <c r="Y219" s="1"/>
      <c r="Z219" s="1"/>
    </row>
    <row r="220" spans="1:26" ht="12.75" customHeight="1" x14ac:dyDescent="0.25">
      <c r="A220" s="1"/>
      <c r="B220" s="1"/>
      <c r="C220" s="3"/>
      <c r="D220" s="3"/>
      <c r="E220" s="5"/>
      <c r="F220" s="5"/>
      <c r="G220" s="3"/>
      <c r="H220" s="5"/>
      <c r="I220" s="1"/>
      <c r="J220" s="7"/>
      <c r="K220" s="1"/>
      <c r="L220" s="1"/>
      <c r="M220" s="1"/>
      <c r="N220" s="1"/>
      <c r="O220" s="1"/>
      <c r="P220" s="1"/>
      <c r="Q220" s="1"/>
      <c r="R220" s="1"/>
      <c r="S220" s="1"/>
      <c r="T220" s="1"/>
      <c r="U220" s="1"/>
      <c r="V220" s="1"/>
      <c r="W220" s="1"/>
      <c r="X220" s="1"/>
      <c r="Y220" s="1"/>
      <c r="Z220" s="1"/>
    </row>
    <row r="221" spans="1:26" ht="12.75" customHeight="1" x14ac:dyDescent="0.25">
      <c r="A221" s="1"/>
      <c r="B221" s="1"/>
      <c r="C221" s="3"/>
      <c r="D221" s="3"/>
      <c r="E221" s="5"/>
      <c r="F221" s="5"/>
      <c r="G221" s="3"/>
      <c r="H221" s="5"/>
      <c r="I221" s="1"/>
      <c r="J221" s="7"/>
      <c r="K221" s="1"/>
      <c r="L221" s="1"/>
      <c r="M221" s="1"/>
      <c r="N221" s="1"/>
      <c r="O221" s="1"/>
      <c r="P221" s="1"/>
      <c r="Q221" s="1"/>
      <c r="R221" s="1"/>
      <c r="S221" s="1"/>
      <c r="T221" s="1"/>
      <c r="U221" s="1"/>
      <c r="V221" s="1"/>
      <c r="W221" s="1"/>
      <c r="X221" s="1"/>
      <c r="Y221" s="1"/>
      <c r="Z221" s="1"/>
    </row>
    <row r="222" spans="1:26" ht="12.75" customHeight="1" x14ac:dyDescent="0.25">
      <c r="A222" s="1"/>
      <c r="B222" s="1"/>
      <c r="C222" s="3"/>
      <c r="D222" s="3"/>
      <c r="E222" s="5"/>
      <c r="F222" s="5"/>
      <c r="G222" s="3"/>
      <c r="H222" s="5"/>
      <c r="I222" s="1"/>
      <c r="J222" s="7"/>
      <c r="K222" s="1"/>
      <c r="L222" s="1"/>
      <c r="M222" s="1"/>
      <c r="N222" s="1"/>
      <c r="O222" s="1"/>
      <c r="P222" s="1"/>
      <c r="Q222" s="1"/>
      <c r="R222" s="1"/>
      <c r="S222" s="1"/>
      <c r="T222" s="1"/>
      <c r="U222" s="1"/>
      <c r="V222" s="1"/>
      <c r="W222" s="1"/>
      <c r="X222" s="1"/>
      <c r="Y222" s="1"/>
      <c r="Z222" s="1"/>
    </row>
    <row r="223" spans="1:26" ht="12.75" customHeight="1" x14ac:dyDescent="0.25">
      <c r="A223" s="1"/>
      <c r="B223" s="1"/>
      <c r="C223" s="3"/>
      <c r="D223" s="3"/>
      <c r="E223" s="5"/>
      <c r="F223" s="5"/>
      <c r="G223" s="3"/>
      <c r="H223" s="5"/>
      <c r="I223" s="1"/>
      <c r="J223" s="7"/>
      <c r="K223" s="1"/>
      <c r="L223" s="1"/>
      <c r="M223" s="1"/>
      <c r="N223" s="1"/>
      <c r="O223" s="1"/>
      <c r="P223" s="1"/>
      <c r="Q223" s="1"/>
      <c r="R223" s="1"/>
      <c r="S223" s="1"/>
      <c r="T223" s="1"/>
      <c r="U223" s="1"/>
      <c r="V223" s="1"/>
      <c r="W223" s="1"/>
      <c r="X223" s="1"/>
      <c r="Y223" s="1"/>
      <c r="Z223" s="1"/>
    </row>
    <row r="224" spans="1:26" ht="12.75" customHeight="1" x14ac:dyDescent="0.25">
      <c r="A224" s="1"/>
      <c r="B224" s="1"/>
      <c r="C224" s="3"/>
      <c r="D224" s="3"/>
      <c r="E224" s="5"/>
      <c r="F224" s="5"/>
      <c r="G224" s="3"/>
      <c r="H224" s="5"/>
      <c r="I224" s="1"/>
      <c r="J224" s="7"/>
      <c r="K224" s="1"/>
      <c r="L224" s="1"/>
      <c r="M224" s="1"/>
      <c r="N224" s="1"/>
      <c r="O224" s="1"/>
      <c r="P224" s="1"/>
      <c r="Q224" s="1"/>
      <c r="R224" s="1"/>
      <c r="S224" s="1"/>
      <c r="T224" s="1"/>
      <c r="U224" s="1"/>
      <c r="V224" s="1"/>
      <c r="W224" s="1"/>
      <c r="X224" s="1"/>
      <c r="Y224" s="1"/>
      <c r="Z224" s="1"/>
    </row>
    <row r="225" spans="1:26" ht="12.75" customHeight="1" x14ac:dyDescent="0.25">
      <c r="A225" s="1"/>
      <c r="B225" s="1"/>
      <c r="C225" s="3"/>
      <c r="D225" s="3"/>
      <c r="E225" s="5"/>
      <c r="F225" s="5"/>
      <c r="G225" s="3"/>
      <c r="H225" s="5"/>
      <c r="I225" s="1"/>
      <c r="J225" s="7"/>
      <c r="K225" s="1"/>
      <c r="L225" s="1"/>
      <c r="M225" s="1"/>
      <c r="N225" s="1"/>
      <c r="O225" s="1"/>
      <c r="P225" s="1"/>
      <c r="Q225" s="1"/>
      <c r="R225" s="1"/>
      <c r="S225" s="1"/>
      <c r="T225" s="1"/>
      <c r="U225" s="1"/>
      <c r="V225" s="1"/>
      <c r="W225" s="1"/>
      <c r="X225" s="1"/>
      <c r="Y225" s="1"/>
      <c r="Z225" s="1"/>
    </row>
    <row r="226" spans="1:26" ht="12.75" customHeight="1" x14ac:dyDescent="0.25">
      <c r="A226" s="1"/>
      <c r="B226" s="1"/>
      <c r="C226" s="3"/>
      <c r="D226" s="3"/>
      <c r="E226" s="5"/>
      <c r="F226" s="5"/>
      <c r="G226" s="3"/>
      <c r="H226" s="5"/>
      <c r="I226" s="1"/>
      <c r="J226" s="7"/>
      <c r="K226" s="1"/>
      <c r="L226" s="1"/>
      <c r="M226" s="1"/>
      <c r="N226" s="1"/>
      <c r="O226" s="1"/>
      <c r="P226" s="1"/>
      <c r="Q226" s="1"/>
      <c r="R226" s="1"/>
      <c r="S226" s="1"/>
      <c r="T226" s="1"/>
      <c r="U226" s="1"/>
      <c r="V226" s="1"/>
      <c r="W226" s="1"/>
      <c r="X226" s="1"/>
      <c r="Y226" s="1"/>
      <c r="Z226" s="1"/>
    </row>
    <row r="227" spans="1:26" ht="12.75" customHeight="1" x14ac:dyDescent="0.25">
      <c r="A227" s="1"/>
      <c r="B227" s="1"/>
      <c r="C227" s="3"/>
      <c r="D227" s="3"/>
      <c r="E227" s="5"/>
      <c r="F227" s="5"/>
      <c r="G227" s="3"/>
      <c r="H227" s="5"/>
      <c r="I227" s="1"/>
      <c r="J227" s="7"/>
      <c r="K227" s="1"/>
      <c r="L227" s="1"/>
      <c r="M227" s="1"/>
      <c r="N227" s="1"/>
      <c r="O227" s="1"/>
      <c r="P227" s="1"/>
      <c r="Q227" s="1"/>
      <c r="R227" s="1"/>
      <c r="S227" s="1"/>
      <c r="T227" s="1"/>
      <c r="U227" s="1"/>
      <c r="V227" s="1"/>
      <c r="W227" s="1"/>
      <c r="X227" s="1"/>
      <c r="Y227" s="1"/>
      <c r="Z227" s="1"/>
    </row>
    <row r="228" spans="1:26" ht="12.75" customHeight="1" x14ac:dyDescent="0.25">
      <c r="A228" s="1"/>
      <c r="B228" s="1"/>
      <c r="C228" s="3"/>
      <c r="D228" s="3"/>
      <c r="E228" s="5"/>
      <c r="F228" s="5"/>
      <c r="G228" s="3"/>
      <c r="H228" s="5"/>
      <c r="I228" s="1"/>
      <c r="J228" s="7"/>
      <c r="K228" s="1"/>
      <c r="L228" s="1"/>
      <c r="M228" s="1"/>
      <c r="N228" s="1"/>
      <c r="O228" s="1"/>
      <c r="P228" s="1"/>
      <c r="Q228" s="1"/>
      <c r="R228" s="1"/>
      <c r="S228" s="1"/>
      <c r="T228" s="1"/>
      <c r="U228" s="1"/>
      <c r="V228" s="1"/>
      <c r="W228" s="1"/>
      <c r="X228" s="1"/>
      <c r="Y228" s="1"/>
      <c r="Z228" s="1"/>
    </row>
    <row r="229" spans="1:26" ht="12.75" customHeight="1" x14ac:dyDescent="0.25">
      <c r="A229" s="1"/>
      <c r="B229" s="1"/>
      <c r="C229" s="3"/>
      <c r="D229" s="3"/>
      <c r="E229" s="5"/>
      <c r="F229" s="5"/>
      <c r="G229" s="3"/>
      <c r="H229" s="5"/>
      <c r="I229" s="1"/>
      <c r="J229" s="7"/>
      <c r="K229" s="1"/>
      <c r="L229" s="1"/>
      <c r="M229" s="1"/>
      <c r="N229" s="1"/>
      <c r="O229" s="1"/>
      <c r="P229" s="1"/>
      <c r="Q229" s="1"/>
      <c r="R229" s="1"/>
      <c r="S229" s="1"/>
      <c r="T229" s="1"/>
      <c r="U229" s="1"/>
      <c r="V229" s="1"/>
      <c r="W229" s="1"/>
      <c r="X229" s="1"/>
      <c r="Y229" s="1"/>
      <c r="Z229" s="1"/>
    </row>
    <row r="230" spans="1:26" ht="12.75" customHeight="1" x14ac:dyDescent="0.25">
      <c r="A230" s="1"/>
      <c r="B230" s="1"/>
      <c r="C230" s="3"/>
      <c r="D230" s="3"/>
      <c r="E230" s="5"/>
      <c r="F230" s="5"/>
      <c r="G230" s="3"/>
      <c r="H230" s="5"/>
      <c r="I230" s="1"/>
      <c r="J230" s="7"/>
      <c r="K230" s="1"/>
      <c r="L230" s="1"/>
      <c r="M230" s="1"/>
      <c r="N230" s="1"/>
      <c r="O230" s="1"/>
      <c r="P230" s="1"/>
      <c r="Q230" s="1"/>
      <c r="R230" s="1"/>
      <c r="S230" s="1"/>
      <c r="T230" s="1"/>
      <c r="U230" s="1"/>
      <c r="V230" s="1"/>
      <c r="W230" s="1"/>
      <c r="X230" s="1"/>
      <c r="Y230" s="1"/>
      <c r="Z230" s="1"/>
    </row>
    <row r="231" spans="1:26" ht="12.75" customHeight="1" x14ac:dyDescent="0.25">
      <c r="A231" s="1"/>
      <c r="B231" s="1"/>
      <c r="C231" s="3"/>
      <c r="D231" s="3"/>
      <c r="E231" s="5"/>
      <c r="F231" s="5"/>
      <c r="G231" s="3"/>
      <c r="H231" s="5"/>
      <c r="I231" s="1"/>
      <c r="J231" s="7"/>
      <c r="K231" s="1"/>
      <c r="L231" s="1"/>
      <c r="M231" s="1"/>
      <c r="N231" s="1"/>
      <c r="O231" s="1"/>
      <c r="P231" s="1"/>
      <c r="Q231" s="1"/>
      <c r="R231" s="1"/>
      <c r="S231" s="1"/>
      <c r="T231" s="1"/>
      <c r="U231" s="1"/>
      <c r="V231" s="1"/>
      <c r="W231" s="1"/>
      <c r="X231" s="1"/>
      <c r="Y231" s="1"/>
      <c r="Z231" s="1"/>
    </row>
    <row r="232" spans="1:26" ht="12.75" customHeight="1" x14ac:dyDescent="0.25">
      <c r="A232" s="1"/>
      <c r="B232" s="1"/>
      <c r="C232" s="3"/>
      <c r="D232" s="3"/>
      <c r="E232" s="5"/>
      <c r="F232" s="5"/>
      <c r="G232" s="3"/>
      <c r="H232" s="5"/>
      <c r="I232" s="1"/>
      <c r="J232" s="7"/>
      <c r="K232" s="1"/>
      <c r="L232" s="1"/>
      <c r="M232" s="1"/>
      <c r="N232" s="1"/>
      <c r="O232" s="1"/>
      <c r="P232" s="1"/>
      <c r="Q232" s="1"/>
      <c r="R232" s="1"/>
      <c r="S232" s="1"/>
      <c r="T232" s="1"/>
      <c r="U232" s="1"/>
      <c r="V232" s="1"/>
      <c r="W232" s="1"/>
      <c r="X232" s="1"/>
      <c r="Y232" s="1"/>
      <c r="Z232" s="1"/>
    </row>
    <row r="233" spans="1:26" ht="12.75" customHeight="1" x14ac:dyDescent="0.25">
      <c r="A233" s="1"/>
      <c r="B233" s="1"/>
      <c r="C233" s="3"/>
      <c r="D233" s="3"/>
      <c r="E233" s="5"/>
      <c r="F233" s="5"/>
      <c r="G233" s="3"/>
      <c r="H233" s="5"/>
      <c r="I233" s="1"/>
      <c r="J233" s="7"/>
      <c r="K233" s="1"/>
      <c r="L233" s="1"/>
      <c r="M233" s="1"/>
      <c r="N233" s="1"/>
      <c r="O233" s="1"/>
      <c r="P233" s="1"/>
      <c r="Q233" s="1"/>
      <c r="R233" s="1"/>
      <c r="S233" s="1"/>
      <c r="T233" s="1"/>
      <c r="U233" s="1"/>
      <c r="V233" s="1"/>
      <c r="W233" s="1"/>
      <c r="X233" s="1"/>
      <c r="Y233" s="1"/>
      <c r="Z233" s="1"/>
    </row>
    <row r="234" spans="1:26" ht="12.75" customHeight="1" x14ac:dyDescent="0.25">
      <c r="A234" s="1"/>
      <c r="B234" s="1"/>
      <c r="C234" s="3"/>
      <c r="D234" s="3"/>
      <c r="E234" s="5"/>
      <c r="F234" s="5"/>
      <c r="G234" s="3"/>
      <c r="H234" s="5"/>
      <c r="I234" s="1"/>
      <c r="J234" s="7"/>
      <c r="K234" s="1"/>
      <c r="L234" s="1"/>
      <c r="M234" s="1"/>
      <c r="N234" s="1"/>
      <c r="O234" s="1"/>
      <c r="P234" s="1"/>
      <c r="Q234" s="1"/>
      <c r="R234" s="1"/>
      <c r="S234" s="1"/>
      <c r="T234" s="1"/>
      <c r="U234" s="1"/>
      <c r="V234" s="1"/>
      <c r="W234" s="1"/>
      <c r="X234" s="1"/>
      <c r="Y234" s="1"/>
      <c r="Z234" s="1"/>
    </row>
    <row r="235" spans="1:26" ht="12.75" customHeight="1" x14ac:dyDescent="0.25">
      <c r="A235" s="1"/>
      <c r="B235" s="1"/>
      <c r="C235" s="3"/>
      <c r="D235" s="3"/>
      <c r="E235" s="5"/>
      <c r="F235" s="5"/>
      <c r="G235" s="3"/>
      <c r="H235" s="5"/>
      <c r="I235" s="1"/>
      <c r="J235" s="7"/>
      <c r="K235" s="1"/>
      <c r="L235" s="1"/>
      <c r="M235" s="1"/>
      <c r="N235" s="1"/>
      <c r="O235" s="1"/>
      <c r="P235" s="1"/>
      <c r="Q235" s="1"/>
      <c r="R235" s="1"/>
      <c r="S235" s="1"/>
      <c r="T235" s="1"/>
      <c r="U235" s="1"/>
      <c r="V235" s="1"/>
      <c r="W235" s="1"/>
      <c r="X235" s="1"/>
      <c r="Y235" s="1"/>
      <c r="Z235" s="1"/>
    </row>
    <row r="236" spans="1:26" ht="12.75" customHeight="1" x14ac:dyDescent="0.25">
      <c r="A236" s="1"/>
      <c r="B236" s="1"/>
      <c r="C236" s="3"/>
      <c r="D236" s="3"/>
      <c r="E236" s="5"/>
      <c r="F236" s="5"/>
      <c r="G236" s="3"/>
      <c r="H236" s="5"/>
      <c r="I236" s="1"/>
      <c r="J236" s="7"/>
      <c r="K236" s="1"/>
      <c r="L236" s="1"/>
      <c r="M236" s="1"/>
      <c r="N236" s="1"/>
      <c r="O236" s="1"/>
      <c r="P236" s="1"/>
      <c r="Q236" s="1"/>
      <c r="R236" s="1"/>
      <c r="S236" s="1"/>
      <c r="T236" s="1"/>
      <c r="U236" s="1"/>
      <c r="V236" s="1"/>
      <c r="W236" s="1"/>
      <c r="X236" s="1"/>
      <c r="Y236" s="1"/>
      <c r="Z236" s="1"/>
    </row>
    <row r="237" spans="1:26" ht="12.75" customHeight="1" x14ac:dyDescent="0.25">
      <c r="A237" s="1"/>
      <c r="B237" s="1"/>
      <c r="C237" s="3"/>
      <c r="D237" s="3"/>
      <c r="E237" s="5"/>
      <c r="F237" s="5"/>
      <c r="G237" s="3"/>
      <c r="H237" s="5"/>
      <c r="I237" s="1"/>
      <c r="J237" s="7"/>
      <c r="K237" s="1"/>
      <c r="L237" s="1"/>
      <c r="M237" s="1"/>
      <c r="N237" s="1"/>
      <c r="O237" s="1"/>
      <c r="P237" s="1"/>
      <c r="Q237" s="1"/>
      <c r="R237" s="1"/>
      <c r="S237" s="1"/>
      <c r="T237" s="1"/>
      <c r="U237" s="1"/>
      <c r="V237" s="1"/>
      <c r="W237" s="1"/>
      <c r="X237" s="1"/>
      <c r="Y237" s="1"/>
      <c r="Z237" s="1"/>
    </row>
    <row r="238" spans="1:26" ht="12.75" customHeight="1" x14ac:dyDescent="0.25">
      <c r="A238" s="1"/>
      <c r="B238" s="1"/>
      <c r="C238" s="3"/>
      <c r="D238" s="3"/>
      <c r="E238" s="5"/>
      <c r="F238" s="5"/>
      <c r="G238" s="3"/>
      <c r="H238" s="5"/>
      <c r="I238" s="1"/>
      <c r="J238" s="7"/>
      <c r="K238" s="1"/>
      <c r="L238" s="1"/>
      <c r="M238" s="1"/>
      <c r="N238" s="1"/>
      <c r="O238" s="1"/>
      <c r="P238" s="1"/>
      <c r="Q238" s="1"/>
      <c r="R238" s="1"/>
      <c r="S238" s="1"/>
      <c r="T238" s="1"/>
      <c r="U238" s="1"/>
      <c r="V238" s="1"/>
      <c r="W238" s="1"/>
      <c r="X238" s="1"/>
      <c r="Y238" s="1"/>
      <c r="Z238" s="1"/>
    </row>
    <row r="239" spans="1:26" ht="12.75" customHeight="1" x14ac:dyDescent="0.25">
      <c r="A239" s="1"/>
      <c r="B239" s="1"/>
      <c r="C239" s="3"/>
      <c r="D239" s="3"/>
      <c r="E239" s="5"/>
      <c r="F239" s="5"/>
      <c r="G239" s="3"/>
      <c r="H239" s="5"/>
      <c r="I239" s="1"/>
      <c r="J239" s="7"/>
      <c r="K239" s="1"/>
      <c r="L239" s="1"/>
      <c r="M239" s="1"/>
      <c r="N239" s="1"/>
      <c r="O239" s="1"/>
      <c r="P239" s="1"/>
      <c r="Q239" s="1"/>
      <c r="R239" s="1"/>
      <c r="S239" s="1"/>
      <c r="T239" s="1"/>
      <c r="U239" s="1"/>
      <c r="V239" s="1"/>
      <c r="W239" s="1"/>
      <c r="X239" s="1"/>
      <c r="Y239" s="1"/>
      <c r="Z239" s="1"/>
    </row>
    <row r="240" spans="1:26" ht="12.75" customHeight="1" x14ac:dyDescent="0.25">
      <c r="A240" s="1"/>
      <c r="B240" s="1"/>
      <c r="C240" s="3"/>
      <c r="D240" s="3"/>
      <c r="E240" s="5"/>
      <c r="F240" s="5"/>
      <c r="G240" s="3"/>
      <c r="H240" s="5"/>
      <c r="I240" s="1"/>
      <c r="J240" s="7"/>
      <c r="K240" s="1"/>
      <c r="L240" s="1"/>
      <c r="M240" s="1"/>
      <c r="N240" s="1"/>
      <c r="O240" s="1"/>
      <c r="P240" s="1"/>
      <c r="Q240" s="1"/>
      <c r="R240" s="1"/>
      <c r="S240" s="1"/>
      <c r="T240" s="1"/>
      <c r="U240" s="1"/>
      <c r="V240" s="1"/>
      <c r="W240" s="1"/>
      <c r="X240" s="1"/>
      <c r="Y240" s="1"/>
      <c r="Z240" s="1"/>
    </row>
    <row r="241" spans="1:26" ht="12.75" customHeight="1" x14ac:dyDescent="0.25">
      <c r="A241" s="1"/>
      <c r="B241" s="1"/>
      <c r="C241" s="3"/>
      <c r="D241" s="3"/>
      <c r="E241" s="5"/>
      <c r="F241" s="5"/>
      <c r="G241" s="3"/>
      <c r="H241" s="5"/>
      <c r="I241" s="1"/>
      <c r="J241" s="7"/>
      <c r="K241" s="1"/>
      <c r="L241" s="1"/>
      <c r="M241" s="1"/>
      <c r="N241" s="1"/>
      <c r="O241" s="1"/>
      <c r="P241" s="1"/>
      <c r="Q241" s="1"/>
      <c r="R241" s="1"/>
      <c r="S241" s="1"/>
      <c r="T241" s="1"/>
      <c r="U241" s="1"/>
      <c r="V241" s="1"/>
      <c r="W241" s="1"/>
      <c r="X241" s="1"/>
      <c r="Y241" s="1"/>
      <c r="Z241" s="1"/>
    </row>
    <row r="242" spans="1:26" ht="12.75" customHeight="1" x14ac:dyDescent="0.25">
      <c r="A242" s="1"/>
      <c r="B242" s="1"/>
      <c r="C242" s="3"/>
      <c r="D242" s="3"/>
      <c r="E242" s="5"/>
      <c r="F242" s="5"/>
      <c r="G242" s="3"/>
      <c r="H242" s="5"/>
      <c r="I242" s="1"/>
      <c r="J242" s="7"/>
      <c r="K242" s="1"/>
      <c r="L242" s="1"/>
      <c r="M242" s="1"/>
      <c r="N242" s="1"/>
      <c r="O242" s="1"/>
      <c r="P242" s="1"/>
      <c r="Q242" s="1"/>
      <c r="R242" s="1"/>
      <c r="S242" s="1"/>
      <c r="T242" s="1"/>
      <c r="U242" s="1"/>
      <c r="V242" s="1"/>
      <c r="W242" s="1"/>
      <c r="X242" s="1"/>
      <c r="Y242" s="1"/>
      <c r="Z242" s="1"/>
    </row>
    <row r="243" spans="1:26" ht="12.75" customHeight="1" x14ac:dyDescent="0.25">
      <c r="A243" s="1"/>
      <c r="B243" s="1"/>
      <c r="C243" s="3"/>
      <c r="D243" s="3"/>
      <c r="E243" s="5"/>
      <c r="F243" s="5"/>
      <c r="G243" s="3"/>
      <c r="H243" s="5"/>
      <c r="I243" s="1"/>
      <c r="J243" s="7"/>
      <c r="K243" s="1"/>
      <c r="L243" s="1"/>
      <c r="M243" s="1"/>
      <c r="N243" s="1"/>
      <c r="O243" s="1"/>
      <c r="P243" s="1"/>
      <c r="Q243" s="1"/>
      <c r="R243" s="1"/>
      <c r="S243" s="1"/>
      <c r="T243" s="1"/>
      <c r="U243" s="1"/>
      <c r="V243" s="1"/>
      <c r="W243" s="1"/>
      <c r="X243" s="1"/>
      <c r="Y243" s="1"/>
      <c r="Z243" s="1"/>
    </row>
    <row r="244" spans="1:26" ht="12.75" customHeight="1" x14ac:dyDescent="0.25">
      <c r="A244" s="1"/>
      <c r="B244" s="1"/>
      <c r="C244" s="3"/>
      <c r="D244" s="3"/>
      <c r="E244" s="5"/>
      <c r="F244" s="5"/>
      <c r="G244" s="3"/>
      <c r="H244" s="5"/>
      <c r="I244" s="1"/>
      <c r="J244" s="7"/>
      <c r="K244" s="1"/>
      <c r="L244" s="1"/>
      <c r="M244" s="1"/>
      <c r="N244" s="1"/>
      <c r="O244" s="1"/>
      <c r="P244" s="1"/>
      <c r="Q244" s="1"/>
      <c r="R244" s="1"/>
      <c r="S244" s="1"/>
      <c r="T244" s="1"/>
      <c r="U244" s="1"/>
      <c r="V244" s="1"/>
      <c r="W244" s="1"/>
      <c r="X244" s="1"/>
      <c r="Y244" s="1"/>
      <c r="Z244" s="1"/>
    </row>
    <row r="245" spans="1:26" ht="12.75" customHeight="1" x14ac:dyDescent="0.25">
      <c r="A245" s="1"/>
      <c r="B245" s="1"/>
      <c r="C245" s="3"/>
      <c r="D245" s="3"/>
      <c r="E245" s="5"/>
      <c r="F245" s="5"/>
      <c r="G245" s="3"/>
      <c r="H245" s="5"/>
      <c r="I245" s="1"/>
      <c r="J245" s="7"/>
      <c r="K245" s="1"/>
      <c r="L245" s="1"/>
      <c r="M245" s="1"/>
      <c r="N245" s="1"/>
      <c r="O245" s="1"/>
      <c r="P245" s="1"/>
      <c r="Q245" s="1"/>
      <c r="R245" s="1"/>
      <c r="S245" s="1"/>
      <c r="T245" s="1"/>
      <c r="U245" s="1"/>
      <c r="V245" s="1"/>
      <c r="W245" s="1"/>
      <c r="X245" s="1"/>
      <c r="Y245" s="1"/>
      <c r="Z245" s="1"/>
    </row>
    <row r="246" spans="1:26" ht="12.75" customHeight="1" x14ac:dyDescent="0.25">
      <c r="A246" s="1"/>
      <c r="B246" s="1"/>
      <c r="C246" s="3"/>
      <c r="D246" s="3"/>
      <c r="E246" s="5"/>
      <c r="F246" s="5"/>
      <c r="G246" s="3"/>
      <c r="H246" s="5"/>
      <c r="I246" s="1"/>
      <c r="J246" s="7"/>
      <c r="K246" s="1"/>
      <c r="L246" s="1"/>
      <c r="M246" s="1"/>
      <c r="N246" s="1"/>
      <c r="O246" s="1"/>
      <c r="P246" s="1"/>
      <c r="Q246" s="1"/>
      <c r="R246" s="1"/>
      <c r="S246" s="1"/>
      <c r="T246" s="1"/>
      <c r="U246" s="1"/>
      <c r="V246" s="1"/>
      <c r="W246" s="1"/>
      <c r="X246" s="1"/>
      <c r="Y246" s="1"/>
      <c r="Z246" s="1"/>
    </row>
    <row r="247" spans="1:26" ht="12.75" customHeight="1" x14ac:dyDescent="0.25">
      <c r="A247" s="1"/>
      <c r="B247" s="1"/>
      <c r="C247" s="3"/>
      <c r="D247" s="3"/>
      <c r="E247" s="5"/>
      <c r="F247" s="5"/>
      <c r="G247" s="3"/>
      <c r="H247" s="5"/>
      <c r="I247" s="1"/>
      <c r="J247" s="7"/>
      <c r="K247" s="1"/>
      <c r="L247" s="1"/>
      <c r="M247" s="1"/>
      <c r="N247" s="1"/>
      <c r="O247" s="1"/>
      <c r="P247" s="1"/>
      <c r="Q247" s="1"/>
      <c r="R247" s="1"/>
      <c r="S247" s="1"/>
      <c r="T247" s="1"/>
      <c r="U247" s="1"/>
      <c r="V247" s="1"/>
      <c r="W247" s="1"/>
      <c r="X247" s="1"/>
      <c r="Y247" s="1"/>
      <c r="Z247" s="1"/>
    </row>
    <row r="248" spans="1:26" ht="12.75" customHeight="1" x14ac:dyDescent="0.25">
      <c r="A248" s="1"/>
      <c r="B248" s="1"/>
      <c r="C248" s="3"/>
      <c r="D248" s="3"/>
      <c r="E248" s="5"/>
      <c r="F248" s="5"/>
      <c r="G248" s="3"/>
      <c r="H248" s="5"/>
      <c r="I248" s="1"/>
      <c r="J248" s="7"/>
      <c r="K248" s="1"/>
      <c r="L248" s="1"/>
      <c r="M248" s="1"/>
      <c r="N248" s="1"/>
      <c r="O248" s="1"/>
      <c r="P248" s="1"/>
      <c r="Q248" s="1"/>
      <c r="R248" s="1"/>
      <c r="S248" s="1"/>
      <c r="T248" s="1"/>
      <c r="U248" s="1"/>
      <c r="V248" s="1"/>
      <c r="W248" s="1"/>
      <c r="X248" s="1"/>
      <c r="Y248" s="1"/>
      <c r="Z248" s="1"/>
    </row>
    <row r="249" spans="1:26" ht="12.75" customHeight="1" x14ac:dyDescent="0.25">
      <c r="A249" s="1"/>
      <c r="B249" s="1"/>
      <c r="C249" s="3"/>
      <c r="D249" s="3"/>
      <c r="E249" s="5"/>
      <c r="F249" s="5"/>
      <c r="G249" s="3"/>
      <c r="H249" s="5"/>
      <c r="I249" s="1"/>
      <c r="J249" s="7"/>
      <c r="K249" s="1"/>
      <c r="L249" s="1"/>
      <c r="M249" s="1"/>
      <c r="N249" s="1"/>
      <c r="O249" s="1"/>
      <c r="P249" s="1"/>
      <c r="Q249" s="1"/>
      <c r="R249" s="1"/>
      <c r="S249" s="1"/>
      <c r="T249" s="1"/>
      <c r="U249" s="1"/>
      <c r="V249" s="1"/>
      <c r="W249" s="1"/>
      <c r="X249" s="1"/>
      <c r="Y249" s="1"/>
      <c r="Z249" s="1"/>
    </row>
    <row r="250" spans="1:26" ht="12.75" customHeight="1" x14ac:dyDescent="0.25">
      <c r="A250" s="1"/>
      <c r="B250" s="1"/>
      <c r="C250" s="3"/>
      <c r="D250" s="3"/>
      <c r="E250" s="5"/>
      <c r="F250" s="5"/>
      <c r="G250" s="3"/>
      <c r="H250" s="5"/>
      <c r="I250" s="1"/>
      <c r="J250" s="7"/>
      <c r="K250" s="1"/>
      <c r="L250" s="1"/>
      <c r="M250" s="1"/>
      <c r="N250" s="1"/>
      <c r="O250" s="1"/>
      <c r="P250" s="1"/>
      <c r="Q250" s="1"/>
      <c r="R250" s="1"/>
      <c r="S250" s="1"/>
      <c r="T250" s="1"/>
      <c r="U250" s="1"/>
      <c r="V250" s="1"/>
      <c r="W250" s="1"/>
      <c r="X250" s="1"/>
      <c r="Y250" s="1"/>
      <c r="Z250" s="1"/>
    </row>
    <row r="251" spans="1:26" ht="12.75" customHeight="1" x14ac:dyDescent="0.25">
      <c r="A251" s="1"/>
      <c r="B251" s="1"/>
      <c r="C251" s="3"/>
      <c r="D251" s="3"/>
      <c r="E251" s="5"/>
      <c r="F251" s="5"/>
      <c r="G251" s="3"/>
      <c r="H251" s="5"/>
      <c r="I251" s="1"/>
      <c r="J251" s="7"/>
      <c r="K251" s="1"/>
      <c r="L251" s="1"/>
      <c r="M251" s="1"/>
      <c r="N251" s="1"/>
      <c r="O251" s="1"/>
      <c r="P251" s="1"/>
      <c r="Q251" s="1"/>
      <c r="R251" s="1"/>
      <c r="S251" s="1"/>
      <c r="T251" s="1"/>
      <c r="U251" s="1"/>
      <c r="V251" s="1"/>
      <c r="W251" s="1"/>
      <c r="X251" s="1"/>
      <c r="Y251" s="1"/>
      <c r="Z251" s="1"/>
    </row>
    <row r="252" spans="1:26" ht="12.75" customHeight="1" x14ac:dyDescent="0.25">
      <c r="A252" s="1"/>
      <c r="B252" s="1"/>
      <c r="C252" s="3"/>
      <c r="D252" s="3"/>
      <c r="E252" s="5"/>
      <c r="F252" s="5"/>
      <c r="G252" s="3"/>
      <c r="H252" s="5"/>
      <c r="I252" s="1"/>
      <c r="J252" s="7"/>
      <c r="K252" s="1"/>
      <c r="L252" s="1"/>
      <c r="M252" s="1"/>
      <c r="N252" s="1"/>
      <c r="O252" s="1"/>
      <c r="P252" s="1"/>
      <c r="Q252" s="1"/>
      <c r="R252" s="1"/>
      <c r="S252" s="1"/>
      <c r="T252" s="1"/>
      <c r="U252" s="1"/>
      <c r="V252" s="1"/>
      <c r="W252" s="1"/>
      <c r="X252" s="1"/>
      <c r="Y252" s="1"/>
      <c r="Z252" s="1"/>
    </row>
    <row r="253" spans="1:26" ht="12.75" customHeight="1" x14ac:dyDescent="0.25">
      <c r="A253" s="1"/>
      <c r="B253" s="1"/>
      <c r="C253" s="3"/>
      <c r="D253" s="3"/>
      <c r="E253" s="5"/>
      <c r="F253" s="5"/>
      <c r="G253" s="3"/>
      <c r="H253" s="5"/>
      <c r="I253" s="1"/>
      <c r="J253" s="7"/>
      <c r="K253" s="1"/>
      <c r="L253" s="1"/>
      <c r="M253" s="1"/>
      <c r="N253" s="1"/>
      <c r="O253" s="1"/>
      <c r="P253" s="1"/>
      <c r="Q253" s="1"/>
      <c r="R253" s="1"/>
      <c r="S253" s="1"/>
      <c r="T253" s="1"/>
      <c r="U253" s="1"/>
      <c r="V253" s="1"/>
      <c r="W253" s="1"/>
      <c r="X253" s="1"/>
      <c r="Y253" s="1"/>
      <c r="Z253" s="1"/>
    </row>
    <row r="254" spans="1:26" ht="12.75" customHeight="1" x14ac:dyDescent="0.25">
      <c r="A254" s="1"/>
      <c r="B254" s="1"/>
      <c r="C254" s="3"/>
      <c r="D254" s="3"/>
      <c r="E254" s="5"/>
      <c r="F254" s="5"/>
      <c r="G254" s="3"/>
      <c r="H254" s="5"/>
      <c r="I254" s="1"/>
      <c r="J254" s="7"/>
      <c r="K254" s="1"/>
      <c r="L254" s="1"/>
      <c r="M254" s="1"/>
      <c r="N254" s="1"/>
      <c r="O254" s="1"/>
      <c r="P254" s="1"/>
      <c r="Q254" s="1"/>
      <c r="R254" s="1"/>
      <c r="S254" s="1"/>
      <c r="T254" s="1"/>
      <c r="U254" s="1"/>
      <c r="V254" s="1"/>
      <c r="W254" s="1"/>
      <c r="X254" s="1"/>
      <c r="Y254" s="1"/>
      <c r="Z254" s="1"/>
    </row>
    <row r="255" spans="1:26" ht="12.75" customHeight="1" x14ac:dyDescent="0.25">
      <c r="A255" s="1"/>
      <c r="B255" s="1"/>
      <c r="C255" s="3"/>
      <c r="D255" s="3"/>
      <c r="E255" s="5"/>
      <c r="F255" s="5"/>
      <c r="G255" s="3"/>
      <c r="H255" s="5"/>
      <c r="I255" s="1"/>
      <c r="J255" s="7"/>
      <c r="K255" s="1"/>
      <c r="L255" s="1"/>
      <c r="M255" s="1"/>
      <c r="N255" s="1"/>
      <c r="O255" s="1"/>
      <c r="P255" s="1"/>
      <c r="Q255" s="1"/>
      <c r="R255" s="1"/>
      <c r="S255" s="1"/>
      <c r="T255" s="1"/>
      <c r="U255" s="1"/>
      <c r="V255" s="1"/>
      <c r="W255" s="1"/>
      <c r="X255" s="1"/>
      <c r="Y255" s="1"/>
      <c r="Z255" s="1"/>
    </row>
    <row r="256" spans="1:26" ht="12.75" customHeight="1" x14ac:dyDescent="0.25">
      <c r="A256" s="1"/>
      <c r="B256" s="1"/>
      <c r="C256" s="3"/>
      <c r="D256" s="3"/>
      <c r="E256" s="5"/>
      <c r="F256" s="5"/>
      <c r="G256" s="3"/>
      <c r="H256" s="5"/>
      <c r="I256" s="1"/>
      <c r="J256" s="7"/>
      <c r="K256" s="1"/>
      <c r="L256" s="1"/>
      <c r="M256" s="1"/>
      <c r="N256" s="1"/>
      <c r="O256" s="1"/>
      <c r="P256" s="1"/>
      <c r="Q256" s="1"/>
      <c r="R256" s="1"/>
      <c r="S256" s="1"/>
      <c r="T256" s="1"/>
      <c r="U256" s="1"/>
      <c r="V256" s="1"/>
      <c r="W256" s="1"/>
      <c r="X256" s="1"/>
      <c r="Y256" s="1"/>
      <c r="Z256" s="1"/>
    </row>
    <row r="257" spans="1:26" ht="12.75" customHeight="1" x14ac:dyDescent="0.25">
      <c r="A257" s="1"/>
      <c r="B257" s="1"/>
      <c r="C257" s="3"/>
      <c r="D257" s="3"/>
      <c r="E257" s="5"/>
      <c r="F257" s="5"/>
      <c r="G257" s="3"/>
      <c r="H257" s="5"/>
      <c r="I257" s="1"/>
      <c r="J257" s="7"/>
      <c r="K257" s="1"/>
      <c r="L257" s="1"/>
      <c r="M257" s="1"/>
      <c r="N257" s="1"/>
      <c r="O257" s="1"/>
      <c r="P257" s="1"/>
      <c r="Q257" s="1"/>
      <c r="R257" s="1"/>
      <c r="S257" s="1"/>
      <c r="T257" s="1"/>
      <c r="U257" s="1"/>
      <c r="V257" s="1"/>
      <c r="W257" s="1"/>
      <c r="X257" s="1"/>
      <c r="Y257" s="1"/>
      <c r="Z257" s="1"/>
    </row>
    <row r="258" spans="1:26" ht="12.75" customHeight="1" x14ac:dyDescent="0.25">
      <c r="A258" s="1"/>
      <c r="B258" s="1"/>
      <c r="C258" s="3"/>
      <c r="D258" s="3"/>
      <c r="E258" s="5"/>
      <c r="F258" s="5"/>
      <c r="G258" s="3"/>
      <c r="H258" s="5"/>
      <c r="I258" s="1"/>
      <c r="J258" s="7"/>
      <c r="K258" s="1"/>
      <c r="L258" s="1"/>
      <c r="M258" s="1"/>
      <c r="N258" s="1"/>
      <c r="O258" s="1"/>
      <c r="P258" s="1"/>
      <c r="Q258" s="1"/>
      <c r="R258" s="1"/>
      <c r="S258" s="1"/>
      <c r="T258" s="1"/>
      <c r="U258" s="1"/>
      <c r="V258" s="1"/>
      <c r="W258" s="1"/>
      <c r="X258" s="1"/>
      <c r="Y258" s="1"/>
      <c r="Z258" s="1"/>
    </row>
    <row r="259" spans="1:26" ht="12.75" customHeight="1" x14ac:dyDescent="0.25">
      <c r="A259" s="1"/>
      <c r="B259" s="1"/>
      <c r="C259" s="3"/>
      <c r="D259" s="3"/>
      <c r="E259" s="5"/>
      <c r="F259" s="5"/>
      <c r="G259" s="3"/>
      <c r="H259" s="5"/>
      <c r="I259" s="1"/>
      <c r="J259" s="7"/>
      <c r="K259" s="1"/>
      <c r="L259" s="1"/>
      <c r="M259" s="1"/>
      <c r="N259" s="1"/>
      <c r="O259" s="1"/>
      <c r="P259" s="1"/>
      <c r="Q259" s="1"/>
      <c r="R259" s="1"/>
      <c r="S259" s="1"/>
      <c r="T259" s="1"/>
      <c r="U259" s="1"/>
      <c r="V259" s="1"/>
      <c r="W259" s="1"/>
      <c r="X259" s="1"/>
      <c r="Y259" s="1"/>
      <c r="Z259" s="1"/>
    </row>
    <row r="260" spans="1:26" ht="12.75" customHeight="1" x14ac:dyDescent="0.25">
      <c r="A260" s="1"/>
      <c r="B260" s="1"/>
      <c r="C260" s="3"/>
      <c r="D260" s="3"/>
      <c r="E260" s="5"/>
      <c r="F260" s="5"/>
      <c r="G260" s="3"/>
      <c r="H260" s="5"/>
      <c r="I260" s="1"/>
      <c r="J260" s="7"/>
      <c r="K260" s="1"/>
      <c r="L260" s="1"/>
      <c r="M260" s="1"/>
      <c r="N260" s="1"/>
      <c r="O260" s="1"/>
      <c r="P260" s="1"/>
      <c r="Q260" s="1"/>
      <c r="R260" s="1"/>
      <c r="S260" s="1"/>
      <c r="T260" s="1"/>
      <c r="U260" s="1"/>
      <c r="V260" s="1"/>
      <c r="W260" s="1"/>
      <c r="X260" s="1"/>
      <c r="Y260" s="1"/>
      <c r="Z260" s="1"/>
    </row>
    <row r="261" spans="1:26" ht="12.75" customHeight="1" x14ac:dyDescent="0.25">
      <c r="A261" s="1"/>
      <c r="B261" s="1"/>
      <c r="C261" s="3"/>
      <c r="D261" s="3"/>
      <c r="E261" s="5"/>
      <c r="F261" s="5"/>
      <c r="G261" s="3"/>
      <c r="H261" s="5"/>
      <c r="I261" s="1"/>
      <c r="J261" s="7"/>
      <c r="K261" s="1"/>
      <c r="L261" s="1"/>
      <c r="M261" s="1"/>
      <c r="N261" s="1"/>
      <c r="O261" s="1"/>
      <c r="P261" s="1"/>
      <c r="Q261" s="1"/>
      <c r="R261" s="1"/>
      <c r="S261" s="1"/>
      <c r="T261" s="1"/>
      <c r="U261" s="1"/>
      <c r="V261" s="1"/>
      <c r="W261" s="1"/>
      <c r="X261" s="1"/>
      <c r="Y261" s="1"/>
      <c r="Z261" s="1"/>
    </row>
    <row r="262" spans="1:26" ht="12.75" customHeight="1" x14ac:dyDescent="0.25">
      <c r="A262" s="1"/>
      <c r="B262" s="1"/>
      <c r="C262" s="3"/>
      <c r="D262" s="3"/>
      <c r="E262" s="5"/>
      <c r="F262" s="5"/>
      <c r="G262" s="3"/>
      <c r="H262" s="5"/>
      <c r="I262" s="1"/>
      <c r="J262" s="7"/>
      <c r="K262" s="1"/>
      <c r="L262" s="1"/>
      <c r="M262" s="1"/>
      <c r="N262" s="1"/>
      <c r="O262" s="1"/>
      <c r="P262" s="1"/>
      <c r="Q262" s="1"/>
      <c r="R262" s="1"/>
      <c r="S262" s="1"/>
      <c r="T262" s="1"/>
      <c r="U262" s="1"/>
      <c r="V262" s="1"/>
      <c r="W262" s="1"/>
      <c r="X262" s="1"/>
      <c r="Y262" s="1"/>
      <c r="Z262" s="1"/>
    </row>
    <row r="263" spans="1:26" ht="12.75" customHeight="1" x14ac:dyDescent="0.25">
      <c r="A263" s="1"/>
      <c r="B263" s="1"/>
      <c r="C263" s="3"/>
      <c r="D263" s="3"/>
      <c r="E263" s="5"/>
      <c r="F263" s="5"/>
      <c r="G263" s="3"/>
      <c r="H263" s="5"/>
      <c r="I263" s="1"/>
      <c r="J263" s="7"/>
      <c r="K263" s="1"/>
      <c r="L263" s="1"/>
      <c r="M263" s="1"/>
      <c r="N263" s="1"/>
      <c r="O263" s="1"/>
      <c r="P263" s="1"/>
      <c r="Q263" s="1"/>
      <c r="R263" s="1"/>
      <c r="S263" s="1"/>
      <c r="T263" s="1"/>
      <c r="U263" s="1"/>
      <c r="V263" s="1"/>
      <c r="W263" s="1"/>
      <c r="X263" s="1"/>
      <c r="Y263" s="1"/>
      <c r="Z263" s="1"/>
    </row>
    <row r="264" spans="1:26" ht="12.75" customHeight="1" x14ac:dyDescent="0.25">
      <c r="A264" s="1"/>
      <c r="B264" s="1"/>
      <c r="C264" s="3"/>
      <c r="D264" s="3"/>
      <c r="E264" s="5"/>
      <c r="F264" s="5"/>
      <c r="G264" s="3"/>
      <c r="H264" s="5"/>
      <c r="I264" s="1"/>
      <c r="J264" s="7"/>
      <c r="K264" s="1"/>
      <c r="L264" s="1"/>
      <c r="M264" s="1"/>
      <c r="N264" s="1"/>
      <c r="O264" s="1"/>
      <c r="P264" s="1"/>
      <c r="Q264" s="1"/>
      <c r="R264" s="1"/>
      <c r="S264" s="1"/>
      <c r="T264" s="1"/>
      <c r="U264" s="1"/>
      <c r="V264" s="1"/>
      <c r="W264" s="1"/>
      <c r="X264" s="1"/>
      <c r="Y264" s="1"/>
      <c r="Z264" s="1"/>
    </row>
    <row r="265" spans="1:26" ht="12.75" customHeight="1" x14ac:dyDescent="0.25">
      <c r="A265" s="1"/>
      <c r="B265" s="1"/>
      <c r="C265" s="3"/>
      <c r="D265" s="3"/>
      <c r="E265" s="5"/>
      <c r="F265" s="5"/>
      <c r="G265" s="3"/>
      <c r="H265" s="5"/>
      <c r="I265" s="1"/>
      <c r="J265" s="7"/>
      <c r="K265" s="1"/>
      <c r="L265" s="1"/>
      <c r="M265" s="1"/>
      <c r="N265" s="1"/>
      <c r="O265" s="1"/>
      <c r="P265" s="1"/>
      <c r="Q265" s="1"/>
      <c r="R265" s="1"/>
      <c r="S265" s="1"/>
      <c r="T265" s="1"/>
      <c r="U265" s="1"/>
      <c r="V265" s="1"/>
      <c r="W265" s="1"/>
      <c r="X265" s="1"/>
      <c r="Y265" s="1"/>
      <c r="Z265" s="1"/>
    </row>
    <row r="266" spans="1:26" ht="12.75" customHeight="1" x14ac:dyDescent="0.25">
      <c r="A266" s="1"/>
      <c r="B266" s="1"/>
      <c r="C266" s="3"/>
      <c r="D266" s="3"/>
      <c r="E266" s="5"/>
      <c r="F266" s="5"/>
      <c r="G266" s="3"/>
      <c r="H266" s="5"/>
      <c r="I266" s="1"/>
      <c r="J266" s="7"/>
      <c r="K266" s="1"/>
      <c r="L266" s="1"/>
      <c r="M266" s="1"/>
      <c r="N266" s="1"/>
      <c r="O266" s="1"/>
      <c r="P266" s="1"/>
      <c r="Q266" s="1"/>
      <c r="R266" s="1"/>
      <c r="S266" s="1"/>
      <c r="T266" s="1"/>
      <c r="U266" s="1"/>
      <c r="V266" s="1"/>
      <c r="W266" s="1"/>
      <c r="X266" s="1"/>
      <c r="Y266" s="1"/>
      <c r="Z266" s="1"/>
    </row>
    <row r="267" spans="1:26" ht="12.75" customHeight="1" x14ac:dyDescent="0.25">
      <c r="A267" s="1"/>
      <c r="B267" s="1"/>
      <c r="C267" s="3"/>
      <c r="D267" s="3"/>
      <c r="E267" s="5"/>
      <c r="F267" s="5"/>
      <c r="G267" s="3"/>
      <c r="H267" s="5"/>
      <c r="I267" s="1"/>
      <c r="J267" s="7"/>
      <c r="K267" s="1"/>
      <c r="L267" s="1"/>
      <c r="M267" s="1"/>
      <c r="N267" s="1"/>
      <c r="O267" s="1"/>
      <c r="P267" s="1"/>
      <c r="Q267" s="1"/>
      <c r="R267" s="1"/>
      <c r="S267" s="1"/>
      <c r="T267" s="1"/>
      <c r="U267" s="1"/>
      <c r="V267" s="1"/>
      <c r="W267" s="1"/>
      <c r="X267" s="1"/>
      <c r="Y267" s="1"/>
      <c r="Z267" s="1"/>
    </row>
    <row r="268" spans="1:26" ht="12.75" customHeight="1" x14ac:dyDescent="0.25">
      <c r="A268" s="1"/>
      <c r="B268" s="1"/>
      <c r="C268" s="3"/>
      <c r="D268" s="3"/>
      <c r="E268" s="5"/>
      <c r="F268" s="5"/>
      <c r="G268" s="3"/>
      <c r="H268" s="5"/>
      <c r="I268" s="1"/>
      <c r="J268" s="7"/>
      <c r="K268" s="1"/>
      <c r="L268" s="1"/>
      <c r="M268" s="1"/>
      <c r="N268" s="1"/>
      <c r="O268" s="1"/>
      <c r="P268" s="1"/>
      <c r="Q268" s="1"/>
      <c r="R268" s="1"/>
      <c r="S268" s="1"/>
      <c r="T268" s="1"/>
      <c r="U268" s="1"/>
      <c r="V268" s="1"/>
      <c r="W268" s="1"/>
      <c r="X268" s="1"/>
      <c r="Y268" s="1"/>
      <c r="Z268" s="1"/>
    </row>
    <row r="269" spans="1:26" ht="12.75" customHeight="1" x14ac:dyDescent="0.25">
      <c r="A269" s="1"/>
      <c r="B269" s="1"/>
      <c r="C269" s="3"/>
      <c r="D269" s="3"/>
      <c r="E269" s="5"/>
      <c r="F269" s="5"/>
      <c r="G269" s="3"/>
      <c r="H269" s="5"/>
      <c r="I269" s="1"/>
      <c r="J269" s="7"/>
      <c r="K269" s="1"/>
      <c r="L269" s="1"/>
      <c r="M269" s="1"/>
      <c r="N269" s="1"/>
      <c r="O269" s="1"/>
      <c r="P269" s="1"/>
      <c r="Q269" s="1"/>
      <c r="R269" s="1"/>
      <c r="S269" s="1"/>
      <c r="T269" s="1"/>
      <c r="U269" s="1"/>
      <c r="V269" s="1"/>
      <c r="W269" s="1"/>
      <c r="X269" s="1"/>
      <c r="Y269" s="1"/>
      <c r="Z269" s="1"/>
    </row>
    <row r="270" spans="1:26" ht="12.75" customHeight="1" x14ac:dyDescent="0.25">
      <c r="A270" s="1"/>
      <c r="B270" s="1"/>
      <c r="C270" s="3"/>
      <c r="D270" s="3"/>
      <c r="E270" s="5"/>
      <c r="F270" s="5"/>
      <c r="G270" s="3"/>
      <c r="H270" s="5"/>
      <c r="I270" s="1"/>
      <c r="J270" s="7"/>
      <c r="K270" s="1"/>
      <c r="L270" s="1"/>
      <c r="M270" s="1"/>
      <c r="N270" s="1"/>
      <c r="O270" s="1"/>
      <c r="P270" s="1"/>
      <c r="Q270" s="1"/>
      <c r="R270" s="1"/>
      <c r="S270" s="1"/>
      <c r="T270" s="1"/>
      <c r="U270" s="1"/>
      <c r="V270" s="1"/>
      <c r="W270" s="1"/>
      <c r="X270" s="1"/>
      <c r="Y270" s="1"/>
      <c r="Z270" s="1"/>
    </row>
    <row r="271" spans="1:26" ht="12.75" customHeight="1" x14ac:dyDescent="0.25">
      <c r="A271" s="1"/>
      <c r="B271" s="1"/>
      <c r="C271" s="3"/>
      <c r="D271" s="3"/>
      <c r="E271" s="5"/>
      <c r="F271" s="5"/>
      <c r="G271" s="3"/>
      <c r="H271" s="5"/>
      <c r="I271" s="1"/>
      <c r="J271" s="7"/>
      <c r="K271" s="1"/>
      <c r="L271" s="1"/>
      <c r="M271" s="1"/>
      <c r="N271" s="1"/>
      <c r="O271" s="1"/>
      <c r="P271" s="1"/>
      <c r="Q271" s="1"/>
      <c r="R271" s="1"/>
      <c r="S271" s="1"/>
      <c r="T271" s="1"/>
      <c r="U271" s="1"/>
      <c r="V271" s="1"/>
      <c r="W271" s="1"/>
      <c r="X271" s="1"/>
      <c r="Y271" s="1"/>
      <c r="Z271" s="1"/>
    </row>
    <row r="272" spans="1:26" ht="12.75" customHeight="1" x14ac:dyDescent="0.25">
      <c r="A272" s="1"/>
      <c r="B272" s="1"/>
      <c r="C272" s="3"/>
      <c r="D272" s="3"/>
      <c r="E272" s="5"/>
      <c r="F272" s="5"/>
      <c r="G272" s="3"/>
      <c r="H272" s="5"/>
      <c r="I272" s="1"/>
      <c r="J272" s="7"/>
      <c r="K272" s="1"/>
      <c r="L272" s="1"/>
      <c r="M272" s="1"/>
      <c r="N272" s="1"/>
      <c r="O272" s="1"/>
      <c r="P272" s="1"/>
      <c r="Q272" s="1"/>
      <c r="R272" s="1"/>
      <c r="S272" s="1"/>
      <c r="T272" s="1"/>
      <c r="U272" s="1"/>
      <c r="V272" s="1"/>
      <c r="W272" s="1"/>
      <c r="X272" s="1"/>
      <c r="Y272" s="1"/>
      <c r="Z272" s="1"/>
    </row>
    <row r="273" spans="1:26" ht="12.75" customHeight="1" x14ac:dyDescent="0.25">
      <c r="A273" s="1"/>
      <c r="B273" s="1"/>
      <c r="C273" s="3"/>
      <c r="D273" s="3"/>
      <c r="E273" s="5"/>
      <c r="F273" s="5"/>
      <c r="G273" s="3"/>
      <c r="H273" s="5"/>
      <c r="I273" s="1"/>
      <c r="J273" s="7"/>
      <c r="K273" s="1"/>
      <c r="L273" s="1"/>
      <c r="M273" s="1"/>
      <c r="N273" s="1"/>
      <c r="O273" s="1"/>
      <c r="P273" s="1"/>
      <c r="Q273" s="1"/>
      <c r="R273" s="1"/>
      <c r="S273" s="1"/>
      <c r="T273" s="1"/>
      <c r="U273" s="1"/>
      <c r="V273" s="1"/>
      <c r="W273" s="1"/>
      <c r="X273" s="1"/>
      <c r="Y273" s="1"/>
      <c r="Z273" s="1"/>
    </row>
    <row r="274" spans="1:26" ht="12.75" customHeight="1" x14ac:dyDescent="0.25">
      <c r="A274" s="1"/>
      <c r="B274" s="1"/>
      <c r="C274" s="3"/>
      <c r="D274" s="3"/>
      <c r="E274" s="5"/>
      <c r="F274" s="5"/>
      <c r="G274" s="3"/>
      <c r="H274" s="5"/>
      <c r="I274" s="1"/>
      <c r="J274" s="7"/>
      <c r="K274" s="1"/>
      <c r="L274" s="1"/>
      <c r="M274" s="1"/>
      <c r="N274" s="1"/>
      <c r="O274" s="1"/>
      <c r="P274" s="1"/>
      <c r="Q274" s="1"/>
      <c r="R274" s="1"/>
      <c r="S274" s="1"/>
      <c r="T274" s="1"/>
      <c r="U274" s="1"/>
      <c r="V274" s="1"/>
      <c r="W274" s="1"/>
      <c r="X274" s="1"/>
      <c r="Y274" s="1"/>
      <c r="Z274" s="1"/>
    </row>
    <row r="275" spans="1:26" ht="12.75" customHeight="1" x14ac:dyDescent="0.25">
      <c r="A275" s="1"/>
      <c r="B275" s="1"/>
      <c r="C275" s="3"/>
      <c r="D275" s="3"/>
      <c r="E275" s="5"/>
      <c r="F275" s="5"/>
      <c r="G275" s="3"/>
      <c r="H275" s="5"/>
      <c r="I275" s="1"/>
      <c r="J275" s="7"/>
      <c r="K275" s="1"/>
      <c r="L275" s="1"/>
      <c r="M275" s="1"/>
      <c r="N275" s="1"/>
      <c r="O275" s="1"/>
      <c r="P275" s="1"/>
      <c r="Q275" s="1"/>
      <c r="R275" s="1"/>
      <c r="S275" s="1"/>
      <c r="T275" s="1"/>
      <c r="U275" s="1"/>
      <c r="V275" s="1"/>
      <c r="W275" s="1"/>
      <c r="X275" s="1"/>
      <c r="Y275" s="1"/>
      <c r="Z275" s="1"/>
    </row>
    <row r="276" spans="1:26" ht="12.75" customHeight="1" x14ac:dyDescent="0.25">
      <c r="A276" s="1"/>
      <c r="B276" s="1"/>
      <c r="C276" s="3"/>
      <c r="D276" s="3"/>
      <c r="E276" s="5"/>
      <c r="F276" s="5"/>
      <c r="G276" s="3"/>
      <c r="H276" s="5"/>
      <c r="I276" s="1"/>
      <c r="J276" s="7"/>
      <c r="K276" s="1"/>
      <c r="L276" s="1"/>
      <c r="M276" s="1"/>
      <c r="N276" s="1"/>
      <c r="O276" s="1"/>
      <c r="P276" s="1"/>
      <c r="Q276" s="1"/>
      <c r="R276" s="1"/>
      <c r="S276" s="1"/>
      <c r="T276" s="1"/>
      <c r="U276" s="1"/>
      <c r="V276" s="1"/>
      <c r="W276" s="1"/>
      <c r="X276" s="1"/>
      <c r="Y276" s="1"/>
      <c r="Z276" s="1"/>
    </row>
    <row r="277" spans="1:26" ht="12.75" customHeight="1" x14ac:dyDescent="0.25">
      <c r="A277" s="1"/>
      <c r="B277" s="1"/>
      <c r="C277" s="3"/>
      <c r="D277" s="3"/>
      <c r="E277" s="5"/>
      <c r="F277" s="5"/>
      <c r="G277" s="3"/>
      <c r="H277" s="5"/>
      <c r="I277" s="1"/>
      <c r="J277" s="7"/>
      <c r="K277" s="1"/>
      <c r="L277" s="1"/>
      <c r="M277" s="1"/>
      <c r="N277" s="1"/>
      <c r="O277" s="1"/>
      <c r="P277" s="1"/>
      <c r="Q277" s="1"/>
      <c r="R277" s="1"/>
      <c r="S277" s="1"/>
      <c r="T277" s="1"/>
      <c r="U277" s="1"/>
      <c r="V277" s="1"/>
      <c r="W277" s="1"/>
      <c r="X277" s="1"/>
      <c r="Y277" s="1"/>
      <c r="Z277" s="1"/>
    </row>
    <row r="278" spans="1:26" ht="12.75" customHeight="1" x14ac:dyDescent="0.25">
      <c r="A278" s="1"/>
      <c r="B278" s="1"/>
      <c r="C278" s="3"/>
      <c r="D278" s="3"/>
      <c r="E278" s="5"/>
      <c r="F278" s="5"/>
      <c r="G278" s="3"/>
      <c r="H278" s="5"/>
      <c r="I278" s="1"/>
      <c r="J278" s="7"/>
      <c r="K278" s="1"/>
      <c r="L278" s="1"/>
      <c r="M278" s="1"/>
      <c r="N278" s="1"/>
      <c r="O278" s="1"/>
      <c r="P278" s="1"/>
      <c r="Q278" s="1"/>
      <c r="R278" s="1"/>
      <c r="S278" s="1"/>
      <c r="T278" s="1"/>
      <c r="U278" s="1"/>
      <c r="V278" s="1"/>
      <c r="W278" s="1"/>
      <c r="X278" s="1"/>
      <c r="Y278" s="1"/>
      <c r="Z278" s="1"/>
    </row>
    <row r="279" spans="1:26" ht="12.75" customHeight="1" x14ac:dyDescent="0.25">
      <c r="A279" s="1"/>
      <c r="B279" s="1"/>
      <c r="C279" s="3"/>
      <c r="D279" s="3"/>
      <c r="E279" s="5"/>
      <c r="F279" s="5"/>
      <c r="G279" s="3"/>
      <c r="H279" s="5"/>
      <c r="I279" s="1"/>
      <c r="J279" s="7"/>
      <c r="K279" s="1"/>
      <c r="L279" s="1"/>
      <c r="M279" s="1"/>
      <c r="N279" s="1"/>
      <c r="O279" s="1"/>
      <c r="P279" s="1"/>
      <c r="Q279" s="1"/>
      <c r="R279" s="1"/>
      <c r="S279" s="1"/>
      <c r="T279" s="1"/>
      <c r="U279" s="1"/>
      <c r="V279" s="1"/>
      <c r="W279" s="1"/>
      <c r="X279" s="1"/>
      <c r="Y279" s="1"/>
      <c r="Z279" s="1"/>
    </row>
    <row r="280" spans="1:26" ht="12.75" customHeight="1" x14ac:dyDescent="0.25">
      <c r="A280" s="1"/>
      <c r="B280" s="1"/>
      <c r="C280" s="3"/>
      <c r="D280" s="3"/>
      <c r="E280" s="5"/>
      <c r="F280" s="5"/>
      <c r="G280" s="3"/>
      <c r="H280" s="5"/>
      <c r="I280" s="1"/>
      <c r="J280" s="7"/>
      <c r="K280" s="1"/>
      <c r="L280" s="1"/>
      <c r="M280" s="1"/>
      <c r="N280" s="1"/>
      <c r="O280" s="1"/>
      <c r="P280" s="1"/>
      <c r="Q280" s="1"/>
      <c r="R280" s="1"/>
      <c r="S280" s="1"/>
      <c r="T280" s="1"/>
      <c r="U280" s="1"/>
      <c r="V280" s="1"/>
      <c r="W280" s="1"/>
      <c r="X280" s="1"/>
      <c r="Y280" s="1"/>
      <c r="Z280" s="1"/>
    </row>
    <row r="281" spans="1:26" ht="12.75" customHeight="1" x14ac:dyDescent="0.25">
      <c r="A281" s="1"/>
      <c r="B281" s="1"/>
      <c r="C281" s="3"/>
      <c r="D281" s="3"/>
      <c r="E281" s="5"/>
      <c r="F281" s="5"/>
      <c r="G281" s="3"/>
      <c r="H281" s="5"/>
      <c r="I281" s="1"/>
      <c r="J281" s="7"/>
      <c r="K281" s="1"/>
      <c r="L281" s="1"/>
      <c r="M281" s="1"/>
      <c r="N281" s="1"/>
      <c r="O281" s="1"/>
      <c r="P281" s="1"/>
      <c r="Q281" s="1"/>
      <c r="R281" s="1"/>
      <c r="S281" s="1"/>
      <c r="T281" s="1"/>
      <c r="U281" s="1"/>
      <c r="V281" s="1"/>
      <c r="W281" s="1"/>
      <c r="X281" s="1"/>
      <c r="Y281" s="1"/>
      <c r="Z281" s="1"/>
    </row>
    <row r="282" spans="1:26" ht="12.75" customHeight="1" x14ac:dyDescent="0.25">
      <c r="A282" s="1"/>
      <c r="B282" s="1"/>
      <c r="C282" s="3"/>
      <c r="D282" s="3"/>
      <c r="E282" s="5"/>
      <c r="F282" s="5"/>
      <c r="G282" s="3"/>
      <c r="H282" s="5"/>
      <c r="I282" s="1"/>
      <c r="J282" s="7"/>
      <c r="K282" s="1"/>
      <c r="L282" s="1"/>
      <c r="M282" s="1"/>
      <c r="N282" s="1"/>
      <c r="O282" s="1"/>
      <c r="P282" s="1"/>
      <c r="Q282" s="1"/>
      <c r="R282" s="1"/>
      <c r="S282" s="1"/>
      <c r="T282" s="1"/>
      <c r="U282" s="1"/>
      <c r="V282" s="1"/>
      <c r="W282" s="1"/>
      <c r="X282" s="1"/>
      <c r="Y282" s="1"/>
      <c r="Z282" s="1"/>
    </row>
    <row r="283" spans="1:26" ht="12.75" customHeight="1" x14ac:dyDescent="0.25">
      <c r="A283" s="1"/>
      <c r="B283" s="1"/>
      <c r="C283" s="3"/>
      <c r="D283" s="3"/>
      <c r="E283" s="5"/>
      <c r="F283" s="5"/>
      <c r="G283" s="3"/>
      <c r="H283" s="5"/>
      <c r="I283" s="1"/>
      <c r="J283" s="7"/>
      <c r="K283" s="1"/>
      <c r="L283" s="1"/>
      <c r="M283" s="1"/>
      <c r="N283" s="1"/>
      <c r="O283" s="1"/>
      <c r="P283" s="1"/>
      <c r="Q283" s="1"/>
      <c r="R283" s="1"/>
      <c r="S283" s="1"/>
      <c r="T283" s="1"/>
      <c r="U283" s="1"/>
      <c r="V283" s="1"/>
      <c r="W283" s="1"/>
      <c r="X283" s="1"/>
      <c r="Y283" s="1"/>
      <c r="Z283" s="1"/>
    </row>
    <row r="284" spans="1:26" ht="12.75" customHeight="1" x14ac:dyDescent="0.25">
      <c r="A284" s="1"/>
      <c r="B284" s="1"/>
      <c r="C284" s="3"/>
      <c r="D284" s="3"/>
      <c r="E284" s="5"/>
      <c r="F284" s="5"/>
      <c r="G284" s="3"/>
      <c r="H284" s="5"/>
      <c r="I284" s="1"/>
      <c r="J284" s="7"/>
      <c r="K284" s="1"/>
      <c r="L284" s="1"/>
      <c r="M284" s="1"/>
      <c r="N284" s="1"/>
      <c r="O284" s="1"/>
      <c r="P284" s="1"/>
      <c r="Q284" s="1"/>
      <c r="R284" s="1"/>
      <c r="S284" s="1"/>
      <c r="T284" s="1"/>
      <c r="U284" s="1"/>
      <c r="V284" s="1"/>
      <c r="W284" s="1"/>
      <c r="X284" s="1"/>
      <c r="Y284" s="1"/>
      <c r="Z284" s="1"/>
    </row>
    <row r="285" spans="1:26" ht="12.75" customHeight="1" x14ac:dyDescent="0.25">
      <c r="A285" s="1"/>
      <c r="B285" s="1"/>
      <c r="C285" s="3"/>
      <c r="D285" s="3"/>
      <c r="E285" s="5"/>
      <c r="F285" s="5"/>
      <c r="G285" s="3"/>
      <c r="H285" s="5"/>
      <c r="I285" s="1"/>
      <c r="J285" s="7"/>
      <c r="K285" s="1"/>
      <c r="L285" s="1"/>
      <c r="M285" s="1"/>
      <c r="N285" s="1"/>
      <c r="O285" s="1"/>
      <c r="P285" s="1"/>
      <c r="Q285" s="1"/>
      <c r="R285" s="1"/>
      <c r="S285" s="1"/>
      <c r="T285" s="1"/>
      <c r="U285" s="1"/>
      <c r="V285" s="1"/>
      <c r="W285" s="1"/>
      <c r="X285" s="1"/>
      <c r="Y285" s="1"/>
      <c r="Z285" s="1"/>
    </row>
    <row r="286" spans="1:26" ht="12.75" customHeight="1" x14ac:dyDescent="0.25">
      <c r="A286" s="1"/>
      <c r="B286" s="1"/>
      <c r="C286" s="3"/>
      <c r="D286" s="3"/>
      <c r="E286" s="5"/>
      <c r="F286" s="5"/>
      <c r="G286" s="3"/>
      <c r="H286" s="5"/>
      <c r="I286" s="1"/>
      <c r="J286" s="7"/>
      <c r="K286" s="1"/>
      <c r="L286" s="1"/>
      <c r="M286" s="1"/>
      <c r="N286" s="1"/>
      <c r="O286" s="1"/>
      <c r="P286" s="1"/>
      <c r="Q286" s="1"/>
      <c r="R286" s="1"/>
      <c r="S286" s="1"/>
      <c r="T286" s="1"/>
      <c r="U286" s="1"/>
      <c r="V286" s="1"/>
      <c r="W286" s="1"/>
      <c r="X286" s="1"/>
      <c r="Y286" s="1"/>
      <c r="Z286" s="1"/>
    </row>
    <row r="287" spans="1:26" ht="12.75" customHeight="1" x14ac:dyDescent="0.25">
      <c r="A287" s="1"/>
      <c r="B287" s="1"/>
      <c r="C287" s="3"/>
      <c r="D287" s="3"/>
      <c r="E287" s="5"/>
      <c r="F287" s="5"/>
      <c r="G287" s="3"/>
      <c r="H287" s="5"/>
      <c r="I287" s="1"/>
      <c r="J287" s="7"/>
      <c r="K287" s="1"/>
      <c r="L287" s="1"/>
      <c r="M287" s="1"/>
      <c r="N287" s="1"/>
      <c r="O287" s="1"/>
      <c r="P287" s="1"/>
      <c r="Q287" s="1"/>
      <c r="R287" s="1"/>
      <c r="S287" s="1"/>
      <c r="T287" s="1"/>
      <c r="U287" s="1"/>
      <c r="V287" s="1"/>
      <c r="W287" s="1"/>
      <c r="X287" s="1"/>
      <c r="Y287" s="1"/>
      <c r="Z287" s="1"/>
    </row>
    <row r="288" spans="1:26" ht="12.75" customHeight="1" x14ac:dyDescent="0.25">
      <c r="A288" s="1"/>
      <c r="B288" s="1"/>
      <c r="C288" s="3"/>
      <c r="D288" s="3"/>
      <c r="E288" s="5"/>
      <c r="F288" s="5"/>
      <c r="G288" s="3"/>
      <c r="H288" s="5"/>
      <c r="I288" s="1"/>
      <c r="J288" s="7"/>
      <c r="K288" s="1"/>
      <c r="L288" s="1"/>
      <c r="M288" s="1"/>
      <c r="N288" s="1"/>
      <c r="O288" s="1"/>
      <c r="P288" s="1"/>
      <c r="Q288" s="1"/>
      <c r="R288" s="1"/>
      <c r="S288" s="1"/>
      <c r="T288" s="1"/>
      <c r="U288" s="1"/>
      <c r="V288" s="1"/>
      <c r="W288" s="1"/>
      <c r="X288" s="1"/>
      <c r="Y288" s="1"/>
      <c r="Z288" s="1"/>
    </row>
    <row r="289" spans="1:26" ht="12.75" customHeight="1" x14ac:dyDescent="0.25">
      <c r="A289" s="1"/>
      <c r="B289" s="1"/>
      <c r="C289" s="3"/>
      <c r="D289" s="3"/>
      <c r="E289" s="5"/>
      <c r="F289" s="5"/>
      <c r="G289" s="3"/>
      <c r="H289" s="5"/>
      <c r="I289" s="1"/>
      <c r="J289" s="7"/>
      <c r="K289" s="1"/>
      <c r="L289" s="1"/>
      <c r="M289" s="1"/>
      <c r="N289" s="1"/>
      <c r="O289" s="1"/>
      <c r="P289" s="1"/>
      <c r="Q289" s="1"/>
      <c r="R289" s="1"/>
      <c r="S289" s="1"/>
      <c r="T289" s="1"/>
      <c r="U289" s="1"/>
      <c r="V289" s="1"/>
      <c r="W289" s="1"/>
      <c r="X289" s="1"/>
      <c r="Y289" s="1"/>
      <c r="Z289" s="1"/>
    </row>
    <row r="290" spans="1:26" ht="12.75" customHeight="1" x14ac:dyDescent="0.25">
      <c r="A290" s="1"/>
      <c r="B290" s="1"/>
      <c r="C290" s="3"/>
      <c r="D290" s="3"/>
      <c r="E290" s="5"/>
      <c r="F290" s="5"/>
      <c r="G290" s="3"/>
      <c r="H290" s="5"/>
      <c r="I290" s="1"/>
      <c r="J290" s="7"/>
      <c r="K290" s="1"/>
      <c r="L290" s="1"/>
      <c r="M290" s="1"/>
      <c r="N290" s="1"/>
      <c r="O290" s="1"/>
      <c r="P290" s="1"/>
      <c r="Q290" s="1"/>
      <c r="R290" s="1"/>
      <c r="S290" s="1"/>
      <c r="T290" s="1"/>
      <c r="U290" s="1"/>
      <c r="V290" s="1"/>
      <c r="W290" s="1"/>
      <c r="X290" s="1"/>
      <c r="Y290" s="1"/>
      <c r="Z290" s="1"/>
    </row>
    <row r="291" spans="1:26" ht="12.75" customHeight="1" x14ac:dyDescent="0.25">
      <c r="A291" s="1"/>
      <c r="B291" s="1"/>
      <c r="C291" s="3"/>
      <c r="D291" s="3"/>
      <c r="E291" s="5"/>
      <c r="F291" s="5"/>
      <c r="G291" s="3"/>
      <c r="H291" s="5"/>
      <c r="I291" s="1"/>
      <c r="J291" s="7"/>
      <c r="K291" s="1"/>
      <c r="L291" s="1"/>
      <c r="M291" s="1"/>
      <c r="N291" s="1"/>
      <c r="O291" s="1"/>
      <c r="P291" s="1"/>
      <c r="Q291" s="1"/>
      <c r="R291" s="1"/>
      <c r="S291" s="1"/>
      <c r="T291" s="1"/>
      <c r="U291" s="1"/>
      <c r="V291" s="1"/>
      <c r="W291" s="1"/>
      <c r="X291" s="1"/>
      <c r="Y291" s="1"/>
      <c r="Z291" s="1"/>
    </row>
    <row r="292" spans="1:26" ht="12.75" customHeight="1" x14ac:dyDescent="0.25">
      <c r="A292" s="1"/>
      <c r="B292" s="1"/>
      <c r="C292" s="3"/>
      <c r="D292" s="3"/>
      <c r="E292" s="5"/>
      <c r="F292" s="5"/>
      <c r="G292" s="3"/>
      <c r="H292" s="5"/>
      <c r="I292" s="1"/>
      <c r="J292" s="7"/>
      <c r="K292" s="1"/>
      <c r="L292" s="1"/>
      <c r="M292" s="1"/>
      <c r="N292" s="1"/>
      <c r="O292" s="1"/>
      <c r="P292" s="1"/>
      <c r="Q292" s="1"/>
      <c r="R292" s="1"/>
      <c r="S292" s="1"/>
      <c r="T292" s="1"/>
      <c r="U292" s="1"/>
      <c r="V292" s="1"/>
      <c r="W292" s="1"/>
      <c r="X292" s="1"/>
      <c r="Y292" s="1"/>
      <c r="Z292" s="1"/>
    </row>
    <row r="293" spans="1:26" ht="12.75" customHeight="1" x14ac:dyDescent="0.25">
      <c r="A293" s="1"/>
      <c r="B293" s="1"/>
      <c r="C293" s="3"/>
      <c r="D293" s="3"/>
      <c r="E293" s="5"/>
      <c r="F293" s="5"/>
      <c r="G293" s="3"/>
      <c r="H293" s="5"/>
      <c r="I293" s="1"/>
      <c r="J293" s="7"/>
      <c r="K293" s="1"/>
      <c r="L293" s="1"/>
      <c r="M293" s="1"/>
      <c r="N293" s="1"/>
      <c r="O293" s="1"/>
      <c r="P293" s="1"/>
      <c r="Q293" s="1"/>
      <c r="R293" s="1"/>
      <c r="S293" s="1"/>
      <c r="T293" s="1"/>
      <c r="U293" s="1"/>
      <c r="V293" s="1"/>
      <c r="W293" s="1"/>
      <c r="X293" s="1"/>
      <c r="Y293" s="1"/>
      <c r="Z293" s="1"/>
    </row>
    <row r="294" spans="1:26" ht="12.75" customHeight="1" x14ac:dyDescent="0.25">
      <c r="A294" s="1"/>
      <c r="B294" s="1"/>
      <c r="C294" s="3"/>
      <c r="D294" s="3"/>
      <c r="E294" s="5"/>
      <c r="F294" s="5"/>
      <c r="G294" s="3"/>
      <c r="H294" s="5"/>
      <c r="I294" s="1"/>
      <c r="J294" s="7"/>
      <c r="K294" s="1"/>
      <c r="L294" s="1"/>
      <c r="M294" s="1"/>
      <c r="N294" s="1"/>
      <c r="O294" s="1"/>
      <c r="P294" s="1"/>
      <c r="Q294" s="1"/>
      <c r="R294" s="1"/>
      <c r="S294" s="1"/>
      <c r="T294" s="1"/>
      <c r="U294" s="1"/>
      <c r="V294" s="1"/>
      <c r="W294" s="1"/>
      <c r="X294" s="1"/>
      <c r="Y294" s="1"/>
      <c r="Z294" s="1"/>
    </row>
    <row r="295" spans="1:26" ht="12.75" customHeight="1" x14ac:dyDescent="0.25">
      <c r="A295" s="1"/>
      <c r="B295" s="1"/>
      <c r="C295" s="3"/>
      <c r="D295" s="3"/>
      <c r="E295" s="5"/>
      <c r="F295" s="5"/>
      <c r="G295" s="3"/>
      <c r="H295" s="5"/>
      <c r="I295" s="1"/>
      <c r="J295" s="7"/>
      <c r="K295" s="1"/>
      <c r="L295" s="1"/>
      <c r="M295" s="1"/>
      <c r="N295" s="1"/>
      <c r="O295" s="1"/>
      <c r="P295" s="1"/>
      <c r="Q295" s="1"/>
      <c r="R295" s="1"/>
      <c r="S295" s="1"/>
      <c r="T295" s="1"/>
      <c r="U295" s="1"/>
      <c r="V295" s="1"/>
      <c r="W295" s="1"/>
      <c r="X295" s="1"/>
      <c r="Y295" s="1"/>
      <c r="Z295" s="1"/>
    </row>
    <row r="296" spans="1:26" ht="12.75" customHeight="1" x14ac:dyDescent="0.25">
      <c r="A296" s="1"/>
      <c r="B296" s="1"/>
      <c r="C296" s="3"/>
      <c r="D296" s="3"/>
      <c r="E296" s="5"/>
      <c r="F296" s="5"/>
      <c r="G296" s="3"/>
      <c r="H296" s="5"/>
      <c r="I296" s="1"/>
      <c r="J296" s="7"/>
      <c r="K296" s="1"/>
      <c r="L296" s="1"/>
      <c r="M296" s="1"/>
      <c r="N296" s="1"/>
      <c r="O296" s="1"/>
      <c r="P296" s="1"/>
      <c r="Q296" s="1"/>
      <c r="R296" s="1"/>
      <c r="S296" s="1"/>
      <c r="T296" s="1"/>
      <c r="U296" s="1"/>
      <c r="V296" s="1"/>
      <c r="W296" s="1"/>
      <c r="X296" s="1"/>
      <c r="Y296" s="1"/>
      <c r="Z296" s="1"/>
    </row>
    <row r="297" spans="1:26" ht="12.75" customHeight="1" x14ac:dyDescent="0.25">
      <c r="A297" s="1"/>
      <c r="B297" s="1"/>
      <c r="C297" s="3"/>
      <c r="D297" s="3"/>
      <c r="E297" s="5"/>
      <c r="F297" s="5"/>
      <c r="G297" s="3"/>
      <c r="H297" s="5"/>
      <c r="I297" s="1"/>
      <c r="J297" s="7"/>
      <c r="K297" s="1"/>
      <c r="L297" s="1"/>
      <c r="M297" s="1"/>
      <c r="N297" s="1"/>
      <c r="O297" s="1"/>
      <c r="P297" s="1"/>
      <c r="Q297" s="1"/>
      <c r="R297" s="1"/>
      <c r="S297" s="1"/>
      <c r="T297" s="1"/>
      <c r="U297" s="1"/>
      <c r="V297" s="1"/>
      <c r="W297" s="1"/>
      <c r="X297" s="1"/>
      <c r="Y297" s="1"/>
      <c r="Z297" s="1"/>
    </row>
    <row r="298" spans="1:26" ht="12.75" customHeight="1" x14ac:dyDescent="0.25">
      <c r="A298" s="1"/>
      <c r="B298" s="1"/>
      <c r="C298" s="3"/>
      <c r="D298" s="3"/>
      <c r="E298" s="5"/>
      <c r="F298" s="5"/>
      <c r="G298" s="3"/>
      <c r="H298" s="5"/>
      <c r="I298" s="1"/>
      <c r="J298" s="7"/>
      <c r="K298" s="1"/>
      <c r="L298" s="1"/>
      <c r="M298" s="1"/>
      <c r="N298" s="1"/>
      <c r="O298" s="1"/>
      <c r="P298" s="1"/>
      <c r="Q298" s="1"/>
      <c r="R298" s="1"/>
      <c r="S298" s="1"/>
      <c r="T298" s="1"/>
      <c r="U298" s="1"/>
      <c r="V298" s="1"/>
      <c r="W298" s="1"/>
      <c r="X298" s="1"/>
      <c r="Y298" s="1"/>
      <c r="Z298" s="1"/>
    </row>
    <row r="299" spans="1:26" ht="12.75" customHeight="1" x14ac:dyDescent="0.25">
      <c r="A299" s="1"/>
      <c r="B299" s="1"/>
      <c r="C299" s="3"/>
      <c r="D299" s="3"/>
      <c r="E299" s="5"/>
      <c r="F299" s="5"/>
      <c r="G299" s="3"/>
      <c r="H299" s="5"/>
      <c r="I299" s="1"/>
      <c r="J299" s="7"/>
      <c r="K299" s="1"/>
      <c r="L299" s="1"/>
      <c r="M299" s="1"/>
      <c r="N299" s="1"/>
      <c r="O299" s="1"/>
      <c r="P299" s="1"/>
      <c r="Q299" s="1"/>
      <c r="R299" s="1"/>
      <c r="S299" s="1"/>
      <c r="T299" s="1"/>
      <c r="U299" s="1"/>
      <c r="V299" s="1"/>
      <c r="W299" s="1"/>
      <c r="X299" s="1"/>
      <c r="Y299" s="1"/>
      <c r="Z299" s="1"/>
    </row>
    <row r="300" spans="1:26" ht="12.75" customHeight="1" x14ac:dyDescent="0.25">
      <c r="A300" s="1"/>
      <c r="B300" s="1"/>
      <c r="C300" s="3"/>
      <c r="D300" s="3"/>
      <c r="E300" s="5"/>
      <c r="F300" s="5"/>
      <c r="G300" s="3"/>
      <c r="H300" s="5"/>
      <c r="I300" s="1"/>
      <c r="J300" s="7"/>
      <c r="K300" s="1"/>
      <c r="L300" s="1"/>
      <c r="M300" s="1"/>
      <c r="N300" s="1"/>
      <c r="O300" s="1"/>
      <c r="P300" s="1"/>
      <c r="Q300" s="1"/>
      <c r="R300" s="1"/>
      <c r="S300" s="1"/>
      <c r="T300" s="1"/>
      <c r="U300" s="1"/>
      <c r="V300" s="1"/>
      <c r="W300" s="1"/>
      <c r="X300" s="1"/>
      <c r="Y300" s="1"/>
      <c r="Z300" s="1"/>
    </row>
    <row r="301" spans="1:26" ht="12.75" customHeight="1" x14ac:dyDescent="0.25">
      <c r="A301" s="1"/>
      <c r="B301" s="1"/>
      <c r="C301" s="3"/>
      <c r="D301" s="3"/>
      <c r="E301" s="5"/>
      <c r="F301" s="5"/>
      <c r="G301" s="3"/>
      <c r="H301" s="5"/>
      <c r="I301" s="1"/>
      <c r="J301" s="7"/>
      <c r="K301" s="1"/>
      <c r="L301" s="1"/>
      <c r="M301" s="1"/>
      <c r="N301" s="1"/>
      <c r="O301" s="1"/>
      <c r="P301" s="1"/>
      <c r="Q301" s="1"/>
      <c r="R301" s="1"/>
      <c r="S301" s="1"/>
      <c r="T301" s="1"/>
      <c r="U301" s="1"/>
      <c r="V301" s="1"/>
      <c r="W301" s="1"/>
      <c r="X301" s="1"/>
      <c r="Y301" s="1"/>
      <c r="Z301" s="1"/>
    </row>
    <row r="302" spans="1:26" ht="12.75" customHeight="1" x14ac:dyDescent="0.25">
      <c r="A302" s="1"/>
      <c r="B302" s="1"/>
      <c r="C302" s="3"/>
      <c r="D302" s="3"/>
      <c r="E302" s="5"/>
      <c r="F302" s="5"/>
      <c r="G302" s="3"/>
      <c r="H302" s="5"/>
      <c r="I302" s="1"/>
      <c r="J302" s="7"/>
      <c r="K302" s="1"/>
      <c r="L302" s="1"/>
      <c r="M302" s="1"/>
      <c r="N302" s="1"/>
      <c r="O302" s="1"/>
      <c r="P302" s="1"/>
      <c r="Q302" s="1"/>
      <c r="R302" s="1"/>
      <c r="S302" s="1"/>
      <c r="T302" s="1"/>
      <c r="U302" s="1"/>
      <c r="V302" s="1"/>
      <c r="W302" s="1"/>
      <c r="X302" s="1"/>
      <c r="Y302" s="1"/>
      <c r="Z302" s="1"/>
    </row>
    <row r="303" spans="1:26" ht="12.75" customHeight="1" x14ac:dyDescent="0.25">
      <c r="A303" s="1"/>
      <c r="B303" s="1"/>
      <c r="C303" s="3"/>
      <c r="D303" s="3"/>
      <c r="E303" s="5"/>
      <c r="F303" s="5"/>
      <c r="G303" s="3"/>
      <c r="H303" s="5"/>
      <c r="I303" s="1"/>
      <c r="J303" s="7"/>
      <c r="K303" s="1"/>
      <c r="L303" s="1"/>
      <c r="M303" s="1"/>
      <c r="N303" s="1"/>
      <c r="O303" s="1"/>
      <c r="P303" s="1"/>
      <c r="Q303" s="1"/>
      <c r="R303" s="1"/>
      <c r="S303" s="1"/>
      <c r="T303" s="1"/>
      <c r="U303" s="1"/>
      <c r="V303" s="1"/>
      <c r="W303" s="1"/>
      <c r="X303" s="1"/>
      <c r="Y303" s="1"/>
      <c r="Z303" s="1"/>
    </row>
    <row r="304" spans="1:26" ht="12.75" customHeight="1" x14ac:dyDescent="0.25">
      <c r="A304" s="1"/>
      <c r="B304" s="1"/>
      <c r="C304" s="3"/>
      <c r="D304" s="3"/>
      <c r="E304" s="5"/>
      <c r="F304" s="5"/>
      <c r="G304" s="3"/>
      <c r="H304" s="5"/>
      <c r="I304" s="1"/>
      <c r="J304" s="7"/>
      <c r="K304" s="1"/>
      <c r="L304" s="1"/>
      <c r="M304" s="1"/>
      <c r="N304" s="1"/>
      <c r="O304" s="1"/>
      <c r="P304" s="1"/>
      <c r="Q304" s="1"/>
      <c r="R304" s="1"/>
      <c r="S304" s="1"/>
      <c r="T304" s="1"/>
      <c r="U304" s="1"/>
      <c r="V304" s="1"/>
      <c r="W304" s="1"/>
      <c r="X304" s="1"/>
      <c r="Y304" s="1"/>
      <c r="Z304" s="1"/>
    </row>
    <row r="305" spans="1:26" ht="12.75" customHeight="1" x14ac:dyDescent="0.25">
      <c r="A305" s="1"/>
      <c r="B305" s="1"/>
      <c r="C305" s="3"/>
      <c r="D305" s="3"/>
      <c r="E305" s="5"/>
      <c r="F305" s="5"/>
      <c r="G305" s="3"/>
      <c r="H305" s="5"/>
      <c r="I305" s="1"/>
      <c r="J305" s="7"/>
      <c r="K305" s="1"/>
      <c r="L305" s="1"/>
      <c r="M305" s="1"/>
      <c r="N305" s="1"/>
      <c r="O305" s="1"/>
      <c r="P305" s="1"/>
      <c r="Q305" s="1"/>
      <c r="R305" s="1"/>
      <c r="S305" s="1"/>
      <c r="T305" s="1"/>
      <c r="U305" s="1"/>
      <c r="V305" s="1"/>
      <c r="W305" s="1"/>
      <c r="X305" s="1"/>
      <c r="Y305" s="1"/>
      <c r="Z305" s="1"/>
    </row>
    <row r="306" spans="1:26" ht="12.75" customHeight="1" x14ac:dyDescent="0.25">
      <c r="A306" s="1"/>
      <c r="B306" s="1"/>
      <c r="C306" s="3"/>
      <c r="D306" s="3"/>
      <c r="E306" s="5"/>
      <c r="F306" s="5"/>
      <c r="G306" s="3"/>
      <c r="H306" s="5"/>
      <c r="I306" s="1"/>
      <c r="J306" s="7"/>
      <c r="K306" s="1"/>
      <c r="L306" s="1"/>
      <c r="M306" s="1"/>
      <c r="N306" s="1"/>
      <c r="O306" s="1"/>
      <c r="P306" s="1"/>
      <c r="Q306" s="1"/>
      <c r="R306" s="1"/>
      <c r="S306" s="1"/>
      <c r="T306" s="1"/>
      <c r="U306" s="1"/>
      <c r="V306" s="1"/>
      <c r="W306" s="1"/>
      <c r="X306" s="1"/>
      <c r="Y306" s="1"/>
      <c r="Z306" s="1"/>
    </row>
    <row r="307" spans="1:26" ht="12.75" customHeight="1" x14ac:dyDescent="0.25">
      <c r="A307" s="1"/>
      <c r="B307" s="1"/>
      <c r="C307" s="3"/>
      <c r="D307" s="3"/>
      <c r="E307" s="5"/>
      <c r="F307" s="5"/>
      <c r="G307" s="3"/>
      <c r="H307" s="5"/>
      <c r="I307" s="1"/>
      <c r="J307" s="7"/>
      <c r="K307" s="1"/>
      <c r="L307" s="1"/>
      <c r="M307" s="1"/>
      <c r="N307" s="1"/>
      <c r="O307" s="1"/>
      <c r="P307" s="1"/>
      <c r="Q307" s="1"/>
      <c r="R307" s="1"/>
      <c r="S307" s="1"/>
      <c r="T307" s="1"/>
      <c r="U307" s="1"/>
      <c r="V307" s="1"/>
      <c r="W307" s="1"/>
      <c r="X307" s="1"/>
      <c r="Y307" s="1"/>
      <c r="Z307" s="1"/>
    </row>
    <row r="308" spans="1:26" ht="12.75" customHeight="1" x14ac:dyDescent="0.25">
      <c r="A308" s="1"/>
      <c r="B308" s="1"/>
      <c r="C308" s="3"/>
      <c r="D308" s="3"/>
      <c r="E308" s="5"/>
      <c r="F308" s="5"/>
      <c r="G308" s="3"/>
      <c r="H308" s="5"/>
      <c r="I308" s="1"/>
      <c r="J308" s="7"/>
      <c r="K308" s="1"/>
      <c r="L308" s="1"/>
      <c r="M308" s="1"/>
      <c r="N308" s="1"/>
      <c r="O308" s="1"/>
      <c r="P308" s="1"/>
      <c r="Q308" s="1"/>
      <c r="R308" s="1"/>
      <c r="S308" s="1"/>
      <c r="T308" s="1"/>
      <c r="U308" s="1"/>
      <c r="V308" s="1"/>
      <c r="W308" s="1"/>
      <c r="X308" s="1"/>
      <c r="Y308" s="1"/>
      <c r="Z308" s="1"/>
    </row>
    <row r="309" spans="1:26" ht="12.75" customHeight="1" x14ac:dyDescent="0.25">
      <c r="A309" s="1"/>
      <c r="B309" s="1"/>
      <c r="C309" s="3"/>
      <c r="D309" s="3"/>
      <c r="E309" s="5"/>
      <c r="F309" s="5"/>
      <c r="G309" s="3"/>
      <c r="H309" s="5"/>
      <c r="I309" s="1"/>
      <c r="J309" s="7"/>
      <c r="K309" s="1"/>
      <c r="L309" s="1"/>
      <c r="M309" s="1"/>
      <c r="N309" s="1"/>
      <c r="O309" s="1"/>
      <c r="P309" s="1"/>
      <c r="Q309" s="1"/>
      <c r="R309" s="1"/>
      <c r="S309" s="1"/>
      <c r="T309" s="1"/>
      <c r="U309" s="1"/>
      <c r="V309" s="1"/>
      <c r="W309" s="1"/>
      <c r="X309" s="1"/>
      <c r="Y309" s="1"/>
      <c r="Z309" s="1"/>
    </row>
    <row r="310" spans="1:26" ht="12.75" customHeight="1" x14ac:dyDescent="0.25">
      <c r="A310" s="1"/>
      <c r="B310" s="1"/>
      <c r="C310" s="3"/>
      <c r="D310" s="3"/>
      <c r="E310" s="5"/>
      <c r="F310" s="5"/>
      <c r="G310" s="3"/>
      <c r="H310" s="5"/>
      <c r="I310" s="1"/>
      <c r="J310" s="7"/>
      <c r="K310" s="1"/>
      <c r="L310" s="1"/>
      <c r="M310" s="1"/>
      <c r="N310" s="1"/>
      <c r="O310" s="1"/>
      <c r="P310" s="1"/>
      <c r="Q310" s="1"/>
      <c r="R310" s="1"/>
      <c r="S310" s="1"/>
      <c r="T310" s="1"/>
      <c r="U310" s="1"/>
      <c r="V310" s="1"/>
      <c r="W310" s="1"/>
      <c r="X310" s="1"/>
      <c r="Y310" s="1"/>
      <c r="Z310" s="1"/>
    </row>
    <row r="311" spans="1:26" ht="12.75" customHeight="1" x14ac:dyDescent="0.25">
      <c r="A311" s="1"/>
      <c r="B311" s="1"/>
      <c r="C311" s="3"/>
      <c r="D311" s="3"/>
      <c r="E311" s="5"/>
      <c r="F311" s="5"/>
      <c r="G311" s="3"/>
      <c r="H311" s="5"/>
      <c r="I311" s="1"/>
      <c r="J311" s="7"/>
      <c r="K311" s="1"/>
      <c r="L311" s="1"/>
      <c r="M311" s="1"/>
      <c r="N311" s="1"/>
      <c r="O311" s="1"/>
      <c r="P311" s="1"/>
      <c r="Q311" s="1"/>
      <c r="R311" s="1"/>
      <c r="S311" s="1"/>
      <c r="T311" s="1"/>
      <c r="U311" s="1"/>
      <c r="V311" s="1"/>
      <c r="W311" s="1"/>
      <c r="X311" s="1"/>
      <c r="Y311" s="1"/>
      <c r="Z311" s="1"/>
    </row>
    <row r="312" spans="1:26" ht="12.75" customHeight="1" x14ac:dyDescent="0.25">
      <c r="A312" s="1"/>
      <c r="B312" s="1"/>
      <c r="C312" s="3"/>
      <c r="D312" s="3"/>
      <c r="E312" s="5"/>
      <c r="F312" s="5"/>
      <c r="G312" s="3"/>
      <c r="H312" s="5"/>
      <c r="I312" s="1"/>
      <c r="J312" s="7"/>
      <c r="K312" s="1"/>
      <c r="L312" s="1"/>
      <c r="M312" s="1"/>
      <c r="N312" s="1"/>
      <c r="O312" s="1"/>
      <c r="P312" s="1"/>
      <c r="Q312" s="1"/>
      <c r="R312" s="1"/>
      <c r="S312" s="1"/>
      <c r="T312" s="1"/>
      <c r="U312" s="1"/>
      <c r="V312" s="1"/>
      <c r="W312" s="1"/>
      <c r="X312" s="1"/>
      <c r="Y312" s="1"/>
      <c r="Z312" s="1"/>
    </row>
    <row r="313" spans="1:26" ht="12.75" customHeight="1" x14ac:dyDescent="0.25">
      <c r="A313" s="1"/>
      <c r="B313" s="1"/>
      <c r="C313" s="3"/>
      <c r="D313" s="3"/>
      <c r="E313" s="5"/>
      <c r="F313" s="5"/>
      <c r="G313" s="3"/>
      <c r="H313" s="5"/>
      <c r="I313" s="1"/>
      <c r="J313" s="7"/>
      <c r="K313" s="1"/>
      <c r="L313" s="1"/>
      <c r="M313" s="1"/>
      <c r="N313" s="1"/>
      <c r="O313" s="1"/>
      <c r="P313" s="1"/>
      <c r="Q313" s="1"/>
      <c r="R313" s="1"/>
      <c r="S313" s="1"/>
      <c r="T313" s="1"/>
      <c r="U313" s="1"/>
      <c r="V313" s="1"/>
      <c r="W313" s="1"/>
      <c r="X313" s="1"/>
      <c r="Y313" s="1"/>
      <c r="Z313" s="1"/>
    </row>
    <row r="314" spans="1:26" ht="12.75" customHeight="1" x14ac:dyDescent="0.25">
      <c r="A314" s="1"/>
      <c r="B314" s="1"/>
      <c r="C314" s="3"/>
      <c r="D314" s="3"/>
      <c r="E314" s="5"/>
      <c r="F314" s="5"/>
      <c r="G314" s="3"/>
      <c r="H314" s="5"/>
      <c r="I314" s="1"/>
      <c r="J314" s="7"/>
      <c r="K314" s="1"/>
      <c r="L314" s="1"/>
      <c r="M314" s="1"/>
      <c r="N314" s="1"/>
      <c r="O314" s="1"/>
      <c r="P314" s="1"/>
      <c r="Q314" s="1"/>
      <c r="R314" s="1"/>
      <c r="S314" s="1"/>
      <c r="T314" s="1"/>
      <c r="U314" s="1"/>
      <c r="V314" s="1"/>
      <c r="W314" s="1"/>
      <c r="X314" s="1"/>
      <c r="Y314" s="1"/>
      <c r="Z314" s="1"/>
    </row>
    <row r="315" spans="1:26" ht="12.75" customHeight="1" x14ac:dyDescent="0.25">
      <c r="A315" s="1"/>
      <c r="B315" s="1"/>
      <c r="C315" s="3"/>
      <c r="D315" s="3"/>
      <c r="E315" s="5"/>
      <c r="F315" s="5"/>
      <c r="G315" s="3"/>
      <c r="H315" s="5"/>
      <c r="I315" s="1"/>
      <c r="J315" s="7"/>
      <c r="K315" s="1"/>
      <c r="L315" s="1"/>
      <c r="M315" s="1"/>
      <c r="N315" s="1"/>
      <c r="O315" s="1"/>
      <c r="P315" s="1"/>
      <c r="Q315" s="1"/>
      <c r="R315" s="1"/>
      <c r="S315" s="1"/>
      <c r="T315" s="1"/>
      <c r="U315" s="1"/>
      <c r="V315" s="1"/>
      <c r="W315" s="1"/>
      <c r="X315" s="1"/>
      <c r="Y315" s="1"/>
      <c r="Z315" s="1"/>
    </row>
    <row r="316" spans="1:26" ht="12.75" customHeight="1" x14ac:dyDescent="0.25">
      <c r="A316" s="1"/>
      <c r="B316" s="1"/>
      <c r="C316" s="3"/>
      <c r="D316" s="3"/>
      <c r="E316" s="5"/>
      <c r="F316" s="5"/>
      <c r="G316" s="3"/>
      <c r="H316" s="5"/>
      <c r="I316" s="1"/>
      <c r="J316" s="7"/>
      <c r="K316" s="1"/>
      <c r="L316" s="1"/>
      <c r="M316" s="1"/>
      <c r="N316" s="1"/>
      <c r="O316" s="1"/>
      <c r="P316" s="1"/>
      <c r="Q316" s="1"/>
      <c r="R316" s="1"/>
      <c r="S316" s="1"/>
      <c r="T316" s="1"/>
      <c r="U316" s="1"/>
      <c r="V316" s="1"/>
      <c r="W316" s="1"/>
      <c r="X316" s="1"/>
      <c r="Y316" s="1"/>
      <c r="Z316" s="1"/>
    </row>
    <row r="317" spans="1:26" ht="12.75" customHeight="1" x14ac:dyDescent="0.25">
      <c r="A317" s="1"/>
      <c r="B317" s="1"/>
      <c r="C317" s="3"/>
      <c r="D317" s="3"/>
      <c r="E317" s="5"/>
      <c r="F317" s="5"/>
      <c r="G317" s="3"/>
      <c r="H317" s="5"/>
      <c r="I317" s="1"/>
      <c r="J317" s="7"/>
      <c r="K317" s="1"/>
      <c r="L317" s="1"/>
      <c r="M317" s="1"/>
      <c r="N317" s="1"/>
      <c r="O317" s="1"/>
      <c r="P317" s="1"/>
      <c r="Q317" s="1"/>
      <c r="R317" s="1"/>
      <c r="S317" s="1"/>
      <c r="T317" s="1"/>
      <c r="U317" s="1"/>
      <c r="V317" s="1"/>
      <c r="W317" s="1"/>
      <c r="X317" s="1"/>
      <c r="Y317" s="1"/>
      <c r="Z317" s="1"/>
    </row>
    <row r="318" spans="1:26" ht="12.75" customHeight="1" x14ac:dyDescent="0.25">
      <c r="A318" s="1"/>
      <c r="B318" s="1"/>
      <c r="C318" s="3"/>
      <c r="D318" s="3"/>
      <c r="E318" s="5"/>
      <c r="F318" s="5"/>
      <c r="G318" s="3"/>
      <c r="H318" s="5"/>
      <c r="I318" s="1"/>
      <c r="J318" s="7"/>
      <c r="K318" s="1"/>
      <c r="L318" s="1"/>
      <c r="M318" s="1"/>
      <c r="N318" s="1"/>
      <c r="O318" s="1"/>
      <c r="P318" s="1"/>
      <c r="Q318" s="1"/>
      <c r="R318" s="1"/>
      <c r="S318" s="1"/>
      <c r="T318" s="1"/>
      <c r="U318" s="1"/>
      <c r="V318" s="1"/>
      <c r="W318" s="1"/>
      <c r="X318" s="1"/>
      <c r="Y318" s="1"/>
      <c r="Z318" s="1"/>
    </row>
    <row r="319" spans="1:26" ht="12.75" customHeight="1" x14ac:dyDescent="0.25">
      <c r="A319" s="1"/>
      <c r="B319" s="1"/>
      <c r="C319" s="3"/>
      <c r="D319" s="3"/>
      <c r="E319" s="5"/>
      <c r="F319" s="5"/>
      <c r="G319" s="3"/>
      <c r="H319" s="5"/>
      <c r="I319" s="1"/>
      <c r="J319" s="7"/>
      <c r="K319" s="1"/>
      <c r="L319" s="1"/>
      <c r="M319" s="1"/>
      <c r="N319" s="1"/>
      <c r="O319" s="1"/>
      <c r="P319" s="1"/>
      <c r="Q319" s="1"/>
      <c r="R319" s="1"/>
      <c r="S319" s="1"/>
      <c r="T319" s="1"/>
      <c r="U319" s="1"/>
      <c r="V319" s="1"/>
      <c r="W319" s="1"/>
      <c r="X319" s="1"/>
      <c r="Y319" s="1"/>
      <c r="Z319" s="1"/>
    </row>
    <row r="320" spans="1:26" ht="12.75" customHeight="1" x14ac:dyDescent="0.25">
      <c r="A320" s="1"/>
      <c r="B320" s="1"/>
      <c r="C320" s="3"/>
      <c r="D320" s="3"/>
      <c r="E320" s="5"/>
      <c r="F320" s="5"/>
      <c r="G320" s="3"/>
      <c r="H320" s="5"/>
      <c r="I320" s="1"/>
      <c r="J320" s="7"/>
      <c r="K320" s="1"/>
      <c r="L320" s="1"/>
      <c r="M320" s="1"/>
      <c r="N320" s="1"/>
      <c r="O320" s="1"/>
      <c r="P320" s="1"/>
      <c r="Q320" s="1"/>
      <c r="R320" s="1"/>
      <c r="S320" s="1"/>
      <c r="T320" s="1"/>
      <c r="U320" s="1"/>
      <c r="V320" s="1"/>
      <c r="W320" s="1"/>
      <c r="X320" s="1"/>
      <c r="Y320" s="1"/>
      <c r="Z320" s="1"/>
    </row>
    <row r="321" spans="1:26" ht="12.75" customHeight="1" x14ac:dyDescent="0.25">
      <c r="A321" s="1"/>
      <c r="B321" s="1"/>
      <c r="C321" s="3"/>
      <c r="D321" s="3"/>
      <c r="E321" s="5"/>
      <c r="F321" s="5"/>
      <c r="G321" s="3"/>
      <c r="H321" s="5"/>
      <c r="I321" s="1"/>
      <c r="J321" s="7"/>
      <c r="K321" s="1"/>
      <c r="L321" s="1"/>
      <c r="M321" s="1"/>
      <c r="N321" s="1"/>
      <c r="O321" s="1"/>
      <c r="P321" s="1"/>
      <c r="Q321" s="1"/>
      <c r="R321" s="1"/>
      <c r="S321" s="1"/>
      <c r="T321" s="1"/>
      <c r="U321" s="1"/>
      <c r="V321" s="1"/>
      <c r="W321" s="1"/>
      <c r="X321" s="1"/>
      <c r="Y321" s="1"/>
      <c r="Z321" s="1"/>
    </row>
    <row r="322" spans="1:26" ht="12.75" customHeight="1" x14ac:dyDescent="0.25">
      <c r="A322" s="1"/>
      <c r="B322" s="1"/>
      <c r="C322" s="3"/>
      <c r="D322" s="3"/>
      <c r="E322" s="5"/>
      <c r="F322" s="5"/>
      <c r="G322" s="3"/>
      <c r="H322" s="5"/>
      <c r="I322" s="1"/>
      <c r="J322" s="7"/>
      <c r="K322" s="1"/>
      <c r="L322" s="1"/>
      <c r="M322" s="1"/>
      <c r="N322" s="1"/>
      <c r="O322" s="1"/>
      <c r="P322" s="1"/>
      <c r="Q322" s="1"/>
      <c r="R322" s="1"/>
      <c r="S322" s="1"/>
      <c r="T322" s="1"/>
      <c r="U322" s="1"/>
      <c r="V322" s="1"/>
      <c r="W322" s="1"/>
      <c r="X322" s="1"/>
      <c r="Y322" s="1"/>
      <c r="Z322" s="1"/>
    </row>
    <row r="323" spans="1:26" ht="12.75" customHeight="1" x14ac:dyDescent="0.25">
      <c r="A323" s="1"/>
      <c r="B323" s="1"/>
      <c r="C323" s="3"/>
      <c r="D323" s="3"/>
      <c r="E323" s="5"/>
      <c r="F323" s="5"/>
      <c r="G323" s="3"/>
      <c r="H323" s="5"/>
      <c r="I323" s="1"/>
      <c r="J323" s="7"/>
      <c r="K323" s="1"/>
      <c r="L323" s="1"/>
      <c r="M323" s="1"/>
      <c r="N323" s="1"/>
      <c r="O323" s="1"/>
      <c r="P323" s="1"/>
      <c r="Q323" s="1"/>
      <c r="R323" s="1"/>
      <c r="S323" s="1"/>
      <c r="T323" s="1"/>
      <c r="U323" s="1"/>
      <c r="V323" s="1"/>
      <c r="W323" s="1"/>
      <c r="X323" s="1"/>
      <c r="Y323" s="1"/>
      <c r="Z323" s="1"/>
    </row>
    <row r="324" spans="1:26" ht="12.75" customHeight="1" x14ac:dyDescent="0.25">
      <c r="A324" s="1"/>
      <c r="B324" s="1"/>
      <c r="C324" s="3"/>
      <c r="D324" s="3"/>
      <c r="E324" s="5"/>
      <c r="F324" s="5"/>
      <c r="G324" s="3"/>
      <c r="H324" s="5"/>
      <c r="I324" s="1"/>
      <c r="J324" s="7"/>
      <c r="K324" s="1"/>
      <c r="L324" s="1"/>
      <c r="M324" s="1"/>
      <c r="N324" s="1"/>
      <c r="O324" s="1"/>
      <c r="P324" s="1"/>
      <c r="Q324" s="1"/>
      <c r="R324" s="1"/>
      <c r="S324" s="1"/>
      <c r="T324" s="1"/>
      <c r="U324" s="1"/>
      <c r="V324" s="1"/>
      <c r="W324" s="1"/>
      <c r="X324" s="1"/>
      <c r="Y324" s="1"/>
      <c r="Z324" s="1"/>
    </row>
    <row r="325" spans="1:26" ht="12.75" customHeight="1" x14ac:dyDescent="0.25">
      <c r="A325" s="1"/>
      <c r="B325" s="1"/>
      <c r="C325" s="3"/>
      <c r="D325" s="3"/>
      <c r="E325" s="5"/>
      <c r="F325" s="5"/>
      <c r="G325" s="3"/>
      <c r="H325" s="5"/>
      <c r="I325" s="1"/>
      <c r="J325" s="7"/>
      <c r="K325" s="1"/>
      <c r="L325" s="1"/>
      <c r="M325" s="1"/>
      <c r="N325" s="1"/>
      <c r="O325" s="1"/>
      <c r="P325" s="1"/>
      <c r="Q325" s="1"/>
      <c r="R325" s="1"/>
      <c r="S325" s="1"/>
      <c r="T325" s="1"/>
      <c r="U325" s="1"/>
      <c r="V325" s="1"/>
      <c r="W325" s="1"/>
      <c r="X325" s="1"/>
      <c r="Y325" s="1"/>
      <c r="Z325" s="1"/>
    </row>
    <row r="326" spans="1:26" ht="12.75" customHeight="1" x14ac:dyDescent="0.25">
      <c r="A326" s="1"/>
      <c r="B326" s="1"/>
      <c r="C326" s="3"/>
      <c r="D326" s="3"/>
      <c r="E326" s="5"/>
      <c r="F326" s="5"/>
      <c r="G326" s="3"/>
      <c r="H326" s="5"/>
      <c r="I326" s="1"/>
      <c r="J326" s="7"/>
      <c r="K326" s="1"/>
      <c r="L326" s="1"/>
      <c r="M326" s="1"/>
      <c r="N326" s="1"/>
      <c r="O326" s="1"/>
      <c r="P326" s="1"/>
      <c r="Q326" s="1"/>
      <c r="R326" s="1"/>
      <c r="S326" s="1"/>
      <c r="T326" s="1"/>
      <c r="U326" s="1"/>
      <c r="V326" s="1"/>
      <c r="W326" s="1"/>
      <c r="X326" s="1"/>
      <c r="Y326" s="1"/>
      <c r="Z326" s="1"/>
    </row>
    <row r="327" spans="1:26" ht="12.75" customHeight="1" x14ac:dyDescent="0.25">
      <c r="A327" s="1"/>
      <c r="B327" s="1"/>
      <c r="C327" s="3"/>
      <c r="D327" s="3"/>
      <c r="E327" s="5"/>
      <c r="F327" s="5"/>
      <c r="G327" s="3"/>
      <c r="H327" s="5"/>
      <c r="I327" s="1"/>
      <c r="J327" s="7"/>
      <c r="K327" s="1"/>
      <c r="L327" s="1"/>
      <c r="M327" s="1"/>
      <c r="N327" s="1"/>
      <c r="O327" s="1"/>
      <c r="P327" s="1"/>
      <c r="Q327" s="1"/>
      <c r="R327" s="1"/>
      <c r="S327" s="1"/>
      <c r="T327" s="1"/>
      <c r="U327" s="1"/>
      <c r="V327" s="1"/>
      <c r="W327" s="1"/>
      <c r="X327" s="1"/>
      <c r="Y327" s="1"/>
      <c r="Z327" s="1"/>
    </row>
    <row r="328" spans="1:26" ht="12.75" customHeight="1" x14ac:dyDescent="0.25">
      <c r="A328" s="1"/>
      <c r="B328" s="1"/>
      <c r="C328" s="3"/>
      <c r="D328" s="3"/>
      <c r="E328" s="5"/>
      <c r="F328" s="5"/>
      <c r="G328" s="3"/>
      <c r="H328" s="5"/>
      <c r="I328" s="1"/>
      <c r="J328" s="7"/>
      <c r="K328" s="1"/>
      <c r="L328" s="1"/>
      <c r="M328" s="1"/>
      <c r="N328" s="1"/>
      <c r="O328" s="1"/>
      <c r="P328" s="1"/>
      <c r="Q328" s="1"/>
      <c r="R328" s="1"/>
      <c r="S328" s="1"/>
      <c r="T328" s="1"/>
      <c r="U328" s="1"/>
      <c r="V328" s="1"/>
      <c r="W328" s="1"/>
      <c r="X328" s="1"/>
      <c r="Y328" s="1"/>
      <c r="Z328" s="1"/>
    </row>
    <row r="329" spans="1:26" ht="12.75" customHeight="1" x14ac:dyDescent="0.25">
      <c r="A329" s="1"/>
      <c r="B329" s="1"/>
      <c r="C329" s="3"/>
      <c r="D329" s="3"/>
      <c r="E329" s="5"/>
      <c r="F329" s="5"/>
      <c r="G329" s="3"/>
      <c r="H329" s="5"/>
      <c r="I329" s="1"/>
      <c r="J329" s="7"/>
      <c r="K329" s="1"/>
      <c r="L329" s="1"/>
      <c r="M329" s="1"/>
      <c r="N329" s="1"/>
      <c r="O329" s="1"/>
      <c r="P329" s="1"/>
      <c r="Q329" s="1"/>
      <c r="R329" s="1"/>
      <c r="S329" s="1"/>
      <c r="T329" s="1"/>
      <c r="U329" s="1"/>
      <c r="V329" s="1"/>
      <c r="W329" s="1"/>
      <c r="X329" s="1"/>
      <c r="Y329" s="1"/>
      <c r="Z329" s="1"/>
    </row>
    <row r="330" spans="1:26" ht="12.75" customHeight="1" x14ac:dyDescent="0.25">
      <c r="A330" s="1"/>
      <c r="B330" s="1"/>
      <c r="C330" s="3"/>
      <c r="D330" s="3"/>
      <c r="E330" s="5"/>
      <c r="F330" s="5"/>
      <c r="G330" s="3"/>
      <c r="H330" s="5"/>
      <c r="I330" s="1"/>
      <c r="J330" s="7"/>
      <c r="K330" s="1"/>
      <c r="L330" s="1"/>
      <c r="M330" s="1"/>
      <c r="N330" s="1"/>
      <c r="O330" s="1"/>
      <c r="P330" s="1"/>
      <c r="Q330" s="1"/>
      <c r="R330" s="1"/>
      <c r="S330" s="1"/>
      <c r="T330" s="1"/>
      <c r="U330" s="1"/>
      <c r="V330" s="1"/>
      <c r="W330" s="1"/>
      <c r="X330" s="1"/>
      <c r="Y330" s="1"/>
      <c r="Z330" s="1"/>
    </row>
    <row r="331" spans="1:26" ht="12.75" customHeight="1" x14ac:dyDescent="0.25">
      <c r="A331" s="1"/>
      <c r="B331" s="1"/>
      <c r="C331" s="3"/>
      <c r="D331" s="3"/>
      <c r="E331" s="5"/>
      <c r="F331" s="5"/>
      <c r="G331" s="3"/>
      <c r="H331" s="5"/>
      <c r="I331" s="1"/>
      <c r="J331" s="7"/>
      <c r="K331" s="1"/>
      <c r="L331" s="1"/>
      <c r="M331" s="1"/>
      <c r="N331" s="1"/>
      <c r="O331" s="1"/>
      <c r="P331" s="1"/>
      <c r="Q331" s="1"/>
      <c r="R331" s="1"/>
      <c r="S331" s="1"/>
      <c r="T331" s="1"/>
      <c r="U331" s="1"/>
      <c r="V331" s="1"/>
      <c r="W331" s="1"/>
      <c r="X331" s="1"/>
      <c r="Y331" s="1"/>
      <c r="Z331" s="1"/>
    </row>
    <row r="332" spans="1:26" ht="12.75" customHeight="1" x14ac:dyDescent="0.25">
      <c r="A332" s="1"/>
      <c r="B332" s="1"/>
      <c r="C332" s="3"/>
      <c r="D332" s="3"/>
      <c r="E332" s="5"/>
      <c r="F332" s="5"/>
      <c r="G332" s="3"/>
      <c r="H332" s="5"/>
      <c r="I332" s="1"/>
      <c r="J332" s="7"/>
      <c r="K332" s="1"/>
      <c r="L332" s="1"/>
      <c r="M332" s="1"/>
      <c r="N332" s="1"/>
      <c r="O332" s="1"/>
      <c r="P332" s="1"/>
      <c r="Q332" s="1"/>
      <c r="R332" s="1"/>
      <c r="S332" s="1"/>
      <c r="T332" s="1"/>
      <c r="U332" s="1"/>
      <c r="V332" s="1"/>
      <c r="W332" s="1"/>
      <c r="X332" s="1"/>
      <c r="Y332" s="1"/>
      <c r="Z332" s="1"/>
    </row>
    <row r="333" spans="1:26" ht="12.75" customHeight="1" x14ac:dyDescent="0.25">
      <c r="A333" s="1"/>
      <c r="B333" s="1"/>
      <c r="C333" s="3"/>
      <c r="D333" s="3"/>
      <c r="E333" s="5"/>
      <c r="F333" s="5"/>
      <c r="G333" s="3"/>
      <c r="H333" s="5"/>
      <c r="I333" s="1"/>
      <c r="J333" s="7"/>
      <c r="K333" s="1"/>
      <c r="L333" s="1"/>
      <c r="M333" s="1"/>
      <c r="N333" s="1"/>
      <c r="O333" s="1"/>
      <c r="P333" s="1"/>
      <c r="Q333" s="1"/>
      <c r="R333" s="1"/>
      <c r="S333" s="1"/>
      <c r="T333" s="1"/>
      <c r="U333" s="1"/>
      <c r="V333" s="1"/>
      <c r="W333" s="1"/>
      <c r="X333" s="1"/>
      <c r="Y333" s="1"/>
      <c r="Z333" s="1"/>
    </row>
    <row r="334" spans="1:26" ht="12.75" customHeight="1" x14ac:dyDescent="0.25">
      <c r="A334" s="1"/>
      <c r="B334" s="1"/>
      <c r="C334" s="3"/>
      <c r="D334" s="3"/>
      <c r="E334" s="5"/>
      <c r="F334" s="5"/>
      <c r="G334" s="3"/>
      <c r="H334" s="5"/>
      <c r="I334" s="1"/>
      <c r="J334" s="7"/>
      <c r="K334" s="1"/>
      <c r="L334" s="1"/>
      <c r="M334" s="1"/>
      <c r="N334" s="1"/>
      <c r="O334" s="1"/>
      <c r="P334" s="1"/>
      <c r="Q334" s="1"/>
      <c r="R334" s="1"/>
      <c r="S334" s="1"/>
      <c r="T334" s="1"/>
      <c r="U334" s="1"/>
      <c r="V334" s="1"/>
      <c r="W334" s="1"/>
      <c r="X334" s="1"/>
      <c r="Y334" s="1"/>
      <c r="Z334" s="1"/>
    </row>
    <row r="335" spans="1:26" ht="12.75" customHeight="1" x14ac:dyDescent="0.25">
      <c r="A335" s="1"/>
      <c r="B335" s="1"/>
      <c r="C335" s="3"/>
      <c r="D335" s="3"/>
      <c r="E335" s="5"/>
      <c r="F335" s="5"/>
      <c r="G335" s="3"/>
      <c r="H335" s="5"/>
      <c r="I335" s="1"/>
      <c r="J335" s="7"/>
      <c r="K335" s="1"/>
      <c r="L335" s="1"/>
      <c r="M335" s="1"/>
      <c r="N335" s="1"/>
      <c r="O335" s="1"/>
      <c r="P335" s="1"/>
      <c r="Q335" s="1"/>
      <c r="R335" s="1"/>
      <c r="S335" s="1"/>
      <c r="T335" s="1"/>
      <c r="U335" s="1"/>
      <c r="V335" s="1"/>
      <c r="W335" s="1"/>
      <c r="X335" s="1"/>
      <c r="Y335" s="1"/>
      <c r="Z335" s="1"/>
    </row>
    <row r="336" spans="1:26" ht="12.75" customHeight="1" x14ac:dyDescent="0.25">
      <c r="A336" s="1"/>
      <c r="B336" s="1"/>
      <c r="C336" s="3"/>
      <c r="D336" s="3"/>
      <c r="E336" s="5"/>
      <c r="F336" s="5"/>
      <c r="G336" s="3"/>
      <c r="H336" s="5"/>
      <c r="I336" s="1"/>
      <c r="J336" s="7"/>
      <c r="K336" s="1"/>
      <c r="L336" s="1"/>
      <c r="M336" s="1"/>
      <c r="N336" s="1"/>
      <c r="O336" s="1"/>
      <c r="P336" s="1"/>
      <c r="Q336" s="1"/>
      <c r="R336" s="1"/>
      <c r="S336" s="1"/>
      <c r="T336" s="1"/>
      <c r="U336" s="1"/>
      <c r="V336" s="1"/>
      <c r="W336" s="1"/>
      <c r="X336" s="1"/>
      <c r="Y336" s="1"/>
      <c r="Z336" s="1"/>
    </row>
    <row r="337" spans="1:26" ht="12.75" customHeight="1" x14ac:dyDescent="0.25">
      <c r="A337" s="1"/>
      <c r="B337" s="1"/>
      <c r="C337" s="3"/>
      <c r="D337" s="3"/>
      <c r="E337" s="5"/>
      <c r="F337" s="5"/>
      <c r="G337" s="3"/>
      <c r="H337" s="5"/>
      <c r="I337" s="1"/>
      <c r="J337" s="7"/>
      <c r="K337" s="1"/>
      <c r="L337" s="1"/>
      <c r="M337" s="1"/>
      <c r="N337" s="1"/>
      <c r="O337" s="1"/>
      <c r="P337" s="1"/>
      <c r="Q337" s="1"/>
      <c r="R337" s="1"/>
      <c r="S337" s="1"/>
      <c r="T337" s="1"/>
      <c r="U337" s="1"/>
      <c r="V337" s="1"/>
      <c r="W337" s="1"/>
      <c r="X337" s="1"/>
      <c r="Y337" s="1"/>
      <c r="Z337" s="1"/>
    </row>
    <row r="338" spans="1:26" ht="12.75" customHeight="1" x14ac:dyDescent="0.25">
      <c r="A338" s="1"/>
      <c r="B338" s="1"/>
      <c r="C338" s="3"/>
      <c r="D338" s="3"/>
      <c r="E338" s="5"/>
      <c r="F338" s="5"/>
      <c r="G338" s="3"/>
      <c r="H338" s="5"/>
      <c r="I338" s="1"/>
      <c r="J338" s="7"/>
      <c r="K338" s="1"/>
      <c r="L338" s="1"/>
      <c r="M338" s="1"/>
      <c r="N338" s="1"/>
      <c r="O338" s="1"/>
      <c r="P338" s="1"/>
      <c r="Q338" s="1"/>
      <c r="R338" s="1"/>
      <c r="S338" s="1"/>
      <c r="T338" s="1"/>
      <c r="U338" s="1"/>
      <c r="V338" s="1"/>
      <c r="W338" s="1"/>
      <c r="X338" s="1"/>
      <c r="Y338" s="1"/>
      <c r="Z338" s="1"/>
    </row>
    <row r="339" spans="1:26" ht="12.75" customHeight="1" x14ac:dyDescent="0.25">
      <c r="A339" s="1"/>
      <c r="B339" s="1"/>
      <c r="C339" s="3"/>
      <c r="D339" s="3"/>
      <c r="E339" s="5"/>
      <c r="F339" s="5"/>
      <c r="G339" s="3"/>
      <c r="H339" s="5"/>
      <c r="I339" s="1"/>
      <c r="J339" s="7"/>
      <c r="K339" s="1"/>
      <c r="L339" s="1"/>
      <c r="M339" s="1"/>
      <c r="N339" s="1"/>
      <c r="O339" s="1"/>
      <c r="P339" s="1"/>
      <c r="Q339" s="1"/>
      <c r="R339" s="1"/>
      <c r="S339" s="1"/>
      <c r="T339" s="1"/>
      <c r="U339" s="1"/>
      <c r="V339" s="1"/>
      <c r="W339" s="1"/>
      <c r="X339" s="1"/>
      <c r="Y339" s="1"/>
      <c r="Z339" s="1"/>
    </row>
    <row r="340" spans="1:26" ht="12.75" customHeight="1" x14ac:dyDescent="0.25">
      <c r="A340" s="1"/>
      <c r="B340" s="1"/>
      <c r="C340" s="3"/>
      <c r="D340" s="3"/>
      <c r="E340" s="5"/>
      <c r="F340" s="5"/>
      <c r="G340" s="3"/>
      <c r="H340" s="5"/>
      <c r="I340" s="1"/>
      <c r="J340" s="7"/>
      <c r="K340" s="1"/>
      <c r="L340" s="1"/>
      <c r="M340" s="1"/>
      <c r="N340" s="1"/>
      <c r="O340" s="1"/>
      <c r="P340" s="1"/>
      <c r="Q340" s="1"/>
      <c r="R340" s="1"/>
      <c r="S340" s="1"/>
      <c r="T340" s="1"/>
      <c r="U340" s="1"/>
      <c r="V340" s="1"/>
      <c r="W340" s="1"/>
      <c r="X340" s="1"/>
      <c r="Y340" s="1"/>
      <c r="Z340" s="1"/>
    </row>
    <row r="341" spans="1:26" ht="12.75" customHeight="1" x14ac:dyDescent="0.25">
      <c r="A341" s="1"/>
      <c r="B341" s="1"/>
      <c r="C341" s="3"/>
      <c r="D341" s="3"/>
      <c r="E341" s="5"/>
      <c r="F341" s="5"/>
      <c r="G341" s="3"/>
      <c r="H341" s="5"/>
      <c r="I341" s="1"/>
      <c r="J341" s="7"/>
      <c r="K341" s="1"/>
      <c r="L341" s="1"/>
      <c r="M341" s="1"/>
      <c r="N341" s="1"/>
      <c r="O341" s="1"/>
      <c r="P341" s="1"/>
      <c r="Q341" s="1"/>
      <c r="R341" s="1"/>
      <c r="S341" s="1"/>
      <c r="T341" s="1"/>
      <c r="U341" s="1"/>
      <c r="V341" s="1"/>
      <c r="W341" s="1"/>
      <c r="X341" s="1"/>
      <c r="Y341" s="1"/>
      <c r="Z341" s="1"/>
    </row>
    <row r="342" spans="1:26" ht="12.75" customHeight="1" x14ac:dyDescent="0.25">
      <c r="A342" s="1"/>
      <c r="B342" s="1"/>
      <c r="C342" s="3"/>
      <c r="D342" s="3"/>
      <c r="E342" s="5"/>
      <c r="F342" s="5"/>
      <c r="G342" s="3"/>
      <c r="H342" s="5"/>
      <c r="I342" s="1"/>
      <c r="J342" s="7"/>
      <c r="K342" s="1"/>
      <c r="L342" s="1"/>
      <c r="M342" s="1"/>
      <c r="N342" s="1"/>
      <c r="O342" s="1"/>
      <c r="P342" s="1"/>
      <c r="Q342" s="1"/>
      <c r="R342" s="1"/>
      <c r="S342" s="1"/>
      <c r="T342" s="1"/>
      <c r="U342" s="1"/>
      <c r="V342" s="1"/>
      <c r="W342" s="1"/>
      <c r="X342" s="1"/>
      <c r="Y342" s="1"/>
      <c r="Z342" s="1"/>
    </row>
    <row r="343" spans="1:26" ht="12.75" customHeight="1" x14ac:dyDescent="0.25">
      <c r="A343" s="1"/>
      <c r="B343" s="1"/>
      <c r="C343" s="3"/>
      <c r="D343" s="3"/>
      <c r="E343" s="5"/>
      <c r="F343" s="5"/>
      <c r="G343" s="3"/>
      <c r="H343" s="5"/>
      <c r="I343" s="1"/>
      <c r="J343" s="7"/>
      <c r="K343" s="1"/>
      <c r="L343" s="1"/>
      <c r="M343" s="1"/>
      <c r="N343" s="1"/>
      <c r="O343" s="1"/>
      <c r="P343" s="1"/>
      <c r="Q343" s="1"/>
      <c r="R343" s="1"/>
      <c r="S343" s="1"/>
      <c r="T343" s="1"/>
      <c r="U343" s="1"/>
      <c r="V343" s="1"/>
      <c r="W343" s="1"/>
      <c r="X343" s="1"/>
      <c r="Y343" s="1"/>
      <c r="Z343" s="1"/>
    </row>
    <row r="344" spans="1:26" ht="12.75" customHeight="1" x14ac:dyDescent="0.25">
      <c r="A344" s="1"/>
      <c r="B344" s="1"/>
      <c r="C344" s="3"/>
      <c r="D344" s="3"/>
      <c r="E344" s="5"/>
      <c r="F344" s="5"/>
      <c r="G344" s="3"/>
      <c r="H344" s="5"/>
      <c r="I344" s="1"/>
      <c r="J344" s="7"/>
      <c r="K344" s="1"/>
      <c r="L344" s="1"/>
      <c r="M344" s="1"/>
      <c r="N344" s="1"/>
      <c r="O344" s="1"/>
      <c r="P344" s="1"/>
      <c r="Q344" s="1"/>
      <c r="R344" s="1"/>
      <c r="S344" s="1"/>
      <c r="T344" s="1"/>
      <c r="U344" s="1"/>
      <c r="V344" s="1"/>
      <c r="W344" s="1"/>
      <c r="X344" s="1"/>
      <c r="Y344" s="1"/>
      <c r="Z344" s="1"/>
    </row>
    <row r="345" spans="1:26" ht="12.75" customHeight="1" x14ac:dyDescent="0.25">
      <c r="A345" s="1"/>
      <c r="B345" s="1"/>
      <c r="C345" s="3"/>
      <c r="D345" s="3"/>
      <c r="E345" s="5"/>
      <c r="F345" s="5"/>
      <c r="G345" s="3"/>
      <c r="H345" s="5"/>
      <c r="I345" s="1"/>
      <c r="J345" s="7"/>
      <c r="K345" s="1"/>
      <c r="L345" s="1"/>
      <c r="M345" s="1"/>
      <c r="N345" s="1"/>
      <c r="O345" s="1"/>
      <c r="P345" s="1"/>
      <c r="Q345" s="1"/>
      <c r="R345" s="1"/>
      <c r="S345" s="1"/>
      <c r="T345" s="1"/>
      <c r="U345" s="1"/>
      <c r="V345" s="1"/>
      <c r="W345" s="1"/>
      <c r="X345" s="1"/>
      <c r="Y345" s="1"/>
      <c r="Z345" s="1"/>
    </row>
    <row r="346" spans="1:26" ht="12.75" customHeight="1" x14ac:dyDescent="0.25">
      <c r="A346" s="1"/>
      <c r="B346" s="1"/>
      <c r="C346" s="3"/>
      <c r="D346" s="3"/>
      <c r="E346" s="5"/>
      <c r="F346" s="5"/>
      <c r="G346" s="3"/>
      <c r="H346" s="5"/>
      <c r="I346" s="1"/>
      <c r="J346" s="7"/>
      <c r="K346" s="1"/>
      <c r="L346" s="1"/>
      <c r="M346" s="1"/>
      <c r="N346" s="1"/>
      <c r="O346" s="1"/>
      <c r="P346" s="1"/>
      <c r="Q346" s="1"/>
      <c r="R346" s="1"/>
      <c r="S346" s="1"/>
      <c r="T346" s="1"/>
      <c r="U346" s="1"/>
      <c r="V346" s="1"/>
      <c r="W346" s="1"/>
      <c r="X346" s="1"/>
      <c r="Y346" s="1"/>
      <c r="Z346" s="1"/>
    </row>
    <row r="347" spans="1:26" ht="12.75" customHeight="1" x14ac:dyDescent="0.25">
      <c r="A347" s="1"/>
      <c r="B347" s="1"/>
      <c r="C347" s="3"/>
      <c r="D347" s="3"/>
      <c r="E347" s="5"/>
      <c r="F347" s="5"/>
      <c r="G347" s="3"/>
      <c r="H347" s="5"/>
      <c r="I347" s="1"/>
      <c r="J347" s="7"/>
      <c r="K347" s="1"/>
      <c r="L347" s="1"/>
      <c r="M347" s="1"/>
      <c r="N347" s="1"/>
      <c r="O347" s="1"/>
      <c r="P347" s="1"/>
      <c r="Q347" s="1"/>
      <c r="R347" s="1"/>
      <c r="S347" s="1"/>
      <c r="T347" s="1"/>
      <c r="U347" s="1"/>
      <c r="V347" s="1"/>
      <c r="W347" s="1"/>
      <c r="X347" s="1"/>
      <c r="Y347" s="1"/>
      <c r="Z347" s="1"/>
    </row>
    <row r="348" spans="1:26" ht="12.75" customHeight="1" x14ac:dyDescent="0.25">
      <c r="A348" s="1"/>
      <c r="B348" s="1"/>
      <c r="C348" s="3"/>
      <c r="D348" s="3"/>
      <c r="E348" s="5"/>
      <c r="F348" s="5"/>
      <c r="G348" s="3"/>
      <c r="H348" s="5"/>
      <c r="I348" s="1"/>
      <c r="J348" s="7"/>
      <c r="K348" s="1"/>
      <c r="L348" s="1"/>
      <c r="M348" s="1"/>
      <c r="N348" s="1"/>
      <c r="O348" s="1"/>
      <c r="P348" s="1"/>
      <c r="Q348" s="1"/>
      <c r="R348" s="1"/>
      <c r="S348" s="1"/>
      <c r="T348" s="1"/>
      <c r="U348" s="1"/>
      <c r="V348" s="1"/>
      <c r="W348" s="1"/>
      <c r="X348" s="1"/>
      <c r="Y348" s="1"/>
      <c r="Z348" s="1"/>
    </row>
    <row r="349" spans="1:26" ht="12.75" customHeight="1" x14ac:dyDescent="0.25">
      <c r="A349" s="1"/>
      <c r="B349" s="1"/>
      <c r="C349" s="3"/>
      <c r="D349" s="3"/>
      <c r="E349" s="5"/>
      <c r="F349" s="5"/>
      <c r="G349" s="3"/>
      <c r="H349" s="5"/>
      <c r="I349" s="1"/>
      <c r="J349" s="7"/>
      <c r="K349" s="1"/>
      <c r="L349" s="1"/>
      <c r="M349" s="1"/>
      <c r="N349" s="1"/>
      <c r="O349" s="1"/>
      <c r="P349" s="1"/>
      <c r="Q349" s="1"/>
      <c r="R349" s="1"/>
      <c r="S349" s="1"/>
      <c r="T349" s="1"/>
      <c r="U349" s="1"/>
      <c r="V349" s="1"/>
      <c r="W349" s="1"/>
      <c r="X349" s="1"/>
      <c r="Y349" s="1"/>
      <c r="Z349" s="1"/>
    </row>
    <row r="350" spans="1:26" ht="12.75" customHeight="1" x14ac:dyDescent="0.25">
      <c r="A350" s="1"/>
      <c r="B350" s="1"/>
      <c r="C350" s="3"/>
      <c r="D350" s="3"/>
      <c r="E350" s="5"/>
      <c r="F350" s="5"/>
      <c r="G350" s="3"/>
      <c r="H350" s="5"/>
      <c r="I350" s="1"/>
      <c r="J350" s="7"/>
      <c r="K350" s="1"/>
      <c r="L350" s="1"/>
      <c r="M350" s="1"/>
      <c r="N350" s="1"/>
      <c r="O350" s="1"/>
      <c r="P350" s="1"/>
      <c r="Q350" s="1"/>
      <c r="R350" s="1"/>
      <c r="S350" s="1"/>
      <c r="T350" s="1"/>
      <c r="U350" s="1"/>
      <c r="V350" s="1"/>
      <c r="W350" s="1"/>
      <c r="X350" s="1"/>
      <c r="Y350" s="1"/>
      <c r="Z350" s="1"/>
    </row>
    <row r="351" spans="1:26" ht="12.75" customHeight="1" x14ac:dyDescent="0.25">
      <c r="A351" s="1"/>
      <c r="B351" s="1"/>
      <c r="C351" s="3"/>
      <c r="D351" s="3"/>
      <c r="E351" s="5"/>
      <c r="F351" s="5"/>
      <c r="G351" s="3"/>
      <c r="H351" s="5"/>
      <c r="I351" s="1"/>
      <c r="J351" s="7"/>
      <c r="K351" s="1"/>
      <c r="L351" s="1"/>
      <c r="M351" s="1"/>
      <c r="N351" s="1"/>
      <c r="O351" s="1"/>
      <c r="P351" s="1"/>
      <c r="Q351" s="1"/>
      <c r="R351" s="1"/>
      <c r="S351" s="1"/>
      <c r="T351" s="1"/>
      <c r="U351" s="1"/>
      <c r="V351" s="1"/>
      <c r="W351" s="1"/>
      <c r="X351" s="1"/>
      <c r="Y351" s="1"/>
      <c r="Z351" s="1"/>
    </row>
    <row r="352" spans="1:26" ht="12.75" customHeight="1" x14ac:dyDescent="0.25">
      <c r="A352" s="1"/>
      <c r="B352" s="1"/>
      <c r="C352" s="3"/>
      <c r="D352" s="3"/>
      <c r="E352" s="5"/>
      <c r="F352" s="5"/>
      <c r="G352" s="3"/>
      <c r="H352" s="5"/>
      <c r="I352" s="1"/>
      <c r="J352" s="7"/>
      <c r="K352" s="1"/>
      <c r="L352" s="1"/>
      <c r="M352" s="1"/>
      <c r="N352" s="1"/>
      <c r="O352" s="1"/>
      <c r="P352" s="1"/>
      <c r="Q352" s="1"/>
      <c r="R352" s="1"/>
      <c r="S352" s="1"/>
      <c r="T352" s="1"/>
      <c r="U352" s="1"/>
      <c r="V352" s="1"/>
      <c r="W352" s="1"/>
      <c r="X352" s="1"/>
      <c r="Y352" s="1"/>
      <c r="Z352" s="1"/>
    </row>
    <row r="353" spans="1:26" ht="12.75" customHeight="1" x14ac:dyDescent="0.25">
      <c r="A353" s="1"/>
      <c r="B353" s="1"/>
      <c r="C353" s="3"/>
      <c r="D353" s="3"/>
      <c r="E353" s="5"/>
      <c r="F353" s="5"/>
      <c r="G353" s="3"/>
      <c r="H353" s="5"/>
      <c r="I353" s="1"/>
      <c r="J353" s="7"/>
      <c r="K353" s="1"/>
      <c r="L353" s="1"/>
      <c r="M353" s="1"/>
      <c r="N353" s="1"/>
      <c r="O353" s="1"/>
      <c r="P353" s="1"/>
      <c r="Q353" s="1"/>
      <c r="R353" s="1"/>
      <c r="S353" s="1"/>
      <c r="T353" s="1"/>
      <c r="U353" s="1"/>
      <c r="V353" s="1"/>
      <c r="W353" s="1"/>
      <c r="X353" s="1"/>
      <c r="Y353" s="1"/>
      <c r="Z353" s="1"/>
    </row>
    <row r="354" spans="1:26" ht="12.75" customHeight="1" x14ac:dyDescent="0.25">
      <c r="A354" s="1"/>
      <c r="B354" s="1"/>
      <c r="C354" s="3"/>
      <c r="D354" s="3"/>
      <c r="E354" s="5"/>
      <c r="F354" s="5"/>
      <c r="G354" s="3"/>
      <c r="H354" s="5"/>
      <c r="I354" s="1"/>
      <c r="J354" s="7"/>
      <c r="K354" s="1"/>
      <c r="L354" s="1"/>
      <c r="M354" s="1"/>
      <c r="N354" s="1"/>
      <c r="O354" s="1"/>
      <c r="P354" s="1"/>
      <c r="Q354" s="1"/>
      <c r="R354" s="1"/>
      <c r="S354" s="1"/>
      <c r="T354" s="1"/>
      <c r="U354" s="1"/>
      <c r="V354" s="1"/>
      <c r="W354" s="1"/>
      <c r="X354" s="1"/>
      <c r="Y354" s="1"/>
      <c r="Z354" s="1"/>
    </row>
    <row r="355" spans="1:26" ht="12.75" customHeight="1" x14ac:dyDescent="0.25">
      <c r="A355" s="1"/>
      <c r="B355" s="1"/>
      <c r="C355" s="3"/>
      <c r="D355" s="3"/>
      <c r="E355" s="5"/>
      <c r="F355" s="5"/>
      <c r="G355" s="3"/>
      <c r="H355" s="5"/>
      <c r="I355" s="1"/>
      <c r="J355" s="7"/>
      <c r="K355" s="1"/>
      <c r="L355" s="1"/>
      <c r="M355" s="1"/>
      <c r="N355" s="1"/>
      <c r="O355" s="1"/>
      <c r="P355" s="1"/>
      <c r="Q355" s="1"/>
      <c r="R355" s="1"/>
      <c r="S355" s="1"/>
      <c r="T355" s="1"/>
      <c r="U355" s="1"/>
      <c r="V355" s="1"/>
      <c r="W355" s="1"/>
      <c r="X355" s="1"/>
      <c r="Y355" s="1"/>
      <c r="Z355" s="1"/>
    </row>
    <row r="356" spans="1:26" ht="12.75" customHeight="1" x14ac:dyDescent="0.25">
      <c r="A356" s="1"/>
      <c r="B356" s="1"/>
      <c r="C356" s="3"/>
      <c r="D356" s="3"/>
      <c r="E356" s="5"/>
      <c r="F356" s="5"/>
      <c r="G356" s="3"/>
      <c r="H356" s="5"/>
      <c r="I356" s="1"/>
      <c r="J356" s="7"/>
      <c r="K356" s="1"/>
      <c r="L356" s="1"/>
      <c r="M356" s="1"/>
      <c r="N356" s="1"/>
      <c r="O356" s="1"/>
      <c r="P356" s="1"/>
      <c r="Q356" s="1"/>
      <c r="R356" s="1"/>
      <c r="S356" s="1"/>
      <c r="T356" s="1"/>
      <c r="U356" s="1"/>
      <c r="V356" s="1"/>
      <c r="W356" s="1"/>
      <c r="X356" s="1"/>
      <c r="Y356" s="1"/>
      <c r="Z356" s="1"/>
    </row>
    <row r="357" spans="1:26" ht="12.75" customHeight="1" x14ac:dyDescent="0.25">
      <c r="A357" s="1"/>
      <c r="B357" s="1"/>
      <c r="C357" s="3"/>
      <c r="D357" s="3"/>
      <c r="E357" s="5"/>
      <c r="F357" s="5"/>
      <c r="G357" s="3"/>
      <c r="H357" s="5"/>
      <c r="I357" s="1"/>
      <c r="J357" s="7"/>
      <c r="K357" s="1"/>
      <c r="L357" s="1"/>
      <c r="M357" s="1"/>
      <c r="N357" s="1"/>
      <c r="O357" s="1"/>
      <c r="P357" s="1"/>
      <c r="Q357" s="1"/>
      <c r="R357" s="1"/>
      <c r="S357" s="1"/>
      <c r="T357" s="1"/>
      <c r="U357" s="1"/>
      <c r="V357" s="1"/>
      <c r="W357" s="1"/>
      <c r="X357" s="1"/>
      <c r="Y357" s="1"/>
      <c r="Z357" s="1"/>
    </row>
    <row r="358" spans="1:26" ht="12.75" customHeight="1" x14ac:dyDescent="0.25">
      <c r="A358" s="1"/>
      <c r="B358" s="1"/>
      <c r="C358" s="3"/>
      <c r="D358" s="3"/>
      <c r="E358" s="5"/>
      <c r="F358" s="5"/>
      <c r="G358" s="3"/>
      <c r="H358" s="5"/>
      <c r="I358" s="1"/>
      <c r="J358" s="7"/>
      <c r="K358" s="1"/>
      <c r="L358" s="1"/>
      <c r="M358" s="1"/>
      <c r="N358" s="1"/>
      <c r="O358" s="1"/>
      <c r="P358" s="1"/>
      <c r="Q358" s="1"/>
      <c r="R358" s="1"/>
      <c r="S358" s="1"/>
      <c r="T358" s="1"/>
      <c r="U358" s="1"/>
      <c r="V358" s="1"/>
      <c r="W358" s="1"/>
      <c r="X358" s="1"/>
      <c r="Y358" s="1"/>
      <c r="Z358" s="1"/>
    </row>
    <row r="359" spans="1:26" ht="12.75" customHeight="1" x14ac:dyDescent="0.25">
      <c r="A359" s="1"/>
      <c r="B359" s="1"/>
      <c r="C359" s="3"/>
      <c r="D359" s="3"/>
      <c r="E359" s="5"/>
      <c r="F359" s="5"/>
      <c r="G359" s="3"/>
      <c r="H359" s="5"/>
      <c r="I359" s="1"/>
      <c r="J359" s="7"/>
      <c r="K359" s="1"/>
      <c r="L359" s="1"/>
      <c r="M359" s="1"/>
      <c r="N359" s="1"/>
      <c r="O359" s="1"/>
      <c r="P359" s="1"/>
      <c r="Q359" s="1"/>
      <c r="R359" s="1"/>
      <c r="S359" s="1"/>
      <c r="T359" s="1"/>
      <c r="U359" s="1"/>
      <c r="V359" s="1"/>
      <c r="W359" s="1"/>
      <c r="X359" s="1"/>
      <c r="Y359" s="1"/>
      <c r="Z359" s="1"/>
    </row>
    <row r="360" spans="1:26" ht="12.75" customHeight="1" x14ac:dyDescent="0.25">
      <c r="A360" s="1"/>
      <c r="B360" s="1"/>
      <c r="C360" s="3"/>
      <c r="D360" s="3"/>
      <c r="E360" s="5"/>
      <c r="F360" s="5"/>
      <c r="G360" s="3"/>
      <c r="H360" s="5"/>
      <c r="I360" s="1"/>
      <c r="J360" s="7"/>
      <c r="K360" s="1"/>
      <c r="L360" s="1"/>
      <c r="M360" s="1"/>
      <c r="N360" s="1"/>
      <c r="O360" s="1"/>
      <c r="P360" s="1"/>
      <c r="Q360" s="1"/>
      <c r="R360" s="1"/>
      <c r="S360" s="1"/>
      <c r="T360" s="1"/>
      <c r="U360" s="1"/>
      <c r="V360" s="1"/>
      <c r="W360" s="1"/>
      <c r="X360" s="1"/>
      <c r="Y360" s="1"/>
      <c r="Z360" s="1"/>
    </row>
    <row r="361" spans="1:26" ht="12.75" customHeight="1" x14ac:dyDescent="0.25">
      <c r="A361" s="1"/>
      <c r="B361" s="1"/>
      <c r="C361" s="3"/>
      <c r="D361" s="3"/>
      <c r="E361" s="5"/>
      <c r="F361" s="5"/>
      <c r="G361" s="3"/>
      <c r="H361" s="5"/>
      <c r="I361" s="1"/>
      <c r="J361" s="7"/>
      <c r="K361" s="1"/>
      <c r="L361" s="1"/>
      <c r="M361" s="1"/>
      <c r="N361" s="1"/>
      <c r="O361" s="1"/>
      <c r="P361" s="1"/>
      <c r="Q361" s="1"/>
      <c r="R361" s="1"/>
      <c r="S361" s="1"/>
      <c r="T361" s="1"/>
      <c r="U361" s="1"/>
      <c r="V361" s="1"/>
      <c r="W361" s="1"/>
      <c r="X361" s="1"/>
      <c r="Y361" s="1"/>
      <c r="Z361" s="1"/>
    </row>
    <row r="362" spans="1:26" ht="12.75" customHeight="1" x14ac:dyDescent="0.25">
      <c r="A362" s="1"/>
      <c r="B362" s="1"/>
      <c r="C362" s="3"/>
      <c r="D362" s="3"/>
      <c r="E362" s="5"/>
      <c r="F362" s="5"/>
      <c r="G362" s="3"/>
      <c r="H362" s="5"/>
      <c r="I362" s="1"/>
      <c r="J362" s="7"/>
      <c r="K362" s="1"/>
      <c r="L362" s="1"/>
      <c r="M362" s="1"/>
      <c r="N362" s="1"/>
      <c r="O362" s="1"/>
      <c r="P362" s="1"/>
      <c r="Q362" s="1"/>
      <c r="R362" s="1"/>
      <c r="S362" s="1"/>
      <c r="T362" s="1"/>
      <c r="U362" s="1"/>
      <c r="V362" s="1"/>
      <c r="W362" s="1"/>
      <c r="X362" s="1"/>
      <c r="Y362" s="1"/>
      <c r="Z362" s="1"/>
    </row>
    <row r="363" spans="1:26" ht="12.75" customHeight="1" x14ac:dyDescent="0.25">
      <c r="A363" s="1"/>
      <c r="B363" s="1"/>
      <c r="C363" s="3"/>
      <c r="D363" s="3"/>
      <c r="E363" s="5"/>
      <c r="F363" s="5"/>
      <c r="G363" s="3"/>
      <c r="H363" s="5"/>
      <c r="I363" s="1"/>
      <c r="J363" s="7"/>
      <c r="K363" s="1"/>
      <c r="L363" s="1"/>
      <c r="M363" s="1"/>
      <c r="N363" s="1"/>
      <c r="O363" s="1"/>
      <c r="P363" s="1"/>
      <c r="Q363" s="1"/>
      <c r="R363" s="1"/>
      <c r="S363" s="1"/>
      <c r="T363" s="1"/>
      <c r="U363" s="1"/>
      <c r="V363" s="1"/>
      <c r="W363" s="1"/>
      <c r="X363" s="1"/>
      <c r="Y363" s="1"/>
      <c r="Z363" s="1"/>
    </row>
    <row r="364" spans="1:26" ht="12.75" customHeight="1" x14ac:dyDescent="0.25">
      <c r="A364" s="1"/>
      <c r="B364" s="1"/>
      <c r="C364" s="3"/>
      <c r="D364" s="3"/>
      <c r="E364" s="5"/>
      <c r="F364" s="5"/>
      <c r="G364" s="3"/>
      <c r="H364" s="5"/>
      <c r="I364" s="1"/>
      <c r="J364" s="7"/>
      <c r="K364" s="1"/>
      <c r="L364" s="1"/>
      <c r="M364" s="1"/>
      <c r="N364" s="1"/>
      <c r="O364" s="1"/>
      <c r="P364" s="1"/>
      <c r="Q364" s="1"/>
      <c r="R364" s="1"/>
      <c r="S364" s="1"/>
      <c r="T364" s="1"/>
      <c r="U364" s="1"/>
      <c r="V364" s="1"/>
      <c r="W364" s="1"/>
      <c r="X364" s="1"/>
      <c r="Y364" s="1"/>
      <c r="Z364" s="1"/>
    </row>
    <row r="365" spans="1:26" ht="12.75" customHeight="1" x14ac:dyDescent="0.25">
      <c r="A365" s="1"/>
      <c r="B365" s="1"/>
      <c r="C365" s="3"/>
      <c r="D365" s="3"/>
      <c r="E365" s="5"/>
      <c r="F365" s="5"/>
      <c r="G365" s="3"/>
      <c r="H365" s="5"/>
      <c r="I365" s="1"/>
      <c r="J365" s="7"/>
      <c r="K365" s="1"/>
      <c r="L365" s="1"/>
      <c r="M365" s="1"/>
      <c r="N365" s="1"/>
      <c r="O365" s="1"/>
      <c r="P365" s="1"/>
      <c r="Q365" s="1"/>
      <c r="R365" s="1"/>
      <c r="S365" s="1"/>
      <c r="T365" s="1"/>
      <c r="U365" s="1"/>
      <c r="V365" s="1"/>
      <c r="W365" s="1"/>
      <c r="X365" s="1"/>
      <c r="Y365" s="1"/>
      <c r="Z365" s="1"/>
    </row>
    <row r="366" spans="1:26" ht="12.75" customHeight="1" x14ac:dyDescent="0.25">
      <c r="A366" s="1"/>
      <c r="B366" s="1"/>
      <c r="C366" s="3"/>
      <c r="D366" s="3"/>
      <c r="E366" s="5"/>
      <c r="F366" s="5"/>
      <c r="G366" s="3"/>
      <c r="H366" s="5"/>
      <c r="I366" s="1"/>
      <c r="J366" s="7"/>
      <c r="K366" s="1"/>
      <c r="L366" s="1"/>
      <c r="M366" s="1"/>
      <c r="N366" s="1"/>
      <c r="O366" s="1"/>
      <c r="P366" s="1"/>
      <c r="Q366" s="1"/>
      <c r="R366" s="1"/>
      <c r="S366" s="1"/>
      <c r="T366" s="1"/>
      <c r="U366" s="1"/>
      <c r="V366" s="1"/>
      <c r="W366" s="1"/>
      <c r="X366" s="1"/>
      <c r="Y366" s="1"/>
      <c r="Z366" s="1"/>
    </row>
    <row r="367" spans="1:26" ht="12.75" customHeight="1" x14ac:dyDescent="0.25">
      <c r="A367" s="1"/>
      <c r="B367" s="1"/>
      <c r="C367" s="3"/>
      <c r="D367" s="3"/>
      <c r="E367" s="5"/>
      <c r="F367" s="5"/>
      <c r="G367" s="3"/>
      <c r="H367" s="5"/>
      <c r="I367" s="1"/>
      <c r="J367" s="7"/>
      <c r="K367" s="1"/>
      <c r="L367" s="1"/>
      <c r="M367" s="1"/>
      <c r="N367" s="1"/>
      <c r="O367" s="1"/>
      <c r="P367" s="1"/>
      <c r="Q367" s="1"/>
      <c r="R367" s="1"/>
      <c r="S367" s="1"/>
      <c r="T367" s="1"/>
      <c r="U367" s="1"/>
      <c r="V367" s="1"/>
      <c r="W367" s="1"/>
      <c r="X367" s="1"/>
      <c r="Y367" s="1"/>
      <c r="Z367" s="1"/>
    </row>
    <row r="368" spans="1:26" ht="12.75" customHeight="1" x14ac:dyDescent="0.25">
      <c r="A368" s="1"/>
      <c r="B368" s="1"/>
      <c r="C368" s="3"/>
      <c r="D368" s="3"/>
      <c r="E368" s="5"/>
      <c r="F368" s="5"/>
      <c r="G368" s="3"/>
      <c r="H368" s="5"/>
      <c r="I368" s="1"/>
      <c r="J368" s="7"/>
      <c r="K368" s="1"/>
      <c r="L368" s="1"/>
      <c r="M368" s="1"/>
      <c r="N368" s="1"/>
      <c r="O368" s="1"/>
      <c r="P368" s="1"/>
      <c r="Q368" s="1"/>
      <c r="R368" s="1"/>
      <c r="S368" s="1"/>
      <c r="T368" s="1"/>
      <c r="U368" s="1"/>
      <c r="V368" s="1"/>
      <c r="W368" s="1"/>
      <c r="X368" s="1"/>
      <c r="Y368" s="1"/>
      <c r="Z368" s="1"/>
    </row>
    <row r="369" spans="1:26" ht="12.75" customHeight="1" x14ac:dyDescent="0.25">
      <c r="A369" s="1"/>
      <c r="B369" s="1"/>
      <c r="C369" s="3"/>
      <c r="D369" s="3"/>
      <c r="E369" s="5"/>
      <c r="F369" s="5"/>
      <c r="G369" s="3"/>
      <c r="H369" s="5"/>
      <c r="I369" s="1"/>
      <c r="J369" s="7"/>
      <c r="K369" s="1"/>
      <c r="L369" s="1"/>
      <c r="M369" s="1"/>
      <c r="N369" s="1"/>
      <c r="O369" s="1"/>
      <c r="P369" s="1"/>
      <c r="Q369" s="1"/>
      <c r="R369" s="1"/>
      <c r="S369" s="1"/>
      <c r="T369" s="1"/>
      <c r="U369" s="1"/>
      <c r="V369" s="1"/>
      <c r="W369" s="1"/>
      <c r="X369" s="1"/>
      <c r="Y369" s="1"/>
      <c r="Z369" s="1"/>
    </row>
    <row r="370" spans="1:26" ht="12.75" customHeight="1" x14ac:dyDescent="0.25">
      <c r="A370" s="1"/>
      <c r="B370" s="1"/>
      <c r="C370" s="3"/>
      <c r="D370" s="3"/>
      <c r="E370" s="5"/>
      <c r="F370" s="5"/>
      <c r="G370" s="3"/>
      <c r="H370" s="5"/>
      <c r="I370" s="1"/>
      <c r="J370" s="7"/>
      <c r="K370" s="1"/>
      <c r="L370" s="1"/>
      <c r="M370" s="1"/>
      <c r="N370" s="1"/>
      <c r="O370" s="1"/>
      <c r="P370" s="1"/>
      <c r="Q370" s="1"/>
      <c r="R370" s="1"/>
      <c r="S370" s="1"/>
      <c r="T370" s="1"/>
      <c r="U370" s="1"/>
      <c r="V370" s="1"/>
      <c r="W370" s="1"/>
      <c r="X370" s="1"/>
      <c r="Y370" s="1"/>
      <c r="Z370" s="1"/>
    </row>
    <row r="371" spans="1:26" ht="12.75" customHeight="1" x14ac:dyDescent="0.25">
      <c r="A371" s="1"/>
      <c r="B371" s="1"/>
      <c r="C371" s="3"/>
      <c r="D371" s="3"/>
      <c r="E371" s="5"/>
      <c r="F371" s="5"/>
      <c r="G371" s="3"/>
      <c r="H371" s="5"/>
      <c r="I371" s="1"/>
      <c r="J371" s="7"/>
      <c r="K371" s="1"/>
      <c r="L371" s="1"/>
      <c r="M371" s="1"/>
      <c r="N371" s="1"/>
      <c r="O371" s="1"/>
      <c r="P371" s="1"/>
      <c r="Q371" s="1"/>
      <c r="R371" s="1"/>
      <c r="S371" s="1"/>
      <c r="T371" s="1"/>
      <c r="U371" s="1"/>
      <c r="V371" s="1"/>
      <c r="W371" s="1"/>
      <c r="X371" s="1"/>
      <c r="Y371" s="1"/>
      <c r="Z371" s="1"/>
    </row>
    <row r="372" spans="1:26" ht="12.75" customHeight="1" x14ac:dyDescent="0.25">
      <c r="A372" s="1"/>
      <c r="B372" s="1"/>
      <c r="C372" s="3"/>
      <c r="D372" s="3"/>
      <c r="E372" s="5"/>
      <c r="F372" s="5"/>
      <c r="G372" s="3"/>
      <c r="H372" s="5"/>
      <c r="I372" s="1"/>
      <c r="J372" s="7"/>
      <c r="K372" s="1"/>
      <c r="L372" s="1"/>
      <c r="M372" s="1"/>
      <c r="N372" s="1"/>
      <c r="O372" s="1"/>
      <c r="P372" s="1"/>
      <c r="Q372" s="1"/>
      <c r="R372" s="1"/>
      <c r="S372" s="1"/>
      <c r="T372" s="1"/>
      <c r="U372" s="1"/>
      <c r="V372" s="1"/>
      <c r="W372" s="1"/>
      <c r="X372" s="1"/>
      <c r="Y372" s="1"/>
      <c r="Z372" s="1"/>
    </row>
    <row r="373" spans="1:26" ht="12.75" customHeight="1" x14ac:dyDescent="0.25">
      <c r="A373" s="1"/>
      <c r="B373" s="1"/>
      <c r="C373" s="3"/>
      <c r="D373" s="3"/>
      <c r="E373" s="5"/>
      <c r="F373" s="5"/>
      <c r="G373" s="3"/>
      <c r="H373" s="5"/>
      <c r="I373" s="1"/>
      <c r="J373" s="7"/>
      <c r="K373" s="1"/>
      <c r="L373" s="1"/>
      <c r="M373" s="1"/>
      <c r="N373" s="1"/>
      <c r="O373" s="1"/>
      <c r="P373" s="1"/>
      <c r="Q373" s="1"/>
      <c r="R373" s="1"/>
      <c r="S373" s="1"/>
      <c r="T373" s="1"/>
      <c r="U373" s="1"/>
      <c r="V373" s="1"/>
      <c r="W373" s="1"/>
      <c r="X373" s="1"/>
      <c r="Y373" s="1"/>
      <c r="Z373" s="1"/>
    </row>
    <row r="374" spans="1:26" ht="12.75" customHeight="1" x14ac:dyDescent="0.25">
      <c r="A374" s="1"/>
      <c r="B374" s="1"/>
      <c r="C374" s="3"/>
      <c r="D374" s="3"/>
      <c r="E374" s="5"/>
      <c r="F374" s="5"/>
      <c r="G374" s="3"/>
      <c r="H374" s="5"/>
      <c r="I374" s="1"/>
      <c r="J374" s="7"/>
      <c r="K374" s="1"/>
      <c r="L374" s="1"/>
      <c r="M374" s="1"/>
      <c r="N374" s="1"/>
      <c r="O374" s="1"/>
      <c r="P374" s="1"/>
      <c r="Q374" s="1"/>
      <c r="R374" s="1"/>
      <c r="S374" s="1"/>
      <c r="T374" s="1"/>
      <c r="U374" s="1"/>
      <c r="V374" s="1"/>
      <c r="W374" s="1"/>
      <c r="X374" s="1"/>
      <c r="Y374" s="1"/>
      <c r="Z374" s="1"/>
    </row>
    <row r="375" spans="1:26" ht="12.75" customHeight="1" x14ac:dyDescent="0.25">
      <c r="A375" s="1"/>
      <c r="B375" s="1"/>
      <c r="C375" s="3"/>
      <c r="D375" s="3"/>
      <c r="E375" s="5"/>
      <c r="F375" s="5"/>
      <c r="G375" s="3"/>
      <c r="H375" s="5"/>
      <c r="I375" s="1"/>
      <c r="J375" s="7"/>
      <c r="K375" s="1"/>
      <c r="L375" s="1"/>
      <c r="M375" s="1"/>
      <c r="N375" s="1"/>
      <c r="O375" s="1"/>
      <c r="P375" s="1"/>
      <c r="Q375" s="1"/>
      <c r="R375" s="1"/>
      <c r="S375" s="1"/>
      <c r="T375" s="1"/>
      <c r="U375" s="1"/>
      <c r="V375" s="1"/>
      <c r="W375" s="1"/>
      <c r="X375" s="1"/>
      <c r="Y375" s="1"/>
      <c r="Z375" s="1"/>
    </row>
    <row r="376" spans="1:26" ht="12.75" customHeight="1" x14ac:dyDescent="0.25">
      <c r="A376" s="1"/>
      <c r="B376" s="1"/>
      <c r="C376" s="3"/>
      <c r="D376" s="3"/>
      <c r="E376" s="5"/>
      <c r="F376" s="5"/>
      <c r="G376" s="3"/>
      <c r="H376" s="5"/>
      <c r="I376" s="1"/>
      <c r="J376" s="7"/>
      <c r="K376" s="1"/>
      <c r="L376" s="1"/>
      <c r="M376" s="1"/>
      <c r="N376" s="1"/>
      <c r="O376" s="1"/>
      <c r="P376" s="1"/>
      <c r="Q376" s="1"/>
      <c r="R376" s="1"/>
      <c r="S376" s="1"/>
      <c r="T376" s="1"/>
      <c r="U376" s="1"/>
      <c r="V376" s="1"/>
      <c r="W376" s="1"/>
      <c r="X376" s="1"/>
      <c r="Y376" s="1"/>
      <c r="Z376" s="1"/>
    </row>
    <row r="377" spans="1:26" ht="12.75" customHeight="1" x14ac:dyDescent="0.25">
      <c r="A377" s="1"/>
      <c r="B377" s="1"/>
      <c r="C377" s="3"/>
      <c r="D377" s="3"/>
      <c r="E377" s="5"/>
      <c r="F377" s="5"/>
      <c r="G377" s="3"/>
      <c r="H377" s="5"/>
      <c r="I377" s="1"/>
      <c r="J377" s="7"/>
      <c r="K377" s="1"/>
      <c r="L377" s="1"/>
      <c r="M377" s="1"/>
      <c r="N377" s="1"/>
      <c r="O377" s="1"/>
      <c r="P377" s="1"/>
      <c r="Q377" s="1"/>
      <c r="R377" s="1"/>
      <c r="S377" s="1"/>
      <c r="T377" s="1"/>
      <c r="U377" s="1"/>
      <c r="V377" s="1"/>
      <c r="W377" s="1"/>
      <c r="X377" s="1"/>
      <c r="Y377" s="1"/>
      <c r="Z377" s="1"/>
    </row>
    <row r="378" spans="1:26" ht="12.75" customHeight="1" x14ac:dyDescent="0.25">
      <c r="A378" s="1"/>
      <c r="B378" s="1"/>
      <c r="C378" s="3"/>
      <c r="D378" s="3"/>
      <c r="E378" s="5"/>
      <c r="F378" s="5"/>
      <c r="G378" s="3"/>
      <c r="H378" s="5"/>
      <c r="I378" s="1"/>
      <c r="J378" s="7"/>
      <c r="K378" s="1"/>
      <c r="L378" s="1"/>
      <c r="M378" s="1"/>
      <c r="N378" s="1"/>
      <c r="O378" s="1"/>
      <c r="P378" s="1"/>
      <c r="Q378" s="1"/>
      <c r="R378" s="1"/>
      <c r="S378" s="1"/>
      <c r="T378" s="1"/>
      <c r="U378" s="1"/>
      <c r="V378" s="1"/>
      <c r="W378" s="1"/>
      <c r="X378" s="1"/>
      <c r="Y378" s="1"/>
      <c r="Z378" s="1"/>
    </row>
    <row r="379" spans="1:26" ht="12.75" customHeight="1" x14ac:dyDescent="0.25">
      <c r="A379" s="1"/>
      <c r="B379" s="1"/>
      <c r="C379" s="3"/>
      <c r="D379" s="3"/>
      <c r="E379" s="5"/>
      <c r="F379" s="5"/>
      <c r="G379" s="3"/>
      <c r="H379" s="5"/>
      <c r="I379" s="1"/>
      <c r="J379" s="7"/>
      <c r="K379" s="1"/>
      <c r="L379" s="1"/>
      <c r="M379" s="1"/>
      <c r="N379" s="1"/>
      <c r="O379" s="1"/>
      <c r="P379" s="1"/>
      <c r="Q379" s="1"/>
      <c r="R379" s="1"/>
      <c r="S379" s="1"/>
      <c r="T379" s="1"/>
      <c r="U379" s="1"/>
      <c r="V379" s="1"/>
      <c r="W379" s="1"/>
      <c r="X379" s="1"/>
      <c r="Y379" s="1"/>
      <c r="Z379" s="1"/>
    </row>
    <row r="380" spans="1:26" ht="12.75" customHeight="1" x14ac:dyDescent="0.25">
      <c r="A380" s="1"/>
      <c r="B380" s="1"/>
      <c r="C380" s="3"/>
      <c r="D380" s="3"/>
      <c r="E380" s="5"/>
      <c r="F380" s="5"/>
      <c r="G380" s="3"/>
      <c r="H380" s="5"/>
      <c r="I380" s="1"/>
      <c r="J380" s="7"/>
      <c r="K380" s="1"/>
      <c r="L380" s="1"/>
      <c r="M380" s="1"/>
      <c r="N380" s="1"/>
      <c r="O380" s="1"/>
      <c r="P380" s="1"/>
      <c r="Q380" s="1"/>
      <c r="R380" s="1"/>
      <c r="S380" s="1"/>
      <c r="T380" s="1"/>
      <c r="U380" s="1"/>
      <c r="V380" s="1"/>
      <c r="W380" s="1"/>
      <c r="X380" s="1"/>
      <c r="Y380" s="1"/>
      <c r="Z380" s="1"/>
    </row>
    <row r="381" spans="1:26" ht="12.75" customHeight="1" x14ac:dyDescent="0.25">
      <c r="A381" s="1"/>
      <c r="B381" s="1"/>
      <c r="C381" s="3"/>
      <c r="D381" s="3"/>
      <c r="E381" s="5"/>
      <c r="F381" s="5"/>
      <c r="G381" s="3"/>
      <c r="H381" s="5"/>
      <c r="I381" s="1"/>
      <c r="J381" s="7"/>
      <c r="K381" s="1"/>
      <c r="L381" s="1"/>
      <c r="M381" s="1"/>
      <c r="N381" s="1"/>
      <c r="O381" s="1"/>
      <c r="P381" s="1"/>
      <c r="Q381" s="1"/>
      <c r="R381" s="1"/>
      <c r="S381" s="1"/>
      <c r="T381" s="1"/>
      <c r="U381" s="1"/>
      <c r="V381" s="1"/>
      <c r="W381" s="1"/>
      <c r="X381" s="1"/>
      <c r="Y381" s="1"/>
      <c r="Z381" s="1"/>
    </row>
    <row r="382" spans="1:26" ht="12.75" customHeight="1" x14ac:dyDescent="0.25">
      <c r="A382" s="1"/>
      <c r="B382" s="1"/>
      <c r="C382" s="3"/>
      <c r="D382" s="3"/>
      <c r="E382" s="5"/>
      <c r="F382" s="5"/>
      <c r="G382" s="3"/>
      <c r="H382" s="5"/>
      <c r="I382" s="1"/>
      <c r="J382" s="7"/>
      <c r="K382" s="1"/>
      <c r="L382" s="1"/>
      <c r="M382" s="1"/>
      <c r="N382" s="1"/>
      <c r="O382" s="1"/>
      <c r="P382" s="1"/>
      <c r="Q382" s="1"/>
      <c r="R382" s="1"/>
      <c r="S382" s="1"/>
      <c r="T382" s="1"/>
      <c r="U382" s="1"/>
      <c r="V382" s="1"/>
      <c r="W382" s="1"/>
      <c r="X382" s="1"/>
      <c r="Y382" s="1"/>
      <c r="Z382" s="1"/>
    </row>
    <row r="383" spans="1:26" ht="12.75" customHeight="1" x14ac:dyDescent="0.25">
      <c r="A383" s="1"/>
      <c r="B383" s="1"/>
      <c r="C383" s="3"/>
      <c r="D383" s="3"/>
      <c r="E383" s="5"/>
      <c r="F383" s="5"/>
      <c r="G383" s="3"/>
      <c r="H383" s="5"/>
      <c r="I383" s="1"/>
      <c r="J383" s="7"/>
      <c r="K383" s="1"/>
      <c r="L383" s="1"/>
      <c r="M383" s="1"/>
      <c r="N383" s="1"/>
      <c r="O383" s="1"/>
      <c r="P383" s="1"/>
      <c r="Q383" s="1"/>
      <c r="R383" s="1"/>
      <c r="S383" s="1"/>
      <c r="T383" s="1"/>
      <c r="U383" s="1"/>
      <c r="V383" s="1"/>
      <c r="W383" s="1"/>
      <c r="X383" s="1"/>
      <c r="Y383" s="1"/>
      <c r="Z383" s="1"/>
    </row>
    <row r="384" spans="1:26" ht="12.75" customHeight="1" x14ac:dyDescent="0.25">
      <c r="A384" s="1"/>
      <c r="B384" s="1"/>
      <c r="C384" s="3"/>
      <c r="D384" s="3"/>
      <c r="E384" s="5"/>
      <c r="F384" s="5"/>
      <c r="G384" s="3"/>
      <c r="H384" s="5"/>
      <c r="I384" s="1"/>
      <c r="J384" s="7"/>
      <c r="K384" s="1"/>
      <c r="L384" s="1"/>
      <c r="M384" s="1"/>
      <c r="N384" s="1"/>
      <c r="O384" s="1"/>
      <c r="P384" s="1"/>
      <c r="Q384" s="1"/>
      <c r="R384" s="1"/>
      <c r="S384" s="1"/>
      <c r="T384" s="1"/>
      <c r="U384" s="1"/>
      <c r="V384" s="1"/>
      <c r="W384" s="1"/>
      <c r="X384" s="1"/>
      <c r="Y384" s="1"/>
      <c r="Z384" s="1"/>
    </row>
    <row r="385" spans="1:26" ht="12.75" customHeight="1" x14ac:dyDescent="0.25">
      <c r="A385" s="1"/>
      <c r="B385" s="1"/>
      <c r="C385" s="3"/>
      <c r="D385" s="3"/>
      <c r="E385" s="5"/>
      <c r="F385" s="5"/>
      <c r="G385" s="3"/>
      <c r="H385" s="5"/>
      <c r="I385" s="1"/>
      <c r="J385" s="7"/>
      <c r="K385" s="1"/>
      <c r="L385" s="1"/>
      <c r="M385" s="1"/>
      <c r="N385" s="1"/>
      <c r="O385" s="1"/>
      <c r="P385" s="1"/>
      <c r="Q385" s="1"/>
      <c r="R385" s="1"/>
      <c r="S385" s="1"/>
      <c r="T385" s="1"/>
      <c r="U385" s="1"/>
      <c r="V385" s="1"/>
      <c r="W385" s="1"/>
      <c r="X385" s="1"/>
      <c r="Y385" s="1"/>
      <c r="Z385" s="1"/>
    </row>
    <row r="386" spans="1:26" ht="12.75" customHeight="1" x14ac:dyDescent="0.25">
      <c r="A386" s="1"/>
      <c r="B386" s="1"/>
      <c r="C386" s="3"/>
      <c r="D386" s="3"/>
      <c r="E386" s="5"/>
      <c r="F386" s="5"/>
      <c r="G386" s="3"/>
      <c r="H386" s="5"/>
      <c r="I386" s="1"/>
      <c r="J386" s="7"/>
      <c r="K386" s="1"/>
      <c r="L386" s="1"/>
      <c r="M386" s="1"/>
      <c r="N386" s="1"/>
      <c r="O386" s="1"/>
      <c r="P386" s="1"/>
      <c r="Q386" s="1"/>
      <c r="R386" s="1"/>
      <c r="S386" s="1"/>
      <c r="T386" s="1"/>
      <c r="U386" s="1"/>
      <c r="V386" s="1"/>
      <c r="W386" s="1"/>
      <c r="X386" s="1"/>
      <c r="Y386" s="1"/>
      <c r="Z386" s="1"/>
    </row>
    <row r="387" spans="1:26" ht="12.75" customHeight="1" x14ac:dyDescent="0.25">
      <c r="A387" s="1"/>
      <c r="B387" s="1"/>
      <c r="C387" s="3"/>
      <c r="D387" s="3"/>
      <c r="E387" s="5"/>
      <c r="F387" s="5"/>
      <c r="G387" s="3"/>
      <c r="H387" s="5"/>
      <c r="I387" s="1"/>
      <c r="J387" s="7"/>
      <c r="K387" s="1"/>
      <c r="L387" s="1"/>
      <c r="M387" s="1"/>
      <c r="N387" s="1"/>
      <c r="O387" s="1"/>
      <c r="P387" s="1"/>
      <c r="Q387" s="1"/>
      <c r="R387" s="1"/>
      <c r="S387" s="1"/>
      <c r="T387" s="1"/>
      <c r="U387" s="1"/>
      <c r="V387" s="1"/>
      <c r="W387" s="1"/>
      <c r="X387" s="1"/>
      <c r="Y387" s="1"/>
      <c r="Z387" s="1"/>
    </row>
    <row r="388" spans="1:26" ht="12.75" customHeight="1" x14ac:dyDescent="0.25">
      <c r="A388" s="1"/>
      <c r="B388" s="1"/>
      <c r="C388" s="3"/>
      <c r="D388" s="3"/>
      <c r="E388" s="5"/>
      <c r="F388" s="5"/>
      <c r="G388" s="3"/>
      <c r="H388" s="5"/>
      <c r="I388" s="1"/>
      <c r="J388" s="7"/>
      <c r="K388" s="1"/>
      <c r="L388" s="1"/>
      <c r="M388" s="1"/>
      <c r="N388" s="1"/>
      <c r="O388" s="1"/>
      <c r="P388" s="1"/>
      <c r="Q388" s="1"/>
      <c r="R388" s="1"/>
      <c r="S388" s="1"/>
      <c r="T388" s="1"/>
      <c r="U388" s="1"/>
      <c r="V388" s="1"/>
      <c r="W388" s="1"/>
      <c r="X388" s="1"/>
      <c r="Y388" s="1"/>
      <c r="Z388" s="1"/>
    </row>
    <row r="389" spans="1:26" ht="12.75" customHeight="1" x14ac:dyDescent="0.25">
      <c r="A389" s="1"/>
      <c r="B389" s="1"/>
      <c r="C389" s="3"/>
      <c r="D389" s="3"/>
      <c r="E389" s="5"/>
      <c r="F389" s="5"/>
      <c r="G389" s="3"/>
      <c r="H389" s="5"/>
      <c r="I389" s="1"/>
      <c r="J389" s="7"/>
      <c r="K389" s="1"/>
      <c r="L389" s="1"/>
      <c r="M389" s="1"/>
      <c r="N389" s="1"/>
      <c r="O389" s="1"/>
      <c r="P389" s="1"/>
      <c r="Q389" s="1"/>
      <c r="R389" s="1"/>
      <c r="S389" s="1"/>
      <c r="T389" s="1"/>
      <c r="U389" s="1"/>
      <c r="V389" s="1"/>
      <c r="W389" s="1"/>
      <c r="X389" s="1"/>
      <c r="Y389" s="1"/>
      <c r="Z389" s="1"/>
    </row>
    <row r="390" spans="1:26" ht="12.75" customHeight="1" x14ac:dyDescent="0.25">
      <c r="A390" s="1"/>
      <c r="B390" s="1"/>
      <c r="C390" s="3"/>
      <c r="D390" s="3"/>
      <c r="E390" s="5"/>
      <c r="F390" s="5"/>
      <c r="G390" s="3"/>
      <c r="H390" s="5"/>
      <c r="I390" s="1"/>
      <c r="J390" s="7"/>
      <c r="K390" s="1"/>
      <c r="L390" s="1"/>
      <c r="M390" s="1"/>
      <c r="N390" s="1"/>
      <c r="O390" s="1"/>
      <c r="P390" s="1"/>
      <c r="Q390" s="1"/>
      <c r="R390" s="1"/>
      <c r="S390" s="1"/>
      <c r="T390" s="1"/>
      <c r="U390" s="1"/>
      <c r="V390" s="1"/>
      <c r="W390" s="1"/>
      <c r="X390" s="1"/>
      <c r="Y390" s="1"/>
      <c r="Z390" s="1"/>
    </row>
    <row r="391" spans="1:26" ht="12.75" customHeight="1" x14ac:dyDescent="0.25">
      <c r="A391" s="1"/>
      <c r="B391" s="1"/>
      <c r="C391" s="3"/>
      <c r="D391" s="3"/>
      <c r="E391" s="5"/>
      <c r="F391" s="5"/>
      <c r="G391" s="3"/>
      <c r="H391" s="5"/>
      <c r="I391" s="1"/>
      <c r="J391" s="7"/>
      <c r="K391" s="1"/>
      <c r="L391" s="1"/>
      <c r="M391" s="1"/>
      <c r="N391" s="1"/>
      <c r="O391" s="1"/>
      <c r="P391" s="1"/>
      <c r="Q391" s="1"/>
      <c r="R391" s="1"/>
      <c r="S391" s="1"/>
      <c r="T391" s="1"/>
      <c r="U391" s="1"/>
      <c r="V391" s="1"/>
      <c r="W391" s="1"/>
      <c r="X391" s="1"/>
      <c r="Y391" s="1"/>
      <c r="Z391" s="1"/>
    </row>
    <row r="392" spans="1:26" ht="12.75" customHeight="1" x14ac:dyDescent="0.25">
      <c r="A392" s="1"/>
      <c r="B392" s="1"/>
      <c r="C392" s="3"/>
      <c r="D392" s="3"/>
      <c r="E392" s="5"/>
      <c r="F392" s="5"/>
      <c r="G392" s="3"/>
      <c r="H392" s="5"/>
      <c r="I392" s="1"/>
      <c r="J392" s="7"/>
      <c r="K392" s="1"/>
      <c r="L392" s="1"/>
      <c r="M392" s="1"/>
      <c r="N392" s="1"/>
      <c r="O392" s="1"/>
      <c r="P392" s="1"/>
      <c r="Q392" s="1"/>
      <c r="R392" s="1"/>
      <c r="S392" s="1"/>
      <c r="T392" s="1"/>
      <c r="U392" s="1"/>
      <c r="V392" s="1"/>
      <c r="W392" s="1"/>
      <c r="X392" s="1"/>
      <c r="Y392" s="1"/>
      <c r="Z392" s="1"/>
    </row>
    <row r="393" spans="1:26" ht="12.75" customHeight="1" x14ac:dyDescent="0.25">
      <c r="A393" s="1"/>
      <c r="B393" s="1"/>
      <c r="C393" s="3"/>
      <c r="D393" s="3"/>
      <c r="E393" s="5"/>
      <c r="F393" s="5"/>
      <c r="G393" s="3"/>
      <c r="H393" s="5"/>
      <c r="I393" s="1"/>
      <c r="J393" s="7"/>
      <c r="K393" s="1"/>
      <c r="L393" s="1"/>
      <c r="M393" s="1"/>
      <c r="N393" s="1"/>
      <c r="O393" s="1"/>
      <c r="P393" s="1"/>
      <c r="Q393" s="1"/>
      <c r="R393" s="1"/>
      <c r="S393" s="1"/>
      <c r="T393" s="1"/>
      <c r="U393" s="1"/>
      <c r="V393" s="1"/>
      <c r="W393" s="1"/>
      <c r="X393" s="1"/>
      <c r="Y393" s="1"/>
      <c r="Z393" s="1"/>
    </row>
    <row r="394" spans="1:26" ht="12.75" customHeight="1" x14ac:dyDescent="0.25">
      <c r="A394" s="1"/>
      <c r="B394" s="1"/>
      <c r="C394" s="3"/>
      <c r="D394" s="3"/>
      <c r="E394" s="5"/>
      <c r="F394" s="5"/>
      <c r="G394" s="3"/>
      <c r="H394" s="5"/>
      <c r="I394" s="1"/>
      <c r="J394" s="7"/>
      <c r="K394" s="1"/>
      <c r="L394" s="1"/>
      <c r="M394" s="1"/>
      <c r="N394" s="1"/>
      <c r="O394" s="1"/>
      <c r="P394" s="1"/>
      <c r="Q394" s="1"/>
      <c r="R394" s="1"/>
      <c r="S394" s="1"/>
      <c r="T394" s="1"/>
      <c r="U394" s="1"/>
      <c r="V394" s="1"/>
      <c r="W394" s="1"/>
      <c r="X394" s="1"/>
      <c r="Y394" s="1"/>
      <c r="Z394" s="1"/>
    </row>
    <row r="395" spans="1:26" ht="12.75" customHeight="1" x14ac:dyDescent="0.25">
      <c r="A395" s="1"/>
      <c r="B395" s="1"/>
      <c r="C395" s="3"/>
      <c r="D395" s="3"/>
      <c r="E395" s="5"/>
      <c r="F395" s="5"/>
      <c r="G395" s="3"/>
      <c r="H395" s="5"/>
      <c r="I395" s="1"/>
      <c r="J395" s="7"/>
      <c r="K395" s="1"/>
      <c r="L395" s="1"/>
      <c r="M395" s="1"/>
      <c r="N395" s="1"/>
      <c r="O395" s="1"/>
      <c r="P395" s="1"/>
      <c r="Q395" s="1"/>
      <c r="R395" s="1"/>
      <c r="S395" s="1"/>
      <c r="T395" s="1"/>
      <c r="U395" s="1"/>
      <c r="V395" s="1"/>
      <c r="W395" s="1"/>
      <c r="X395" s="1"/>
      <c r="Y395" s="1"/>
      <c r="Z395" s="1"/>
    </row>
    <row r="396" spans="1:26" ht="12.75" customHeight="1" x14ac:dyDescent="0.25">
      <c r="A396" s="1"/>
      <c r="B396" s="1"/>
      <c r="C396" s="3"/>
      <c r="D396" s="3"/>
      <c r="E396" s="5"/>
      <c r="F396" s="5"/>
      <c r="G396" s="3"/>
      <c r="H396" s="5"/>
      <c r="I396" s="1"/>
      <c r="J396" s="7"/>
      <c r="K396" s="1"/>
      <c r="L396" s="1"/>
      <c r="M396" s="1"/>
      <c r="N396" s="1"/>
      <c r="O396" s="1"/>
      <c r="P396" s="1"/>
      <c r="Q396" s="1"/>
      <c r="R396" s="1"/>
      <c r="S396" s="1"/>
      <c r="T396" s="1"/>
      <c r="U396" s="1"/>
      <c r="V396" s="1"/>
      <c r="W396" s="1"/>
      <c r="X396" s="1"/>
      <c r="Y396" s="1"/>
      <c r="Z396" s="1"/>
    </row>
    <row r="397" spans="1:26" ht="12.75" customHeight="1" x14ac:dyDescent="0.25">
      <c r="A397" s="1"/>
      <c r="B397" s="1"/>
      <c r="C397" s="3"/>
      <c r="D397" s="3"/>
      <c r="E397" s="5"/>
      <c r="F397" s="5"/>
      <c r="G397" s="3"/>
      <c r="H397" s="5"/>
      <c r="I397" s="1"/>
      <c r="J397" s="7"/>
      <c r="K397" s="1"/>
      <c r="L397" s="1"/>
      <c r="M397" s="1"/>
      <c r="N397" s="1"/>
      <c r="O397" s="1"/>
      <c r="P397" s="1"/>
      <c r="Q397" s="1"/>
      <c r="R397" s="1"/>
      <c r="S397" s="1"/>
      <c r="T397" s="1"/>
      <c r="U397" s="1"/>
      <c r="V397" s="1"/>
      <c r="W397" s="1"/>
      <c r="X397" s="1"/>
      <c r="Y397" s="1"/>
      <c r="Z397" s="1"/>
    </row>
    <row r="398" spans="1:26" ht="12.75" customHeight="1" x14ac:dyDescent="0.25">
      <c r="A398" s="1"/>
      <c r="B398" s="1"/>
      <c r="C398" s="3"/>
      <c r="D398" s="3"/>
      <c r="E398" s="5"/>
      <c r="F398" s="5"/>
      <c r="G398" s="3"/>
      <c r="H398" s="5"/>
      <c r="I398" s="1"/>
      <c r="J398" s="7"/>
      <c r="K398" s="1"/>
      <c r="L398" s="1"/>
      <c r="M398" s="1"/>
      <c r="N398" s="1"/>
      <c r="O398" s="1"/>
      <c r="P398" s="1"/>
      <c r="Q398" s="1"/>
      <c r="R398" s="1"/>
      <c r="S398" s="1"/>
      <c r="T398" s="1"/>
      <c r="U398" s="1"/>
      <c r="V398" s="1"/>
      <c r="W398" s="1"/>
      <c r="X398" s="1"/>
      <c r="Y398" s="1"/>
      <c r="Z398" s="1"/>
    </row>
    <row r="399" spans="1:26" ht="12.75" customHeight="1" x14ac:dyDescent="0.25">
      <c r="A399" s="1"/>
      <c r="B399" s="1"/>
      <c r="C399" s="3"/>
      <c r="D399" s="3"/>
      <c r="E399" s="5"/>
      <c r="F399" s="5"/>
      <c r="G399" s="3"/>
      <c r="H399" s="5"/>
      <c r="I399" s="1"/>
      <c r="J399" s="7"/>
      <c r="K399" s="1"/>
      <c r="L399" s="1"/>
      <c r="M399" s="1"/>
      <c r="N399" s="1"/>
      <c r="O399" s="1"/>
      <c r="P399" s="1"/>
      <c r="Q399" s="1"/>
      <c r="R399" s="1"/>
      <c r="S399" s="1"/>
      <c r="T399" s="1"/>
      <c r="U399" s="1"/>
      <c r="V399" s="1"/>
      <c r="W399" s="1"/>
      <c r="X399" s="1"/>
      <c r="Y399" s="1"/>
      <c r="Z399" s="1"/>
    </row>
    <row r="400" spans="1:26" ht="12.75" customHeight="1" x14ac:dyDescent="0.25">
      <c r="A400" s="1"/>
      <c r="B400" s="1"/>
      <c r="C400" s="3"/>
      <c r="D400" s="3"/>
      <c r="E400" s="5"/>
      <c r="F400" s="5"/>
      <c r="G400" s="3"/>
      <c r="H400" s="5"/>
      <c r="I400" s="1"/>
      <c r="J400" s="7"/>
      <c r="K400" s="1"/>
      <c r="L400" s="1"/>
      <c r="M400" s="1"/>
      <c r="N400" s="1"/>
      <c r="O400" s="1"/>
      <c r="P400" s="1"/>
      <c r="Q400" s="1"/>
      <c r="R400" s="1"/>
      <c r="S400" s="1"/>
      <c r="T400" s="1"/>
      <c r="U400" s="1"/>
      <c r="V400" s="1"/>
      <c r="W400" s="1"/>
      <c r="X400" s="1"/>
      <c r="Y400" s="1"/>
      <c r="Z400" s="1"/>
    </row>
    <row r="401" spans="1:26" ht="12.75" customHeight="1" x14ac:dyDescent="0.25">
      <c r="A401" s="1"/>
      <c r="B401" s="1"/>
      <c r="C401" s="3"/>
      <c r="D401" s="3"/>
      <c r="E401" s="5"/>
      <c r="F401" s="5"/>
      <c r="G401" s="3"/>
      <c r="H401" s="5"/>
      <c r="I401" s="1"/>
      <c r="J401" s="7"/>
      <c r="K401" s="1"/>
      <c r="L401" s="1"/>
      <c r="M401" s="1"/>
      <c r="N401" s="1"/>
      <c r="O401" s="1"/>
      <c r="P401" s="1"/>
      <c r="Q401" s="1"/>
      <c r="R401" s="1"/>
      <c r="S401" s="1"/>
      <c r="T401" s="1"/>
      <c r="U401" s="1"/>
      <c r="V401" s="1"/>
      <c r="W401" s="1"/>
      <c r="X401" s="1"/>
      <c r="Y401" s="1"/>
      <c r="Z401" s="1"/>
    </row>
    <row r="402" spans="1:26" ht="12.75" customHeight="1" x14ac:dyDescent="0.25">
      <c r="A402" s="1"/>
      <c r="B402" s="1"/>
      <c r="C402" s="3"/>
      <c r="D402" s="3"/>
      <c r="E402" s="5"/>
      <c r="F402" s="5"/>
      <c r="G402" s="3"/>
      <c r="H402" s="5"/>
      <c r="I402" s="1"/>
      <c r="J402" s="7"/>
      <c r="K402" s="1"/>
      <c r="L402" s="1"/>
      <c r="M402" s="1"/>
      <c r="N402" s="1"/>
      <c r="O402" s="1"/>
      <c r="P402" s="1"/>
      <c r="Q402" s="1"/>
      <c r="R402" s="1"/>
      <c r="S402" s="1"/>
      <c r="T402" s="1"/>
      <c r="U402" s="1"/>
      <c r="V402" s="1"/>
      <c r="W402" s="1"/>
      <c r="X402" s="1"/>
      <c r="Y402" s="1"/>
      <c r="Z402" s="1"/>
    </row>
    <row r="403" spans="1:26" ht="12.75" customHeight="1" x14ac:dyDescent="0.25">
      <c r="A403" s="1"/>
      <c r="B403" s="1"/>
      <c r="C403" s="3"/>
      <c r="D403" s="3"/>
      <c r="E403" s="5"/>
      <c r="F403" s="5"/>
      <c r="G403" s="3"/>
      <c r="H403" s="5"/>
      <c r="I403" s="1"/>
      <c r="J403" s="7"/>
      <c r="K403" s="1"/>
      <c r="L403" s="1"/>
      <c r="M403" s="1"/>
      <c r="N403" s="1"/>
      <c r="O403" s="1"/>
      <c r="P403" s="1"/>
      <c r="Q403" s="1"/>
      <c r="R403" s="1"/>
      <c r="S403" s="1"/>
      <c r="T403" s="1"/>
      <c r="U403" s="1"/>
      <c r="V403" s="1"/>
      <c r="W403" s="1"/>
      <c r="X403" s="1"/>
      <c r="Y403" s="1"/>
      <c r="Z403" s="1"/>
    </row>
    <row r="404" spans="1:26" ht="12.75" customHeight="1" x14ac:dyDescent="0.25">
      <c r="A404" s="1"/>
      <c r="B404" s="1"/>
      <c r="C404" s="3"/>
      <c r="D404" s="3"/>
      <c r="E404" s="5"/>
      <c r="F404" s="5"/>
      <c r="G404" s="3"/>
      <c r="H404" s="5"/>
      <c r="I404" s="1"/>
      <c r="J404" s="7"/>
      <c r="K404" s="1"/>
      <c r="L404" s="1"/>
      <c r="M404" s="1"/>
      <c r="N404" s="1"/>
      <c r="O404" s="1"/>
      <c r="P404" s="1"/>
      <c r="Q404" s="1"/>
      <c r="R404" s="1"/>
      <c r="S404" s="1"/>
      <c r="T404" s="1"/>
      <c r="U404" s="1"/>
      <c r="V404" s="1"/>
      <c r="W404" s="1"/>
      <c r="X404" s="1"/>
      <c r="Y404" s="1"/>
      <c r="Z404" s="1"/>
    </row>
    <row r="405" spans="1:26" ht="12.75" customHeight="1" x14ac:dyDescent="0.25">
      <c r="A405" s="1"/>
      <c r="B405" s="1"/>
      <c r="C405" s="3"/>
      <c r="D405" s="3"/>
      <c r="E405" s="5"/>
      <c r="F405" s="5"/>
      <c r="G405" s="3"/>
      <c r="H405" s="5"/>
      <c r="I405" s="1"/>
      <c r="J405" s="7"/>
      <c r="K405" s="1"/>
      <c r="L405" s="1"/>
      <c r="M405" s="1"/>
      <c r="N405" s="1"/>
      <c r="O405" s="1"/>
      <c r="P405" s="1"/>
      <c r="Q405" s="1"/>
      <c r="R405" s="1"/>
      <c r="S405" s="1"/>
      <c r="T405" s="1"/>
      <c r="U405" s="1"/>
      <c r="V405" s="1"/>
      <c r="W405" s="1"/>
      <c r="X405" s="1"/>
      <c r="Y405" s="1"/>
      <c r="Z405" s="1"/>
    </row>
    <row r="406" spans="1:26" ht="12.75" customHeight="1" x14ac:dyDescent="0.25">
      <c r="A406" s="1"/>
      <c r="B406" s="1"/>
      <c r="C406" s="3"/>
      <c r="D406" s="3"/>
      <c r="E406" s="5"/>
      <c r="F406" s="5"/>
      <c r="G406" s="3"/>
      <c r="H406" s="5"/>
      <c r="I406" s="1"/>
      <c r="J406" s="7"/>
      <c r="K406" s="1"/>
      <c r="L406" s="1"/>
      <c r="M406" s="1"/>
      <c r="N406" s="1"/>
      <c r="O406" s="1"/>
      <c r="P406" s="1"/>
      <c r="Q406" s="1"/>
      <c r="R406" s="1"/>
      <c r="S406" s="1"/>
      <c r="T406" s="1"/>
      <c r="U406" s="1"/>
      <c r="V406" s="1"/>
      <c r="W406" s="1"/>
      <c r="X406" s="1"/>
      <c r="Y406" s="1"/>
      <c r="Z406" s="1"/>
    </row>
    <row r="407" spans="1:26" ht="12.75" customHeight="1" x14ac:dyDescent="0.25">
      <c r="A407" s="1"/>
      <c r="B407" s="1"/>
      <c r="C407" s="3"/>
      <c r="D407" s="3"/>
      <c r="E407" s="5"/>
      <c r="F407" s="5"/>
      <c r="G407" s="3"/>
      <c r="H407" s="5"/>
      <c r="I407" s="1"/>
      <c r="J407" s="7"/>
      <c r="K407" s="1"/>
      <c r="L407" s="1"/>
      <c r="M407" s="1"/>
      <c r="N407" s="1"/>
      <c r="O407" s="1"/>
      <c r="P407" s="1"/>
      <c r="Q407" s="1"/>
      <c r="R407" s="1"/>
      <c r="S407" s="1"/>
      <c r="T407" s="1"/>
      <c r="U407" s="1"/>
      <c r="V407" s="1"/>
      <c r="W407" s="1"/>
      <c r="X407" s="1"/>
      <c r="Y407" s="1"/>
      <c r="Z407" s="1"/>
    </row>
    <row r="408" spans="1:26" ht="12.75" customHeight="1" x14ac:dyDescent="0.25">
      <c r="A408" s="1"/>
      <c r="B408" s="1"/>
      <c r="C408" s="3"/>
      <c r="D408" s="3"/>
      <c r="E408" s="5"/>
      <c r="F408" s="5"/>
      <c r="G408" s="3"/>
      <c r="H408" s="5"/>
      <c r="I408" s="1"/>
      <c r="J408" s="7"/>
      <c r="K408" s="1"/>
      <c r="L408" s="1"/>
      <c r="M408" s="1"/>
      <c r="N408" s="1"/>
      <c r="O408" s="1"/>
      <c r="P408" s="1"/>
      <c r="Q408" s="1"/>
      <c r="R408" s="1"/>
      <c r="S408" s="1"/>
      <c r="T408" s="1"/>
      <c r="U408" s="1"/>
      <c r="V408" s="1"/>
      <c r="W408" s="1"/>
      <c r="X408" s="1"/>
      <c r="Y408" s="1"/>
      <c r="Z408" s="1"/>
    </row>
    <row r="409" spans="1:26" ht="12.75" customHeight="1" x14ac:dyDescent="0.25">
      <c r="A409" s="1"/>
      <c r="B409" s="1"/>
      <c r="C409" s="3"/>
      <c r="D409" s="3"/>
      <c r="E409" s="5"/>
      <c r="F409" s="5"/>
      <c r="G409" s="3"/>
      <c r="H409" s="5"/>
      <c r="I409" s="1"/>
      <c r="J409" s="7"/>
      <c r="K409" s="1"/>
      <c r="L409" s="1"/>
      <c r="M409" s="1"/>
      <c r="N409" s="1"/>
      <c r="O409" s="1"/>
      <c r="P409" s="1"/>
      <c r="Q409" s="1"/>
      <c r="R409" s="1"/>
      <c r="S409" s="1"/>
      <c r="T409" s="1"/>
      <c r="U409" s="1"/>
      <c r="V409" s="1"/>
      <c r="W409" s="1"/>
      <c r="X409" s="1"/>
      <c r="Y409" s="1"/>
      <c r="Z409" s="1"/>
    </row>
    <row r="410" spans="1:26" ht="12.75" customHeight="1" x14ac:dyDescent="0.25">
      <c r="A410" s="1"/>
      <c r="B410" s="1"/>
      <c r="C410" s="3"/>
      <c r="D410" s="3"/>
      <c r="E410" s="5"/>
      <c r="F410" s="5"/>
      <c r="G410" s="3"/>
      <c r="H410" s="5"/>
      <c r="I410" s="1"/>
      <c r="J410" s="7"/>
      <c r="K410" s="1"/>
      <c r="L410" s="1"/>
      <c r="M410" s="1"/>
      <c r="N410" s="1"/>
      <c r="O410" s="1"/>
      <c r="P410" s="1"/>
      <c r="Q410" s="1"/>
      <c r="R410" s="1"/>
      <c r="S410" s="1"/>
      <c r="T410" s="1"/>
      <c r="U410" s="1"/>
      <c r="V410" s="1"/>
      <c r="W410" s="1"/>
      <c r="X410" s="1"/>
      <c r="Y410" s="1"/>
      <c r="Z410" s="1"/>
    </row>
    <row r="411" spans="1:26" ht="12.75" customHeight="1" x14ac:dyDescent="0.25">
      <c r="A411" s="1"/>
      <c r="B411" s="1"/>
      <c r="C411" s="3"/>
      <c r="D411" s="3"/>
      <c r="E411" s="5"/>
      <c r="F411" s="5"/>
      <c r="G411" s="3"/>
      <c r="H411" s="5"/>
      <c r="I411" s="1"/>
      <c r="J411" s="7"/>
      <c r="K411" s="1"/>
      <c r="L411" s="1"/>
      <c r="M411" s="1"/>
      <c r="N411" s="1"/>
      <c r="O411" s="1"/>
      <c r="P411" s="1"/>
      <c r="Q411" s="1"/>
      <c r="R411" s="1"/>
      <c r="S411" s="1"/>
      <c r="T411" s="1"/>
      <c r="U411" s="1"/>
      <c r="V411" s="1"/>
      <c r="W411" s="1"/>
      <c r="X411" s="1"/>
      <c r="Y411" s="1"/>
      <c r="Z411" s="1"/>
    </row>
    <row r="412" spans="1:26" ht="12.75" customHeight="1" x14ac:dyDescent="0.25">
      <c r="A412" s="1"/>
      <c r="B412" s="1"/>
      <c r="C412" s="3"/>
      <c r="D412" s="3"/>
      <c r="E412" s="5"/>
      <c r="F412" s="5"/>
      <c r="G412" s="3"/>
      <c r="H412" s="5"/>
      <c r="I412" s="1"/>
      <c r="J412" s="7"/>
      <c r="K412" s="1"/>
      <c r="L412" s="1"/>
      <c r="M412" s="1"/>
      <c r="N412" s="1"/>
      <c r="O412" s="1"/>
      <c r="P412" s="1"/>
      <c r="Q412" s="1"/>
      <c r="R412" s="1"/>
      <c r="S412" s="1"/>
      <c r="T412" s="1"/>
      <c r="U412" s="1"/>
      <c r="V412" s="1"/>
      <c r="W412" s="1"/>
      <c r="X412" s="1"/>
      <c r="Y412" s="1"/>
      <c r="Z412" s="1"/>
    </row>
    <row r="413" spans="1:26" ht="12.75" customHeight="1" x14ac:dyDescent="0.25">
      <c r="A413" s="1"/>
      <c r="B413" s="1"/>
      <c r="C413" s="3"/>
      <c r="D413" s="3"/>
      <c r="E413" s="5"/>
      <c r="F413" s="5"/>
      <c r="G413" s="3"/>
      <c r="H413" s="5"/>
      <c r="I413" s="1"/>
      <c r="J413" s="7"/>
      <c r="K413" s="1"/>
      <c r="L413" s="1"/>
      <c r="M413" s="1"/>
      <c r="N413" s="1"/>
      <c r="O413" s="1"/>
      <c r="P413" s="1"/>
      <c r="Q413" s="1"/>
      <c r="R413" s="1"/>
      <c r="S413" s="1"/>
      <c r="T413" s="1"/>
      <c r="U413" s="1"/>
      <c r="V413" s="1"/>
      <c r="W413" s="1"/>
      <c r="X413" s="1"/>
      <c r="Y413" s="1"/>
      <c r="Z413" s="1"/>
    </row>
    <row r="414" spans="1:26" ht="12.75" customHeight="1" x14ac:dyDescent="0.25">
      <c r="A414" s="1"/>
      <c r="B414" s="1"/>
      <c r="C414" s="3"/>
      <c r="D414" s="3"/>
      <c r="E414" s="5"/>
      <c r="F414" s="5"/>
      <c r="G414" s="3"/>
      <c r="H414" s="5"/>
      <c r="I414" s="1"/>
      <c r="J414" s="7"/>
      <c r="K414" s="1"/>
      <c r="L414" s="1"/>
      <c r="M414" s="1"/>
      <c r="N414" s="1"/>
      <c r="O414" s="1"/>
      <c r="P414" s="1"/>
      <c r="Q414" s="1"/>
      <c r="R414" s="1"/>
      <c r="S414" s="1"/>
      <c r="T414" s="1"/>
      <c r="U414" s="1"/>
      <c r="V414" s="1"/>
      <c r="W414" s="1"/>
      <c r="X414" s="1"/>
      <c r="Y414" s="1"/>
      <c r="Z414" s="1"/>
    </row>
    <row r="415" spans="1:26" ht="12.75" customHeight="1" x14ac:dyDescent="0.25">
      <c r="A415" s="1"/>
      <c r="B415" s="1"/>
      <c r="C415" s="3"/>
      <c r="D415" s="3"/>
      <c r="E415" s="5"/>
      <c r="F415" s="5"/>
      <c r="G415" s="3"/>
      <c r="H415" s="5"/>
      <c r="I415" s="1"/>
      <c r="J415" s="7"/>
      <c r="K415" s="1"/>
      <c r="L415" s="1"/>
      <c r="M415" s="1"/>
      <c r="N415" s="1"/>
      <c r="O415" s="1"/>
      <c r="P415" s="1"/>
      <c r="Q415" s="1"/>
      <c r="R415" s="1"/>
      <c r="S415" s="1"/>
      <c r="T415" s="1"/>
      <c r="U415" s="1"/>
      <c r="V415" s="1"/>
      <c r="W415" s="1"/>
      <c r="X415" s="1"/>
      <c r="Y415" s="1"/>
      <c r="Z415" s="1"/>
    </row>
    <row r="416" spans="1:26" ht="12.75" customHeight="1" x14ac:dyDescent="0.25">
      <c r="A416" s="1"/>
      <c r="B416" s="1"/>
      <c r="C416" s="3"/>
      <c r="D416" s="3"/>
      <c r="E416" s="5"/>
      <c r="F416" s="5"/>
      <c r="G416" s="3"/>
      <c r="H416" s="5"/>
      <c r="I416" s="1"/>
      <c r="J416" s="7"/>
      <c r="K416" s="1"/>
      <c r="L416" s="1"/>
      <c r="M416" s="1"/>
      <c r="N416" s="1"/>
      <c r="O416" s="1"/>
      <c r="P416" s="1"/>
      <c r="Q416" s="1"/>
      <c r="R416" s="1"/>
      <c r="S416" s="1"/>
      <c r="T416" s="1"/>
      <c r="U416" s="1"/>
      <c r="V416" s="1"/>
      <c r="W416" s="1"/>
      <c r="X416" s="1"/>
      <c r="Y416" s="1"/>
      <c r="Z416" s="1"/>
    </row>
    <row r="417" spans="1:26" ht="12.75" customHeight="1" x14ac:dyDescent="0.25">
      <c r="A417" s="1"/>
      <c r="B417" s="1"/>
      <c r="C417" s="3"/>
      <c r="D417" s="3"/>
      <c r="E417" s="5"/>
      <c r="F417" s="5"/>
      <c r="G417" s="3"/>
      <c r="H417" s="5"/>
      <c r="I417" s="1"/>
      <c r="J417" s="7"/>
      <c r="K417" s="1"/>
      <c r="L417" s="1"/>
      <c r="M417" s="1"/>
      <c r="N417" s="1"/>
      <c r="O417" s="1"/>
      <c r="P417" s="1"/>
      <c r="Q417" s="1"/>
      <c r="R417" s="1"/>
      <c r="S417" s="1"/>
      <c r="T417" s="1"/>
      <c r="U417" s="1"/>
      <c r="V417" s="1"/>
      <c r="W417" s="1"/>
      <c r="X417" s="1"/>
      <c r="Y417" s="1"/>
      <c r="Z417" s="1"/>
    </row>
    <row r="418" spans="1:26" ht="12.75" customHeight="1" x14ac:dyDescent="0.25">
      <c r="A418" s="1"/>
      <c r="B418" s="1"/>
      <c r="C418" s="3"/>
      <c r="D418" s="3"/>
      <c r="E418" s="5"/>
      <c r="F418" s="5"/>
      <c r="G418" s="3"/>
      <c r="H418" s="5"/>
      <c r="I418" s="1"/>
      <c r="J418" s="7"/>
      <c r="K418" s="1"/>
      <c r="L418" s="1"/>
      <c r="M418" s="1"/>
      <c r="N418" s="1"/>
      <c r="O418" s="1"/>
      <c r="P418" s="1"/>
      <c r="Q418" s="1"/>
      <c r="R418" s="1"/>
      <c r="S418" s="1"/>
      <c r="T418" s="1"/>
      <c r="U418" s="1"/>
      <c r="V418" s="1"/>
      <c r="W418" s="1"/>
      <c r="X418" s="1"/>
      <c r="Y418" s="1"/>
      <c r="Z418" s="1"/>
    </row>
    <row r="419" spans="1:26" ht="12.75" customHeight="1" x14ac:dyDescent="0.25">
      <c r="A419" s="1"/>
      <c r="B419" s="1"/>
      <c r="C419" s="3"/>
      <c r="D419" s="3"/>
      <c r="E419" s="5"/>
      <c r="F419" s="5"/>
      <c r="G419" s="3"/>
      <c r="H419" s="5"/>
      <c r="I419" s="1"/>
      <c r="J419" s="7"/>
      <c r="K419" s="1"/>
      <c r="L419" s="1"/>
      <c r="M419" s="1"/>
      <c r="N419" s="1"/>
      <c r="O419" s="1"/>
      <c r="P419" s="1"/>
      <c r="Q419" s="1"/>
      <c r="R419" s="1"/>
      <c r="S419" s="1"/>
      <c r="T419" s="1"/>
      <c r="U419" s="1"/>
      <c r="V419" s="1"/>
      <c r="W419" s="1"/>
      <c r="X419" s="1"/>
      <c r="Y419" s="1"/>
      <c r="Z419" s="1"/>
    </row>
    <row r="420" spans="1:26" ht="12.75" customHeight="1" x14ac:dyDescent="0.25">
      <c r="A420" s="1"/>
      <c r="B420" s="1"/>
      <c r="C420" s="3"/>
      <c r="D420" s="3"/>
      <c r="E420" s="5"/>
      <c r="F420" s="5"/>
      <c r="G420" s="3"/>
      <c r="H420" s="5"/>
      <c r="I420" s="1"/>
      <c r="J420" s="7"/>
      <c r="K420" s="1"/>
      <c r="L420" s="1"/>
      <c r="M420" s="1"/>
      <c r="N420" s="1"/>
      <c r="O420" s="1"/>
      <c r="P420" s="1"/>
      <c r="Q420" s="1"/>
      <c r="R420" s="1"/>
      <c r="S420" s="1"/>
      <c r="T420" s="1"/>
      <c r="U420" s="1"/>
      <c r="V420" s="1"/>
      <c r="W420" s="1"/>
      <c r="X420" s="1"/>
      <c r="Y420" s="1"/>
      <c r="Z420" s="1"/>
    </row>
    <row r="421" spans="1:26" ht="12.75" customHeight="1" x14ac:dyDescent="0.25">
      <c r="A421" s="1"/>
      <c r="B421" s="1"/>
      <c r="C421" s="3"/>
      <c r="D421" s="3"/>
      <c r="E421" s="5"/>
      <c r="F421" s="5"/>
      <c r="G421" s="3"/>
      <c r="H421" s="5"/>
      <c r="I421" s="1"/>
      <c r="J421" s="7"/>
      <c r="K421" s="1"/>
      <c r="L421" s="1"/>
      <c r="M421" s="1"/>
      <c r="N421" s="1"/>
      <c r="O421" s="1"/>
      <c r="P421" s="1"/>
      <c r="Q421" s="1"/>
      <c r="R421" s="1"/>
      <c r="S421" s="1"/>
      <c r="T421" s="1"/>
      <c r="U421" s="1"/>
      <c r="V421" s="1"/>
      <c r="W421" s="1"/>
      <c r="X421" s="1"/>
      <c r="Y421" s="1"/>
      <c r="Z421" s="1"/>
    </row>
    <row r="422" spans="1:26" ht="12.75" customHeight="1" x14ac:dyDescent="0.25">
      <c r="A422" s="1"/>
      <c r="B422" s="1"/>
      <c r="C422" s="3"/>
      <c r="D422" s="3"/>
      <c r="E422" s="5"/>
      <c r="F422" s="5"/>
      <c r="G422" s="3"/>
      <c r="H422" s="5"/>
      <c r="I422" s="1"/>
      <c r="J422" s="7"/>
      <c r="K422" s="1"/>
      <c r="L422" s="1"/>
      <c r="M422" s="1"/>
      <c r="N422" s="1"/>
      <c r="O422" s="1"/>
      <c r="P422" s="1"/>
      <c r="Q422" s="1"/>
      <c r="R422" s="1"/>
      <c r="S422" s="1"/>
      <c r="T422" s="1"/>
      <c r="U422" s="1"/>
      <c r="V422" s="1"/>
      <c r="W422" s="1"/>
      <c r="X422" s="1"/>
      <c r="Y422" s="1"/>
      <c r="Z422" s="1"/>
    </row>
    <row r="423" spans="1:26" ht="12.75" customHeight="1" x14ac:dyDescent="0.25">
      <c r="A423" s="1"/>
      <c r="B423" s="1"/>
      <c r="C423" s="3"/>
      <c r="D423" s="3"/>
      <c r="E423" s="5"/>
      <c r="F423" s="5"/>
      <c r="G423" s="3"/>
      <c r="H423" s="5"/>
      <c r="I423" s="1"/>
      <c r="J423" s="7"/>
      <c r="K423" s="1"/>
      <c r="L423" s="1"/>
      <c r="M423" s="1"/>
      <c r="N423" s="1"/>
      <c r="O423" s="1"/>
      <c r="P423" s="1"/>
      <c r="Q423" s="1"/>
      <c r="R423" s="1"/>
      <c r="S423" s="1"/>
      <c r="T423" s="1"/>
      <c r="U423" s="1"/>
      <c r="V423" s="1"/>
      <c r="W423" s="1"/>
      <c r="X423" s="1"/>
      <c r="Y423" s="1"/>
      <c r="Z423" s="1"/>
    </row>
    <row r="424" spans="1:26" ht="12.75" customHeight="1" x14ac:dyDescent="0.25">
      <c r="A424" s="1"/>
      <c r="B424" s="1"/>
      <c r="C424" s="3"/>
      <c r="D424" s="3"/>
      <c r="E424" s="5"/>
      <c r="F424" s="5"/>
      <c r="G424" s="3"/>
      <c r="H424" s="5"/>
      <c r="I424" s="1"/>
      <c r="J424" s="7"/>
      <c r="K424" s="1"/>
      <c r="L424" s="1"/>
      <c r="M424" s="1"/>
      <c r="N424" s="1"/>
      <c r="O424" s="1"/>
      <c r="P424" s="1"/>
      <c r="Q424" s="1"/>
      <c r="R424" s="1"/>
      <c r="S424" s="1"/>
      <c r="T424" s="1"/>
      <c r="U424" s="1"/>
      <c r="V424" s="1"/>
      <c r="W424" s="1"/>
      <c r="X424" s="1"/>
      <c r="Y424" s="1"/>
      <c r="Z424" s="1"/>
    </row>
    <row r="425" spans="1:26" ht="12.75" customHeight="1" x14ac:dyDescent="0.25">
      <c r="A425" s="1"/>
      <c r="B425" s="1"/>
      <c r="C425" s="3"/>
      <c r="D425" s="3"/>
      <c r="E425" s="5"/>
      <c r="F425" s="5"/>
      <c r="G425" s="3"/>
      <c r="H425" s="5"/>
      <c r="I425" s="1"/>
      <c r="J425" s="7"/>
      <c r="K425" s="1"/>
      <c r="L425" s="1"/>
      <c r="M425" s="1"/>
      <c r="N425" s="1"/>
      <c r="O425" s="1"/>
      <c r="P425" s="1"/>
      <c r="Q425" s="1"/>
      <c r="R425" s="1"/>
      <c r="S425" s="1"/>
      <c r="T425" s="1"/>
      <c r="U425" s="1"/>
      <c r="V425" s="1"/>
      <c r="W425" s="1"/>
      <c r="X425" s="1"/>
      <c r="Y425" s="1"/>
      <c r="Z425" s="1"/>
    </row>
    <row r="426" spans="1:26" ht="12.75" customHeight="1" x14ac:dyDescent="0.25">
      <c r="A426" s="1"/>
      <c r="B426" s="1"/>
      <c r="C426" s="3"/>
      <c r="D426" s="3"/>
      <c r="E426" s="5"/>
      <c r="F426" s="5"/>
      <c r="G426" s="3"/>
      <c r="H426" s="5"/>
      <c r="I426" s="1"/>
      <c r="J426" s="7"/>
      <c r="K426" s="1"/>
      <c r="L426" s="1"/>
      <c r="M426" s="1"/>
      <c r="N426" s="1"/>
      <c r="O426" s="1"/>
      <c r="P426" s="1"/>
      <c r="Q426" s="1"/>
      <c r="R426" s="1"/>
      <c r="S426" s="1"/>
      <c r="T426" s="1"/>
      <c r="U426" s="1"/>
      <c r="V426" s="1"/>
      <c r="W426" s="1"/>
      <c r="X426" s="1"/>
      <c r="Y426" s="1"/>
      <c r="Z426" s="1"/>
    </row>
    <row r="427" spans="1:26" ht="12.75" customHeight="1" x14ac:dyDescent="0.25">
      <c r="A427" s="1"/>
      <c r="B427" s="1"/>
      <c r="C427" s="3"/>
      <c r="D427" s="3"/>
      <c r="E427" s="5"/>
      <c r="F427" s="5"/>
      <c r="G427" s="3"/>
      <c r="H427" s="5"/>
      <c r="I427" s="1"/>
      <c r="J427" s="7"/>
      <c r="K427" s="1"/>
      <c r="L427" s="1"/>
      <c r="M427" s="1"/>
      <c r="N427" s="1"/>
      <c r="O427" s="1"/>
      <c r="P427" s="1"/>
      <c r="Q427" s="1"/>
      <c r="R427" s="1"/>
      <c r="S427" s="1"/>
      <c r="T427" s="1"/>
      <c r="U427" s="1"/>
      <c r="V427" s="1"/>
      <c r="W427" s="1"/>
      <c r="X427" s="1"/>
      <c r="Y427" s="1"/>
      <c r="Z427" s="1"/>
    </row>
    <row r="428" spans="1:26" ht="12.75" customHeight="1" x14ac:dyDescent="0.25">
      <c r="A428" s="1"/>
      <c r="B428" s="1"/>
      <c r="C428" s="3"/>
      <c r="D428" s="3"/>
      <c r="E428" s="5"/>
      <c r="F428" s="5"/>
      <c r="G428" s="3"/>
      <c r="H428" s="5"/>
      <c r="I428" s="1"/>
      <c r="J428" s="7"/>
      <c r="K428" s="1"/>
      <c r="L428" s="1"/>
      <c r="M428" s="1"/>
      <c r="N428" s="1"/>
      <c r="O428" s="1"/>
      <c r="P428" s="1"/>
      <c r="Q428" s="1"/>
      <c r="R428" s="1"/>
      <c r="S428" s="1"/>
      <c r="T428" s="1"/>
      <c r="U428" s="1"/>
      <c r="V428" s="1"/>
      <c r="W428" s="1"/>
      <c r="X428" s="1"/>
      <c r="Y428" s="1"/>
      <c r="Z428" s="1"/>
    </row>
    <row r="429" spans="1:26" ht="12.75" customHeight="1" x14ac:dyDescent="0.25">
      <c r="A429" s="1"/>
      <c r="B429" s="1"/>
      <c r="C429" s="3"/>
      <c r="D429" s="3"/>
      <c r="E429" s="5"/>
      <c r="F429" s="5"/>
      <c r="G429" s="3"/>
      <c r="H429" s="5"/>
      <c r="I429" s="1"/>
      <c r="J429" s="7"/>
      <c r="K429" s="1"/>
      <c r="L429" s="1"/>
      <c r="M429" s="1"/>
      <c r="N429" s="1"/>
      <c r="O429" s="1"/>
      <c r="P429" s="1"/>
      <c r="Q429" s="1"/>
      <c r="R429" s="1"/>
      <c r="S429" s="1"/>
      <c r="T429" s="1"/>
      <c r="U429" s="1"/>
      <c r="V429" s="1"/>
      <c r="W429" s="1"/>
      <c r="X429" s="1"/>
      <c r="Y429" s="1"/>
      <c r="Z429" s="1"/>
    </row>
    <row r="430" spans="1:26" ht="12.75" customHeight="1" x14ac:dyDescent="0.25">
      <c r="A430" s="1"/>
      <c r="B430" s="1"/>
      <c r="C430" s="3"/>
      <c r="D430" s="3"/>
      <c r="E430" s="5"/>
      <c r="F430" s="5"/>
      <c r="G430" s="3"/>
      <c r="H430" s="5"/>
      <c r="I430" s="1"/>
      <c r="J430" s="7"/>
      <c r="K430" s="1"/>
      <c r="L430" s="1"/>
      <c r="M430" s="1"/>
      <c r="N430" s="1"/>
      <c r="O430" s="1"/>
      <c r="P430" s="1"/>
      <c r="Q430" s="1"/>
      <c r="R430" s="1"/>
      <c r="S430" s="1"/>
      <c r="T430" s="1"/>
      <c r="U430" s="1"/>
      <c r="V430" s="1"/>
      <c r="W430" s="1"/>
      <c r="X430" s="1"/>
      <c r="Y430" s="1"/>
      <c r="Z430" s="1"/>
    </row>
    <row r="431" spans="1:26" ht="12.75" customHeight="1" x14ac:dyDescent="0.25">
      <c r="A431" s="1"/>
      <c r="B431" s="1"/>
      <c r="C431" s="3"/>
      <c r="D431" s="3"/>
      <c r="E431" s="5"/>
      <c r="F431" s="5"/>
      <c r="G431" s="3"/>
      <c r="H431" s="5"/>
      <c r="I431" s="1"/>
      <c r="J431" s="7"/>
      <c r="K431" s="1"/>
      <c r="L431" s="1"/>
      <c r="M431" s="1"/>
      <c r="N431" s="1"/>
      <c r="O431" s="1"/>
      <c r="P431" s="1"/>
      <c r="Q431" s="1"/>
      <c r="R431" s="1"/>
      <c r="S431" s="1"/>
      <c r="T431" s="1"/>
      <c r="U431" s="1"/>
      <c r="V431" s="1"/>
      <c r="W431" s="1"/>
      <c r="X431" s="1"/>
      <c r="Y431" s="1"/>
      <c r="Z431" s="1"/>
    </row>
    <row r="432" spans="1:26" ht="12.75" customHeight="1" x14ac:dyDescent="0.25">
      <c r="A432" s="1"/>
      <c r="B432" s="1"/>
      <c r="C432" s="3"/>
      <c r="D432" s="3"/>
      <c r="E432" s="5"/>
      <c r="F432" s="5"/>
      <c r="G432" s="3"/>
      <c r="H432" s="5"/>
      <c r="I432" s="1"/>
      <c r="J432" s="7"/>
      <c r="K432" s="1"/>
      <c r="L432" s="1"/>
      <c r="M432" s="1"/>
      <c r="N432" s="1"/>
      <c r="O432" s="1"/>
      <c r="P432" s="1"/>
      <c r="Q432" s="1"/>
      <c r="R432" s="1"/>
      <c r="S432" s="1"/>
      <c r="T432" s="1"/>
      <c r="U432" s="1"/>
      <c r="V432" s="1"/>
      <c r="W432" s="1"/>
      <c r="X432" s="1"/>
      <c r="Y432" s="1"/>
      <c r="Z432" s="1"/>
    </row>
    <row r="433" spans="1:26" ht="12.75" customHeight="1" x14ac:dyDescent="0.25">
      <c r="A433" s="1"/>
      <c r="B433" s="1"/>
      <c r="C433" s="3"/>
      <c r="D433" s="3"/>
      <c r="E433" s="5"/>
      <c r="F433" s="5"/>
      <c r="G433" s="3"/>
      <c r="H433" s="5"/>
      <c r="I433" s="1"/>
      <c r="J433" s="7"/>
      <c r="K433" s="1"/>
      <c r="L433" s="1"/>
      <c r="M433" s="1"/>
      <c r="N433" s="1"/>
      <c r="O433" s="1"/>
      <c r="P433" s="1"/>
      <c r="Q433" s="1"/>
      <c r="R433" s="1"/>
      <c r="S433" s="1"/>
      <c r="T433" s="1"/>
      <c r="U433" s="1"/>
      <c r="V433" s="1"/>
      <c r="W433" s="1"/>
      <c r="X433" s="1"/>
      <c r="Y433" s="1"/>
      <c r="Z433" s="1"/>
    </row>
    <row r="434" spans="1:26" ht="12.75" customHeight="1" x14ac:dyDescent="0.25">
      <c r="A434" s="1"/>
      <c r="B434" s="1"/>
      <c r="C434" s="3"/>
      <c r="D434" s="3"/>
      <c r="E434" s="5"/>
      <c r="F434" s="5"/>
      <c r="G434" s="3"/>
      <c r="H434" s="5"/>
      <c r="I434" s="1"/>
      <c r="J434" s="7"/>
      <c r="K434" s="1"/>
      <c r="L434" s="1"/>
      <c r="M434" s="1"/>
      <c r="N434" s="1"/>
      <c r="O434" s="1"/>
      <c r="P434" s="1"/>
      <c r="Q434" s="1"/>
      <c r="R434" s="1"/>
      <c r="S434" s="1"/>
      <c r="T434" s="1"/>
      <c r="U434" s="1"/>
      <c r="V434" s="1"/>
      <c r="W434" s="1"/>
      <c r="X434" s="1"/>
      <c r="Y434" s="1"/>
      <c r="Z434" s="1"/>
    </row>
    <row r="435" spans="1:26" ht="12.75" customHeight="1" x14ac:dyDescent="0.25">
      <c r="A435" s="1"/>
      <c r="B435" s="1"/>
      <c r="C435" s="3"/>
      <c r="D435" s="3"/>
      <c r="E435" s="5"/>
      <c r="F435" s="5"/>
      <c r="G435" s="3"/>
      <c r="H435" s="5"/>
      <c r="I435" s="1"/>
      <c r="J435" s="7"/>
      <c r="K435" s="1"/>
      <c r="L435" s="1"/>
      <c r="M435" s="1"/>
      <c r="N435" s="1"/>
      <c r="O435" s="1"/>
      <c r="P435" s="1"/>
      <c r="Q435" s="1"/>
      <c r="R435" s="1"/>
      <c r="S435" s="1"/>
      <c r="T435" s="1"/>
      <c r="U435" s="1"/>
      <c r="V435" s="1"/>
      <c r="W435" s="1"/>
      <c r="X435" s="1"/>
      <c r="Y435" s="1"/>
      <c r="Z435" s="1"/>
    </row>
    <row r="436" spans="1:26" ht="12.75" customHeight="1" x14ac:dyDescent="0.25">
      <c r="A436" s="1"/>
      <c r="B436" s="1"/>
      <c r="C436" s="3"/>
      <c r="D436" s="3"/>
      <c r="E436" s="5"/>
      <c r="F436" s="5"/>
      <c r="G436" s="3"/>
      <c r="H436" s="5"/>
      <c r="I436" s="1"/>
      <c r="J436" s="7"/>
      <c r="K436" s="1"/>
      <c r="L436" s="1"/>
      <c r="M436" s="1"/>
      <c r="N436" s="1"/>
      <c r="O436" s="1"/>
      <c r="P436" s="1"/>
      <c r="Q436" s="1"/>
      <c r="R436" s="1"/>
      <c r="S436" s="1"/>
      <c r="T436" s="1"/>
      <c r="U436" s="1"/>
      <c r="V436" s="1"/>
      <c r="W436" s="1"/>
      <c r="X436" s="1"/>
      <c r="Y436" s="1"/>
      <c r="Z436" s="1"/>
    </row>
    <row r="437" spans="1:26" ht="12.75" customHeight="1" x14ac:dyDescent="0.25">
      <c r="A437" s="1"/>
      <c r="B437" s="1"/>
      <c r="C437" s="3"/>
      <c r="D437" s="3"/>
      <c r="E437" s="5"/>
      <c r="F437" s="5"/>
      <c r="G437" s="3"/>
      <c r="H437" s="5"/>
      <c r="I437" s="1"/>
      <c r="J437" s="7"/>
      <c r="K437" s="1"/>
      <c r="L437" s="1"/>
      <c r="M437" s="1"/>
      <c r="N437" s="1"/>
      <c r="O437" s="1"/>
      <c r="P437" s="1"/>
      <c r="Q437" s="1"/>
      <c r="R437" s="1"/>
      <c r="S437" s="1"/>
      <c r="T437" s="1"/>
      <c r="U437" s="1"/>
      <c r="V437" s="1"/>
      <c r="W437" s="1"/>
      <c r="X437" s="1"/>
      <c r="Y437" s="1"/>
      <c r="Z437" s="1"/>
    </row>
    <row r="438" spans="1:26" ht="12.75" customHeight="1" x14ac:dyDescent="0.25">
      <c r="A438" s="1"/>
      <c r="B438" s="1"/>
      <c r="C438" s="3"/>
      <c r="D438" s="3"/>
      <c r="E438" s="5"/>
      <c r="F438" s="5"/>
      <c r="G438" s="3"/>
      <c r="H438" s="5"/>
      <c r="I438" s="1"/>
      <c r="J438" s="7"/>
      <c r="K438" s="1"/>
      <c r="L438" s="1"/>
      <c r="M438" s="1"/>
      <c r="N438" s="1"/>
      <c r="O438" s="1"/>
      <c r="P438" s="1"/>
      <c r="Q438" s="1"/>
      <c r="R438" s="1"/>
      <c r="S438" s="1"/>
      <c r="T438" s="1"/>
      <c r="U438" s="1"/>
      <c r="V438" s="1"/>
      <c r="W438" s="1"/>
      <c r="X438" s="1"/>
      <c r="Y438" s="1"/>
      <c r="Z438" s="1"/>
    </row>
    <row r="439" spans="1:26" ht="12.75" customHeight="1" x14ac:dyDescent="0.25">
      <c r="A439" s="1"/>
      <c r="B439" s="1"/>
      <c r="C439" s="3"/>
      <c r="D439" s="3"/>
      <c r="E439" s="5"/>
      <c r="F439" s="5"/>
      <c r="G439" s="3"/>
      <c r="H439" s="5"/>
      <c r="I439" s="1"/>
      <c r="J439" s="7"/>
      <c r="K439" s="1"/>
      <c r="L439" s="1"/>
      <c r="M439" s="1"/>
      <c r="N439" s="1"/>
      <c r="O439" s="1"/>
      <c r="P439" s="1"/>
      <c r="Q439" s="1"/>
      <c r="R439" s="1"/>
      <c r="S439" s="1"/>
      <c r="T439" s="1"/>
      <c r="U439" s="1"/>
      <c r="V439" s="1"/>
      <c r="W439" s="1"/>
      <c r="X439" s="1"/>
      <c r="Y439" s="1"/>
      <c r="Z439" s="1"/>
    </row>
    <row r="440" spans="1:26" ht="12.75" customHeight="1" x14ac:dyDescent="0.25">
      <c r="A440" s="1"/>
      <c r="B440" s="1"/>
      <c r="C440" s="3"/>
      <c r="D440" s="3"/>
      <c r="E440" s="5"/>
      <c r="F440" s="5"/>
      <c r="G440" s="3"/>
      <c r="H440" s="5"/>
      <c r="I440" s="1"/>
      <c r="J440" s="7"/>
      <c r="K440" s="1"/>
      <c r="L440" s="1"/>
      <c r="M440" s="1"/>
      <c r="N440" s="1"/>
      <c r="O440" s="1"/>
      <c r="P440" s="1"/>
      <c r="Q440" s="1"/>
      <c r="R440" s="1"/>
      <c r="S440" s="1"/>
      <c r="T440" s="1"/>
      <c r="U440" s="1"/>
      <c r="V440" s="1"/>
      <c r="W440" s="1"/>
      <c r="X440" s="1"/>
      <c r="Y440" s="1"/>
      <c r="Z440" s="1"/>
    </row>
    <row r="441" spans="1:26" ht="12.75" customHeight="1" x14ac:dyDescent="0.25">
      <c r="A441" s="1"/>
      <c r="B441" s="1"/>
      <c r="C441" s="3"/>
      <c r="D441" s="3"/>
      <c r="E441" s="5"/>
      <c r="F441" s="5"/>
      <c r="G441" s="3"/>
      <c r="H441" s="5"/>
      <c r="I441" s="1"/>
      <c r="J441" s="7"/>
      <c r="K441" s="1"/>
      <c r="L441" s="1"/>
      <c r="M441" s="1"/>
      <c r="N441" s="1"/>
      <c r="O441" s="1"/>
      <c r="P441" s="1"/>
      <c r="Q441" s="1"/>
      <c r="R441" s="1"/>
      <c r="S441" s="1"/>
      <c r="T441" s="1"/>
      <c r="U441" s="1"/>
      <c r="V441" s="1"/>
      <c r="W441" s="1"/>
      <c r="X441" s="1"/>
      <c r="Y441" s="1"/>
      <c r="Z441" s="1"/>
    </row>
    <row r="442" spans="1:26" ht="12.75" customHeight="1" x14ac:dyDescent="0.25">
      <c r="A442" s="1"/>
      <c r="B442" s="1"/>
      <c r="C442" s="3"/>
      <c r="D442" s="3"/>
      <c r="E442" s="5"/>
      <c r="F442" s="5"/>
      <c r="G442" s="3"/>
      <c r="H442" s="5"/>
      <c r="I442" s="1"/>
      <c r="J442" s="7"/>
      <c r="K442" s="1"/>
      <c r="L442" s="1"/>
      <c r="M442" s="1"/>
      <c r="N442" s="1"/>
      <c r="O442" s="1"/>
      <c r="P442" s="1"/>
      <c r="Q442" s="1"/>
      <c r="R442" s="1"/>
      <c r="S442" s="1"/>
      <c r="T442" s="1"/>
      <c r="U442" s="1"/>
      <c r="V442" s="1"/>
      <c r="W442" s="1"/>
      <c r="X442" s="1"/>
      <c r="Y442" s="1"/>
      <c r="Z442" s="1"/>
    </row>
    <row r="443" spans="1:26" ht="12.75" customHeight="1" x14ac:dyDescent="0.25">
      <c r="A443" s="1"/>
      <c r="B443" s="1"/>
      <c r="C443" s="3"/>
      <c r="D443" s="3"/>
      <c r="E443" s="5"/>
      <c r="F443" s="5"/>
      <c r="G443" s="3"/>
      <c r="H443" s="5"/>
      <c r="I443" s="1"/>
      <c r="J443" s="7"/>
      <c r="K443" s="1"/>
      <c r="L443" s="1"/>
      <c r="M443" s="1"/>
      <c r="N443" s="1"/>
      <c r="O443" s="1"/>
      <c r="P443" s="1"/>
      <c r="Q443" s="1"/>
      <c r="R443" s="1"/>
      <c r="S443" s="1"/>
      <c r="T443" s="1"/>
      <c r="U443" s="1"/>
      <c r="V443" s="1"/>
      <c r="W443" s="1"/>
      <c r="X443" s="1"/>
      <c r="Y443" s="1"/>
      <c r="Z443" s="1"/>
    </row>
    <row r="444" spans="1:26" ht="12.75" customHeight="1" x14ac:dyDescent="0.25">
      <c r="A444" s="1"/>
      <c r="B444" s="1"/>
      <c r="C444" s="3"/>
      <c r="D444" s="3"/>
      <c r="E444" s="5"/>
      <c r="F444" s="5"/>
      <c r="G444" s="3"/>
      <c r="H444" s="5"/>
      <c r="I444" s="1"/>
      <c r="J444" s="7"/>
      <c r="K444" s="1"/>
      <c r="L444" s="1"/>
      <c r="M444" s="1"/>
      <c r="N444" s="1"/>
      <c r="O444" s="1"/>
      <c r="P444" s="1"/>
      <c r="Q444" s="1"/>
      <c r="R444" s="1"/>
      <c r="S444" s="1"/>
      <c r="T444" s="1"/>
      <c r="U444" s="1"/>
      <c r="V444" s="1"/>
      <c r="W444" s="1"/>
      <c r="X444" s="1"/>
      <c r="Y444" s="1"/>
      <c r="Z444" s="1"/>
    </row>
    <row r="445" spans="1:26" ht="12.75" customHeight="1" x14ac:dyDescent="0.25">
      <c r="A445" s="1"/>
      <c r="B445" s="1"/>
      <c r="C445" s="3"/>
      <c r="D445" s="3"/>
      <c r="E445" s="5"/>
      <c r="F445" s="5"/>
      <c r="G445" s="3"/>
      <c r="H445" s="5"/>
      <c r="I445" s="1"/>
      <c r="J445" s="7"/>
      <c r="K445" s="1"/>
      <c r="L445" s="1"/>
      <c r="M445" s="1"/>
      <c r="N445" s="1"/>
      <c r="O445" s="1"/>
      <c r="P445" s="1"/>
      <c r="Q445" s="1"/>
      <c r="R445" s="1"/>
      <c r="S445" s="1"/>
      <c r="T445" s="1"/>
      <c r="U445" s="1"/>
      <c r="V445" s="1"/>
      <c r="W445" s="1"/>
      <c r="X445" s="1"/>
      <c r="Y445" s="1"/>
      <c r="Z445" s="1"/>
    </row>
    <row r="446" spans="1:26" ht="12.75" customHeight="1" x14ac:dyDescent="0.25">
      <c r="A446" s="1"/>
      <c r="B446" s="1"/>
      <c r="C446" s="3"/>
      <c r="D446" s="3"/>
      <c r="E446" s="5"/>
      <c r="F446" s="5"/>
      <c r="G446" s="3"/>
      <c r="H446" s="5"/>
      <c r="I446" s="1"/>
      <c r="J446" s="7"/>
      <c r="K446" s="1"/>
      <c r="L446" s="1"/>
      <c r="M446" s="1"/>
      <c r="N446" s="1"/>
      <c r="O446" s="1"/>
      <c r="P446" s="1"/>
      <c r="Q446" s="1"/>
      <c r="R446" s="1"/>
      <c r="S446" s="1"/>
      <c r="T446" s="1"/>
      <c r="U446" s="1"/>
      <c r="V446" s="1"/>
      <c r="W446" s="1"/>
      <c r="X446" s="1"/>
      <c r="Y446" s="1"/>
      <c r="Z446" s="1"/>
    </row>
    <row r="447" spans="1:26" ht="12.75" customHeight="1" x14ac:dyDescent="0.25">
      <c r="A447" s="1"/>
      <c r="B447" s="1"/>
      <c r="C447" s="3"/>
      <c r="D447" s="3"/>
      <c r="E447" s="5"/>
      <c r="F447" s="5"/>
      <c r="G447" s="3"/>
      <c r="H447" s="5"/>
      <c r="I447" s="1"/>
      <c r="J447" s="7"/>
      <c r="K447" s="1"/>
      <c r="L447" s="1"/>
      <c r="M447" s="1"/>
      <c r="N447" s="1"/>
      <c r="O447" s="1"/>
      <c r="P447" s="1"/>
      <c r="Q447" s="1"/>
      <c r="R447" s="1"/>
      <c r="S447" s="1"/>
      <c r="T447" s="1"/>
      <c r="U447" s="1"/>
      <c r="V447" s="1"/>
      <c r="W447" s="1"/>
      <c r="X447" s="1"/>
      <c r="Y447" s="1"/>
      <c r="Z447" s="1"/>
    </row>
    <row r="448" spans="1:26" ht="12.75" customHeight="1" x14ac:dyDescent="0.25">
      <c r="A448" s="1"/>
      <c r="B448" s="1"/>
      <c r="C448" s="3"/>
      <c r="D448" s="3"/>
      <c r="E448" s="5"/>
      <c r="F448" s="5"/>
      <c r="G448" s="3"/>
      <c r="H448" s="5"/>
      <c r="I448" s="1"/>
      <c r="J448" s="7"/>
      <c r="K448" s="1"/>
      <c r="L448" s="1"/>
      <c r="M448" s="1"/>
      <c r="N448" s="1"/>
      <c r="O448" s="1"/>
      <c r="P448" s="1"/>
      <c r="Q448" s="1"/>
      <c r="R448" s="1"/>
      <c r="S448" s="1"/>
      <c r="T448" s="1"/>
      <c r="U448" s="1"/>
      <c r="V448" s="1"/>
      <c r="W448" s="1"/>
      <c r="X448" s="1"/>
      <c r="Y448" s="1"/>
      <c r="Z448" s="1"/>
    </row>
    <row r="449" spans="1:26" ht="12.75" customHeight="1" x14ac:dyDescent="0.25">
      <c r="A449" s="1"/>
      <c r="B449" s="1"/>
      <c r="C449" s="3"/>
      <c r="D449" s="3"/>
      <c r="E449" s="5"/>
      <c r="F449" s="5"/>
      <c r="G449" s="3"/>
      <c r="H449" s="5"/>
      <c r="I449" s="1"/>
      <c r="J449" s="7"/>
      <c r="K449" s="1"/>
      <c r="L449" s="1"/>
      <c r="M449" s="1"/>
      <c r="N449" s="1"/>
      <c r="O449" s="1"/>
      <c r="P449" s="1"/>
      <c r="Q449" s="1"/>
      <c r="R449" s="1"/>
      <c r="S449" s="1"/>
      <c r="T449" s="1"/>
      <c r="U449" s="1"/>
      <c r="V449" s="1"/>
      <c r="W449" s="1"/>
      <c r="X449" s="1"/>
      <c r="Y449" s="1"/>
      <c r="Z449" s="1"/>
    </row>
    <row r="450" spans="1:26" ht="12.75" customHeight="1" x14ac:dyDescent="0.25">
      <c r="A450" s="1"/>
      <c r="B450" s="1"/>
      <c r="C450" s="3"/>
      <c r="D450" s="3"/>
      <c r="E450" s="5"/>
      <c r="F450" s="5"/>
      <c r="G450" s="3"/>
      <c r="H450" s="5"/>
      <c r="I450" s="1"/>
      <c r="J450" s="7"/>
      <c r="K450" s="1"/>
      <c r="L450" s="1"/>
      <c r="M450" s="1"/>
      <c r="N450" s="1"/>
      <c r="O450" s="1"/>
      <c r="P450" s="1"/>
      <c r="Q450" s="1"/>
      <c r="R450" s="1"/>
      <c r="S450" s="1"/>
      <c r="T450" s="1"/>
      <c r="U450" s="1"/>
      <c r="V450" s="1"/>
      <c r="W450" s="1"/>
      <c r="X450" s="1"/>
      <c r="Y450" s="1"/>
      <c r="Z450" s="1"/>
    </row>
    <row r="451" spans="1:26" ht="12.75" customHeight="1" x14ac:dyDescent="0.25">
      <c r="A451" s="1"/>
      <c r="B451" s="1"/>
      <c r="C451" s="3"/>
      <c r="D451" s="3"/>
      <c r="E451" s="5"/>
      <c r="F451" s="5"/>
      <c r="G451" s="3"/>
      <c r="H451" s="5"/>
      <c r="I451" s="1"/>
      <c r="J451" s="7"/>
      <c r="K451" s="1"/>
      <c r="L451" s="1"/>
      <c r="M451" s="1"/>
      <c r="N451" s="1"/>
      <c r="O451" s="1"/>
      <c r="P451" s="1"/>
      <c r="Q451" s="1"/>
      <c r="R451" s="1"/>
      <c r="S451" s="1"/>
      <c r="T451" s="1"/>
      <c r="U451" s="1"/>
      <c r="V451" s="1"/>
      <c r="W451" s="1"/>
      <c r="X451" s="1"/>
      <c r="Y451" s="1"/>
      <c r="Z451" s="1"/>
    </row>
    <row r="452" spans="1:26" ht="12.75" customHeight="1" x14ac:dyDescent="0.25">
      <c r="A452" s="1"/>
      <c r="B452" s="1"/>
      <c r="C452" s="3"/>
      <c r="D452" s="3"/>
      <c r="E452" s="5"/>
      <c r="F452" s="5"/>
      <c r="G452" s="3"/>
      <c r="H452" s="5"/>
      <c r="I452" s="1"/>
      <c r="J452" s="7"/>
      <c r="K452" s="1"/>
      <c r="L452" s="1"/>
      <c r="M452" s="1"/>
      <c r="N452" s="1"/>
      <c r="O452" s="1"/>
      <c r="P452" s="1"/>
      <c r="Q452" s="1"/>
      <c r="R452" s="1"/>
      <c r="S452" s="1"/>
      <c r="T452" s="1"/>
      <c r="U452" s="1"/>
      <c r="V452" s="1"/>
      <c r="W452" s="1"/>
      <c r="X452" s="1"/>
      <c r="Y452" s="1"/>
      <c r="Z452" s="1"/>
    </row>
    <row r="453" spans="1:26" ht="12.75" customHeight="1" x14ac:dyDescent="0.25">
      <c r="A453" s="1"/>
      <c r="B453" s="1"/>
      <c r="C453" s="3"/>
      <c r="D453" s="3"/>
      <c r="E453" s="5"/>
      <c r="F453" s="5"/>
      <c r="G453" s="3"/>
      <c r="H453" s="5"/>
      <c r="I453" s="1"/>
      <c r="J453" s="7"/>
      <c r="K453" s="1"/>
      <c r="L453" s="1"/>
      <c r="M453" s="1"/>
      <c r="N453" s="1"/>
      <c r="O453" s="1"/>
      <c r="P453" s="1"/>
      <c r="Q453" s="1"/>
      <c r="R453" s="1"/>
      <c r="S453" s="1"/>
      <c r="T453" s="1"/>
      <c r="U453" s="1"/>
      <c r="V453" s="1"/>
      <c r="W453" s="1"/>
      <c r="X453" s="1"/>
      <c r="Y453" s="1"/>
      <c r="Z453" s="1"/>
    </row>
    <row r="454" spans="1:26" ht="12.75" customHeight="1" x14ac:dyDescent="0.25">
      <c r="A454" s="1"/>
      <c r="B454" s="1"/>
      <c r="C454" s="3"/>
      <c r="D454" s="3"/>
      <c r="E454" s="5"/>
      <c r="F454" s="5"/>
      <c r="G454" s="3"/>
      <c r="H454" s="5"/>
      <c r="I454" s="1"/>
      <c r="J454" s="7"/>
      <c r="K454" s="1"/>
      <c r="L454" s="1"/>
      <c r="M454" s="1"/>
      <c r="N454" s="1"/>
      <c r="O454" s="1"/>
      <c r="P454" s="1"/>
      <c r="Q454" s="1"/>
      <c r="R454" s="1"/>
      <c r="S454" s="1"/>
      <c r="T454" s="1"/>
      <c r="U454" s="1"/>
      <c r="V454" s="1"/>
      <c r="W454" s="1"/>
      <c r="X454" s="1"/>
      <c r="Y454" s="1"/>
      <c r="Z454" s="1"/>
    </row>
    <row r="455" spans="1:26" ht="12.75" customHeight="1" x14ac:dyDescent="0.25">
      <c r="A455" s="1"/>
      <c r="B455" s="1"/>
      <c r="C455" s="3"/>
      <c r="D455" s="3"/>
      <c r="E455" s="5"/>
      <c r="F455" s="5"/>
      <c r="G455" s="3"/>
      <c r="H455" s="5"/>
      <c r="I455" s="1"/>
      <c r="J455" s="7"/>
      <c r="K455" s="1"/>
      <c r="L455" s="1"/>
      <c r="M455" s="1"/>
      <c r="N455" s="1"/>
      <c r="O455" s="1"/>
      <c r="P455" s="1"/>
      <c r="Q455" s="1"/>
      <c r="R455" s="1"/>
      <c r="S455" s="1"/>
      <c r="T455" s="1"/>
      <c r="U455" s="1"/>
      <c r="V455" s="1"/>
      <c r="W455" s="1"/>
      <c r="X455" s="1"/>
      <c r="Y455" s="1"/>
      <c r="Z455" s="1"/>
    </row>
    <row r="456" spans="1:26" ht="12.75" customHeight="1" x14ac:dyDescent="0.25">
      <c r="A456" s="1"/>
      <c r="B456" s="1"/>
      <c r="C456" s="3"/>
      <c r="D456" s="3"/>
      <c r="E456" s="5"/>
      <c r="F456" s="5"/>
      <c r="G456" s="3"/>
      <c r="H456" s="5"/>
      <c r="I456" s="1"/>
      <c r="J456" s="7"/>
      <c r="K456" s="1"/>
      <c r="L456" s="1"/>
      <c r="M456" s="1"/>
      <c r="N456" s="1"/>
      <c r="O456" s="1"/>
      <c r="P456" s="1"/>
      <c r="Q456" s="1"/>
      <c r="R456" s="1"/>
      <c r="S456" s="1"/>
      <c r="T456" s="1"/>
      <c r="U456" s="1"/>
      <c r="V456" s="1"/>
      <c r="W456" s="1"/>
      <c r="X456" s="1"/>
      <c r="Y456" s="1"/>
      <c r="Z456" s="1"/>
    </row>
    <row r="457" spans="1:26" ht="12.75" customHeight="1" x14ac:dyDescent="0.25">
      <c r="A457" s="1"/>
      <c r="B457" s="1"/>
      <c r="C457" s="3"/>
      <c r="D457" s="3"/>
      <c r="E457" s="5"/>
      <c r="F457" s="5"/>
      <c r="G457" s="3"/>
      <c r="H457" s="5"/>
      <c r="I457" s="1"/>
      <c r="J457" s="7"/>
      <c r="K457" s="1"/>
      <c r="L457" s="1"/>
      <c r="M457" s="1"/>
      <c r="N457" s="1"/>
      <c r="O457" s="1"/>
      <c r="P457" s="1"/>
      <c r="Q457" s="1"/>
      <c r="R457" s="1"/>
      <c r="S457" s="1"/>
      <c r="T457" s="1"/>
      <c r="U457" s="1"/>
      <c r="V457" s="1"/>
      <c r="W457" s="1"/>
      <c r="X457" s="1"/>
      <c r="Y457" s="1"/>
      <c r="Z457" s="1"/>
    </row>
    <row r="458" spans="1:26" ht="12.75" customHeight="1" x14ac:dyDescent="0.25">
      <c r="A458" s="1"/>
      <c r="B458" s="1"/>
      <c r="C458" s="3"/>
      <c r="D458" s="3"/>
      <c r="E458" s="5"/>
      <c r="F458" s="5"/>
      <c r="G458" s="3"/>
      <c r="H458" s="5"/>
      <c r="I458" s="1"/>
      <c r="J458" s="7"/>
      <c r="K458" s="1"/>
      <c r="L458" s="1"/>
      <c r="M458" s="1"/>
      <c r="N458" s="1"/>
      <c r="O458" s="1"/>
      <c r="P458" s="1"/>
      <c r="Q458" s="1"/>
      <c r="R458" s="1"/>
      <c r="S458" s="1"/>
      <c r="T458" s="1"/>
      <c r="U458" s="1"/>
      <c r="V458" s="1"/>
      <c r="W458" s="1"/>
      <c r="X458" s="1"/>
      <c r="Y458" s="1"/>
      <c r="Z458" s="1"/>
    </row>
    <row r="459" spans="1:26" ht="12.75" customHeight="1" x14ac:dyDescent="0.25">
      <c r="A459" s="1"/>
      <c r="B459" s="1"/>
      <c r="C459" s="3"/>
      <c r="D459" s="3"/>
      <c r="E459" s="5"/>
      <c r="F459" s="5"/>
      <c r="G459" s="3"/>
      <c r="H459" s="5"/>
      <c r="I459" s="1"/>
      <c r="J459" s="7"/>
      <c r="K459" s="1"/>
      <c r="L459" s="1"/>
      <c r="M459" s="1"/>
      <c r="N459" s="1"/>
      <c r="O459" s="1"/>
      <c r="P459" s="1"/>
      <c r="Q459" s="1"/>
      <c r="R459" s="1"/>
      <c r="S459" s="1"/>
      <c r="T459" s="1"/>
      <c r="U459" s="1"/>
      <c r="V459" s="1"/>
      <c r="W459" s="1"/>
      <c r="X459" s="1"/>
      <c r="Y459" s="1"/>
      <c r="Z459" s="1"/>
    </row>
    <row r="460" spans="1:26" ht="12.75" customHeight="1" x14ac:dyDescent="0.25">
      <c r="A460" s="1"/>
      <c r="B460" s="1"/>
      <c r="C460" s="3"/>
      <c r="D460" s="3"/>
      <c r="E460" s="5"/>
      <c r="F460" s="5"/>
      <c r="G460" s="3"/>
      <c r="H460" s="5"/>
      <c r="I460" s="1"/>
      <c r="J460" s="7"/>
      <c r="K460" s="1"/>
      <c r="L460" s="1"/>
      <c r="M460" s="1"/>
      <c r="N460" s="1"/>
      <c r="O460" s="1"/>
      <c r="P460" s="1"/>
      <c r="Q460" s="1"/>
      <c r="R460" s="1"/>
      <c r="S460" s="1"/>
      <c r="T460" s="1"/>
      <c r="U460" s="1"/>
      <c r="V460" s="1"/>
      <c r="W460" s="1"/>
      <c r="X460" s="1"/>
      <c r="Y460" s="1"/>
      <c r="Z460" s="1"/>
    </row>
    <row r="461" spans="1:26" ht="12.75" customHeight="1" x14ac:dyDescent="0.25">
      <c r="A461" s="1"/>
      <c r="B461" s="1"/>
      <c r="C461" s="3"/>
      <c r="D461" s="3"/>
      <c r="E461" s="5"/>
      <c r="F461" s="5"/>
      <c r="G461" s="3"/>
      <c r="H461" s="5"/>
      <c r="I461" s="1"/>
      <c r="J461" s="7"/>
      <c r="K461" s="1"/>
      <c r="L461" s="1"/>
      <c r="M461" s="1"/>
      <c r="N461" s="1"/>
      <c r="O461" s="1"/>
      <c r="P461" s="1"/>
      <c r="Q461" s="1"/>
      <c r="R461" s="1"/>
      <c r="S461" s="1"/>
      <c r="T461" s="1"/>
      <c r="U461" s="1"/>
      <c r="V461" s="1"/>
      <c r="W461" s="1"/>
      <c r="X461" s="1"/>
      <c r="Y461" s="1"/>
      <c r="Z461" s="1"/>
    </row>
    <row r="462" spans="1:26" ht="12.75" customHeight="1" x14ac:dyDescent="0.25">
      <c r="A462" s="1"/>
      <c r="B462" s="1"/>
      <c r="C462" s="3"/>
      <c r="D462" s="3"/>
      <c r="E462" s="5"/>
      <c r="F462" s="5"/>
      <c r="G462" s="3"/>
      <c r="H462" s="5"/>
      <c r="I462" s="1"/>
      <c r="J462" s="7"/>
      <c r="K462" s="1"/>
      <c r="L462" s="1"/>
      <c r="M462" s="1"/>
      <c r="N462" s="1"/>
      <c r="O462" s="1"/>
      <c r="P462" s="1"/>
      <c r="Q462" s="1"/>
      <c r="R462" s="1"/>
      <c r="S462" s="1"/>
      <c r="T462" s="1"/>
      <c r="U462" s="1"/>
      <c r="V462" s="1"/>
      <c r="W462" s="1"/>
      <c r="X462" s="1"/>
      <c r="Y462" s="1"/>
      <c r="Z462" s="1"/>
    </row>
    <row r="463" spans="1:26" ht="12.75" customHeight="1" x14ac:dyDescent="0.25">
      <c r="A463" s="1"/>
      <c r="B463" s="1"/>
      <c r="C463" s="3"/>
      <c r="D463" s="3"/>
      <c r="E463" s="5"/>
      <c r="F463" s="5"/>
      <c r="G463" s="3"/>
      <c r="H463" s="5"/>
      <c r="I463" s="1"/>
      <c r="J463" s="7"/>
      <c r="K463" s="1"/>
      <c r="L463" s="1"/>
      <c r="M463" s="1"/>
      <c r="N463" s="1"/>
      <c r="O463" s="1"/>
      <c r="P463" s="1"/>
      <c r="Q463" s="1"/>
      <c r="R463" s="1"/>
      <c r="S463" s="1"/>
      <c r="T463" s="1"/>
      <c r="U463" s="1"/>
      <c r="V463" s="1"/>
      <c r="W463" s="1"/>
      <c r="X463" s="1"/>
      <c r="Y463" s="1"/>
      <c r="Z463" s="1"/>
    </row>
    <row r="464" spans="1:26" ht="12.75" customHeight="1" x14ac:dyDescent="0.25">
      <c r="A464" s="1"/>
      <c r="B464" s="1"/>
      <c r="C464" s="3"/>
      <c r="D464" s="3"/>
      <c r="E464" s="5"/>
      <c r="F464" s="5"/>
      <c r="G464" s="3"/>
      <c r="H464" s="5"/>
      <c r="I464" s="1"/>
      <c r="J464" s="7"/>
      <c r="K464" s="1"/>
      <c r="L464" s="1"/>
      <c r="M464" s="1"/>
      <c r="N464" s="1"/>
      <c r="O464" s="1"/>
      <c r="P464" s="1"/>
      <c r="Q464" s="1"/>
      <c r="R464" s="1"/>
      <c r="S464" s="1"/>
      <c r="T464" s="1"/>
      <c r="U464" s="1"/>
      <c r="V464" s="1"/>
      <c r="W464" s="1"/>
      <c r="X464" s="1"/>
      <c r="Y464" s="1"/>
      <c r="Z464" s="1"/>
    </row>
    <row r="465" spans="1:26" ht="12.75" customHeight="1" x14ac:dyDescent="0.25">
      <c r="A465" s="1"/>
      <c r="B465" s="1"/>
      <c r="C465" s="3"/>
      <c r="D465" s="3"/>
      <c r="E465" s="5"/>
      <c r="F465" s="5"/>
      <c r="G465" s="3"/>
      <c r="H465" s="5"/>
      <c r="I465" s="1"/>
      <c r="J465" s="7"/>
      <c r="K465" s="1"/>
      <c r="L465" s="1"/>
      <c r="M465" s="1"/>
      <c r="N465" s="1"/>
      <c r="O465" s="1"/>
      <c r="P465" s="1"/>
      <c r="Q465" s="1"/>
      <c r="R465" s="1"/>
      <c r="S465" s="1"/>
      <c r="T465" s="1"/>
      <c r="U465" s="1"/>
      <c r="V465" s="1"/>
      <c r="W465" s="1"/>
      <c r="X465" s="1"/>
      <c r="Y465" s="1"/>
      <c r="Z465" s="1"/>
    </row>
    <row r="466" spans="1:26" ht="12.75" customHeight="1" x14ac:dyDescent="0.25">
      <c r="A466" s="1"/>
      <c r="B466" s="1"/>
      <c r="C466" s="3"/>
      <c r="D466" s="3"/>
      <c r="E466" s="5"/>
      <c r="F466" s="5"/>
      <c r="G466" s="3"/>
      <c r="H466" s="5"/>
      <c r="I466" s="1"/>
      <c r="J466" s="7"/>
      <c r="K466" s="1"/>
      <c r="L466" s="1"/>
      <c r="M466" s="1"/>
      <c r="N466" s="1"/>
      <c r="O466" s="1"/>
      <c r="P466" s="1"/>
      <c r="Q466" s="1"/>
      <c r="R466" s="1"/>
      <c r="S466" s="1"/>
      <c r="T466" s="1"/>
      <c r="U466" s="1"/>
      <c r="V466" s="1"/>
      <c r="W466" s="1"/>
      <c r="X466" s="1"/>
      <c r="Y466" s="1"/>
      <c r="Z466" s="1"/>
    </row>
    <row r="467" spans="1:26" ht="12.75" customHeight="1" x14ac:dyDescent="0.25">
      <c r="A467" s="1"/>
      <c r="B467" s="1"/>
      <c r="C467" s="3"/>
      <c r="D467" s="3"/>
      <c r="E467" s="5"/>
      <c r="F467" s="5"/>
      <c r="G467" s="3"/>
      <c r="H467" s="5"/>
      <c r="I467" s="1"/>
      <c r="J467" s="7"/>
      <c r="K467" s="1"/>
      <c r="L467" s="1"/>
      <c r="M467" s="1"/>
      <c r="N467" s="1"/>
      <c r="O467" s="1"/>
      <c r="P467" s="1"/>
      <c r="Q467" s="1"/>
      <c r="R467" s="1"/>
      <c r="S467" s="1"/>
      <c r="T467" s="1"/>
      <c r="U467" s="1"/>
      <c r="V467" s="1"/>
      <c r="W467" s="1"/>
      <c r="X467" s="1"/>
      <c r="Y467" s="1"/>
      <c r="Z467" s="1"/>
    </row>
    <row r="468" spans="1:26" ht="12.75" customHeight="1" x14ac:dyDescent="0.25">
      <c r="A468" s="1"/>
      <c r="B468" s="1"/>
      <c r="C468" s="3"/>
      <c r="D468" s="3"/>
      <c r="E468" s="5"/>
      <c r="F468" s="5"/>
      <c r="G468" s="3"/>
      <c r="H468" s="5"/>
      <c r="I468" s="1"/>
      <c r="J468" s="7"/>
      <c r="K468" s="1"/>
      <c r="L468" s="1"/>
      <c r="M468" s="1"/>
      <c r="N468" s="1"/>
      <c r="O468" s="1"/>
      <c r="P468" s="1"/>
      <c r="Q468" s="1"/>
      <c r="R468" s="1"/>
      <c r="S468" s="1"/>
      <c r="T468" s="1"/>
      <c r="U468" s="1"/>
      <c r="V468" s="1"/>
      <c r="W468" s="1"/>
      <c r="X468" s="1"/>
      <c r="Y468" s="1"/>
      <c r="Z468" s="1"/>
    </row>
    <row r="469" spans="1:26" ht="12.75" customHeight="1" x14ac:dyDescent="0.25">
      <c r="A469" s="1"/>
      <c r="B469" s="1"/>
      <c r="C469" s="3"/>
      <c r="D469" s="3"/>
      <c r="E469" s="5"/>
      <c r="F469" s="5"/>
      <c r="G469" s="3"/>
      <c r="H469" s="5"/>
      <c r="I469" s="1"/>
      <c r="J469" s="7"/>
      <c r="K469" s="1"/>
      <c r="L469" s="1"/>
      <c r="M469" s="1"/>
      <c r="N469" s="1"/>
      <c r="O469" s="1"/>
      <c r="P469" s="1"/>
      <c r="Q469" s="1"/>
      <c r="R469" s="1"/>
      <c r="S469" s="1"/>
      <c r="T469" s="1"/>
      <c r="U469" s="1"/>
      <c r="V469" s="1"/>
      <c r="W469" s="1"/>
      <c r="X469" s="1"/>
      <c r="Y469" s="1"/>
      <c r="Z469" s="1"/>
    </row>
    <row r="470" spans="1:26" ht="12.75" customHeight="1" x14ac:dyDescent="0.25">
      <c r="A470" s="1"/>
      <c r="B470" s="1"/>
      <c r="C470" s="3"/>
      <c r="D470" s="3"/>
      <c r="E470" s="5"/>
      <c r="F470" s="5"/>
      <c r="G470" s="3"/>
      <c r="H470" s="5"/>
      <c r="I470" s="1"/>
      <c r="J470" s="7"/>
      <c r="K470" s="1"/>
      <c r="L470" s="1"/>
      <c r="M470" s="1"/>
      <c r="N470" s="1"/>
      <c r="O470" s="1"/>
      <c r="P470" s="1"/>
      <c r="Q470" s="1"/>
      <c r="R470" s="1"/>
      <c r="S470" s="1"/>
      <c r="T470" s="1"/>
      <c r="U470" s="1"/>
      <c r="V470" s="1"/>
      <c r="W470" s="1"/>
      <c r="X470" s="1"/>
      <c r="Y470" s="1"/>
      <c r="Z470" s="1"/>
    </row>
    <row r="471" spans="1:26" ht="12.75" customHeight="1" x14ac:dyDescent="0.25">
      <c r="A471" s="1"/>
      <c r="B471" s="1"/>
      <c r="C471" s="3"/>
      <c r="D471" s="3"/>
      <c r="E471" s="5"/>
      <c r="F471" s="5"/>
      <c r="G471" s="3"/>
      <c r="H471" s="5"/>
      <c r="I471" s="1"/>
      <c r="J471" s="7"/>
      <c r="K471" s="1"/>
      <c r="L471" s="1"/>
      <c r="M471" s="1"/>
      <c r="N471" s="1"/>
      <c r="O471" s="1"/>
      <c r="P471" s="1"/>
      <c r="Q471" s="1"/>
      <c r="R471" s="1"/>
      <c r="S471" s="1"/>
      <c r="T471" s="1"/>
      <c r="U471" s="1"/>
      <c r="V471" s="1"/>
      <c r="W471" s="1"/>
      <c r="X471" s="1"/>
      <c r="Y471" s="1"/>
      <c r="Z471" s="1"/>
    </row>
    <row r="472" spans="1:26" ht="12.75" customHeight="1" x14ac:dyDescent="0.25">
      <c r="A472" s="1"/>
      <c r="B472" s="1"/>
      <c r="C472" s="3"/>
      <c r="D472" s="3"/>
      <c r="E472" s="5"/>
      <c r="F472" s="5"/>
      <c r="G472" s="3"/>
      <c r="H472" s="5"/>
      <c r="I472" s="1"/>
      <c r="J472" s="7"/>
      <c r="K472" s="1"/>
      <c r="L472" s="1"/>
      <c r="M472" s="1"/>
      <c r="N472" s="1"/>
      <c r="O472" s="1"/>
      <c r="P472" s="1"/>
      <c r="Q472" s="1"/>
      <c r="R472" s="1"/>
      <c r="S472" s="1"/>
      <c r="T472" s="1"/>
      <c r="U472" s="1"/>
      <c r="V472" s="1"/>
      <c r="W472" s="1"/>
      <c r="X472" s="1"/>
      <c r="Y472" s="1"/>
      <c r="Z472" s="1"/>
    </row>
    <row r="473" spans="1:26" ht="12.75" customHeight="1" x14ac:dyDescent="0.25">
      <c r="A473" s="1"/>
      <c r="B473" s="1"/>
      <c r="C473" s="3"/>
      <c r="D473" s="3"/>
      <c r="E473" s="5"/>
      <c r="F473" s="5"/>
      <c r="G473" s="3"/>
      <c r="H473" s="5"/>
      <c r="I473" s="1"/>
      <c r="J473" s="7"/>
      <c r="K473" s="1"/>
      <c r="L473" s="1"/>
      <c r="M473" s="1"/>
      <c r="N473" s="1"/>
      <c r="O473" s="1"/>
      <c r="P473" s="1"/>
      <c r="Q473" s="1"/>
      <c r="R473" s="1"/>
      <c r="S473" s="1"/>
      <c r="T473" s="1"/>
      <c r="U473" s="1"/>
      <c r="V473" s="1"/>
      <c r="W473" s="1"/>
      <c r="X473" s="1"/>
      <c r="Y473" s="1"/>
      <c r="Z473" s="1"/>
    </row>
    <row r="474" spans="1:26" ht="12.75" customHeight="1" x14ac:dyDescent="0.25">
      <c r="A474" s="1"/>
      <c r="B474" s="1"/>
      <c r="C474" s="3"/>
      <c r="D474" s="3"/>
      <c r="E474" s="5"/>
      <c r="F474" s="5"/>
      <c r="G474" s="3"/>
      <c r="H474" s="5"/>
      <c r="I474" s="1"/>
      <c r="J474" s="7"/>
      <c r="K474" s="1"/>
      <c r="L474" s="1"/>
      <c r="M474" s="1"/>
      <c r="N474" s="1"/>
      <c r="O474" s="1"/>
      <c r="P474" s="1"/>
      <c r="Q474" s="1"/>
      <c r="R474" s="1"/>
      <c r="S474" s="1"/>
      <c r="T474" s="1"/>
      <c r="U474" s="1"/>
      <c r="V474" s="1"/>
      <c r="W474" s="1"/>
      <c r="X474" s="1"/>
      <c r="Y474" s="1"/>
      <c r="Z474" s="1"/>
    </row>
    <row r="475" spans="1:26" ht="12.75" customHeight="1" x14ac:dyDescent="0.25">
      <c r="A475" s="1"/>
      <c r="B475" s="1"/>
      <c r="C475" s="3"/>
      <c r="D475" s="3"/>
      <c r="E475" s="5"/>
      <c r="F475" s="5"/>
      <c r="G475" s="3"/>
      <c r="H475" s="5"/>
      <c r="I475" s="1"/>
      <c r="J475" s="7"/>
      <c r="K475" s="1"/>
      <c r="L475" s="1"/>
      <c r="M475" s="1"/>
      <c r="N475" s="1"/>
      <c r="O475" s="1"/>
      <c r="P475" s="1"/>
      <c r="Q475" s="1"/>
      <c r="R475" s="1"/>
      <c r="S475" s="1"/>
      <c r="T475" s="1"/>
      <c r="U475" s="1"/>
      <c r="V475" s="1"/>
      <c r="W475" s="1"/>
      <c r="X475" s="1"/>
      <c r="Y475" s="1"/>
      <c r="Z475" s="1"/>
    </row>
    <row r="476" spans="1:26" ht="12.75" customHeight="1" x14ac:dyDescent="0.25">
      <c r="A476" s="1"/>
      <c r="B476" s="1"/>
      <c r="C476" s="3"/>
      <c r="D476" s="3"/>
      <c r="E476" s="5"/>
      <c r="F476" s="5"/>
      <c r="G476" s="3"/>
      <c r="H476" s="5"/>
      <c r="I476" s="1"/>
      <c r="J476" s="7"/>
      <c r="K476" s="1"/>
      <c r="L476" s="1"/>
      <c r="M476" s="1"/>
      <c r="N476" s="1"/>
      <c r="O476" s="1"/>
      <c r="P476" s="1"/>
      <c r="Q476" s="1"/>
      <c r="R476" s="1"/>
      <c r="S476" s="1"/>
      <c r="T476" s="1"/>
      <c r="U476" s="1"/>
      <c r="V476" s="1"/>
      <c r="W476" s="1"/>
      <c r="X476" s="1"/>
      <c r="Y476" s="1"/>
      <c r="Z476" s="1"/>
    </row>
    <row r="477" spans="1:26" ht="12.75" customHeight="1" x14ac:dyDescent="0.25">
      <c r="A477" s="1"/>
      <c r="B477" s="1"/>
      <c r="C477" s="3"/>
      <c r="D477" s="3"/>
      <c r="E477" s="5"/>
      <c r="F477" s="5"/>
      <c r="G477" s="3"/>
      <c r="H477" s="5"/>
      <c r="I477" s="1"/>
      <c r="J477" s="7"/>
      <c r="K477" s="1"/>
      <c r="L477" s="1"/>
      <c r="M477" s="1"/>
      <c r="N477" s="1"/>
      <c r="O477" s="1"/>
      <c r="P477" s="1"/>
      <c r="Q477" s="1"/>
      <c r="R477" s="1"/>
      <c r="S477" s="1"/>
      <c r="T477" s="1"/>
      <c r="U477" s="1"/>
      <c r="V477" s="1"/>
      <c r="W477" s="1"/>
      <c r="X477" s="1"/>
      <c r="Y477" s="1"/>
      <c r="Z477" s="1"/>
    </row>
    <row r="478" spans="1:26" ht="12.75" customHeight="1" x14ac:dyDescent="0.25">
      <c r="A478" s="1"/>
      <c r="B478" s="1"/>
      <c r="C478" s="3"/>
      <c r="D478" s="3"/>
      <c r="E478" s="5"/>
      <c r="F478" s="5"/>
      <c r="G478" s="3"/>
      <c r="H478" s="5"/>
      <c r="I478" s="1"/>
      <c r="J478" s="7"/>
      <c r="K478" s="1"/>
      <c r="L478" s="1"/>
      <c r="M478" s="1"/>
      <c r="N478" s="1"/>
      <c r="O478" s="1"/>
      <c r="P478" s="1"/>
      <c r="Q478" s="1"/>
      <c r="R478" s="1"/>
      <c r="S478" s="1"/>
      <c r="T478" s="1"/>
      <c r="U478" s="1"/>
      <c r="V478" s="1"/>
      <c r="W478" s="1"/>
      <c r="X478" s="1"/>
      <c r="Y478" s="1"/>
      <c r="Z478" s="1"/>
    </row>
    <row r="479" spans="1:26" ht="12.75" customHeight="1" x14ac:dyDescent="0.25">
      <c r="A479" s="1"/>
      <c r="B479" s="1"/>
      <c r="C479" s="3"/>
      <c r="D479" s="3"/>
      <c r="E479" s="5"/>
      <c r="F479" s="5"/>
      <c r="G479" s="3"/>
      <c r="H479" s="5"/>
      <c r="I479" s="1"/>
      <c r="J479" s="7"/>
      <c r="K479" s="1"/>
      <c r="L479" s="1"/>
      <c r="M479" s="1"/>
      <c r="N479" s="1"/>
      <c r="O479" s="1"/>
      <c r="P479" s="1"/>
      <c r="Q479" s="1"/>
      <c r="R479" s="1"/>
      <c r="S479" s="1"/>
      <c r="T479" s="1"/>
      <c r="U479" s="1"/>
      <c r="V479" s="1"/>
      <c r="W479" s="1"/>
      <c r="X479" s="1"/>
      <c r="Y479" s="1"/>
      <c r="Z479" s="1"/>
    </row>
    <row r="480" spans="1:26" ht="12.75" customHeight="1" x14ac:dyDescent="0.25">
      <c r="A480" s="1"/>
      <c r="B480" s="1"/>
      <c r="C480" s="3"/>
      <c r="D480" s="3"/>
      <c r="E480" s="5"/>
      <c r="F480" s="5"/>
      <c r="G480" s="3"/>
      <c r="H480" s="5"/>
      <c r="I480" s="1"/>
      <c r="J480" s="7"/>
      <c r="K480" s="1"/>
      <c r="L480" s="1"/>
      <c r="M480" s="1"/>
      <c r="N480" s="1"/>
      <c r="O480" s="1"/>
      <c r="P480" s="1"/>
      <c r="Q480" s="1"/>
      <c r="R480" s="1"/>
      <c r="S480" s="1"/>
      <c r="T480" s="1"/>
      <c r="U480" s="1"/>
      <c r="V480" s="1"/>
      <c r="W480" s="1"/>
      <c r="X480" s="1"/>
      <c r="Y480" s="1"/>
      <c r="Z480" s="1"/>
    </row>
    <row r="481" spans="1:26" ht="12.75" customHeight="1" x14ac:dyDescent="0.25">
      <c r="A481" s="1"/>
      <c r="B481" s="1"/>
      <c r="C481" s="3"/>
      <c r="D481" s="3"/>
      <c r="E481" s="5"/>
      <c r="F481" s="5"/>
      <c r="G481" s="3"/>
      <c r="H481" s="5"/>
      <c r="I481" s="1"/>
      <c r="J481" s="7"/>
      <c r="K481" s="1"/>
      <c r="L481" s="1"/>
      <c r="M481" s="1"/>
      <c r="N481" s="1"/>
      <c r="O481" s="1"/>
      <c r="P481" s="1"/>
      <c r="Q481" s="1"/>
      <c r="R481" s="1"/>
      <c r="S481" s="1"/>
      <c r="T481" s="1"/>
      <c r="U481" s="1"/>
      <c r="V481" s="1"/>
      <c r="W481" s="1"/>
      <c r="X481" s="1"/>
      <c r="Y481" s="1"/>
      <c r="Z481" s="1"/>
    </row>
    <row r="482" spans="1:26" ht="12.75" customHeight="1" x14ac:dyDescent="0.25">
      <c r="A482" s="1"/>
      <c r="B482" s="1"/>
      <c r="C482" s="3"/>
      <c r="D482" s="3"/>
      <c r="E482" s="5"/>
      <c r="F482" s="5"/>
      <c r="G482" s="3"/>
      <c r="H482" s="5"/>
      <c r="I482" s="1"/>
      <c r="J482" s="7"/>
      <c r="K482" s="1"/>
      <c r="L482" s="1"/>
      <c r="M482" s="1"/>
      <c r="N482" s="1"/>
      <c r="O482" s="1"/>
      <c r="P482" s="1"/>
      <c r="Q482" s="1"/>
      <c r="R482" s="1"/>
      <c r="S482" s="1"/>
      <c r="T482" s="1"/>
      <c r="U482" s="1"/>
      <c r="V482" s="1"/>
      <c r="W482" s="1"/>
      <c r="X482" s="1"/>
      <c r="Y482" s="1"/>
      <c r="Z482" s="1"/>
    </row>
    <row r="483" spans="1:26" ht="12.75" customHeight="1" x14ac:dyDescent="0.25">
      <c r="A483" s="1"/>
      <c r="B483" s="1"/>
      <c r="C483" s="3"/>
      <c r="D483" s="3"/>
      <c r="E483" s="5"/>
      <c r="F483" s="5"/>
      <c r="G483" s="3"/>
      <c r="H483" s="5"/>
      <c r="I483" s="1"/>
      <c r="J483" s="7"/>
      <c r="K483" s="1"/>
      <c r="L483" s="1"/>
      <c r="M483" s="1"/>
      <c r="N483" s="1"/>
      <c r="O483" s="1"/>
      <c r="P483" s="1"/>
      <c r="Q483" s="1"/>
      <c r="R483" s="1"/>
      <c r="S483" s="1"/>
      <c r="T483" s="1"/>
      <c r="U483" s="1"/>
      <c r="V483" s="1"/>
      <c r="W483" s="1"/>
      <c r="X483" s="1"/>
      <c r="Y483" s="1"/>
      <c r="Z483" s="1"/>
    </row>
    <row r="484" spans="1:26" ht="12.75" customHeight="1" x14ac:dyDescent="0.25">
      <c r="A484" s="1"/>
      <c r="B484" s="1"/>
      <c r="C484" s="3"/>
      <c r="D484" s="3"/>
      <c r="E484" s="5"/>
      <c r="F484" s="5"/>
      <c r="G484" s="3"/>
      <c r="H484" s="5"/>
      <c r="I484" s="1"/>
      <c r="J484" s="7"/>
      <c r="K484" s="1"/>
      <c r="L484" s="1"/>
      <c r="M484" s="1"/>
      <c r="N484" s="1"/>
      <c r="O484" s="1"/>
      <c r="P484" s="1"/>
      <c r="Q484" s="1"/>
      <c r="R484" s="1"/>
      <c r="S484" s="1"/>
      <c r="T484" s="1"/>
      <c r="U484" s="1"/>
      <c r="V484" s="1"/>
      <c r="W484" s="1"/>
      <c r="X484" s="1"/>
      <c r="Y484" s="1"/>
      <c r="Z484" s="1"/>
    </row>
    <row r="485" spans="1:26" ht="12.75" customHeight="1" x14ac:dyDescent="0.25">
      <c r="A485" s="1"/>
      <c r="B485" s="1"/>
      <c r="C485" s="3"/>
      <c r="D485" s="3"/>
      <c r="E485" s="5"/>
      <c r="F485" s="5"/>
      <c r="G485" s="3"/>
      <c r="H485" s="5"/>
      <c r="I485" s="1"/>
      <c r="J485" s="7"/>
      <c r="K485" s="1"/>
      <c r="L485" s="1"/>
      <c r="M485" s="1"/>
      <c r="N485" s="1"/>
      <c r="O485" s="1"/>
      <c r="P485" s="1"/>
      <c r="Q485" s="1"/>
      <c r="R485" s="1"/>
      <c r="S485" s="1"/>
      <c r="T485" s="1"/>
      <c r="U485" s="1"/>
      <c r="V485" s="1"/>
      <c r="W485" s="1"/>
      <c r="X485" s="1"/>
      <c r="Y485" s="1"/>
      <c r="Z485" s="1"/>
    </row>
    <row r="486" spans="1:26" ht="12.75" customHeight="1" x14ac:dyDescent="0.25">
      <c r="A486" s="1"/>
      <c r="B486" s="1"/>
      <c r="C486" s="3"/>
      <c r="D486" s="3"/>
      <c r="E486" s="5"/>
      <c r="F486" s="5"/>
      <c r="G486" s="3"/>
      <c r="H486" s="5"/>
      <c r="I486" s="1"/>
      <c r="J486" s="7"/>
      <c r="K486" s="1"/>
      <c r="L486" s="1"/>
      <c r="M486" s="1"/>
      <c r="N486" s="1"/>
      <c r="O486" s="1"/>
      <c r="P486" s="1"/>
      <c r="Q486" s="1"/>
      <c r="R486" s="1"/>
      <c r="S486" s="1"/>
      <c r="T486" s="1"/>
      <c r="U486" s="1"/>
      <c r="V486" s="1"/>
      <c r="W486" s="1"/>
      <c r="X486" s="1"/>
      <c r="Y486" s="1"/>
      <c r="Z486" s="1"/>
    </row>
    <row r="487" spans="1:26" ht="12.75" customHeight="1" x14ac:dyDescent="0.25">
      <c r="A487" s="1"/>
      <c r="B487" s="1"/>
      <c r="C487" s="3"/>
      <c r="D487" s="3"/>
      <c r="E487" s="5"/>
      <c r="F487" s="5"/>
      <c r="G487" s="3"/>
      <c r="H487" s="5"/>
      <c r="I487" s="1"/>
      <c r="J487" s="7"/>
      <c r="K487" s="1"/>
      <c r="L487" s="1"/>
      <c r="M487" s="1"/>
      <c r="N487" s="1"/>
      <c r="O487" s="1"/>
      <c r="P487" s="1"/>
      <c r="Q487" s="1"/>
      <c r="R487" s="1"/>
      <c r="S487" s="1"/>
      <c r="T487" s="1"/>
      <c r="U487" s="1"/>
      <c r="V487" s="1"/>
      <c r="W487" s="1"/>
      <c r="X487" s="1"/>
      <c r="Y487" s="1"/>
      <c r="Z487" s="1"/>
    </row>
    <row r="488" spans="1:26" ht="12.75" customHeight="1" x14ac:dyDescent="0.25">
      <c r="A488" s="1"/>
      <c r="B488" s="1"/>
      <c r="C488" s="3"/>
      <c r="D488" s="3"/>
      <c r="E488" s="5"/>
      <c r="F488" s="5"/>
      <c r="G488" s="3"/>
      <c r="H488" s="5"/>
      <c r="I488" s="1"/>
      <c r="J488" s="7"/>
      <c r="K488" s="1"/>
      <c r="L488" s="1"/>
      <c r="M488" s="1"/>
      <c r="N488" s="1"/>
      <c r="O488" s="1"/>
      <c r="P488" s="1"/>
      <c r="Q488" s="1"/>
      <c r="R488" s="1"/>
      <c r="S488" s="1"/>
      <c r="T488" s="1"/>
      <c r="U488" s="1"/>
      <c r="V488" s="1"/>
      <c r="W488" s="1"/>
      <c r="X488" s="1"/>
      <c r="Y488" s="1"/>
      <c r="Z488" s="1"/>
    </row>
    <row r="489" spans="1:26" ht="12.75" customHeight="1" x14ac:dyDescent="0.25">
      <c r="A489" s="1"/>
      <c r="B489" s="1"/>
      <c r="C489" s="3"/>
      <c r="D489" s="3"/>
      <c r="E489" s="5"/>
      <c r="F489" s="5"/>
      <c r="G489" s="3"/>
      <c r="H489" s="5"/>
      <c r="I489" s="1"/>
      <c r="J489" s="7"/>
      <c r="K489" s="1"/>
      <c r="L489" s="1"/>
      <c r="M489" s="1"/>
      <c r="N489" s="1"/>
      <c r="O489" s="1"/>
      <c r="P489" s="1"/>
      <c r="Q489" s="1"/>
      <c r="R489" s="1"/>
      <c r="S489" s="1"/>
      <c r="T489" s="1"/>
      <c r="U489" s="1"/>
      <c r="V489" s="1"/>
      <c r="W489" s="1"/>
      <c r="X489" s="1"/>
      <c r="Y489" s="1"/>
      <c r="Z489" s="1"/>
    </row>
    <row r="490" spans="1:26" ht="12.75" customHeight="1" x14ac:dyDescent="0.25">
      <c r="A490" s="1"/>
      <c r="B490" s="1"/>
      <c r="C490" s="3"/>
      <c r="D490" s="3"/>
      <c r="E490" s="5"/>
      <c r="F490" s="5"/>
      <c r="G490" s="3"/>
      <c r="H490" s="5"/>
      <c r="I490" s="1"/>
      <c r="J490" s="7"/>
      <c r="K490" s="1"/>
      <c r="L490" s="1"/>
      <c r="M490" s="1"/>
      <c r="N490" s="1"/>
      <c r="O490" s="1"/>
      <c r="P490" s="1"/>
      <c r="Q490" s="1"/>
      <c r="R490" s="1"/>
      <c r="S490" s="1"/>
      <c r="T490" s="1"/>
      <c r="U490" s="1"/>
      <c r="V490" s="1"/>
      <c r="W490" s="1"/>
      <c r="X490" s="1"/>
      <c r="Y490" s="1"/>
      <c r="Z490" s="1"/>
    </row>
    <row r="491" spans="1:26" ht="12.75" customHeight="1" x14ac:dyDescent="0.25">
      <c r="A491" s="1"/>
      <c r="B491" s="1"/>
      <c r="C491" s="3"/>
      <c r="D491" s="3"/>
      <c r="E491" s="5"/>
      <c r="F491" s="5"/>
      <c r="G491" s="3"/>
      <c r="H491" s="5"/>
      <c r="I491" s="1"/>
      <c r="J491" s="7"/>
      <c r="K491" s="1"/>
      <c r="L491" s="1"/>
      <c r="M491" s="1"/>
      <c r="N491" s="1"/>
      <c r="O491" s="1"/>
      <c r="P491" s="1"/>
      <c r="Q491" s="1"/>
      <c r="R491" s="1"/>
      <c r="S491" s="1"/>
      <c r="T491" s="1"/>
      <c r="U491" s="1"/>
      <c r="V491" s="1"/>
      <c r="W491" s="1"/>
      <c r="X491" s="1"/>
      <c r="Y491" s="1"/>
      <c r="Z491" s="1"/>
    </row>
    <row r="492" spans="1:26" ht="12.75" customHeight="1" x14ac:dyDescent="0.25">
      <c r="A492" s="1"/>
      <c r="B492" s="1"/>
      <c r="C492" s="3"/>
      <c r="D492" s="3"/>
      <c r="E492" s="5"/>
      <c r="F492" s="5"/>
      <c r="G492" s="3"/>
      <c r="H492" s="5"/>
      <c r="I492" s="1"/>
      <c r="J492" s="7"/>
      <c r="K492" s="1"/>
      <c r="L492" s="1"/>
      <c r="M492" s="1"/>
      <c r="N492" s="1"/>
      <c r="O492" s="1"/>
      <c r="P492" s="1"/>
      <c r="Q492" s="1"/>
      <c r="R492" s="1"/>
      <c r="S492" s="1"/>
      <c r="T492" s="1"/>
      <c r="U492" s="1"/>
      <c r="V492" s="1"/>
      <c r="W492" s="1"/>
      <c r="X492" s="1"/>
      <c r="Y492" s="1"/>
      <c r="Z492" s="1"/>
    </row>
    <row r="493" spans="1:26" ht="12.75" customHeight="1" x14ac:dyDescent="0.25">
      <c r="A493" s="1"/>
      <c r="B493" s="1"/>
      <c r="C493" s="3"/>
      <c r="D493" s="3"/>
      <c r="E493" s="5"/>
      <c r="F493" s="5"/>
      <c r="G493" s="3"/>
      <c r="H493" s="5"/>
      <c r="I493" s="1"/>
      <c r="J493" s="7"/>
      <c r="K493" s="1"/>
      <c r="L493" s="1"/>
      <c r="M493" s="1"/>
      <c r="N493" s="1"/>
      <c r="O493" s="1"/>
      <c r="P493" s="1"/>
      <c r="Q493" s="1"/>
      <c r="R493" s="1"/>
      <c r="S493" s="1"/>
      <c r="T493" s="1"/>
      <c r="U493" s="1"/>
      <c r="V493" s="1"/>
      <c r="W493" s="1"/>
      <c r="X493" s="1"/>
      <c r="Y493" s="1"/>
      <c r="Z493" s="1"/>
    </row>
    <row r="494" spans="1:26" ht="12.75" customHeight="1" x14ac:dyDescent="0.25">
      <c r="A494" s="1"/>
      <c r="B494" s="1"/>
      <c r="C494" s="3"/>
      <c r="D494" s="3"/>
      <c r="E494" s="5"/>
      <c r="F494" s="5"/>
      <c r="G494" s="3"/>
      <c r="H494" s="5"/>
      <c r="I494" s="1"/>
      <c r="J494" s="7"/>
      <c r="K494" s="1"/>
      <c r="L494" s="1"/>
      <c r="M494" s="1"/>
      <c r="N494" s="1"/>
      <c r="O494" s="1"/>
      <c r="P494" s="1"/>
      <c r="Q494" s="1"/>
      <c r="R494" s="1"/>
      <c r="S494" s="1"/>
      <c r="T494" s="1"/>
      <c r="U494" s="1"/>
      <c r="V494" s="1"/>
      <c r="W494" s="1"/>
      <c r="X494" s="1"/>
      <c r="Y494" s="1"/>
      <c r="Z494" s="1"/>
    </row>
    <row r="495" spans="1:26" ht="12.75" customHeight="1" x14ac:dyDescent="0.25">
      <c r="A495" s="1"/>
      <c r="B495" s="1"/>
      <c r="C495" s="3"/>
      <c r="D495" s="3"/>
      <c r="E495" s="5"/>
      <c r="F495" s="5"/>
      <c r="G495" s="3"/>
      <c r="H495" s="5"/>
      <c r="I495" s="1"/>
      <c r="J495" s="7"/>
      <c r="K495" s="1"/>
      <c r="L495" s="1"/>
      <c r="M495" s="1"/>
      <c r="N495" s="1"/>
      <c r="O495" s="1"/>
      <c r="P495" s="1"/>
      <c r="Q495" s="1"/>
      <c r="R495" s="1"/>
      <c r="S495" s="1"/>
      <c r="T495" s="1"/>
      <c r="U495" s="1"/>
      <c r="V495" s="1"/>
      <c r="W495" s="1"/>
      <c r="X495" s="1"/>
      <c r="Y495" s="1"/>
      <c r="Z495" s="1"/>
    </row>
    <row r="496" spans="1:26" ht="12.75" customHeight="1" x14ac:dyDescent="0.25">
      <c r="A496" s="1"/>
      <c r="B496" s="1"/>
      <c r="C496" s="3"/>
      <c r="D496" s="3"/>
      <c r="E496" s="5"/>
      <c r="F496" s="5"/>
      <c r="G496" s="3"/>
      <c r="H496" s="5"/>
      <c r="I496" s="1"/>
      <c r="J496" s="7"/>
      <c r="K496" s="1"/>
      <c r="L496" s="1"/>
      <c r="M496" s="1"/>
      <c r="N496" s="1"/>
      <c r="O496" s="1"/>
      <c r="P496" s="1"/>
      <c r="Q496" s="1"/>
      <c r="R496" s="1"/>
      <c r="S496" s="1"/>
      <c r="T496" s="1"/>
      <c r="U496" s="1"/>
      <c r="V496" s="1"/>
      <c r="W496" s="1"/>
      <c r="X496" s="1"/>
      <c r="Y496" s="1"/>
      <c r="Z496" s="1"/>
    </row>
    <row r="497" spans="1:26" ht="12.75" customHeight="1" x14ac:dyDescent="0.25">
      <c r="A497" s="1"/>
      <c r="B497" s="1"/>
      <c r="C497" s="3"/>
      <c r="D497" s="3"/>
      <c r="E497" s="5"/>
      <c r="F497" s="5"/>
      <c r="G497" s="3"/>
      <c r="H497" s="5"/>
      <c r="I497" s="1"/>
      <c r="J497" s="7"/>
      <c r="K497" s="1"/>
      <c r="L497" s="1"/>
      <c r="M497" s="1"/>
      <c r="N497" s="1"/>
      <c r="O497" s="1"/>
      <c r="P497" s="1"/>
      <c r="Q497" s="1"/>
      <c r="R497" s="1"/>
      <c r="S497" s="1"/>
      <c r="T497" s="1"/>
      <c r="U497" s="1"/>
      <c r="V497" s="1"/>
      <c r="W497" s="1"/>
      <c r="X497" s="1"/>
      <c r="Y497" s="1"/>
      <c r="Z497" s="1"/>
    </row>
    <row r="498" spans="1:26" ht="12.75" customHeight="1" x14ac:dyDescent="0.25">
      <c r="A498" s="1"/>
      <c r="B498" s="1"/>
      <c r="C498" s="3"/>
      <c r="D498" s="3"/>
      <c r="E498" s="5"/>
      <c r="F498" s="5"/>
      <c r="G498" s="3"/>
      <c r="H498" s="5"/>
      <c r="I498" s="1"/>
      <c r="J498" s="7"/>
      <c r="K498" s="1"/>
      <c r="L498" s="1"/>
      <c r="M498" s="1"/>
      <c r="N498" s="1"/>
      <c r="O498" s="1"/>
      <c r="P498" s="1"/>
      <c r="Q498" s="1"/>
      <c r="R498" s="1"/>
      <c r="S498" s="1"/>
      <c r="T498" s="1"/>
      <c r="U498" s="1"/>
      <c r="V498" s="1"/>
      <c r="W498" s="1"/>
      <c r="X498" s="1"/>
      <c r="Y498" s="1"/>
      <c r="Z498" s="1"/>
    </row>
    <row r="499" spans="1:26" ht="12.75" customHeight="1" x14ac:dyDescent="0.25">
      <c r="A499" s="1"/>
      <c r="B499" s="1"/>
      <c r="C499" s="3"/>
      <c r="D499" s="3"/>
      <c r="E499" s="5"/>
      <c r="F499" s="5"/>
      <c r="G499" s="3"/>
      <c r="H499" s="5"/>
      <c r="I499" s="1"/>
      <c r="J499" s="7"/>
      <c r="K499" s="1"/>
      <c r="L499" s="1"/>
      <c r="M499" s="1"/>
      <c r="N499" s="1"/>
      <c r="O499" s="1"/>
      <c r="P499" s="1"/>
      <c r="Q499" s="1"/>
      <c r="R499" s="1"/>
      <c r="S499" s="1"/>
      <c r="T499" s="1"/>
      <c r="U499" s="1"/>
      <c r="V499" s="1"/>
      <c r="W499" s="1"/>
      <c r="X499" s="1"/>
      <c r="Y499" s="1"/>
      <c r="Z499" s="1"/>
    </row>
    <row r="500" spans="1:26" ht="12.75" customHeight="1" x14ac:dyDescent="0.25">
      <c r="A500" s="1"/>
      <c r="B500" s="1"/>
      <c r="C500" s="3"/>
      <c r="D500" s="3"/>
      <c r="E500" s="5"/>
      <c r="F500" s="5"/>
      <c r="G500" s="3"/>
      <c r="H500" s="5"/>
      <c r="I500" s="1"/>
      <c r="J500" s="7"/>
      <c r="K500" s="1"/>
      <c r="L500" s="1"/>
      <c r="M500" s="1"/>
      <c r="N500" s="1"/>
      <c r="O500" s="1"/>
      <c r="P500" s="1"/>
      <c r="Q500" s="1"/>
      <c r="R500" s="1"/>
      <c r="S500" s="1"/>
      <c r="T500" s="1"/>
      <c r="U500" s="1"/>
      <c r="V500" s="1"/>
      <c r="W500" s="1"/>
      <c r="X500" s="1"/>
      <c r="Y500" s="1"/>
      <c r="Z500" s="1"/>
    </row>
    <row r="501" spans="1:26" ht="12.75" customHeight="1" x14ac:dyDescent="0.25">
      <c r="A501" s="1"/>
      <c r="B501" s="1"/>
      <c r="C501" s="3"/>
      <c r="D501" s="3"/>
      <c r="E501" s="5"/>
      <c r="F501" s="5"/>
      <c r="G501" s="3"/>
      <c r="H501" s="5"/>
      <c r="I501" s="1"/>
      <c r="J501" s="7"/>
      <c r="K501" s="1"/>
      <c r="L501" s="1"/>
      <c r="M501" s="1"/>
      <c r="N501" s="1"/>
      <c r="O501" s="1"/>
      <c r="P501" s="1"/>
      <c r="Q501" s="1"/>
      <c r="R501" s="1"/>
      <c r="S501" s="1"/>
      <c r="T501" s="1"/>
      <c r="U501" s="1"/>
      <c r="V501" s="1"/>
      <c r="W501" s="1"/>
      <c r="X501" s="1"/>
      <c r="Y501" s="1"/>
      <c r="Z501" s="1"/>
    </row>
    <row r="502" spans="1:26" ht="12.75" customHeight="1" x14ac:dyDescent="0.25">
      <c r="A502" s="1"/>
      <c r="B502" s="1"/>
      <c r="C502" s="3"/>
      <c r="D502" s="3"/>
      <c r="E502" s="5"/>
      <c r="F502" s="5"/>
      <c r="G502" s="3"/>
      <c r="H502" s="5"/>
      <c r="I502" s="1"/>
      <c r="J502" s="7"/>
      <c r="K502" s="1"/>
      <c r="L502" s="1"/>
      <c r="M502" s="1"/>
      <c r="N502" s="1"/>
      <c r="O502" s="1"/>
      <c r="P502" s="1"/>
      <c r="Q502" s="1"/>
      <c r="R502" s="1"/>
      <c r="S502" s="1"/>
      <c r="T502" s="1"/>
      <c r="U502" s="1"/>
      <c r="V502" s="1"/>
      <c r="W502" s="1"/>
      <c r="X502" s="1"/>
      <c r="Y502" s="1"/>
      <c r="Z502" s="1"/>
    </row>
    <row r="503" spans="1:26" ht="12.75" customHeight="1" x14ac:dyDescent="0.25">
      <c r="A503" s="1"/>
      <c r="B503" s="1"/>
      <c r="C503" s="3"/>
      <c r="D503" s="3"/>
      <c r="E503" s="5"/>
      <c r="F503" s="5"/>
      <c r="G503" s="3"/>
      <c r="H503" s="5"/>
      <c r="I503" s="1"/>
      <c r="J503" s="7"/>
      <c r="K503" s="1"/>
      <c r="L503" s="1"/>
      <c r="M503" s="1"/>
      <c r="N503" s="1"/>
      <c r="O503" s="1"/>
      <c r="P503" s="1"/>
      <c r="Q503" s="1"/>
      <c r="R503" s="1"/>
      <c r="S503" s="1"/>
      <c r="T503" s="1"/>
      <c r="U503" s="1"/>
      <c r="V503" s="1"/>
      <c r="W503" s="1"/>
      <c r="X503" s="1"/>
      <c r="Y503" s="1"/>
      <c r="Z503" s="1"/>
    </row>
    <row r="504" spans="1:26" ht="12.75" customHeight="1" x14ac:dyDescent="0.25">
      <c r="A504" s="1"/>
      <c r="B504" s="1"/>
      <c r="C504" s="3"/>
      <c r="D504" s="3"/>
      <c r="E504" s="5"/>
      <c r="F504" s="5"/>
      <c r="G504" s="3"/>
      <c r="H504" s="5"/>
      <c r="I504" s="1"/>
      <c r="J504" s="7"/>
      <c r="K504" s="1"/>
      <c r="L504" s="1"/>
      <c r="M504" s="1"/>
      <c r="N504" s="1"/>
      <c r="O504" s="1"/>
      <c r="P504" s="1"/>
      <c r="Q504" s="1"/>
      <c r="R504" s="1"/>
      <c r="S504" s="1"/>
      <c r="T504" s="1"/>
      <c r="U504" s="1"/>
      <c r="V504" s="1"/>
      <c r="W504" s="1"/>
      <c r="X504" s="1"/>
      <c r="Y504" s="1"/>
      <c r="Z504" s="1"/>
    </row>
    <row r="505" spans="1:26" ht="12.75" customHeight="1" x14ac:dyDescent="0.25">
      <c r="A505" s="1"/>
      <c r="B505" s="1"/>
      <c r="C505" s="3"/>
      <c r="D505" s="3"/>
      <c r="E505" s="5"/>
      <c r="F505" s="5"/>
      <c r="G505" s="3"/>
      <c r="H505" s="5"/>
      <c r="I505" s="1"/>
      <c r="J505" s="7"/>
      <c r="K505" s="1"/>
      <c r="L505" s="1"/>
      <c r="M505" s="1"/>
      <c r="N505" s="1"/>
      <c r="O505" s="1"/>
      <c r="P505" s="1"/>
      <c r="Q505" s="1"/>
      <c r="R505" s="1"/>
      <c r="S505" s="1"/>
      <c r="T505" s="1"/>
      <c r="U505" s="1"/>
      <c r="V505" s="1"/>
      <c r="W505" s="1"/>
      <c r="X505" s="1"/>
      <c r="Y505" s="1"/>
      <c r="Z505" s="1"/>
    </row>
    <row r="506" spans="1:26" ht="12.75" customHeight="1" x14ac:dyDescent="0.25">
      <c r="A506" s="1"/>
      <c r="B506" s="1"/>
      <c r="C506" s="3"/>
      <c r="D506" s="3"/>
      <c r="E506" s="5"/>
      <c r="F506" s="5"/>
      <c r="G506" s="3"/>
      <c r="H506" s="5"/>
      <c r="I506" s="1"/>
      <c r="J506" s="7"/>
      <c r="K506" s="1"/>
      <c r="L506" s="1"/>
      <c r="M506" s="1"/>
      <c r="N506" s="1"/>
      <c r="O506" s="1"/>
      <c r="P506" s="1"/>
      <c r="Q506" s="1"/>
      <c r="R506" s="1"/>
      <c r="S506" s="1"/>
      <c r="T506" s="1"/>
      <c r="U506" s="1"/>
      <c r="V506" s="1"/>
      <c r="W506" s="1"/>
      <c r="X506" s="1"/>
      <c r="Y506" s="1"/>
      <c r="Z506" s="1"/>
    </row>
    <row r="507" spans="1:26" ht="12.75" customHeight="1" x14ac:dyDescent="0.25">
      <c r="A507" s="1"/>
      <c r="B507" s="1"/>
      <c r="C507" s="3"/>
      <c r="D507" s="3"/>
      <c r="E507" s="5"/>
      <c r="F507" s="5"/>
      <c r="G507" s="3"/>
      <c r="H507" s="5"/>
      <c r="I507" s="1"/>
      <c r="J507" s="7"/>
      <c r="K507" s="1"/>
      <c r="L507" s="1"/>
      <c r="M507" s="1"/>
      <c r="N507" s="1"/>
      <c r="O507" s="1"/>
      <c r="P507" s="1"/>
      <c r="Q507" s="1"/>
      <c r="R507" s="1"/>
      <c r="S507" s="1"/>
      <c r="T507" s="1"/>
      <c r="U507" s="1"/>
      <c r="V507" s="1"/>
      <c r="W507" s="1"/>
      <c r="X507" s="1"/>
      <c r="Y507" s="1"/>
      <c r="Z507" s="1"/>
    </row>
    <row r="508" spans="1:26" ht="12.75" customHeight="1" x14ac:dyDescent="0.25">
      <c r="A508" s="1"/>
      <c r="B508" s="1"/>
      <c r="C508" s="3"/>
      <c r="D508" s="3"/>
      <c r="E508" s="5"/>
      <c r="F508" s="5"/>
      <c r="G508" s="3"/>
      <c r="H508" s="5"/>
      <c r="I508" s="1"/>
      <c r="J508" s="7"/>
      <c r="K508" s="1"/>
      <c r="L508" s="1"/>
      <c r="M508" s="1"/>
      <c r="N508" s="1"/>
      <c r="O508" s="1"/>
      <c r="P508" s="1"/>
      <c r="Q508" s="1"/>
      <c r="R508" s="1"/>
      <c r="S508" s="1"/>
      <c r="T508" s="1"/>
      <c r="U508" s="1"/>
      <c r="V508" s="1"/>
      <c r="W508" s="1"/>
      <c r="X508" s="1"/>
      <c r="Y508" s="1"/>
      <c r="Z508" s="1"/>
    </row>
    <row r="509" spans="1:26" ht="12.75" customHeight="1" x14ac:dyDescent="0.25">
      <c r="A509" s="1"/>
      <c r="B509" s="1"/>
      <c r="C509" s="3"/>
      <c r="D509" s="3"/>
      <c r="E509" s="5"/>
      <c r="F509" s="5"/>
      <c r="G509" s="3"/>
      <c r="H509" s="5"/>
      <c r="I509" s="1"/>
      <c r="J509" s="7"/>
      <c r="K509" s="1"/>
      <c r="L509" s="1"/>
      <c r="M509" s="1"/>
      <c r="N509" s="1"/>
      <c r="O509" s="1"/>
      <c r="P509" s="1"/>
      <c r="Q509" s="1"/>
      <c r="R509" s="1"/>
      <c r="S509" s="1"/>
      <c r="T509" s="1"/>
      <c r="U509" s="1"/>
      <c r="V509" s="1"/>
      <c r="W509" s="1"/>
      <c r="X509" s="1"/>
      <c r="Y509" s="1"/>
      <c r="Z509" s="1"/>
    </row>
    <row r="510" spans="1:26" ht="12.75" customHeight="1" x14ac:dyDescent="0.25">
      <c r="A510" s="1"/>
      <c r="B510" s="1"/>
      <c r="C510" s="3"/>
      <c r="D510" s="3"/>
      <c r="E510" s="5"/>
      <c r="F510" s="5"/>
      <c r="G510" s="3"/>
      <c r="H510" s="5"/>
      <c r="I510" s="1"/>
      <c r="J510" s="7"/>
      <c r="K510" s="1"/>
      <c r="L510" s="1"/>
      <c r="M510" s="1"/>
      <c r="N510" s="1"/>
      <c r="O510" s="1"/>
      <c r="P510" s="1"/>
      <c r="Q510" s="1"/>
      <c r="R510" s="1"/>
      <c r="S510" s="1"/>
      <c r="T510" s="1"/>
      <c r="U510" s="1"/>
      <c r="V510" s="1"/>
      <c r="W510" s="1"/>
      <c r="X510" s="1"/>
      <c r="Y510" s="1"/>
      <c r="Z510" s="1"/>
    </row>
    <row r="511" spans="1:26" ht="12.75" customHeight="1" x14ac:dyDescent="0.25">
      <c r="A511" s="1"/>
      <c r="B511" s="1"/>
      <c r="C511" s="3"/>
      <c r="D511" s="3"/>
      <c r="E511" s="5"/>
      <c r="F511" s="5"/>
      <c r="G511" s="3"/>
      <c r="H511" s="5"/>
      <c r="I511" s="1"/>
      <c r="J511" s="7"/>
      <c r="K511" s="1"/>
      <c r="L511" s="1"/>
      <c r="M511" s="1"/>
      <c r="N511" s="1"/>
      <c r="O511" s="1"/>
      <c r="P511" s="1"/>
      <c r="Q511" s="1"/>
      <c r="R511" s="1"/>
      <c r="S511" s="1"/>
      <c r="T511" s="1"/>
      <c r="U511" s="1"/>
      <c r="V511" s="1"/>
      <c r="W511" s="1"/>
      <c r="X511" s="1"/>
      <c r="Y511" s="1"/>
      <c r="Z511" s="1"/>
    </row>
    <row r="512" spans="1:26" ht="12.75" customHeight="1" x14ac:dyDescent="0.25">
      <c r="A512" s="1"/>
      <c r="B512" s="1"/>
      <c r="C512" s="3"/>
      <c r="D512" s="3"/>
      <c r="E512" s="5"/>
      <c r="F512" s="5"/>
      <c r="G512" s="3"/>
      <c r="H512" s="5"/>
      <c r="I512" s="1"/>
      <c r="J512" s="7"/>
      <c r="K512" s="1"/>
      <c r="L512" s="1"/>
      <c r="M512" s="1"/>
      <c r="N512" s="1"/>
      <c r="O512" s="1"/>
      <c r="P512" s="1"/>
      <c r="Q512" s="1"/>
      <c r="R512" s="1"/>
      <c r="S512" s="1"/>
      <c r="T512" s="1"/>
      <c r="U512" s="1"/>
      <c r="V512" s="1"/>
      <c r="W512" s="1"/>
      <c r="X512" s="1"/>
      <c r="Y512" s="1"/>
      <c r="Z512" s="1"/>
    </row>
    <row r="513" spans="1:26" ht="12.75" customHeight="1" x14ac:dyDescent="0.25">
      <c r="A513" s="1"/>
      <c r="B513" s="1"/>
      <c r="C513" s="3"/>
      <c r="D513" s="3"/>
      <c r="E513" s="5"/>
      <c r="F513" s="5"/>
      <c r="G513" s="3"/>
      <c r="H513" s="5"/>
      <c r="I513" s="1"/>
      <c r="J513" s="7"/>
      <c r="K513" s="1"/>
      <c r="L513" s="1"/>
      <c r="M513" s="1"/>
      <c r="N513" s="1"/>
      <c r="O513" s="1"/>
      <c r="P513" s="1"/>
      <c r="Q513" s="1"/>
      <c r="R513" s="1"/>
      <c r="S513" s="1"/>
      <c r="T513" s="1"/>
      <c r="U513" s="1"/>
      <c r="V513" s="1"/>
      <c r="W513" s="1"/>
      <c r="X513" s="1"/>
      <c r="Y513" s="1"/>
      <c r="Z513" s="1"/>
    </row>
    <row r="514" spans="1:26" ht="12.75" customHeight="1" x14ac:dyDescent="0.25">
      <c r="A514" s="1"/>
      <c r="B514" s="1"/>
      <c r="C514" s="3"/>
      <c r="D514" s="3"/>
      <c r="E514" s="5"/>
      <c r="F514" s="5"/>
      <c r="G514" s="3"/>
      <c r="H514" s="5"/>
      <c r="I514" s="1"/>
      <c r="J514" s="7"/>
      <c r="K514" s="1"/>
      <c r="L514" s="1"/>
      <c r="M514" s="1"/>
      <c r="N514" s="1"/>
      <c r="O514" s="1"/>
      <c r="P514" s="1"/>
      <c r="Q514" s="1"/>
      <c r="R514" s="1"/>
      <c r="S514" s="1"/>
      <c r="T514" s="1"/>
      <c r="U514" s="1"/>
      <c r="V514" s="1"/>
      <c r="W514" s="1"/>
      <c r="X514" s="1"/>
      <c r="Y514" s="1"/>
      <c r="Z514" s="1"/>
    </row>
    <row r="515" spans="1:26" ht="12.75" customHeight="1" x14ac:dyDescent="0.25">
      <c r="A515" s="1"/>
      <c r="B515" s="1"/>
      <c r="C515" s="3"/>
      <c r="D515" s="3"/>
      <c r="E515" s="5"/>
      <c r="F515" s="5"/>
      <c r="G515" s="3"/>
      <c r="H515" s="5"/>
      <c r="I515" s="1"/>
      <c r="J515" s="7"/>
      <c r="K515" s="1"/>
      <c r="L515" s="1"/>
      <c r="M515" s="1"/>
      <c r="N515" s="1"/>
      <c r="O515" s="1"/>
      <c r="P515" s="1"/>
      <c r="Q515" s="1"/>
      <c r="R515" s="1"/>
      <c r="S515" s="1"/>
      <c r="T515" s="1"/>
      <c r="U515" s="1"/>
      <c r="V515" s="1"/>
      <c r="W515" s="1"/>
      <c r="X515" s="1"/>
      <c r="Y515" s="1"/>
      <c r="Z515" s="1"/>
    </row>
    <row r="516" spans="1:26" ht="12.75" customHeight="1" x14ac:dyDescent="0.25">
      <c r="A516" s="1"/>
      <c r="B516" s="1"/>
      <c r="C516" s="3"/>
      <c r="D516" s="3"/>
      <c r="E516" s="5"/>
      <c r="F516" s="5"/>
      <c r="G516" s="3"/>
      <c r="H516" s="5"/>
      <c r="I516" s="1"/>
      <c r="J516" s="7"/>
      <c r="K516" s="1"/>
      <c r="L516" s="1"/>
      <c r="M516" s="1"/>
      <c r="N516" s="1"/>
      <c r="O516" s="1"/>
      <c r="P516" s="1"/>
      <c r="Q516" s="1"/>
      <c r="R516" s="1"/>
      <c r="S516" s="1"/>
      <c r="T516" s="1"/>
      <c r="U516" s="1"/>
      <c r="V516" s="1"/>
      <c r="W516" s="1"/>
      <c r="X516" s="1"/>
      <c r="Y516" s="1"/>
      <c r="Z516" s="1"/>
    </row>
    <row r="517" spans="1:26" ht="12.75" customHeight="1" x14ac:dyDescent="0.25">
      <c r="A517" s="1"/>
      <c r="B517" s="1"/>
      <c r="C517" s="3"/>
      <c r="D517" s="3"/>
      <c r="E517" s="5"/>
      <c r="F517" s="5"/>
      <c r="G517" s="3"/>
      <c r="H517" s="5"/>
      <c r="I517" s="1"/>
      <c r="J517" s="7"/>
      <c r="K517" s="1"/>
      <c r="L517" s="1"/>
      <c r="M517" s="1"/>
      <c r="N517" s="1"/>
      <c r="O517" s="1"/>
      <c r="P517" s="1"/>
      <c r="Q517" s="1"/>
      <c r="R517" s="1"/>
      <c r="S517" s="1"/>
      <c r="T517" s="1"/>
      <c r="U517" s="1"/>
      <c r="V517" s="1"/>
      <c r="W517" s="1"/>
      <c r="X517" s="1"/>
      <c r="Y517" s="1"/>
      <c r="Z517" s="1"/>
    </row>
    <row r="518" spans="1:26" ht="12.75" customHeight="1" x14ac:dyDescent="0.25">
      <c r="A518" s="1"/>
      <c r="B518" s="1"/>
      <c r="C518" s="3"/>
      <c r="D518" s="3"/>
      <c r="E518" s="5"/>
      <c r="F518" s="5"/>
      <c r="G518" s="3"/>
      <c r="H518" s="5"/>
      <c r="I518" s="1"/>
      <c r="J518" s="7"/>
      <c r="K518" s="1"/>
      <c r="L518" s="1"/>
      <c r="M518" s="1"/>
      <c r="N518" s="1"/>
      <c r="O518" s="1"/>
      <c r="P518" s="1"/>
      <c r="Q518" s="1"/>
      <c r="R518" s="1"/>
      <c r="S518" s="1"/>
      <c r="T518" s="1"/>
      <c r="U518" s="1"/>
      <c r="V518" s="1"/>
      <c r="W518" s="1"/>
      <c r="X518" s="1"/>
      <c r="Y518" s="1"/>
      <c r="Z518" s="1"/>
    </row>
    <row r="519" spans="1:26" ht="12.75" customHeight="1" x14ac:dyDescent="0.25">
      <c r="A519" s="1"/>
      <c r="B519" s="1"/>
      <c r="C519" s="3"/>
      <c r="D519" s="3"/>
      <c r="E519" s="5"/>
      <c r="F519" s="5"/>
      <c r="G519" s="3"/>
      <c r="H519" s="5"/>
      <c r="I519" s="1"/>
      <c r="J519" s="7"/>
      <c r="K519" s="1"/>
      <c r="L519" s="1"/>
      <c r="M519" s="1"/>
      <c r="N519" s="1"/>
      <c r="O519" s="1"/>
      <c r="P519" s="1"/>
      <c r="Q519" s="1"/>
      <c r="R519" s="1"/>
      <c r="S519" s="1"/>
      <c r="T519" s="1"/>
      <c r="U519" s="1"/>
      <c r="V519" s="1"/>
      <c r="W519" s="1"/>
      <c r="X519" s="1"/>
      <c r="Y519" s="1"/>
      <c r="Z519" s="1"/>
    </row>
    <row r="520" spans="1:26" ht="12.75" customHeight="1" x14ac:dyDescent="0.25">
      <c r="A520" s="1"/>
      <c r="B520" s="1"/>
      <c r="C520" s="3"/>
      <c r="D520" s="3"/>
      <c r="E520" s="5"/>
      <c r="F520" s="5"/>
      <c r="G520" s="3"/>
      <c r="H520" s="5"/>
      <c r="I520" s="1"/>
      <c r="J520" s="7"/>
      <c r="K520" s="1"/>
      <c r="L520" s="1"/>
      <c r="M520" s="1"/>
      <c r="N520" s="1"/>
      <c r="O520" s="1"/>
      <c r="P520" s="1"/>
      <c r="Q520" s="1"/>
      <c r="R520" s="1"/>
      <c r="S520" s="1"/>
      <c r="T520" s="1"/>
      <c r="U520" s="1"/>
      <c r="V520" s="1"/>
      <c r="W520" s="1"/>
      <c r="X520" s="1"/>
      <c r="Y520" s="1"/>
      <c r="Z520" s="1"/>
    </row>
    <row r="521" spans="1:26" ht="12.75" customHeight="1" x14ac:dyDescent="0.25">
      <c r="A521" s="1"/>
      <c r="B521" s="1"/>
      <c r="C521" s="3"/>
      <c r="D521" s="3"/>
      <c r="E521" s="5"/>
      <c r="F521" s="5"/>
      <c r="G521" s="3"/>
      <c r="H521" s="5"/>
      <c r="I521" s="1"/>
      <c r="J521" s="7"/>
      <c r="K521" s="1"/>
      <c r="L521" s="1"/>
      <c r="M521" s="1"/>
      <c r="N521" s="1"/>
      <c r="O521" s="1"/>
      <c r="P521" s="1"/>
      <c r="Q521" s="1"/>
      <c r="R521" s="1"/>
      <c r="S521" s="1"/>
      <c r="T521" s="1"/>
      <c r="U521" s="1"/>
      <c r="V521" s="1"/>
      <c r="W521" s="1"/>
      <c r="X521" s="1"/>
      <c r="Y521" s="1"/>
      <c r="Z521" s="1"/>
    </row>
    <row r="522" spans="1:26" ht="12.75" customHeight="1" x14ac:dyDescent="0.25">
      <c r="A522" s="1"/>
      <c r="B522" s="1"/>
      <c r="C522" s="3"/>
      <c r="D522" s="3"/>
      <c r="E522" s="5"/>
      <c r="F522" s="5"/>
      <c r="G522" s="3"/>
      <c r="H522" s="5"/>
      <c r="I522" s="1"/>
      <c r="J522" s="7"/>
      <c r="K522" s="1"/>
      <c r="L522" s="1"/>
      <c r="M522" s="1"/>
      <c r="N522" s="1"/>
      <c r="O522" s="1"/>
      <c r="P522" s="1"/>
      <c r="Q522" s="1"/>
      <c r="R522" s="1"/>
      <c r="S522" s="1"/>
      <c r="T522" s="1"/>
      <c r="U522" s="1"/>
      <c r="V522" s="1"/>
      <c r="W522" s="1"/>
      <c r="X522" s="1"/>
      <c r="Y522" s="1"/>
      <c r="Z522" s="1"/>
    </row>
    <row r="523" spans="1:26" ht="12.75" customHeight="1" x14ac:dyDescent="0.25">
      <c r="A523" s="1"/>
      <c r="B523" s="1"/>
      <c r="C523" s="3"/>
      <c r="D523" s="3"/>
      <c r="E523" s="5"/>
      <c r="F523" s="5"/>
      <c r="G523" s="3"/>
      <c r="H523" s="5"/>
      <c r="I523" s="1"/>
      <c r="J523" s="7"/>
      <c r="K523" s="1"/>
      <c r="L523" s="1"/>
      <c r="M523" s="1"/>
      <c r="N523" s="1"/>
      <c r="O523" s="1"/>
      <c r="P523" s="1"/>
      <c r="Q523" s="1"/>
      <c r="R523" s="1"/>
      <c r="S523" s="1"/>
      <c r="T523" s="1"/>
      <c r="U523" s="1"/>
      <c r="V523" s="1"/>
      <c r="W523" s="1"/>
      <c r="X523" s="1"/>
      <c r="Y523" s="1"/>
      <c r="Z523" s="1"/>
    </row>
    <row r="524" spans="1:26" ht="12.75" customHeight="1" x14ac:dyDescent="0.25">
      <c r="A524" s="1"/>
      <c r="B524" s="1"/>
      <c r="C524" s="3"/>
      <c r="D524" s="3"/>
      <c r="E524" s="5"/>
      <c r="F524" s="5"/>
      <c r="G524" s="3"/>
      <c r="H524" s="5"/>
      <c r="I524" s="1"/>
      <c r="J524" s="7"/>
      <c r="K524" s="1"/>
      <c r="L524" s="1"/>
      <c r="M524" s="1"/>
      <c r="N524" s="1"/>
      <c r="O524" s="1"/>
      <c r="P524" s="1"/>
      <c r="Q524" s="1"/>
      <c r="R524" s="1"/>
      <c r="S524" s="1"/>
      <c r="T524" s="1"/>
      <c r="U524" s="1"/>
      <c r="V524" s="1"/>
      <c r="W524" s="1"/>
      <c r="X524" s="1"/>
      <c r="Y524" s="1"/>
      <c r="Z524" s="1"/>
    </row>
    <row r="525" spans="1:26" ht="12.75" customHeight="1" x14ac:dyDescent="0.25">
      <c r="A525" s="1"/>
      <c r="B525" s="1"/>
      <c r="C525" s="3"/>
      <c r="D525" s="3"/>
      <c r="E525" s="5"/>
      <c r="F525" s="5"/>
      <c r="G525" s="3"/>
      <c r="H525" s="5"/>
      <c r="I525" s="1"/>
      <c r="J525" s="7"/>
      <c r="K525" s="1"/>
      <c r="L525" s="1"/>
      <c r="M525" s="1"/>
      <c r="N525" s="1"/>
      <c r="O525" s="1"/>
      <c r="P525" s="1"/>
      <c r="Q525" s="1"/>
      <c r="R525" s="1"/>
      <c r="S525" s="1"/>
      <c r="T525" s="1"/>
      <c r="U525" s="1"/>
      <c r="V525" s="1"/>
      <c r="W525" s="1"/>
      <c r="X525" s="1"/>
      <c r="Y525" s="1"/>
      <c r="Z525" s="1"/>
    </row>
    <row r="526" spans="1:26" ht="12.75" customHeight="1" x14ac:dyDescent="0.25">
      <c r="A526" s="1"/>
      <c r="B526" s="1"/>
      <c r="C526" s="3"/>
      <c r="D526" s="3"/>
      <c r="E526" s="5"/>
      <c r="F526" s="5"/>
      <c r="G526" s="3"/>
      <c r="H526" s="5"/>
      <c r="I526" s="1"/>
      <c r="J526" s="7"/>
      <c r="K526" s="1"/>
      <c r="L526" s="1"/>
      <c r="M526" s="1"/>
      <c r="N526" s="1"/>
      <c r="O526" s="1"/>
      <c r="P526" s="1"/>
      <c r="Q526" s="1"/>
      <c r="R526" s="1"/>
      <c r="S526" s="1"/>
      <c r="T526" s="1"/>
      <c r="U526" s="1"/>
      <c r="V526" s="1"/>
      <c r="W526" s="1"/>
      <c r="X526" s="1"/>
      <c r="Y526" s="1"/>
      <c r="Z526" s="1"/>
    </row>
    <row r="527" spans="1:26" ht="12.75" customHeight="1" x14ac:dyDescent="0.25">
      <c r="A527" s="1"/>
      <c r="B527" s="1"/>
      <c r="C527" s="3"/>
      <c r="D527" s="3"/>
      <c r="E527" s="5"/>
      <c r="F527" s="5"/>
      <c r="G527" s="3"/>
      <c r="H527" s="5"/>
      <c r="I527" s="1"/>
      <c r="J527" s="7"/>
      <c r="K527" s="1"/>
      <c r="L527" s="1"/>
      <c r="M527" s="1"/>
      <c r="N527" s="1"/>
      <c r="O527" s="1"/>
      <c r="P527" s="1"/>
      <c r="Q527" s="1"/>
      <c r="R527" s="1"/>
      <c r="S527" s="1"/>
      <c r="T527" s="1"/>
      <c r="U527" s="1"/>
      <c r="V527" s="1"/>
      <c r="W527" s="1"/>
      <c r="X527" s="1"/>
      <c r="Y527" s="1"/>
      <c r="Z527" s="1"/>
    </row>
    <row r="528" spans="1:26" ht="12.75" customHeight="1" x14ac:dyDescent="0.25">
      <c r="A528" s="1"/>
      <c r="B528" s="1"/>
      <c r="C528" s="3"/>
      <c r="D528" s="3"/>
      <c r="E528" s="5"/>
      <c r="F528" s="5"/>
      <c r="G528" s="3"/>
      <c r="H528" s="5"/>
      <c r="I528" s="1"/>
      <c r="J528" s="7"/>
      <c r="K528" s="1"/>
      <c r="L528" s="1"/>
      <c r="M528" s="1"/>
      <c r="N528" s="1"/>
      <c r="O528" s="1"/>
      <c r="P528" s="1"/>
      <c r="Q528" s="1"/>
      <c r="R528" s="1"/>
      <c r="S528" s="1"/>
      <c r="T528" s="1"/>
      <c r="U528" s="1"/>
      <c r="V528" s="1"/>
      <c r="W528" s="1"/>
      <c r="X528" s="1"/>
      <c r="Y528" s="1"/>
      <c r="Z528" s="1"/>
    </row>
    <row r="529" spans="1:26" ht="12.75" customHeight="1" x14ac:dyDescent="0.25">
      <c r="A529" s="1"/>
      <c r="B529" s="1"/>
      <c r="C529" s="3"/>
      <c r="D529" s="3"/>
      <c r="E529" s="5"/>
      <c r="F529" s="5"/>
      <c r="G529" s="3"/>
      <c r="H529" s="5"/>
      <c r="I529" s="1"/>
      <c r="J529" s="7"/>
      <c r="K529" s="1"/>
      <c r="L529" s="1"/>
      <c r="M529" s="1"/>
      <c r="N529" s="1"/>
      <c r="O529" s="1"/>
      <c r="P529" s="1"/>
      <c r="Q529" s="1"/>
      <c r="R529" s="1"/>
      <c r="S529" s="1"/>
      <c r="T529" s="1"/>
      <c r="U529" s="1"/>
      <c r="V529" s="1"/>
      <c r="W529" s="1"/>
      <c r="X529" s="1"/>
      <c r="Y529" s="1"/>
      <c r="Z529" s="1"/>
    </row>
    <row r="530" spans="1:26" ht="12.75" customHeight="1" x14ac:dyDescent="0.25">
      <c r="A530" s="1"/>
      <c r="B530" s="1"/>
      <c r="C530" s="3"/>
      <c r="D530" s="3"/>
      <c r="E530" s="5"/>
      <c r="F530" s="5"/>
      <c r="G530" s="3"/>
      <c r="H530" s="5"/>
      <c r="I530" s="1"/>
      <c r="J530" s="7"/>
      <c r="K530" s="1"/>
      <c r="L530" s="1"/>
      <c r="M530" s="1"/>
      <c r="N530" s="1"/>
      <c r="O530" s="1"/>
      <c r="P530" s="1"/>
      <c r="Q530" s="1"/>
      <c r="R530" s="1"/>
      <c r="S530" s="1"/>
      <c r="T530" s="1"/>
      <c r="U530" s="1"/>
      <c r="V530" s="1"/>
      <c r="W530" s="1"/>
      <c r="X530" s="1"/>
      <c r="Y530" s="1"/>
      <c r="Z530" s="1"/>
    </row>
    <row r="531" spans="1:26" ht="12.75" customHeight="1" x14ac:dyDescent="0.25">
      <c r="A531" s="1"/>
      <c r="B531" s="1"/>
      <c r="C531" s="3"/>
      <c r="D531" s="3"/>
      <c r="E531" s="5"/>
      <c r="F531" s="5"/>
      <c r="G531" s="3"/>
      <c r="H531" s="5"/>
      <c r="I531" s="1"/>
      <c r="J531" s="7"/>
      <c r="K531" s="1"/>
      <c r="L531" s="1"/>
      <c r="M531" s="1"/>
      <c r="N531" s="1"/>
      <c r="O531" s="1"/>
      <c r="P531" s="1"/>
      <c r="Q531" s="1"/>
      <c r="R531" s="1"/>
      <c r="S531" s="1"/>
      <c r="T531" s="1"/>
      <c r="U531" s="1"/>
      <c r="V531" s="1"/>
      <c r="W531" s="1"/>
      <c r="X531" s="1"/>
      <c r="Y531" s="1"/>
      <c r="Z531" s="1"/>
    </row>
    <row r="532" spans="1:26" ht="12.75" customHeight="1" x14ac:dyDescent="0.25">
      <c r="A532" s="1"/>
      <c r="B532" s="1"/>
      <c r="C532" s="3"/>
      <c r="D532" s="3"/>
      <c r="E532" s="5"/>
      <c r="F532" s="5"/>
      <c r="G532" s="3"/>
      <c r="H532" s="5"/>
      <c r="I532" s="1"/>
      <c r="J532" s="7"/>
      <c r="K532" s="1"/>
      <c r="L532" s="1"/>
      <c r="M532" s="1"/>
      <c r="N532" s="1"/>
      <c r="O532" s="1"/>
      <c r="P532" s="1"/>
      <c r="Q532" s="1"/>
      <c r="R532" s="1"/>
      <c r="S532" s="1"/>
      <c r="T532" s="1"/>
      <c r="U532" s="1"/>
      <c r="V532" s="1"/>
      <c r="W532" s="1"/>
      <c r="X532" s="1"/>
      <c r="Y532" s="1"/>
      <c r="Z532" s="1"/>
    </row>
    <row r="533" spans="1:26" ht="12.75" customHeight="1" x14ac:dyDescent="0.25">
      <c r="A533" s="1"/>
      <c r="B533" s="1"/>
      <c r="C533" s="3"/>
      <c r="D533" s="3"/>
      <c r="E533" s="5"/>
      <c r="F533" s="5"/>
      <c r="G533" s="3"/>
      <c r="H533" s="5"/>
      <c r="I533" s="1"/>
      <c r="J533" s="7"/>
      <c r="K533" s="1"/>
      <c r="L533" s="1"/>
      <c r="M533" s="1"/>
      <c r="N533" s="1"/>
      <c r="O533" s="1"/>
      <c r="P533" s="1"/>
      <c r="Q533" s="1"/>
      <c r="R533" s="1"/>
      <c r="S533" s="1"/>
      <c r="T533" s="1"/>
      <c r="U533" s="1"/>
      <c r="V533" s="1"/>
      <c r="W533" s="1"/>
      <c r="X533" s="1"/>
      <c r="Y533" s="1"/>
      <c r="Z533" s="1"/>
    </row>
    <row r="534" spans="1:26" ht="12.75" customHeight="1" x14ac:dyDescent="0.25">
      <c r="A534" s="1"/>
      <c r="B534" s="1"/>
      <c r="C534" s="3"/>
      <c r="D534" s="3"/>
      <c r="E534" s="5"/>
      <c r="F534" s="5"/>
      <c r="G534" s="3"/>
      <c r="H534" s="5"/>
      <c r="I534" s="1"/>
      <c r="J534" s="7"/>
      <c r="K534" s="1"/>
      <c r="L534" s="1"/>
      <c r="M534" s="1"/>
      <c r="N534" s="1"/>
      <c r="O534" s="1"/>
      <c r="P534" s="1"/>
      <c r="Q534" s="1"/>
      <c r="R534" s="1"/>
      <c r="S534" s="1"/>
      <c r="T534" s="1"/>
      <c r="U534" s="1"/>
      <c r="V534" s="1"/>
      <c r="W534" s="1"/>
      <c r="X534" s="1"/>
      <c r="Y534" s="1"/>
      <c r="Z534" s="1"/>
    </row>
    <row r="535" spans="1:26" ht="12.75" customHeight="1" x14ac:dyDescent="0.25">
      <c r="A535" s="1"/>
      <c r="B535" s="1"/>
      <c r="C535" s="3"/>
      <c r="D535" s="3"/>
      <c r="E535" s="5"/>
      <c r="F535" s="5"/>
      <c r="G535" s="3"/>
      <c r="H535" s="5"/>
      <c r="I535" s="1"/>
      <c r="J535" s="7"/>
      <c r="K535" s="1"/>
      <c r="L535" s="1"/>
      <c r="M535" s="1"/>
      <c r="N535" s="1"/>
      <c r="O535" s="1"/>
      <c r="P535" s="1"/>
      <c r="Q535" s="1"/>
      <c r="R535" s="1"/>
      <c r="S535" s="1"/>
      <c r="T535" s="1"/>
      <c r="U535" s="1"/>
      <c r="V535" s="1"/>
      <c r="W535" s="1"/>
      <c r="X535" s="1"/>
      <c r="Y535" s="1"/>
      <c r="Z535" s="1"/>
    </row>
    <row r="536" spans="1:26" ht="12.75" customHeight="1" x14ac:dyDescent="0.25">
      <c r="A536" s="1"/>
      <c r="B536" s="1"/>
      <c r="C536" s="3"/>
      <c r="D536" s="3"/>
      <c r="E536" s="5"/>
      <c r="F536" s="5"/>
      <c r="G536" s="3"/>
      <c r="H536" s="5"/>
      <c r="I536" s="1"/>
      <c r="J536" s="7"/>
      <c r="K536" s="1"/>
      <c r="L536" s="1"/>
      <c r="M536" s="1"/>
      <c r="N536" s="1"/>
      <c r="O536" s="1"/>
      <c r="P536" s="1"/>
      <c r="Q536" s="1"/>
      <c r="R536" s="1"/>
      <c r="S536" s="1"/>
      <c r="T536" s="1"/>
      <c r="U536" s="1"/>
      <c r="V536" s="1"/>
      <c r="W536" s="1"/>
      <c r="X536" s="1"/>
      <c r="Y536" s="1"/>
      <c r="Z536" s="1"/>
    </row>
    <row r="537" spans="1:26" ht="12.75" customHeight="1" x14ac:dyDescent="0.25">
      <c r="A537" s="1"/>
      <c r="B537" s="1"/>
      <c r="C537" s="3"/>
      <c r="D537" s="3"/>
      <c r="E537" s="5"/>
      <c r="F537" s="5"/>
      <c r="G537" s="3"/>
      <c r="H537" s="5"/>
      <c r="I537" s="1"/>
      <c r="J537" s="7"/>
      <c r="K537" s="1"/>
      <c r="L537" s="1"/>
      <c r="M537" s="1"/>
      <c r="N537" s="1"/>
      <c r="O537" s="1"/>
      <c r="P537" s="1"/>
      <c r="Q537" s="1"/>
      <c r="R537" s="1"/>
      <c r="S537" s="1"/>
      <c r="T537" s="1"/>
      <c r="U537" s="1"/>
      <c r="V537" s="1"/>
      <c r="W537" s="1"/>
      <c r="X537" s="1"/>
      <c r="Y537" s="1"/>
      <c r="Z537" s="1"/>
    </row>
    <row r="538" spans="1:26" ht="12.75" customHeight="1" x14ac:dyDescent="0.25">
      <c r="A538" s="1"/>
      <c r="B538" s="1"/>
      <c r="C538" s="3"/>
      <c r="D538" s="3"/>
      <c r="E538" s="5"/>
      <c r="F538" s="5"/>
      <c r="G538" s="3"/>
      <c r="H538" s="5"/>
      <c r="I538" s="1"/>
      <c r="J538" s="7"/>
      <c r="K538" s="1"/>
      <c r="L538" s="1"/>
      <c r="M538" s="1"/>
      <c r="N538" s="1"/>
      <c r="O538" s="1"/>
      <c r="P538" s="1"/>
      <c r="Q538" s="1"/>
      <c r="R538" s="1"/>
      <c r="S538" s="1"/>
      <c r="T538" s="1"/>
      <c r="U538" s="1"/>
      <c r="V538" s="1"/>
      <c r="W538" s="1"/>
      <c r="X538" s="1"/>
      <c r="Y538" s="1"/>
      <c r="Z538" s="1"/>
    </row>
    <row r="539" spans="1:26" ht="12.75" customHeight="1" x14ac:dyDescent="0.25">
      <c r="A539" s="1"/>
      <c r="B539" s="1"/>
      <c r="C539" s="3"/>
      <c r="D539" s="3"/>
      <c r="E539" s="5"/>
      <c r="F539" s="5"/>
      <c r="G539" s="3"/>
      <c r="H539" s="5"/>
      <c r="I539" s="1"/>
      <c r="J539" s="7"/>
      <c r="K539" s="1"/>
      <c r="L539" s="1"/>
      <c r="M539" s="1"/>
      <c r="N539" s="1"/>
      <c r="O539" s="1"/>
      <c r="P539" s="1"/>
      <c r="Q539" s="1"/>
      <c r="R539" s="1"/>
      <c r="S539" s="1"/>
      <c r="T539" s="1"/>
      <c r="U539" s="1"/>
      <c r="V539" s="1"/>
      <c r="W539" s="1"/>
      <c r="X539" s="1"/>
      <c r="Y539" s="1"/>
      <c r="Z539" s="1"/>
    </row>
    <row r="540" spans="1:26" ht="12.75" customHeight="1" x14ac:dyDescent="0.25">
      <c r="A540" s="1"/>
      <c r="B540" s="1"/>
      <c r="C540" s="3"/>
      <c r="D540" s="3"/>
      <c r="E540" s="5"/>
      <c r="F540" s="5"/>
      <c r="G540" s="3"/>
      <c r="H540" s="5"/>
      <c r="I540" s="1"/>
      <c r="J540" s="7"/>
      <c r="K540" s="1"/>
      <c r="L540" s="1"/>
      <c r="M540" s="1"/>
      <c r="N540" s="1"/>
      <c r="O540" s="1"/>
      <c r="P540" s="1"/>
      <c r="Q540" s="1"/>
      <c r="R540" s="1"/>
      <c r="S540" s="1"/>
      <c r="T540" s="1"/>
      <c r="U540" s="1"/>
      <c r="V540" s="1"/>
      <c r="W540" s="1"/>
      <c r="X540" s="1"/>
      <c r="Y540" s="1"/>
      <c r="Z540" s="1"/>
    </row>
    <row r="541" spans="1:26" ht="12.75" customHeight="1" x14ac:dyDescent="0.25">
      <c r="A541" s="1"/>
      <c r="B541" s="1"/>
      <c r="C541" s="3"/>
      <c r="D541" s="3"/>
      <c r="E541" s="5"/>
      <c r="F541" s="5"/>
      <c r="G541" s="3"/>
      <c r="H541" s="5"/>
      <c r="I541" s="1"/>
      <c r="J541" s="7"/>
      <c r="K541" s="1"/>
      <c r="L541" s="1"/>
      <c r="M541" s="1"/>
      <c r="N541" s="1"/>
      <c r="O541" s="1"/>
      <c r="P541" s="1"/>
      <c r="Q541" s="1"/>
      <c r="R541" s="1"/>
      <c r="S541" s="1"/>
      <c r="T541" s="1"/>
      <c r="U541" s="1"/>
      <c r="V541" s="1"/>
      <c r="W541" s="1"/>
      <c r="X541" s="1"/>
      <c r="Y541" s="1"/>
      <c r="Z541" s="1"/>
    </row>
    <row r="542" spans="1:26" ht="12.75" customHeight="1" x14ac:dyDescent="0.25">
      <c r="A542" s="1"/>
      <c r="B542" s="1"/>
      <c r="C542" s="3"/>
      <c r="D542" s="3"/>
      <c r="E542" s="5"/>
      <c r="F542" s="5"/>
      <c r="G542" s="3"/>
      <c r="H542" s="5"/>
      <c r="I542" s="1"/>
      <c r="J542" s="7"/>
      <c r="K542" s="1"/>
      <c r="L542" s="1"/>
      <c r="M542" s="1"/>
      <c r="N542" s="1"/>
      <c r="O542" s="1"/>
      <c r="P542" s="1"/>
      <c r="Q542" s="1"/>
      <c r="R542" s="1"/>
      <c r="S542" s="1"/>
      <c r="T542" s="1"/>
      <c r="U542" s="1"/>
      <c r="V542" s="1"/>
      <c r="W542" s="1"/>
      <c r="X542" s="1"/>
      <c r="Y542" s="1"/>
      <c r="Z542" s="1"/>
    </row>
    <row r="543" spans="1:26" ht="12.75" customHeight="1" x14ac:dyDescent="0.25">
      <c r="A543" s="1"/>
      <c r="B543" s="1"/>
      <c r="C543" s="3"/>
      <c r="D543" s="3"/>
      <c r="E543" s="5"/>
      <c r="F543" s="5"/>
      <c r="G543" s="3"/>
      <c r="H543" s="5"/>
      <c r="I543" s="1"/>
      <c r="J543" s="7"/>
      <c r="K543" s="1"/>
      <c r="L543" s="1"/>
      <c r="M543" s="1"/>
      <c r="N543" s="1"/>
      <c r="O543" s="1"/>
      <c r="P543" s="1"/>
      <c r="Q543" s="1"/>
      <c r="R543" s="1"/>
      <c r="S543" s="1"/>
      <c r="T543" s="1"/>
      <c r="U543" s="1"/>
      <c r="V543" s="1"/>
      <c r="W543" s="1"/>
      <c r="X543" s="1"/>
      <c r="Y543" s="1"/>
      <c r="Z543" s="1"/>
    </row>
    <row r="544" spans="1:26" ht="12.75" customHeight="1" x14ac:dyDescent="0.25">
      <c r="A544" s="1"/>
      <c r="B544" s="1"/>
      <c r="C544" s="3"/>
      <c r="D544" s="3"/>
      <c r="E544" s="5"/>
      <c r="F544" s="5"/>
      <c r="G544" s="3"/>
      <c r="H544" s="5"/>
      <c r="I544" s="1"/>
      <c r="J544" s="7"/>
      <c r="K544" s="1"/>
      <c r="L544" s="1"/>
      <c r="M544" s="1"/>
      <c r="N544" s="1"/>
      <c r="O544" s="1"/>
      <c r="P544" s="1"/>
      <c r="Q544" s="1"/>
      <c r="R544" s="1"/>
      <c r="S544" s="1"/>
      <c r="T544" s="1"/>
      <c r="U544" s="1"/>
      <c r="V544" s="1"/>
      <c r="W544" s="1"/>
      <c r="X544" s="1"/>
      <c r="Y544" s="1"/>
      <c r="Z544" s="1"/>
    </row>
    <row r="545" spans="1:26" ht="12.75" customHeight="1" x14ac:dyDescent="0.25">
      <c r="A545" s="1"/>
      <c r="B545" s="1"/>
      <c r="C545" s="3"/>
      <c r="D545" s="3"/>
      <c r="E545" s="5"/>
      <c r="F545" s="5"/>
      <c r="G545" s="3"/>
      <c r="H545" s="5"/>
      <c r="I545" s="1"/>
      <c r="J545" s="7"/>
      <c r="K545" s="1"/>
      <c r="L545" s="1"/>
      <c r="M545" s="1"/>
      <c r="N545" s="1"/>
      <c r="O545" s="1"/>
      <c r="P545" s="1"/>
      <c r="Q545" s="1"/>
      <c r="R545" s="1"/>
      <c r="S545" s="1"/>
      <c r="T545" s="1"/>
      <c r="U545" s="1"/>
      <c r="V545" s="1"/>
      <c r="W545" s="1"/>
      <c r="X545" s="1"/>
      <c r="Y545" s="1"/>
      <c r="Z545" s="1"/>
    </row>
    <row r="546" spans="1:26" ht="12.75" customHeight="1" x14ac:dyDescent="0.25">
      <c r="A546" s="1"/>
      <c r="B546" s="1"/>
      <c r="C546" s="3"/>
      <c r="D546" s="3"/>
      <c r="E546" s="5"/>
      <c r="F546" s="5"/>
      <c r="G546" s="3"/>
      <c r="H546" s="5"/>
      <c r="I546" s="1"/>
      <c r="J546" s="7"/>
      <c r="K546" s="1"/>
      <c r="L546" s="1"/>
      <c r="M546" s="1"/>
      <c r="N546" s="1"/>
      <c r="O546" s="1"/>
      <c r="P546" s="1"/>
      <c r="Q546" s="1"/>
      <c r="R546" s="1"/>
      <c r="S546" s="1"/>
      <c r="T546" s="1"/>
      <c r="U546" s="1"/>
      <c r="V546" s="1"/>
      <c r="W546" s="1"/>
      <c r="X546" s="1"/>
      <c r="Y546" s="1"/>
      <c r="Z546" s="1"/>
    </row>
    <row r="547" spans="1:26" ht="12.75" customHeight="1" x14ac:dyDescent="0.25">
      <c r="A547" s="1"/>
      <c r="B547" s="1"/>
      <c r="C547" s="3"/>
      <c r="D547" s="3"/>
      <c r="E547" s="5"/>
      <c r="F547" s="5"/>
      <c r="G547" s="3"/>
      <c r="H547" s="5"/>
      <c r="I547" s="1"/>
      <c r="J547" s="7"/>
      <c r="K547" s="1"/>
      <c r="L547" s="1"/>
      <c r="M547" s="1"/>
      <c r="N547" s="1"/>
      <c r="O547" s="1"/>
      <c r="P547" s="1"/>
      <c r="Q547" s="1"/>
      <c r="R547" s="1"/>
      <c r="S547" s="1"/>
      <c r="T547" s="1"/>
      <c r="U547" s="1"/>
      <c r="V547" s="1"/>
      <c r="W547" s="1"/>
      <c r="X547" s="1"/>
      <c r="Y547" s="1"/>
      <c r="Z547" s="1"/>
    </row>
    <row r="548" spans="1:26" ht="12.75" customHeight="1" x14ac:dyDescent="0.25">
      <c r="A548" s="1"/>
      <c r="B548" s="1"/>
      <c r="C548" s="3"/>
      <c r="D548" s="3"/>
      <c r="E548" s="5"/>
      <c r="F548" s="5"/>
      <c r="G548" s="3"/>
      <c r="H548" s="5"/>
      <c r="I548" s="1"/>
      <c r="J548" s="7"/>
      <c r="K548" s="1"/>
      <c r="L548" s="1"/>
      <c r="M548" s="1"/>
      <c r="N548" s="1"/>
      <c r="O548" s="1"/>
      <c r="P548" s="1"/>
      <c r="Q548" s="1"/>
      <c r="R548" s="1"/>
      <c r="S548" s="1"/>
      <c r="T548" s="1"/>
      <c r="U548" s="1"/>
      <c r="V548" s="1"/>
      <c r="W548" s="1"/>
      <c r="X548" s="1"/>
      <c r="Y548" s="1"/>
      <c r="Z548" s="1"/>
    </row>
    <row r="549" spans="1:26" ht="12.75" customHeight="1" x14ac:dyDescent="0.25">
      <c r="A549" s="1"/>
      <c r="B549" s="1"/>
      <c r="C549" s="3"/>
      <c r="D549" s="3"/>
      <c r="E549" s="5"/>
      <c r="F549" s="5"/>
      <c r="G549" s="3"/>
      <c r="H549" s="5"/>
      <c r="I549" s="1"/>
      <c r="J549" s="7"/>
      <c r="K549" s="1"/>
      <c r="L549" s="1"/>
      <c r="M549" s="1"/>
      <c r="N549" s="1"/>
      <c r="O549" s="1"/>
      <c r="P549" s="1"/>
      <c r="Q549" s="1"/>
      <c r="R549" s="1"/>
      <c r="S549" s="1"/>
      <c r="T549" s="1"/>
      <c r="U549" s="1"/>
      <c r="V549" s="1"/>
      <c r="W549" s="1"/>
      <c r="X549" s="1"/>
      <c r="Y549" s="1"/>
      <c r="Z549" s="1"/>
    </row>
    <row r="550" spans="1:26" ht="12.75" customHeight="1" x14ac:dyDescent="0.25">
      <c r="A550" s="1"/>
      <c r="B550" s="1"/>
      <c r="C550" s="3"/>
      <c r="D550" s="3"/>
      <c r="E550" s="5"/>
      <c r="F550" s="5"/>
      <c r="G550" s="3"/>
      <c r="H550" s="5"/>
      <c r="I550" s="1"/>
      <c r="J550" s="7"/>
      <c r="K550" s="1"/>
      <c r="L550" s="1"/>
      <c r="M550" s="1"/>
      <c r="N550" s="1"/>
      <c r="O550" s="1"/>
      <c r="P550" s="1"/>
      <c r="Q550" s="1"/>
      <c r="R550" s="1"/>
      <c r="S550" s="1"/>
      <c r="T550" s="1"/>
      <c r="U550" s="1"/>
      <c r="V550" s="1"/>
      <c r="W550" s="1"/>
      <c r="X550" s="1"/>
      <c r="Y550" s="1"/>
      <c r="Z550" s="1"/>
    </row>
    <row r="551" spans="1:26" ht="12.75" customHeight="1" x14ac:dyDescent="0.25">
      <c r="A551" s="1"/>
      <c r="B551" s="1"/>
      <c r="C551" s="3"/>
      <c r="D551" s="3"/>
      <c r="E551" s="5"/>
      <c r="F551" s="5"/>
      <c r="G551" s="3"/>
      <c r="H551" s="5"/>
      <c r="I551" s="1"/>
      <c r="J551" s="7"/>
      <c r="K551" s="1"/>
      <c r="L551" s="1"/>
      <c r="M551" s="1"/>
      <c r="N551" s="1"/>
      <c r="O551" s="1"/>
      <c r="P551" s="1"/>
      <c r="Q551" s="1"/>
      <c r="R551" s="1"/>
      <c r="S551" s="1"/>
      <c r="T551" s="1"/>
      <c r="U551" s="1"/>
      <c r="V551" s="1"/>
      <c r="W551" s="1"/>
      <c r="X551" s="1"/>
      <c r="Y551" s="1"/>
      <c r="Z551" s="1"/>
    </row>
    <row r="552" spans="1:26" ht="12.75" customHeight="1" x14ac:dyDescent="0.25">
      <c r="A552" s="1"/>
      <c r="B552" s="1"/>
      <c r="C552" s="3"/>
      <c r="D552" s="3"/>
      <c r="E552" s="5"/>
      <c r="F552" s="5"/>
      <c r="G552" s="3"/>
      <c r="H552" s="5"/>
      <c r="I552" s="1"/>
      <c r="J552" s="7"/>
      <c r="K552" s="1"/>
      <c r="L552" s="1"/>
      <c r="M552" s="1"/>
      <c r="N552" s="1"/>
      <c r="O552" s="1"/>
      <c r="P552" s="1"/>
      <c r="Q552" s="1"/>
      <c r="R552" s="1"/>
      <c r="S552" s="1"/>
      <c r="T552" s="1"/>
      <c r="U552" s="1"/>
      <c r="V552" s="1"/>
      <c r="W552" s="1"/>
      <c r="X552" s="1"/>
      <c r="Y552" s="1"/>
      <c r="Z552" s="1"/>
    </row>
    <row r="553" spans="1:26" ht="12.75" customHeight="1" x14ac:dyDescent="0.25">
      <c r="A553" s="1"/>
      <c r="B553" s="1"/>
      <c r="C553" s="3"/>
      <c r="D553" s="3"/>
      <c r="E553" s="5"/>
      <c r="F553" s="5"/>
      <c r="G553" s="3"/>
      <c r="H553" s="5"/>
      <c r="I553" s="1"/>
      <c r="J553" s="7"/>
      <c r="K553" s="1"/>
      <c r="L553" s="1"/>
      <c r="M553" s="1"/>
      <c r="N553" s="1"/>
      <c r="O553" s="1"/>
      <c r="P553" s="1"/>
      <c r="Q553" s="1"/>
      <c r="R553" s="1"/>
      <c r="S553" s="1"/>
      <c r="T553" s="1"/>
      <c r="U553" s="1"/>
      <c r="V553" s="1"/>
      <c r="W553" s="1"/>
      <c r="X553" s="1"/>
      <c r="Y553" s="1"/>
      <c r="Z553" s="1"/>
    </row>
    <row r="554" spans="1:26" ht="12.75" customHeight="1" x14ac:dyDescent="0.25">
      <c r="A554" s="1"/>
      <c r="B554" s="1"/>
      <c r="C554" s="3"/>
      <c r="D554" s="3"/>
      <c r="E554" s="5"/>
      <c r="F554" s="5"/>
      <c r="G554" s="3"/>
      <c r="H554" s="5"/>
      <c r="I554" s="1"/>
      <c r="J554" s="7"/>
      <c r="K554" s="1"/>
      <c r="L554" s="1"/>
      <c r="M554" s="1"/>
      <c r="N554" s="1"/>
      <c r="O554" s="1"/>
      <c r="P554" s="1"/>
      <c r="Q554" s="1"/>
      <c r="R554" s="1"/>
      <c r="S554" s="1"/>
      <c r="T554" s="1"/>
      <c r="U554" s="1"/>
      <c r="V554" s="1"/>
      <c r="W554" s="1"/>
      <c r="X554" s="1"/>
      <c r="Y554" s="1"/>
      <c r="Z554" s="1"/>
    </row>
    <row r="555" spans="1:26" ht="12.75" customHeight="1" x14ac:dyDescent="0.25">
      <c r="A555" s="1"/>
      <c r="B555" s="1"/>
      <c r="C555" s="3"/>
      <c r="D555" s="3"/>
      <c r="E555" s="5"/>
      <c r="F555" s="5"/>
      <c r="G555" s="3"/>
      <c r="H555" s="5"/>
      <c r="I555" s="1"/>
      <c r="J555" s="7"/>
      <c r="K555" s="1"/>
      <c r="L555" s="1"/>
      <c r="M555" s="1"/>
      <c r="N555" s="1"/>
      <c r="O555" s="1"/>
      <c r="P555" s="1"/>
      <c r="Q555" s="1"/>
      <c r="R555" s="1"/>
      <c r="S555" s="1"/>
      <c r="T555" s="1"/>
      <c r="U555" s="1"/>
      <c r="V555" s="1"/>
      <c r="W555" s="1"/>
      <c r="X555" s="1"/>
      <c r="Y555" s="1"/>
      <c r="Z555" s="1"/>
    </row>
    <row r="556" spans="1:26" ht="12.75" customHeight="1" x14ac:dyDescent="0.25">
      <c r="A556" s="1"/>
      <c r="B556" s="1"/>
      <c r="C556" s="3"/>
      <c r="D556" s="3"/>
      <c r="E556" s="5"/>
      <c r="F556" s="5"/>
      <c r="G556" s="3"/>
      <c r="H556" s="5"/>
      <c r="I556" s="1"/>
      <c r="J556" s="7"/>
      <c r="K556" s="1"/>
      <c r="L556" s="1"/>
      <c r="M556" s="1"/>
      <c r="N556" s="1"/>
      <c r="O556" s="1"/>
      <c r="P556" s="1"/>
      <c r="Q556" s="1"/>
      <c r="R556" s="1"/>
      <c r="S556" s="1"/>
      <c r="T556" s="1"/>
      <c r="U556" s="1"/>
      <c r="V556" s="1"/>
      <c r="W556" s="1"/>
      <c r="X556" s="1"/>
      <c r="Y556" s="1"/>
      <c r="Z556" s="1"/>
    </row>
    <row r="557" spans="1:26" ht="12.75" customHeight="1" x14ac:dyDescent="0.25">
      <c r="A557" s="1"/>
      <c r="B557" s="1"/>
      <c r="C557" s="3"/>
      <c r="D557" s="3"/>
      <c r="E557" s="5"/>
      <c r="F557" s="5"/>
      <c r="G557" s="3"/>
      <c r="H557" s="5"/>
      <c r="I557" s="1"/>
      <c r="J557" s="7"/>
      <c r="K557" s="1"/>
      <c r="L557" s="1"/>
      <c r="M557" s="1"/>
      <c r="N557" s="1"/>
      <c r="O557" s="1"/>
      <c r="P557" s="1"/>
      <c r="Q557" s="1"/>
      <c r="R557" s="1"/>
      <c r="S557" s="1"/>
      <c r="T557" s="1"/>
      <c r="U557" s="1"/>
      <c r="V557" s="1"/>
      <c r="W557" s="1"/>
      <c r="X557" s="1"/>
      <c r="Y557" s="1"/>
      <c r="Z557" s="1"/>
    </row>
    <row r="558" spans="1:26" ht="12.75" customHeight="1" x14ac:dyDescent="0.25">
      <c r="A558" s="1"/>
      <c r="B558" s="1"/>
      <c r="C558" s="3"/>
      <c r="D558" s="3"/>
      <c r="E558" s="5"/>
      <c r="F558" s="5"/>
      <c r="G558" s="3"/>
      <c r="H558" s="5"/>
      <c r="I558" s="1"/>
      <c r="J558" s="7"/>
      <c r="K558" s="1"/>
      <c r="L558" s="1"/>
      <c r="M558" s="1"/>
      <c r="N558" s="1"/>
      <c r="O558" s="1"/>
      <c r="P558" s="1"/>
      <c r="Q558" s="1"/>
      <c r="R558" s="1"/>
      <c r="S558" s="1"/>
      <c r="T558" s="1"/>
      <c r="U558" s="1"/>
      <c r="V558" s="1"/>
      <c r="W558" s="1"/>
      <c r="X558" s="1"/>
      <c r="Y558" s="1"/>
      <c r="Z558" s="1"/>
    </row>
    <row r="559" spans="1:26" ht="12.75" customHeight="1" x14ac:dyDescent="0.25">
      <c r="A559" s="1"/>
      <c r="B559" s="1"/>
      <c r="C559" s="3"/>
      <c r="D559" s="3"/>
      <c r="E559" s="5"/>
      <c r="F559" s="5"/>
      <c r="G559" s="3"/>
      <c r="H559" s="5"/>
      <c r="I559" s="1"/>
      <c r="J559" s="7"/>
      <c r="K559" s="1"/>
      <c r="L559" s="1"/>
      <c r="M559" s="1"/>
      <c r="N559" s="1"/>
      <c r="O559" s="1"/>
      <c r="P559" s="1"/>
      <c r="Q559" s="1"/>
      <c r="R559" s="1"/>
      <c r="S559" s="1"/>
      <c r="T559" s="1"/>
      <c r="U559" s="1"/>
      <c r="V559" s="1"/>
      <c r="W559" s="1"/>
      <c r="X559" s="1"/>
      <c r="Y559" s="1"/>
      <c r="Z559" s="1"/>
    </row>
    <row r="560" spans="1:26" ht="12.75" customHeight="1" x14ac:dyDescent="0.25">
      <c r="A560" s="1"/>
      <c r="B560" s="1"/>
      <c r="C560" s="3"/>
      <c r="D560" s="3"/>
      <c r="E560" s="5"/>
      <c r="F560" s="5"/>
      <c r="G560" s="3"/>
      <c r="H560" s="5"/>
      <c r="I560" s="1"/>
      <c r="J560" s="7"/>
      <c r="K560" s="1"/>
      <c r="L560" s="1"/>
      <c r="M560" s="1"/>
      <c r="N560" s="1"/>
      <c r="O560" s="1"/>
      <c r="P560" s="1"/>
      <c r="Q560" s="1"/>
      <c r="R560" s="1"/>
      <c r="S560" s="1"/>
      <c r="T560" s="1"/>
      <c r="U560" s="1"/>
      <c r="V560" s="1"/>
      <c r="W560" s="1"/>
      <c r="X560" s="1"/>
      <c r="Y560" s="1"/>
      <c r="Z560" s="1"/>
    </row>
    <row r="561" spans="1:26" ht="12.75" customHeight="1" x14ac:dyDescent="0.25">
      <c r="A561" s="1"/>
      <c r="B561" s="1"/>
      <c r="C561" s="3"/>
      <c r="D561" s="3"/>
      <c r="E561" s="5"/>
      <c r="F561" s="5"/>
      <c r="G561" s="3"/>
      <c r="H561" s="5"/>
      <c r="I561" s="1"/>
      <c r="J561" s="7"/>
      <c r="K561" s="1"/>
      <c r="L561" s="1"/>
      <c r="M561" s="1"/>
      <c r="N561" s="1"/>
      <c r="O561" s="1"/>
      <c r="P561" s="1"/>
      <c r="Q561" s="1"/>
      <c r="R561" s="1"/>
      <c r="S561" s="1"/>
      <c r="T561" s="1"/>
      <c r="U561" s="1"/>
      <c r="V561" s="1"/>
      <c r="W561" s="1"/>
      <c r="X561" s="1"/>
      <c r="Y561" s="1"/>
      <c r="Z561" s="1"/>
    </row>
    <row r="562" spans="1:26" ht="12.75" customHeight="1" x14ac:dyDescent="0.25">
      <c r="A562" s="1"/>
      <c r="B562" s="1"/>
      <c r="C562" s="3"/>
      <c r="D562" s="3"/>
      <c r="E562" s="5"/>
      <c r="F562" s="5"/>
      <c r="G562" s="3"/>
      <c r="H562" s="5"/>
      <c r="I562" s="1"/>
      <c r="J562" s="7"/>
      <c r="K562" s="1"/>
      <c r="L562" s="1"/>
      <c r="M562" s="1"/>
      <c r="N562" s="1"/>
      <c r="O562" s="1"/>
      <c r="P562" s="1"/>
      <c r="Q562" s="1"/>
      <c r="R562" s="1"/>
      <c r="S562" s="1"/>
      <c r="T562" s="1"/>
      <c r="U562" s="1"/>
      <c r="V562" s="1"/>
      <c r="W562" s="1"/>
      <c r="X562" s="1"/>
      <c r="Y562" s="1"/>
      <c r="Z562" s="1"/>
    </row>
    <row r="563" spans="1:26" ht="12.75" customHeight="1" x14ac:dyDescent="0.25">
      <c r="A563" s="1"/>
      <c r="B563" s="1"/>
      <c r="C563" s="3"/>
      <c r="D563" s="3"/>
      <c r="E563" s="5"/>
      <c r="F563" s="5"/>
      <c r="G563" s="3"/>
      <c r="H563" s="5"/>
      <c r="I563" s="1"/>
      <c r="J563" s="7"/>
      <c r="K563" s="1"/>
      <c r="L563" s="1"/>
      <c r="M563" s="1"/>
      <c r="N563" s="1"/>
      <c r="O563" s="1"/>
      <c r="P563" s="1"/>
      <c r="Q563" s="1"/>
      <c r="R563" s="1"/>
      <c r="S563" s="1"/>
      <c r="T563" s="1"/>
      <c r="U563" s="1"/>
      <c r="V563" s="1"/>
      <c r="W563" s="1"/>
      <c r="X563" s="1"/>
      <c r="Y563" s="1"/>
      <c r="Z563" s="1"/>
    </row>
    <row r="564" spans="1:26" ht="12.75" customHeight="1" x14ac:dyDescent="0.25">
      <c r="A564" s="1"/>
      <c r="B564" s="1"/>
      <c r="C564" s="3"/>
      <c r="D564" s="3"/>
      <c r="E564" s="5"/>
      <c r="F564" s="5"/>
      <c r="G564" s="3"/>
      <c r="H564" s="5"/>
      <c r="I564" s="1"/>
      <c r="J564" s="7"/>
      <c r="K564" s="1"/>
      <c r="L564" s="1"/>
      <c r="M564" s="1"/>
      <c r="N564" s="1"/>
      <c r="O564" s="1"/>
      <c r="P564" s="1"/>
      <c r="Q564" s="1"/>
      <c r="R564" s="1"/>
      <c r="S564" s="1"/>
      <c r="T564" s="1"/>
      <c r="U564" s="1"/>
      <c r="V564" s="1"/>
      <c r="W564" s="1"/>
      <c r="X564" s="1"/>
      <c r="Y564" s="1"/>
      <c r="Z564" s="1"/>
    </row>
    <row r="565" spans="1:26" ht="12.75" customHeight="1" x14ac:dyDescent="0.25">
      <c r="A565" s="1"/>
      <c r="B565" s="1"/>
      <c r="C565" s="3"/>
      <c r="D565" s="3"/>
      <c r="E565" s="5"/>
      <c r="F565" s="5"/>
      <c r="G565" s="3"/>
      <c r="H565" s="5"/>
      <c r="I565" s="1"/>
      <c r="J565" s="7"/>
      <c r="K565" s="1"/>
      <c r="L565" s="1"/>
      <c r="M565" s="1"/>
      <c r="N565" s="1"/>
      <c r="O565" s="1"/>
      <c r="P565" s="1"/>
      <c r="Q565" s="1"/>
      <c r="R565" s="1"/>
      <c r="S565" s="1"/>
      <c r="T565" s="1"/>
      <c r="U565" s="1"/>
      <c r="V565" s="1"/>
      <c r="W565" s="1"/>
      <c r="X565" s="1"/>
      <c r="Y565" s="1"/>
      <c r="Z565" s="1"/>
    </row>
    <row r="566" spans="1:26" ht="12.75" customHeight="1" x14ac:dyDescent="0.25">
      <c r="A566" s="1"/>
      <c r="B566" s="1"/>
      <c r="C566" s="3"/>
      <c r="D566" s="3"/>
      <c r="E566" s="5"/>
      <c r="F566" s="5"/>
      <c r="G566" s="3"/>
      <c r="H566" s="5"/>
      <c r="I566" s="1"/>
      <c r="J566" s="7"/>
      <c r="K566" s="1"/>
      <c r="L566" s="1"/>
      <c r="M566" s="1"/>
      <c r="N566" s="1"/>
      <c r="O566" s="1"/>
      <c r="P566" s="1"/>
      <c r="Q566" s="1"/>
      <c r="R566" s="1"/>
      <c r="S566" s="1"/>
      <c r="T566" s="1"/>
      <c r="U566" s="1"/>
      <c r="V566" s="1"/>
      <c r="W566" s="1"/>
      <c r="X566" s="1"/>
      <c r="Y566" s="1"/>
      <c r="Z566" s="1"/>
    </row>
    <row r="567" spans="1:26" ht="12.75" customHeight="1" x14ac:dyDescent="0.25">
      <c r="A567" s="1"/>
      <c r="B567" s="1"/>
      <c r="C567" s="3"/>
      <c r="D567" s="3"/>
      <c r="E567" s="5"/>
      <c r="F567" s="5"/>
      <c r="G567" s="3"/>
      <c r="H567" s="5"/>
      <c r="I567" s="1"/>
      <c r="J567" s="7"/>
      <c r="K567" s="1"/>
      <c r="L567" s="1"/>
      <c r="M567" s="1"/>
      <c r="N567" s="1"/>
      <c r="O567" s="1"/>
      <c r="P567" s="1"/>
      <c r="Q567" s="1"/>
      <c r="R567" s="1"/>
      <c r="S567" s="1"/>
      <c r="T567" s="1"/>
      <c r="U567" s="1"/>
      <c r="V567" s="1"/>
      <c r="W567" s="1"/>
      <c r="X567" s="1"/>
      <c r="Y567" s="1"/>
      <c r="Z567" s="1"/>
    </row>
    <row r="568" spans="1:26" ht="12.75" customHeight="1" x14ac:dyDescent="0.25">
      <c r="A568" s="1"/>
      <c r="B568" s="1"/>
      <c r="C568" s="3"/>
      <c r="D568" s="3"/>
      <c r="E568" s="5"/>
      <c r="F568" s="5"/>
      <c r="G568" s="3"/>
      <c r="H568" s="5"/>
      <c r="I568" s="1"/>
      <c r="J568" s="7"/>
      <c r="K568" s="1"/>
      <c r="L568" s="1"/>
      <c r="M568" s="1"/>
      <c r="N568" s="1"/>
      <c r="O568" s="1"/>
      <c r="P568" s="1"/>
      <c r="Q568" s="1"/>
      <c r="R568" s="1"/>
      <c r="S568" s="1"/>
      <c r="T568" s="1"/>
      <c r="U568" s="1"/>
      <c r="V568" s="1"/>
      <c r="W568" s="1"/>
      <c r="X568" s="1"/>
      <c r="Y568" s="1"/>
      <c r="Z568" s="1"/>
    </row>
    <row r="569" spans="1:26" ht="12.75" customHeight="1" x14ac:dyDescent="0.25">
      <c r="A569" s="1"/>
      <c r="B569" s="1"/>
      <c r="C569" s="3"/>
      <c r="D569" s="3"/>
      <c r="E569" s="5"/>
      <c r="F569" s="5"/>
      <c r="G569" s="3"/>
      <c r="H569" s="5"/>
      <c r="I569" s="1"/>
      <c r="J569" s="7"/>
      <c r="K569" s="1"/>
      <c r="L569" s="1"/>
      <c r="M569" s="1"/>
      <c r="N569" s="1"/>
      <c r="O569" s="1"/>
      <c r="P569" s="1"/>
      <c r="Q569" s="1"/>
      <c r="R569" s="1"/>
      <c r="S569" s="1"/>
      <c r="T569" s="1"/>
      <c r="U569" s="1"/>
      <c r="V569" s="1"/>
      <c r="W569" s="1"/>
      <c r="X569" s="1"/>
      <c r="Y569" s="1"/>
      <c r="Z569" s="1"/>
    </row>
    <row r="570" spans="1:26" ht="12.75" customHeight="1" x14ac:dyDescent="0.25">
      <c r="A570" s="1"/>
      <c r="B570" s="1"/>
      <c r="C570" s="3"/>
      <c r="D570" s="3"/>
      <c r="E570" s="5"/>
      <c r="F570" s="5"/>
      <c r="G570" s="3"/>
      <c r="H570" s="5"/>
      <c r="I570" s="1"/>
      <c r="J570" s="7"/>
      <c r="K570" s="1"/>
      <c r="L570" s="1"/>
      <c r="M570" s="1"/>
      <c r="N570" s="1"/>
      <c r="O570" s="1"/>
      <c r="P570" s="1"/>
      <c r="Q570" s="1"/>
      <c r="R570" s="1"/>
      <c r="S570" s="1"/>
      <c r="T570" s="1"/>
      <c r="U570" s="1"/>
      <c r="V570" s="1"/>
      <c r="W570" s="1"/>
      <c r="X570" s="1"/>
      <c r="Y570" s="1"/>
      <c r="Z570" s="1"/>
    </row>
    <row r="571" spans="1:26" ht="12.75" customHeight="1" x14ac:dyDescent="0.25">
      <c r="A571" s="1"/>
      <c r="B571" s="1"/>
      <c r="C571" s="3"/>
      <c r="D571" s="3"/>
      <c r="E571" s="5"/>
      <c r="F571" s="5"/>
      <c r="G571" s="3"/>
      <c r="H571" s="5"/>
      <c r="I571" s="1"/>
      <c r="J571" s="7"/>
      <c r="K571" s="1"/>
      <c r="L571" s="1"/>
      <c r="M571" s="1"/>
      <c r="N571" s="1"/>
      <c r="O571" s="1"/>
      <c r="P571" s="1"/>
      <c r="Q571" s="1"/>
      <c r="R571" s="1"/>
      <c r="S571" s="1"/>
      <c r="T571" s="1"/>
      <c r="U571" s="1"/>
      <c r="V571" s="1"/>
      <c r="W571" s="1"/>
      <c r="X571" s="1"/>
      <c r="Y571" s="1"/>
      <c r="Z571" s="1"/>
    </row>
    <row r="572" spans="1:26" ht="12.75" customHeight="1" x14ac:dyDescent="0.25">
      <c r="A572" s="1"/>
      <c r="B572" s="1"/>
      <c r="C572" s="3"/>
      <c r="D572" s="3"/>
      <c r="E572" s="5"/>
      <c r="F572" s="5"/>
      <c r="G572" s="3"/>
      <c r="H572" s="5"/>
      <c r="I572" s="1"/>
      <c r="J572" s="7"/>
      <c r="K572" s="1"/>
      <c r="L572" s="1"/>
      <c r="M572" s="1"/>
      <c r="N572" s="1"/>
      <c r="O572" s="1"/>
      <c r="P572" s="1"/>
      <c r="Q572" s="1"/>
      <c r="R572" s="1"/>
      <c r="S572" s="1"/>
      <c r="T572" s="1"/>
      <c r="U572" s="1"/>
      <c r="V572" s="1"/>
      <c r="W572" s="1"/>
      <c r="X572" s="1"/>
      <c r="Y572" s="1"/>
      <c r="Z572" s="1"/>
    </row>
    <row r="573" spans="1:26" ht="12.75" customHeight="1" x14ac:dyDescent="0.25">
      <c r="A573" s="1"/>
      <c r="B573" s="1"/>
      <c r="C573" s="3"/>
      <c r="D573" s="3"/>
      <c r="E573" s="5"/>
      <c r="F573" s="5"/>
      <c r="G573" s="3"/>
      <c r="H573" s="5"/>
      <c r="I573" s="1"/>
      <c r="J573" s="7"/>
      <c r="K573" s="1"/>
      <c r="L573" s="1"/>
      <c r="M573" s="1"/>
      <c r="N573" s="1"/>
      <c r="O573" s="1"/>
      <c r="P573" s="1"/>
      <c r="Q573" s="1"/>
      <c r="R573" s="1"/>
      <c r="S573" s="1"/>
      <c r="T573" s="1"/>
      <c r="U573" s="1"/>
      <c r="V573" s="1"/>
      <c r="W573" s="1"/>
      <c r="X573" s="1"/>
      <c r="Y573" s="1"/>
      <c r="Z573" s="1"/>
    </row>
    <row r="574" spans="1:26" ht="12.75" customHeight="1" x14ac:dyDescent="0.25">
      <c r="A574" s="1"/>
      <c r="B574" s="1"/>
      <c r="C574" s="3"/>
      <c r="D574" s="3"/>
      <c r="E574" s="5"/>
      <c r="F574" s="5"/>
      <c r="G574" s="3"/>
      <c r="H574" s="5"/>
      <c r="I574" s="1"/>
      <c r="J574" s="7"/>
      <c r="K574" s="1"/>
      <c r="L574" s="1"/>
      <c r="M574" s="1"/>
      <c r="N574" s="1"/>
      <c r="O574" s="1"/>
      <c r="P574" s="1"/>
      <c r="Q574" s="1"/>
      <c r="R574" s="1"/>
      <c r="S574" s="1"/>
      <c r="T574" s="1"/>
      <c r="U574" s="1"/>
      <c r="V574" s="1"/>
      <c r="W574" s="1"/>
      <c r="X574" s="1"/>
      <c r="Y574" s="1"/>
      <c r="Z574" s="1"/>
    </row>
    <row r="575" spans="1:26" ht="12.75" customHeight="1" x14ac:dyDescent="0.25">
      <c r="A575" s="1"/>
      <c r="B575" s="1"/>
      <c r="C575" s="3"/>
      <c r="D575" s="3"/>
      <c r="E575" s="5"/>
      <c r="F575" s="5"/>
      <c r="G575" s="3"/>
      <c r="H575" s="5"/>
      <c r="I575" s="1"/>
      <c r="J575" s="7"/>
      <c r="K575" s="1"/>
      <c r="L575" s="1"/>
      <c r="M575" s="1"/>
      <c r="N575" s="1"/>
      <c r="O575" s="1"/>
      <c r="P575" s="1"/>
      <c r="Q575" s="1"/>
      <c r="R575" s="1"/>
      <c r="S575" s="1"/>
      <c r="T575" s="1"/>
      <c r="U575" s="1"/>
      <c r="V575" s="1"/>
      <c r="W575" s="1"/>
      <c r="X575" s="1"/>
      <c r="Y575" s="1"/>
      <c r="Z575" s="1"/>
    </row>
    <row r="576" spans="1:26" ht="12.75" customHeight="1" x14ac:dyDescent="0.25">
      <c r="A576" s="1"/>
      <c r="B576" s="1"/>
      <c r="C576" s="3"/>
      <c r="D576" s="3"/>
      <c r="E576" s="5"/>
      <c r="F576" s="5"/>
      <c r="G576" s="3"/>
      <c r="H576" s="5"/>
      <c r="I576" s="1"/>
      <c r="J576" s="7"/>
      <c r="K576" s="1"/>
      <c r="L576" s="1"/>
      <c r="M576" s="1"/>
      <c r="N576" s="1"/>
      <c r="O576" s="1"/>
      <c r="P576" s="1"/>
      <c r="Q576" s="1"/>
      <c r="R576" s="1"/>
      <c r="S576" s="1"/>
      <c r="T576" s="1"/>
      <c r="U576" s="1"/>
      <c r="V576" s="1"/>
      <c r="W576" s="1"/>
      <c r="X576" s="1"/>
      <c r="Y576" s="1"/>
      <c r="Z576" s="1"/>
    </row>
    <row r="577" spans="1:26" ht="12.75" customHeight="1" x14ac:dyDescent="0.25">
      <c r="A577" s="1"/>
      <c r="B577" s="1"/>
      <c r="C577" s="3"/>
      <c r="D577" s="3"/>
      <c r="E577" s="5"/>
      <c r="F577" s="5"/>
      <c r="G577" s="3"/>
      <c r="H577" s="5"/>
      <c r="I577" s="1"/>
      <c r="J577" s="7"/>
      <c r="K577" s="1"/>
      <c r="L577" s="1"/>
      <c r="M577" s="1"/>
      <c r="N577" s="1"/>
      <c r="O577" s="1"/>
      <c r="P577" s="1"/>
      <c r="Q577" s="1"/>
      <c r="R577" s="1"/>
      <c r="S577" s="1"/>
      <c r="T577" s="1"/>
      <c r="U577" s="1"/>
      <c r="V577" s="1"/>
      <c r="W577" s="1"/>
      <c r="X577" s="1"/>
      <c r="Y577" s="1"/>
      <c r="Z577" s="1"/>
    </row>
    <row r="578" spans="1:26" ht="12.75" customHeight="1" x14ac:dyDescent="0.25">
      <c r="A578" s="1"/>
      <c r="B578" s="1"/>
      <c r="C578" s="3"/>
      <c r="D578" s="3"/>
      <c r="E578" s="5"/>
      <c r="F578" s="5"/>
      <c r="G578" s="3"/>
      <c r="H578" s="5"/>
      <c r="I578" s="1"/>
      <c r="J578" s="7"/>
      <c r="K578" s="1"/>
      <c r="L578" s="1"/>
      <c r="M578" s="1"/>
      <c r="N578" s="1"/>
      <c r="O578" s="1"/>
      <c r="P578" s="1"/>
      <c r="Q578" s="1"/>
      <c r="R578" s="1"/>
      <c r="S578" s="1"/>
      <c r="T578" s="1"/>
      <c r="U578" s="1"/>
      <c r="V578" s="1"/>
      <c r="W578" s="1"/>
      <c r="X578" s="1"/>
      <c r="Y578" s="1"/>
      <c r="Z578" s="1"/>
    </row>
    <row r="579" spans="1:26" ht="12.75" customHeight="1" x14ac:dyDescent="0.25">
      <c r="A579" s="1"/>
      <c r="B579" s="1"/>
      <c r="C579" s="3"/>
      <c r="D579" s="3"/>
      <c r="E579" s="5"/>
      <c r="F579" s="5"/>
      <c r="G579" s="3"/>
      <c r="H579" s="5"/>
      <c r="I579" s="1"/>
      <c r="J579" s="7"/>
      <c r="K579" s="1"/>
      <c r="L579" s="1"/>
      <c r="M579" s="1"/>
      <c r="N579" s="1"/>
      <c r="O579" s="1"/>
      <c r="P579" s="1"/>
      <c r="Q579" s="1"/>
      <c r="R579" s="1"/>
      <c r="S579" s="1"/>
      <c r="T579" s="1"/>
      <c r="U579" s="1"/>
      <c r="V579" s="1"/>
      <c r="W579" s="1"/>
      <c r="X579" s="1"/>
      <c r="Y579" s="1"/>
      <c r="Z579" s="1"/>
    </row>
    <row r="580" spans="1:26" ht="12.75" customHeight="1" x14ac:dyDescent="0.25">
      <c r="A580" s="1"/>
      <c r="B580" s="1"/>
      <c r="C580" s="3"/>
      <c r="D580" s="3"/>
      <c r="E580" s="5"/>
      <c r="F580" s="5"/>
      <c r="G580" s="3"/>
      <c r="H580" s="5"/>
      <c r="I580" s="1"/>
      <c r="J580" s="7"/>
      <c r="K580" s="1"/>
      <c r="L580" s="1"/>
      <c r="M580" s="1"/>
      <c r="N580" s="1"/>
      <c r="O580" s="1"/>
      <c r="P580" s="1"/>
      <c r="Q580" s="1"/>
      <c r="R580" s="1"/>
      <c r="S580" s="1"/>
      <c r="T580" s="1"/>
      <c r="U580" s="1"/>
      <c r="V580" s="1"/>
      <c r="W580" s="1"/>
      <c r="X580" s="1"/>
      <c r="Y580" s="1"/>
      <c r="Z580" s="1"/>
    </row>
    <row r="581" spans="1:26" ht="12.75" customHeight="1" x14ac:dyDescent="0.25">
      <c r="A581" s="1"/>
      <c r="B581" s="1"/>
      <c r="C581" s="3"/>
      <c r="D581" s="3"/>
      <c r="E581" s="5"/>
      <c r="F581" s="5"/>
      <c r="G581" s="3"/>
      <c r="H581" s="5"/>
      <c r="I581" s="1"/>
      <c r="J581" s="7"/>
      <c r="K581" s="1"/>
      <c r="L581" s="1"/>
      <c r="M581" s="1"/>
      <c r="N581" s="1"/>
      <c r="O581" s="1"/>
      <c r="P581" s="1"/>
      <c r="Q581" s="1"/>
      <c r="R581" s="1"/>
      <c r="S581" s="1"/>
      <c r="T581" s="1"/>
      <c r="U581" s="1"/>
      <c r="V581" s="1"/>
      <c r="W581" s="1"/>
      <c r="X581" s="1"/>
      <c r="Y581" s="1"/>
      <c r="Z581" s="1"/>
    </row>
    <row r="582" spans="1:26" ht="12.75" customHeight="1" x14ac:dyDescent="0.25">
      <c r="A582" s="1"/>
      <c r="B582" s="1"/>
      <c r="C582" s="3"/>
      <c r="D582" s="3"/>
      <c r="E582" s="5"/>
      <c r="F582" s="5"/>
      <c r="G582" s="3"/>
      <c r="H582" s="5"/>
      <c r="I582" s="1"/>
      <c r="J582" s="7"/>
      <c r="K582" s="1"/>
      <c r="L582" s="1"/>
      <c r="M582" s="1"/>
      <c r="N582" s="1"/>
      <c r="O582" s="1"/>
      <c r="P582" s="1"/>
      <c r="Q582" s="1"/>
      <c r="R582" s="1"/>
      <c r="S582" s="1"/>
      <c r="T582" s="1"/>
      <c r="U582" s="1"/>
      <c r="V582" s="1"/>
      <c r="W582" s="1"/>
      <c r="X582" s="1"/>
      <c r="Y582" s="1"/>
      <c r="Z582" s="1"/>
    </row>
    <row r="583" spans="1:26" ht="12.75" customHeight="1" x14ac:dyDescent="0.25">
      <c r="A583" s="1"/>
      <c r="B583" s="1"/>
      <c r="C583" s="3"/>
      <c r="D583" s="3"/>
      <c r="E583" s="5"/>
      <c r="F583" s="5"/>
      <c r="G583" s="3"/>
      <c r="H583" s="5"/>
      <c r="I583" s="1"/>
      <c r="J583" s="7"/>
      <c r="K583" s="1"/>
      <c r="L583" s="1"/>
      <c r="M583" s="1"/>
      <c r="N583" s="1"/>
      <c r="O583" s="1"/>
      <c r="P583" s="1"/>
      <c r="Q583" s="1"/>
      <c r="R583" s="1"/>
      <c r="S583" s="1"/>
      <c r="T583" s="1"/>
      <c r="U583" s="1"/>
      <c r="V583" s="1"/>
      <c r="W583" s="1"/>
      <c r="X583" s="1"/>
      <c r="Y583" s="1"/>
      <c r="Z583" s="1"/>
    </row>
    <row r="584" spans="1:26" ht="12.75" customHeight="1" x14ac:dyDescent="0.25">
      <c r="A584" s="1"/>
      <c r="B584" s="1"/>
      <c r="C584" s="3"/>
      <c r="D584" s="3"/>
      <c r="E584" s="5"/>
      <c r="F584" s="5"/>
      <c r="G584" s="3"/>
      <c r="H584" s="5"/>
      <c r="I584" s="1"/>
      <c r="J584" s="7"/>
      <c r="K584" s="1"/>
      <c r="L584" s="1"/>
      <c r="M584" s="1"/>
      <c r="N584" s="1"/>
      <c r="O584" s="1"/>
      <c r="P584" s="1"/>
      <c r="Q584" s="1"/>
      <c r="R584" s="1"/>
      <c r="S584" s="1"/>
      <c r="T584" s="1"/>
      <c r="U584" s="1"/>
      <c r="V584" s="1"/>
      <c r="W584" s="1"/>
      <c r="X584" s="1"/>
      <c r="Y584" s="1"/>
      <c r="Z584" s="1"/>
    </row>
    <row r="585" spans="1:26" ht="12.75" customHeight="1" x14ac:dyDescent="0.25">
      <c r="A585" s="1"/>
      <c r="B585" s="1"/>
      <c r="C585" s="3"/>
      <c r="D585" s="3"/>
      <c r="E585" s="5"/>
      <c r="F585" s="5"/>
      <c r="G585" s="3"/>
      <c r="H585" s="5"/>
      <c r="I585" s="1"/>
      <c r="J585" s="7"/>
      <c r="K585" s="1"/>
      <c r="L585" s="1"/>
      <c r="M585" s="1"/>
      <c r="N585" s="1"/>
      <c r="O585" s="1"/>
      <c r="P585" s="1"/>
      <c r="Q585" s="1"/>
      <c r="R585" s="1"/>
      <c r="S585" s="1"/>
      <c r="T585" s="1"/>
      <c r="U585" s="1"/>
      <c r="V585" s="1"/>
      <c r="W585" s="1"/>
      <c r="X585" s="1"/>
      <c r="Y585" s="1"/>
      <c r="Z585" s="1"/>
    </row>
    <row r="586" spans="1:26" ht="12.75" customHeight="1" x14ac:dyDescent="0.25">
      <c r="A586" s="1"/>
      <c r="B586" s="1"/>
      <c r="C586" s="3"/>
      <c r="D586" s="3"/>
      <c r="E586" s="5"/>
      <c r="F586" s="5"/>
      <c r="G586" s="3"/>
      <c r="H586" s="5"/>
      <c r="I586" s="1"/>
      <c r="J586" s="7"/>
      <c r="K586" s="1"/>
      <c r="L586" s="1"/>
      <c r="M586" s="1"/>
      <c r="N586" s="1"/>
      <c r="O586" s="1"/>
      <c r="P586" s="1"/>
      <c r="Q586" s="1"/>
      <c r="R586" s="1"/>
      <c r="S586" s="1"/>
      <c r="T586" s="1"/>
      <c r="U586" s="1"/>
      <c r="V586" s="1"/>
      <c r="W586" s="1"/>
      <c r="X586" s="1"/>
      <c r="Y586" s="1"/>
      <c r="Z586" s="1"/>
    </row>
    <row r="587" spans="1:26" ht="12.75" customHeight="1" x14ac:dyDescent="0.25">
      <c r="A587" s="1"/>
      <c r="B587" s="1"/>
      <c r="C587" s="3"/>
      <c r="D587" s="3"/>
      <c r="E587" s="5"/>
      <c r="F587" s="5"/>
      <c r="G587" s="3"/>
      <c r="H587" s="5"/>
      <c r="I587" s="1"/>
      <c r="J587" s="7"/>
      <c r="K587" s="1"/>
      <c r="L587" s="1"/>
      <c r="M587" s="1"/>
      <c r="N587" s="1"/>
      <c r="O587" s="1"/>
      <c r="P587" s="1"/>
      <c r="Q587" s="1"/>
      <c r="R587" s="1"/>
      <c r="S587" s="1"/>
      <c r="T587" s="1"/>
      <c r="U587" s="1"/>
      <c r="V587" s="1"/>
      <c r="W587" s="1"/>
      <c r="X587" s="1"/>
      <c r="Y587" s="1"/>
      <c r="Z587" s="1"/>
    </row>
    <row r="588" spans="1:26" ht="12.75" customHeight="1" x14ac:dyDescent="0.25">
      <c r="A588" s="1"/>
      <c r="B588" s="1"/>
      <c r="C588" s="3"/>
      <c r="D588" s="3"/>
      <c r="E588" s="5"/>
      <c r="F588" s="5"/>
      <c r="G588" s="3"/>
      <c r="H588" s="5"/>
      <c r="I588" s="1"/>
      <c r="J588" s="7"/>
      <c r="K588" s="1"/>
      <c r="L588" s="1"/>
      <c r="M588" s="1"/>
      <c r="N588" s="1"/>
      <c r="O588" s="1"/>
      <c r="P588" s="1"/>
      <c r="Q588" s="1"/>
      <c r="R588" s="1"/>
      <c r="S588" s="1"/>
      <c r="T588" s="1"/>
      <c r="U588" s="1"/>
      <c r="V588" s="1"/>
      <c r="W588" s="1"/>
      <c r="X588" s="1"/>
      <c r="Y588" s="1"/>
      <c r="Z588" s="1"/>
    </row>
    <row r="589" spans="1:26" ht="12.75" customHeight="1" x14ac:dyDescent="0.25">
      <c r="A589" s="1"/>
      <c r="B589" s="1"/>
      <c r="C589" s="3"/>
      <c r="D589" s="3"/>
      <c r="E589" s="5"/>
      <c r="F589" s="5"/>
      <c r="G589" s="3"/>
      <c r="H589" s="5"/>
      <c r="I589" s="1"/>
      <c r="J589" s="7"/>
      <c r="K589" s="1"/>
      <c r="L589" s="1"/>
      <c r="M589" s="1"/>
      <c r="N589" s="1"/>
      <c r="O589" s="1"/>
      <c r="P589" s="1"/>
      <c r="Q589" s="1"/>
      <c r="R589" s="1"/>
      <c r="S589" s="1"/>
      <c r="T589" s="1"/>
      <c r="U589" s="1"/>
      <c r="V589" s="1"/>
      <c r="W589" s="1"/>
      <c r="X589" s="1"/>
      <c r="Y589" s="1"/>
      <c r="Z589" s="1"/>
    </row>
    <row r="590" spans="1:26" ht="12.75" customHeight="1" x14ac:dyDescent="0.25">
      <c r="A590" s="1"/>
      <c r="B590" s="1"/>
      <c r="C590" s="3"/>
      <c r="D590" s="3"/>
      <c r="E590" s="5"/>
      <c r="F590" s="5"/>
      <c r="G590" s="3"/>
      <c r="H590" s="5"/>
      <c r="I590" s="1"/>
      <c r="J590" s="7"/>
      <c r="K590" s="1"/>
      <c r="L590" s="1"/>
      <c r="M590" s="1"/>
      <c r="N590" s="1"/>
      <c r="O590" s="1"/>
      <c r="P590" s="1"/>
      <c r="Q590" s="1"/>
      <c r="R590" s="1"/>
      <c r="S590" s="1"/>
      <c r="T590" s="1"/>
      <c r="U590" s="1"/>
      <c r="V590" s="1"/>
      <c r="W590" s="1"/>
      <c r="X590" s="1"/>
      <c r="Y590" s="1"/>
      <c r="Z590" s="1"/>
    </row>
    <row r="591" spans="1:26" ht="12.75" customHeight="1" x14ac:dyDescent="0.25">
      <c r="A591" s="1"/>
      <c r="B591" s="1"/>
      <c r="C591" s="3"/>
      <c r="D591" s="3"/>
      <c r="E591" s="5"/>
      <c r="F591" s="5"/>
      <c r="G591" s="3"/>
      <c r="H591" s="5"/>
      <c r="I591" s="1"/>
      <c r="J591" s="7"/>
      <c r="K591" s="1"/>
      <c r="L591" s="1"/>
      <c r="M591" s="1"/>
      <c r="N591" s="1"/>
      <c r="O591" s="1"/>
      <c r="P591" s="1"/>
      <c r="Q591" s="1"/>
      <c r="R591" s="1"/>
      <c r="S591" s="1"/>
      <c r="T591" s="1"/>
      <c r="U591" s="1"/>
      <c r="V591" s="1"/>
      <c r="W591" s="1"/>
      <c r="X591" s="1"/>
      <c r="Y591" s="1"/>
      <c r="Z591" s="1"/>
    </row>
    <row r="592" spans="1:26" ht="12.75" customHeight="1" x14ac:dyDescent="0.25">
      <c r="A592" s="1"/>
      <c r="B592" s="1"/>
      <c r="C592" s="3"/>
      <c r="D592" s="3"/>
      <c r="E592" s="5"/>
      <c r="F592" s="5"/>
      <c r="G592" s="3"/>
      <c r="H592" s="5"/>
      <c r="I592" s="1"/>
      <c r="J592" s="7"/>
      <c r="K592" s="1"/>
      <c r="L592" s="1"/>
      <c r="M592" s="1"/>
      <c r="N592" s="1"/>
      <c r="O592" s="1"/>
      <c r="P592" s="1"/>
      <c r="Q592" s="1"/>
      <c r="R592" s="1"/>
      <c r="S592" s="1"/>
      <c r="T592" s="1"/>
      <c r="U592" s="1"/>
      <c r="V592" s="1"/>
      <c r="W592" s="1"/>
      <c r="X592" s="1"/>
      <c r="Y592" s="1"/>
      <c r="Z592" s="1"/>
    </row>
    <row r="593" spans="1:26" ht="12.75" customHeight="1" x14ac:dyDescent="0.25">
      <c r="A593" s="1"/>
      <c r="B593" s="1"/>
      <c r="C593" s="3"/>
      <c r="D593" s="3"/>
      <c r="E593" s="5"/>
      <c r="F593" s="5"/>
      <c r="G593" s="3"/>
      <c r="H593" s="5"/>
      <c r="I593" s="1"/>
      <c r="J593" s="7"/>
      <c r="K593" s="1"/>
      <c r="L593" s="1"/>
      <c r="M593" s="1"/>
      <c r="N593" s="1"/>
      <c r="O593" s="1"/>
      <c r="P593" s="1"/>
      <c r="Q593" s="1"/>
      <c r="R593" s="1"/>
      <c r="S593" s="1"/>
      <c r="T593" s="1"/>
      <c r="U593" s="1"/>
      <c r="V593" s="1"/>
      <c r="W593" s="1"/>
      <c r="X593" s="1"/>
      <c r="Y593" s="1"/>
      <c r="Z593" s="1"/>
    </row>
    <row r="594" spans="1:26" ht="12.75" customHeight="1" x14ac:dyDescent="0.25">
      <c r="A594" s="1"/>
      <c r="B594" s="1"/>
      <c r="C594" s="3"/>
      <c r="D594" s="3"/>
      <c r="E594" s="5"/>
      <c r="F594" s="5"/>
      <c r="G594" s="3"/>
      <c r="H594" s="5"/>
      <c r="I594" s="1"/>
      <c r="J594" s="7"/>
      <c r="K594" s="1"/>
      <c r="L594" s="1"/>
      <c r="M594" s="1"/>
      <c r="N594" s="1"/>
      <c r="O594" s="1"/>
      <c r="P594" s="1"/>
      <c r="Q594" s="1"/>
      <c r="R594" s="1"/>
      <c r="S594" s="1"/>
      <c r="T594" s="1"/>
      <c r="U594" s="1"/>
      <c r="V594" s="1"/>
      <c r="W594" s="1"/>
      <c r="X594" s="1"/>
      <c r="Y594" s="1"/>
      <c r="Z594" s="1"/>
    </row>
    <row r="595" spans="1:26" ht="12.75" customHeight="1" x14ac:dyDescent="0.25">
      <c r="A595" s="1"/>
      <c r="B595" s="1"/>
      <c r="C595" s="3"/>
      <c r="D595" s="3"/>
      <c r="E595" s="5"/>
      <c r="F595" s="5"/>
      <c r="G595" s="3"/>
      <c r="H595" s="5"/>
      <c r="I595" s="1"/>
      <c r="J595" s="7"/>
      <c r="K595" s="1"/>
      <c r="L595" s="1"/>
      <c r="M595" s="1"/>
      <c r="N595" s="1"/>
      <c r="O595" s="1"/>
      <c r="P595" s="1"/>
      <c r="Q595" s="1"/>
      <c r="R595" s="1"/>
      <c r="S595" s="1"/>
      <c r="T595" s="1"/>
      <c r="U595" s="1"/>
      <c r="V595" s="1"/>
      <c r="W595" s="1"/>
      <c r="X595" s="1"/>
      <c r="Y595" s="1"/>
      <c r="Z595" s="1"/>
    </row>
    <row r="596" spans="1:26" ht="12.75" customHeight="1" x14ac:dyDescent="0.25">
      <c r="A596" s="1"/>
      <c r="B596" s="1"/>
      <c r="C596" s="3"/>
      <c r="D596" s="3"/>
      <c r="E596" s="5"/>
      <c r="F596" s="5"/>
      <c r="G596" s="3"/>
      <c r="H596" s="5"/>
      <c r="I596" s="1"/>
      <c r="J596" s="7"/>
      <c r="K596" s="1"/>
      <c r="L596" s="1"/>
      <c r="M596" s="1"/>
      <c r="N596" s="1"/>
      <c r="O596" s="1"/>
      <c r="P596" s="1"/>
      <c r="Q596" s="1"/>
      <c r="R596" s="1"/>
      <c r="S596" s="1"/>
      <c r="T596" s="1"/>
      <c r="U596" s="1"/>
      <c r="V596" s="1"/>
      <c r="W596" s="1"/>
      <c r="X596" s="1"/>
      <c r="Y596" s="1"/>
      <c r="Z596" s="1"/>
    </row>
    <row r="597" spans="1:26" ht="12.75" customHeight="1" x14ac:dyDescent="0.25">
      <c r="A597" s="1"/>
      <c r="B597" s="1"/>
      <c r="C597" s="3"/>
      <c r="D597" s="3"/>
      <c r="E597" s="5"/>
      <c r="F597" s="5"/>
      <c r="G597" s="3"/>
      <c r="H597" s="5"/>
      <c r="I597" s="1"/>
      <c r="J597" s="7"/>
      <c r="K597" s="1"/>
      <c r="L597" s="1"/>
      <c r="M597" s="1"/>
      <c r="N597" s="1"/>
      <c r="O597" s="1"/>
      <c r="P597" s="1"/>
      <c r="Q597" s="1"/>
      <c r="R597" s="1"/>
      <c r="S597" s="1"/>
      <c r="T597" s="1"/>
      <c r="U597" s="1"/>
      <c r="V597" s="1"/>
      <c r="W597" s="1"/>
      <c r="X597" s="1"/>
      <c r="Y597" s="1"/>
      <c r="Z597" s="1"/>
    </row>
    <row r="598" spans="1:26" ht="12.75" customHeight="1" x14ac:dyDescent="0.25">
      <c r="A598" s="1"/>
      <c r="B598" s="1"/>
      <c r="C598" s="3"/>
      <c r="D598" s="3"/>
      <c r="E598" s="5"/>
      <c r="F598" s="5"/>
      <c r="G598" s="3"/>
      <c r="H598" s="5"/>
      <c r="I598" s="1"/>
      <c r="J598" s="7"/>
      <c r="K598" s="1"/>
      <c r="L598" s="1"/>
      <c r="M598" s="1"/>
      <c r="N598" s="1"/>
      <c r="O598" s="1"/>
      <c r="P598" s="1"/>
      <c r="Q598" s="1"/>
      <c r="R598" s="1"/>
      <c r="S598" s="1"/>
      <c r="T598" s="1"/>
      <c r="U598" s="1"/>
      <c r="V598" s="1"/>
      <c r="W598" s="1"/>
      <c r="X598" s="1"/>
      <c r="Y598" s="1"/>
      <c r="Z598" s="1"/>
    </row>
    <row r="599" spans="1:26" ht="12.75" customHeight="1" x14ac:dyDescent="0.25">
      <c r="A599" s="1"/>
      <c r="B599" s="1"/>
      <c r="C599" s="3"/>
      <c r="D599" s="3"/>
      <c r="E599" s="5"/>
      <c r="F599" s="5"/>
      <c r="G599" s="3"/>
      <c r="H599" s="5"/>
      <c r="I599" s="1"/>
      <c r="J599" s="7"/>
      <c r="K599" s="1"/>
      <c r="L599" s="1"/>
      <c r="M599" s="1"/>
      <c r="N599" s="1"/>
      <c r="O599" s="1"/>
      <c r="P599" s="1"/>
      <c r="Q599" s="1"/>
      <c r="R599" s="1"/>
      <c r="S599" s="1"/>
      <c r="T599" s="1"/>
      <c r="U599" s="1"/>
      <c r="V599" s="1"/>
      <c r="W599" s="1"/>
      <c r="X599" s="1"/>
      <c r="Y599" s="1"/>
      <c r="Z599" s="1"/>
    </row>
    <row r="600" spans="1:26" ht="12.75" customHeight="1" x14ac:dyDescent="0.25">
      <c r="A600" s="1"/>
      <c r="B600" s="1"/>
      <c r="C600" s="3"/>
      <c r="D600" s="3"/>
      <c r="E600" s="5"/>
      <c r="F600" s="5"/>
      <c r="G600" s="3"/>
      <c r="H600" s="5"/>
      <c r="I600" s="1"/>
      <c r="J600" s="7"/>
      <c r="K600" s="1"/>
      <c r="L600" s="1"/>
      <c r="M600" s="1"/>
      <c r="N600" s="1"/>
      <c r="O600" s="1"/>
      <c r="P600" s="1"/>
      <c r="Q600" s="1"/>
      <c r="R600" s="1"/>
      <c r="S600" s="1"/>
      <c r="T600" s="1"/>
      <c r="U600" s="1"/>
      <c r="V600" s="1"/>
      <c r="W600" s="1"/>
      <c r="X600" s="1"/>
      <c r="Y600" s="1"/>
      <c r="Z600" s="1"/>
    </row>
    <row r="601" spans="1:26" ht="12.75" customHeight="1" x14ac:dyDescent="0.25">
      <c r="A601" s="1"/>
      <c r="B601" s="1"/>
      <c r="C601" s="3"/>
      <c r="D601" s="3"/>
      <c r="E601" s="5"/>
      <c r="F601" s="5"/>
      <c r="G601" s="3"/>
      <c r="H601" s="5"/>
      <c r="I601" s="1"/>
      <c r="J601" s="7"/>
      <c r="K601" s="1"/>
      <c r="L601" s="1"/>
      <c r="M601" s="1"/>
      <c r="N601" s="1"/>
      <c r="O601" s="1"/>
      <c r="P601" s="1"/>
      <c r="Q601" s="1"/>
      <c r="R601" s="1"/>
      <c r="S601" s="1"/>
      <c r="T601" s="1"/>
      <c r="U601" s="1"/>
      <c r="V601" s="1"/>
      <c r="W601" s="1"/>
      <c r="X601" s="1"/>
      <c r="Y601" s="1"/>
      <c r="Z601" s="1"/>
    </row>
    <row r="602" spans="1:26" ht="12.75" customHeight="1" x14ac:dyDescent="0.25">
      <c r="A602" s="1"/>
      <c r="B602" s="1"/>
      <c r="C602" s="3"/>
      <c r="D602" s="3"/>
      <c r="E602" s="5"/>
      <c r="F602" s="5"/>
      <c r="G602" s="3"/>
      <c r="H602" s="5"/>
      <c r="I602" s="1"/>
      <c r="J602" s="7"/>
      <c r="K602" s="1"/>
      <c r="L602" s="1"/>
      <c r="M602" s="1"/>
      <c r="N602" s="1"/>
      <c r="O602" s="1"/>
      <c r="P602" s="1"/>
      <c r="Q602" s="1"/>
      <c r="R602" s="1"/>
      <c r="S602" s="1"/>
      <c r="T602" s="1"/>
      <c r="U602" s="1"/>
      <c r="V602" s="1"/>
      <c r="W602" s="1"/>
      <c r="X602" s="1"/>
      <c r="Y602" s="1"/>
      <c r="Z602" s="1"/>
    </row>
    <row r="603" spans="1:26" ht="12.75" customHeight="1" x14ac:dyDescent="0.25">
      <c r="A603" s="1"/>
      <c r="B603" s="1"/>
      <c r="C603" s="3"/>
      <c r="D603" s="3"/>
      <c r="E603" s="5"/>
      <c r="F603" s="5"/>
      <c r="G603" s="3"/>
      <c r="H603" s="5"/>
      <c r="I603" s="1"/>
      <c r="J603" s="7"/>
      <c r="K603" s="1"/>
      <c r="L603" s="1"/>
      <c r="M603" s="1"/>
      <c r="N603" s="1"/>
      <c r="O603" s="1"/>
      <c r="P603" s="1"/>
      <c r="Q603" s="1"/>
      <c r="R603" s="1"/>
      <c r="S603" s="1"/>
      <c r="T603" s="1"/>
      <c r="U603" s="1"/>
      <c r="V603" s="1"/>
      <c r="W603" s="1"/>
      <c r="X603" s="1"/>
      <c r="Y603" s="1"/>
      <c r="Z603" s="1"/>
    </row>
    <row r="604" spans="1:26" ht="12.75" customHeight="1" x14ac:dyDescent="0.25">
      <c r="A604" s="1"/>
      <c r="B604" s="1"/>
      <c r="C604" s="3"/>
      <c r="D604" s="3"/>
      <c r="E604" s="5"/>
      <c r="F604" s="5"/>
      <c r="G604" s="3"/>
      <c r="H604" s="5"/>
      <c r="I604" s="1"/>
      <c r="J604" s="7"/>
      <c r="K604" s="1"/>
      <c r="L604" s="1"/>
      <c r="M604" s="1"/>
      <c r="N604" s="1"/>
      <c r="O604" s="1"/>
      <c r="P604" s="1"/>
      <c r="Q604" s="1"/>
      <c r="R604" s="1"/>
      <c r="S604" s="1"/>
      <c r="T604" s="1"/>
      <c r="U604" s="1"/>
      <c r="V604" s="1"/>
      <c r="W604" s="1"/>
      <c r="X604" s="1"/>
      <c r="Y604" s="1"/>
      <c r="Z604" s="1"/>
    </row>
    <row r="605" spans="1:26" ht="12.75" customHeight="1" x14ac:dyDescent="0.25">
      <c r="A605" s="1"/>
      <c r="B605" s="1"/>
      <c r="C605" s="3"/>
      <c r="D605" s="3"/>
      <c r="E605" s="5"/>
      <c r="F605" s="5"/>
      <c r="G605" s="3"/>
      <c r="H605" s="5"/>
      <c r="I605" s="1"/>
      <c r="J605" s="7"/>
      <c r="K605" s="1"/>
      <c r="L605" s="1"/>
      <c r="M605" s="1"/>
      <c r="N605" s="1"/>
      <c r="O605" s="1"/>
      <c r="P605" s="1"/>
      <c r="Q605" s="1"/>
      <c r="R605" s="1"/>
      <c r="S605" s="1"/>
      <c r="T605" s="1"/>
      <c r="U605" s="1"/>
      <c r="V605" s="1"/>
      <c r="W605" s="1"/>
      <c r="X605" s="1"/>
      <c r="Y605" s="1"/>
      <c r="Z605" s="1"/>
    </row>
    <row r="606" spans="1:26" ht="12.75" customHeight="1" x14ac:dyDescent="0.25">
      <c r="A606" s="1"/>
      <c r="B606" s="1"/>
      <c r="C606" s="3"/>
      <c r="D606" s="3"/>
      <c r="E606" s="5"/>
      <c r="F606" s="5"/>
      <c r="G606" s="3"/>
      <c r="H606" s="5"/>
      <c r="I606" s="1"/>
      <c r="J606" s="7"/>
      <c r="K606" s="1"/>
      <c r="L606" s="1"/>
      <c r="M606" s="1"/>
      <c r="N606" s="1"/>
      <c r="O606" s="1"/>
      <c r="P606" s="1"/>
      <c r="Q606" s="1"/>
      <c r="R606" s="1"/>
      <c r="S606" s="1"/>
      <c r="T606" s="1"/>
      <c r="U606" s="1"/>
      <c r="V606" s="1"/>
      <c r="W606" s="1"/>
      <c r="X606" s="1"/>
      <c r="Y606" s="1"/>
      <c r="Z606" s="1"/>
    </row>
    <row r="607" spans="1:26" ht="12.75" customHeight="1" x14ac:dyDescent="0.25">
      <c r="A607" s="1"/>
      <c r="B607" s="1"/>
      <c r="C607" s="3"/>
      <c r="D607" s="3"/>
      <c r="E607" s="5"/>
      <c r="F607" s="5"/>
      <c r="G607" s="3"/>
      <c r="H607" s="5"/>
      <c r="I607" s="1"/>
      <c r="J607" s="7"/>
      <c r="K607" s="1"/>
      <c r="L607" s="1"/>
      <c r="M607" s="1"/>
      <c r="N607" s="1"/>
      <c r="O607" s="1"/>
      <c r="P607" s="1"/>
      <c r="Q607" s="1"/>
      <c r="R607" s="1"/>
      <c r="S607" s="1"/>
      <c r="T607" s="1"/>
      <c r="U607" s="1"/>
      <c r="V607" s="1"/>
      <c r="W607" s="1"/>
      <c r="X607" s="1"/>
      <c r="Y607" s="1"/>
      <c r="Z607" s="1"/>
    </row>
    <row r="608" spans="1:26" ht="12.75" customHeight="1" x14ac:dyDescent="0.25">
      <c r="A608" s="1"/>
      <c r="B608" s="1"/>
      <c r="C608" s="3"/>
      <c r="D608" s="3"/>
      <c r="E608" s="5"/>
      <c r="F608" s="5"/>
      <c r="G608" s="3"/>
      <c r="H608" s="5"/>
      <c r="I608" s="1"/>
      <c r="J608" s="7"/>
      <c r="K608" s="1"/>
      <c r="L608" s="1"/>
      <c r="M608" s="1"/>
      <c r="N608" s="1"/>
      <c r="O608" s="1"/>
      <c r="P608" s="1"/>
      <c r="Q608" s="1"/>
      <c r="R608" s="1"/>
      <c r="S608" s="1"/>
      <c r="T608" s="1"/>
      <c r="U608" s="1"/>
      <c r="V608" s="1"/>
      <c r="W608" s="1"/>
      <c r="X608" s="1"/>
      <c r="Y608" s="1"/>
      <c r="Z608" s="1"/>
    </row>
    <row r="609" spans="1:26" ht="12.75" customHeight="1" x14ac:dyDescent="0.25">
      <c r="A609" s="1"/>
      <c r="B609" s="1"/>
      <c r="C609" s="3"/>
      <c r="D609" s="3"/>
      <c r="E609" s="5"/>
      <c r="F609" s="5"/>
      <c r="G609" s="3"/>
      <c r="H609" s="5"/>
      <c r="I609" s="1"/>
      <c r="J609" s="7"/>
      <c r="K609" s="1"/>
      <c r="L609" s="1"/>
      <c r="M609" s="1"/>
      <c r="N609" s="1"/>
      <c r="O609" s="1"/>
      <c r="P609" s="1"/>
      <c r="Q609" s="1"/>
      <c r="R609" s="1"/>
      <c r="S609" s="1"/>
      <c r="T609" s="1"/>
      <c r="U609" s="1"/>
      <c r="V609" s="1"/>
      <c r="W609" s="1"/>
      <c r="X609" s="1"/>
      <c r="Y609" s="1"/>
      <c r="Z609" s="1"/>
    </row>
    <row r="610" spans="1:26" ht="12.75" customHeight="1" x14ac:dyDescent="0.25">
      <c r="A610" s="1"/>
      <c r="B610" s="1"/>
      <c r="C610" s="3"/>
      <c r="D610" s="3"/>
      <c r="E610" s="5"/>
      <c r="F610" s="5"/>
      <c r="G610" s="3"/>
      <c r="H610" s="5"/>
      <c r="I610" s="1"/>
      <c r="J610" s="7"/>
      <c r="K610" s="1"/>
      <c r="L610" s="1"/>
      <c r="M610" s="1"/>
      <c r="N610" s="1"/>
      <c r="O610" s="1"/>
      <c r="P610" s="1"/>
      <c r="Q610" s="1"/>
      <c r="R610" s="1"/>
      <c r="S610" s="1"/>
      <c r="T610" s="1"/>
      <c r="U610" s="1"/>
      <c r="V610" s="1"/>
      <c r="W610" s="1"/>
      <c r="X610" s="1"/>
      <c r="Y610" s="1"/>
      <c r="Z610" s="1"/>
    </row>
    <row r="611" spans="1:26" ht="12.75" customHeight="1" x14ac:dyDescent="0.25">
      <c r="A611" s="1"/>
      <c r="B611" s="1"/>
      <c r="C611" s="3"/>
      <c r="D611" s="3"/>
      <c r="E611" s="5"/>
      <c r="F611" s="5"/>
      <c r="G611" s="3"/>
      <c r="H611" s="5"/>
      <c r="I611" s="1"/>
      <c r="J611" s="7"/>
      <c r="K611" s="1"/>
      <c r="L611" s="1"/>
      <c r="M611" s="1"/>
      <c r="N611" s="1"/>
      <c r="O611" s="1"/>
      <c r="P611" s="1"/>
      <c r="Q611" s="1"/>
      <c r="R611" s="1"/>
      <c r="S611" s="1"/>
      <c r="T611" s="1"/>
      <c r="U611" s="1"/>
      <c r="V611" s="1"/>
      <c r="W611" s="1"/>
      <c r="X611" s="1"/>
      <c r="Y611" s="1"/>
      <c r="Z611" s="1"/>
    </row>
    <row r="612" spans="1:26" ht="12.75" customHeight="1" x14ac:dyDescent="0.25">
      <c r="A612" s="1"/>
      <c r="B612" s="1"/>
      <c r="C612" s="3"/>
      <c r="D612" s="3"/>
      <c r="E612" s="5"/>
      <c r="F612" s="5"/>
      <c r="G612" s="3"/>
      <c r="H612" s="5"/>
      <c r="I612" s="1"/>
      <c r="J612" s="7"/>
      <c r="K612" s="1"/>
      <c r="L612" s="1"/>
      <c r="M612" s="1"/>
      <c r="N612" s="1"/>
      <c r="O612" s="1"/>
      <c r="P612" s="1"/>
      <c r="Q612" s="1"/>
      <c r="R612" s="1"/>
      <c r="S612" s="1"/>
      <c r="T612" s="1"/>
      <c r="U612" s="1"/>
      <c r="V612" s="1"/>
      <c r="W612" s="1"/>
      <c r="X612" s="1"/>
      <c r="Y612" s="1"/>
      <c r="Z612" s="1"/>
    </row>
    <row r="613" spans="1:26" ht="12.75" customHeight="1" x14ac:dyDescent="0.25">
      <c r="A613" s="1"/>
      <c r="B613" s="1"/>
      <c r="C613" s="3"/>
      <c r="D613" s="3"/>
      <c r="E613" s="5"/>
      <c r="F613" s="5"/>
      <c r="G613" s="3"/>
      <c r="H613" s="5"/>
      <c r="I613" s="1"/>
      <c r="J613" s="7"/>
      <c r="K613" s="1"/>
      <c r="L613" s="1"/>
      <c r="M613" s="1"/>
      <c r="N613" s="1"/>
      <c r="O613" s="1"/>
      <c r="P613" s="1"/>
      <c r="Q613" s="1"/>
      <c r="R613" s="1"/>
      <c r="S613" s="1"/>
      <c r="T613" s="1"/>
      <c r="U613" s="1"/>
      <c r="V613" s="1"/>
      <c r="W613" s="1"/>
      <c r="X613" s="1"/>
      <c r="Y613" s="1"/>
      <c r="Z613" s="1"/>
    </row>
    <row r="614" spans="1:26" ht="12.75" customHeight="1" x14ac:dyDescent="0.25">
      <c r="A614" s="1"/>
      <c r="B614" s="1"/>
      <c r="C614" s="3"/>
      <c r="D614" s="3"/>
      <c r="E614" s="5"/>
      <c r="F614" s="5"/>
      <c r="G614" s="3"/>
      <c r="H614" s="5"/>
      <c r="I614" s="1"/>
      <c r="J614" s="7"/>
      <c r="K614" s="1"/>
      <c r="L614" s="1"/>
      <c r="M614" s="1"/>
      <c r="N614" s="1"/>
      <c r="O614" s="1"/>
      <c r="P614" s="1"/>
      <c r="Q614" s="1"/>
      <c r="R614" s="1"/>
      <c r="S614" s="1"/>
      <c r="T614" s="1"/>
      <c r="U614" s="1"/>
      <c r="V614" s="1"/>
      <c r="W614" s="1"/>
      <c r="X614" s="1"/>
      <c r="Y614" s="1"/>
      <c r="Z614" s="1"/>
    </row>
    <row r="615" spans="1:26" ht="12.75" customHeight="1" x14ac:dyDescent="0.25">
      <c r="A615" s="1"/>
      <c r="B615" s="1"/>
      <c r="C615" s="3"/>
      <c r="D615" s="3"/>
      <c r="E615" s="5"/>
      <c r="F615" s="5"/>
      <c r="G615" s="3"/>
      <c r="H615" s="5"/>
      <c r="I615" s="1"/>
      <c r="J615" s="7"/>
      <c r="K615" s="1"/>
      <c r="L615" s="1"/>
      <c r="M615" s="1"/>
      <c r="N615" s="1"/>
      <c r="O615" s="1"/>
      <c r="P615" s="1"/>
      <c r="Q615" s="1"/>
      <c r="R615" s="1"/>
      <c r="S615" s="1"/>
      <c r="T615" s="1"/>
      <c r="U615" s="1"/>
      <c r="V615" s="1"/>
      <c r="W615" s="1"/>
      <c r="X615" s="1"/>
      <c r="Y615" s="1"/>
      <c r="Z615" s="1"/>
    </row>
    <row r="616" spans="1:26" ht="12.75" customHeight="1" x14ac:dyDescent="0.25">
      <c r="A616" s="1"/>
      <c r="B616" s="1"/>
      <c r="C616" s="3"/>
      <c r="D616" s="3"/>
      <c r="E616" s="5"/>
      <c r="F616" s="5"/>
      <c r="G616" s="3"/>
      <c r="H616" s="5"/>
      <c r="I616" s="1"/>
      <c r="J616" s="7"/>
      <c r="K616" s="1"/>
      <c r="L616" s="1"/>
      <c r="M616" s="1"/>
      <c r="N616" s="1"/>
      <c r="O616" s="1"/>
      <c r="P616" s="1"/>
      <c r="Q616" s="1"/>
      <c r="R616" s="1"/>
      <c r="S616" s="1"/>
      <c r="T616" s="1"/>
      <c r="U616" s="1"/>
      <c r="V616" s="1"/>
      <c r="W616" s="1"/>
      <c r="X616" s="1"/>
      <c r="Y616" s="1"/>
      <c r="Z616" s="1"/>
    </row>
    <row r="617" spans="1:26" ht="12.75" customHeight="1" x14ac:dyDescent="0.25">
      <c r="A617" s="1"/>
      <c r="B617" s="1"/>
      <c r="C617" s="3"/>
      <c r="D617" s="3"/>
      <c r="E617" s="5"/>
      <c r="F617" s="5"/>
      <c r="G617" s="3"/>
      <c r="H617" s="5"/>
      <c r="I617" s="1"/>
      <c r="J617" s="7"/>
      <c r="K617" s="1"/>
      <c r="L617" s="1"/>
      <c r="M617" s="1"/>
      <c r="N617" s="1"/>
      <c r="O617" s="1"/>
      <c r="P617" s="1"/>
      <c r="Q617" s="1"/>
      <c r="R617" s="1"/>
      <c r="S617" s="1"/>
      <c r="T617" s="1"/>
      <c r="U617" s="1"/>
      <c r="V617" s="1"/>
      <c r="W617" s="1"/>
      <c r="X617" s="1"/>
      <c r="Y617" s="1"/>
      <c r="Z617" s="1"/>
    </row>
    <row r="618" spans="1:26" ht="12.75" customHeight="1" x14ac:dyDescent="0.25">
      <c r="A618" s="1"/>
      <c r="B618" s="1"/>
      <c r="C618" s="3"/>
      <c r="D618" s="3"/>
      <c r="E618" s="5"/>
      <c r="F618" s="5"/>
      <c r="G618" s="3"/>
      <c r="H618" s="5"/>
      <c r="I618" s="1"/>
      <c r="J618" s="7"/>
      <c r="K618" s="1"/>
      <c r="L618" s="1"/>
      <c r="M618" s="1"/>
      <c r="N618" s="1"/>
      <c r="O618" s="1"/>
      <c r="P618" s="1"/>
      <c r="Q618" s="1"/>
      <c r="R618" s="1"/>
      <c r="S618" s="1"/>
      <c r="T618" s="1"/>
      <c r="U618" s="1"/>
      <c r="V618" s="1"/>
      <c r="W618" s="1"/>
      <c r="X618" s="1"/>
      <c r="Y618" s="1"/>
      <c r="Z618" s="1"/>
    </row>
    <row r="619" spans="1:26" ht="12.75" customHeight="1" x14ac:dyDescent="0.25">
      <c r="A619" s="1"/>
      <c r="B619" s="1"/>
      <c r="C619" s="3"/>
      <c r="D619" s="3"/>
      <c r="E619" s="5"/>
      <c r="F619" s="5"/>
      <c r="G619" s="3"/>
      <c r="H619" s="5"/>
      <c r="I619" s="1"/>
      <c r="J619" s="7"/>
      <c r="K619" s="1"/>
      <c r="L619" s="1"/>
      <c r="M619" s="1"/>
      <c r="N619" s="1"/>
      <c r="O619" s="1"/>
      <c r="P619" s="1"/>
      <c r="Q619" s="1"/>
      <c r="R619" s="1"/>
      <c r="S619" s="1"/>
      <c r="T619" s="1"/>
      <c r="U619" s="1"/>
      <c r="V619" s="1"/>
      <c r="W619" s="1"/>
      <c r="X619" s="1"/>
      <c r="Y619" s="1"/>
      <c r="Z619" s="1"/>
    </row>
    <row r="620" spans="1:26" ht="12.75" customHeight="1" x14ac:dyDescent="0.25">
      <c r="A620" s="1"/>
      <c r="B620" s="1"/>
      <c r="C620" s="3"/>
      <c r="D620" s="3"/>
      <c r="E620" s="5"/>
      <c r="F620" s="5"/>
      <c r="G620" s="3"/>
      <c r="H620" s="5"/>
      <c r="I620" s="1"/>
      <c r="J620" s="7"/>
      <c r="K620" s="1"/>
      <c r="L620" s="1"/>
      <c r="M620" s="1"/>
      <c r="N620" s="1"/>
      <c r="O620" s="1"/>
      <c r="P620" s="1"/>
      <c r="Q620" s="1"/>
      <c r="R620" s="1"/>
      <c r="S620" s="1"/>
      <c r="T620" s="1"/>
      <c r="U620" s="1"/>
      <c r="V620" s="1"/>
      <c r="W620" s="1"/>
      <c r="X620" s="1"/>
      <c r="Y620" s="1"/>
      <c r="Z620" s="1"/>
    </row>
    <row r="621" spans="1:26" ht="12.75" customHeight="1" x14ac:dyDescent="0.25">
      <c r="A621" s="1"/>
      <c r="B621" s="1"/>
      <c r="C621" s="3"/>
      <c r="D621" s="3"/>
      <c r="E621" s="5"/>
      <c r="F621" s="5"/>
      <c r="G621" s="3"/>
      <c r="H621" s="5"/>
      <c r="I621" s="1"/>
      <c r="J621" s="7"/>
      <c r="K621" s="1"/>
      <c r="L621" s="1"/>
      <c r="M621" s="1"/>
      <c r="N621" s="1"/>
      <c r="O621" s="1"/>
      <c r="P621" s="1"/>
      <c r="Q621" s="1"/>
      <c r="R621" s="1"/>
      <c r="S621" s="1"/>
      <c r="T621" s="1"/>
      <c r="U621" s="1"/>
      <c r="V621" s="1"/>
      <c r="W621" s="1"/>
      <c r="X621" s="1"/>
      <c r="Y621" s="1"/>
      <c r="Z621" s="1"/>
    </row>
    <row r="622" spans="1:26" ht="12.75" customHeight="1" x14ac:dyDescent="0.25">
      <c r="A622" s="1"/>
      <c r="B622" s="1"/>
      <c r="C622" s="3"/>
      <c r="D622" s="3"/>
      <c r="E622" s="5"/>
      <c r="F622" s="5"/>
      <c r="G622" s="3"/>
      <c r="H622" s="5"/>
      <c r="I622" s="1"/>
      <c r="J622" s="7"/>
      <c r="K622" s="1"/>
      <c r="L622" s="1"/>
      <c r="M622" s="1"/>
      <c r="N622" s="1"/>
      <c r="O622" s="1"/>
      <c r="P622" s="1"/>
      <c r="Q622" s="1"/>
      <c r="R622" s="1"/>
      <c r="S622" s="1"/>
      <c r="T622" s="1"/>
      <c r="U622" s="1"/>
      <c r="V622" s="1"/>
      <c r="W622" s="1"/>
      <c r="X622" s="1"/>
      <c r="Y622" s="1"/>
      <c r="Z622" s="1"/>
    </row>
    <row r="623" spans="1:26" ht="12.75" customHeight="1" x14ac:dyDescent="0.25">
      <c r="A623" s="1"/>
      <c r="B623" s="1"/>
      <c r="C623" s="3"/>
      <c r="D623" s="3"/>
      <c r="E623" s="5"/>
      <c r="F623" s="5"/>
      <c r="G623" s="3"/>
      <c r="H623" s="5"/>
      <c r="I623" s="1"/>
      <c r="J623" s="7"/>
      <c r="K623" s="1"/>
      <c r="L623" s="1"/>
      <c r="M623" s="1"/>
      <c r="N623" s="1"/>
      <c r="O623" s="1"/>
      <c r="P623" s="1"/>
      <c r="Q623" s="1"/>
      <c r="R623" s="1"/>
      <c r="S623" s="1"/>
      <c r="T623" s="1"/>
      <c r="U623" s="1"/>
      <c r="V623" s="1"/>
      <c r="W623" s="1"/>
      <c r="X623" s="1"/>
      <c r="Y623" s="1"/>
      <c r="Z623" s="1"/>
    </row>
    <row r="624" spans="1:26" ht="12.75" customHeight="1" x14ac:dyDescent="0.25">
      <c r="A624" s="1"/>
      <c r="B624" s="1"/>
      <c r="C624" s="3"/>
      <c r="D624" s="3"/>
      <c r="E624" s="5"/>
      <c r="F624" s="5"/>
      <c r="G624" s="3"/>
      <c r="H624" s="5"/>
      <c r="I624" s="1"/>
      <c r="J624" s="7"/>
      <c r="K624" s="1"/>
      <c r="L624" s="1"/>
      <c r="M624" s="1"/>
      <c r="N624" s="1"/>
      <c r="O624" s="1"/>
      <c r="P624" s="1"/>
      <c r="Q624" s="1"/>
      <c r="R624" s="1"/>
      <c r="S624" s="1"/>
      <c r="T624" s="1"/>
      <c r="U624" s="1"/>
      <c r="V624" s="1"/>
      <c r="W624" s="1"/>
      <c r="X624" s="1"/>
      <c r="Y624" s="1"/>
      <c r="Z624" s="1"/>
    </row>
    <row r="625" spans="1:26" ht="12.75" customHeight="1" x14ac:dyDescent="0.25">
      <c r="A625" s="1"/>
      <c r="B625" s="1"/>
      <c r="C625" s="3"/>
      <c r="D625" s="3"/>
      <c r="E625" s="5"/>
      <c r="F625" s="5"/>
      <c r="G625" s="3"/>
      <c r="H625" s="5"/>
      <c r="I625" s="1"/>
      <c r="J625" s="7"/>
      <c r="K625" s="1"/>
      <c r="L625" s="1"/>
      <c r="M625" s="1"/>
      <c r="N625" s="1"/>
      <c r="O625" s="1"/>
      <c r="P625" s="1"/>
      <c r="Q625" s="1"/>
      <c r="R625" s="1"/>
      <c r="S625" s="1"/>
      <c r="T625" s="1"/>
      <c r="U625" s="1"/>
      <c r="V625" s="1"/>
      <c r="W625" s="1"/>
      <c r="X625" s="1"/>
      <c r="Y625" s="1"/>
      <c r="Z625" s="1"/>
    </row>
    <row r="626" spans="1:26" ht="12.75" customHeight="1" x14ac:dyDescent="0.25">
      <c r="A626" s="1"/>
      <c r="B626" s="1"/>
      <c r="C626" s="3"/>
      <c r="D626" s="3"/>
      <c r="E626" s="5"/>
      <c r="F626" s="5"/>
      <c r="G626" s="3"/>
      <c r="H626" s="5"/>
      <c r="I626" s="1"/>
      <c r="J626" s="7"/>
      <c r="K626" s="1"/>
      <c r="L626" s="1"/>
      <c r="M626" s="1"/>
      <c r="N626" s="1"/>
      <c r="O626" s="1"/>
      <c r="P626" s="1"/>
      <c r="Q626" s="1"/>
      <c r="R626" s="1"/>
      <c r="S626" s="1"/>
      <c r="T626" s="1"/>
      <c r="U626" s="1"/>
      <c r="V626" s="1"/>
      <c r="W626" s="1"/>
      <c r="X626" s="1"/>
      <c r="Y626" s="1"/>
      <c r="Z626" s="1"/>
    </row>
    <row r="627" spans="1:26" ht="12.75" customHeight="1" x14ac:dyDescent="0.25">
      <c r="A627" s="1"/>
      <c r="B627" s="1"/>
      <c r="C627" s="3"/>
      <c r="D627" s="3"/>
      <c r="E627" s="5"/>
      <c r="F627" s="5"/>
      <c r="G627" s="3"/>
      <c r="H627" s="5"/>
      <c r="I627" s="1"/>
      <c r="J627" s="7"/>
      <c r="K627" s="1"/>
      <c r="L627" s="1"/>
      <c r="M627" s="1"/>
      <c r="N627" s="1"/>
      <c r="O627" s="1"/>
      <c r="P627" s="1"/>
      <c r="Q627" s="1"/>
      <c r="R627" s="1"/>
      <c r="S627" s="1"/>
      <c r="T627" s="1"/>
      <c r="U627" s="1"/>
      <c r="V627" s="1"/>
      <c r="W627" s="1"/>
      <c r="X627" s="1"/>
      <c r="Y627" s="1"/>
      <c r="Z627" s="1"/>
    </row>
    <row r="628" spans="1:26" ht="12.75" customHeight="1" x14ac:dyDescent="0.25">
      <c r="A628" s="1"/>
      <c r="B628" s="1"/>
      <c r="C628" s="3"/>
      <c r="D628" s="3"/>
      <c r="E628" s="5"/>
      <c r="F628" s="5"/>
      <c r="G628" s="3"/>
      <c r="H628" s="5"/>
      <c r="I628" s="1"/>
      <c r="J628" s="7"/>
      <c r="K628" s="1"/>
      <c r="L628" s="1"/>
      <c r="M628" s="1"/>
      <c r="N628" s="1"/>
      <c r="O628" s="1"/>
      <c r="P628" s="1"/>
      <c r="Q628" s="1"/>
      <c r="R628" s="1"/>
      <c r="S628" s="1"/>
      <c r="T628" s="1"/>
      <c r="U628" s="1"/>
      <c r="V628" s="1"/>
      <c r="W628" s="1"/>
      <c r="X628" s="1"/>
      <c r="Y628" s="1"/>
      <c r="Z628" s="1"/>
    </row>
    <row r="629" spans="1:26" ht="12.75" customHeight="1" x14ac:dyDescent="0.25">
      <c r="A629" s="1"/>
      <c r="B629" s="1"/>
      <c r="C629" s="3"/>
      <c r="D629" s="3"/>
      <c r="E629" s="5"/>
      <c r="F629" s="5"/>
      <c r="G629" s="3"/>
      <c r="H629" s="5"/>
      <c r="I629" s="1"/>
      <c r="J629" s="7"/>
      <c r="K629" s="1"/>
      <c r="L629" s="1"/>
      <c r="M629" s="1"/>
      <c r="N629" s="1"/>
      <c r="O629" s="1"/>
      <c r="P629" s="1"/>
      <c r="Q629" s="1"/>
      <c r="R629" s="1"/>
      <c r="S629" s="1"/>
      <c r="T629" s="1"/>
      <c r="U629" s="1"/>
      <c r="V629" s="1"/>
      <c r="W629" s="1"/>
      <c r="X629" s="1"/>
      <c r="Y629" s="1"/>
      <c r="Z629" s="1"/>
    </row>
    <row r="630" spans="1:26" ht="12.75" customHeight="1" x14ac:dyDescent="0.25">
      <c r="A630" s="1"/>
      <c r="B630" s="1"/>
      <c r="C630" s="3"/>
      <c r="D630" s="3"/>
      <c r="E630" s="5"/>
      <c r="F630" s="5"/>
      <c r="G630" s="3"/>
      <c r="H630" s="5"/>
      <c r="I630" s="1"/>
      <c r="J630" s="7"/>
      <c r="K630" s="1"/>
      <c r="L630" s="1"/>
      <c r="M630" s="1"/>
      <c r="N630" s="1"/>
      <c r="O630" s="1"/>
      <c r="P630" s="1"/>
      <c r="Q630" s="1"/>
      <c r="R630" s="1"/>
      <c r="S630" s="1"/>
      <c r="T630" s="1"/>
      <c r="U630" s="1"/>
      <c r="V630" s="1"/>
      <c r="W630" s="1"/>
      <c r="X630" s="1"/>
      <c r="Y630" s="1"/>
      <c r="Z630" s="1"/>
    </row>
    <row r="631" spans="1:26" ht="12.75" customHeight="1" x14ac:dyDescent="0.25">
      <c r="A631" s="1"/>
      <c r="B631" s="1"/>
      <c r="C631" s="3"/>
      <c r="D631" s="3"/>
      <c r="E631" s="5"/>
      <c r="F631" s="5"/>
      <c r="G631" s="3"/>
      <c r="H631" s="5"/>
      <c r="I631" s="1"/>
      <c r="J631" s="7"/>
      <c r="K631" s="1"/>
      <c r="L631" s="1"/>
      <c r="M631" s="1"/>
      <c r="N631" s="1"/>
      <c r="O631" s="1"/>
      <c r="P631" s="1"/>
      <c r="Q631" s="1"/>
      <c r="R631" s="1"/>
      <c r="S631" s="1"/>
      <c r="T631" s="1"/>
      <c r="U631" s="1"/>
      <c r="V631" s="1"/>
      <c r="W631" s="1"/>
      <c r="X631" s="1"/>
      <c r="Y631" s="1"/>
      <c r="Z631" s="1"/>
    </row>
    <row r="632" spans="1:26" ht="12.75" customHeight="1" x14ac:dyDescent="0.25">
      <c r="A632" s="1"/>
      <c r="B632" s="1"/>
      <c r="C632" s="3"/>
      <c r="D632" s="3"/>
      <c r="E632" s="5"/>
      <c r="F632" s="5"/>
      <c r="G632" s="3"/>
      <c r="H632" s="5"/>
      <c r="I632" s="1"/>
      <c r="J632" s="7"/>
      <c r="K632" s="1"/>
      <c r="L632" s="1"/>
      <c r="M632" s="1"/>
      <c r="N632" s="1"/>
      <c r="O632" s="1"/>
      <c r="P632" s="1"/>
      <c r="Q632" s="1"/>
      <c r="R632" s="1"/>
      <c r="S632" s="1"/>
      <c r="T632" s="1"/>
      <c r="U632" s="1"/>
      <c r="V632" s="1"/>
      <c r="W632" s="1"/>
      <c r="X632" s="1"/>
      <c r="Y632" s="1"/>
      <c r="Z632" s="1"/>
    </row>
    <row r="633" spans="1:26" ht="12.75" customHeight="1" x14ac:dyDescent="0.25">
      <c r="A633" s="1"/>
      <c r="B633" s="1"/>
      <c r="C633" s="3"/>
      <c r="D633" s="3"/>
      <c r="E633" s="5"/>
      <c r="F633" s="5"/>
      <c r="G633" s="3"/>
      <c r="H633" s="5"/>
      <c r="I633" s="1"/>
      <c r="J633" s="7"/>
      <c r="K633" s="1"/>
      <c r="L633" s="1"/>
      <c r="M633" s="1"/>
      <c r="N633" s="1"/>
      <c r="O633" s="1"/>
      <c r="P633" s="1"/>
      <c r="Q633" s="1"/>
      <c r="R633" s="1"/>
      <c r="S633" s="1"/>
      <c r="T633" s="1"/>
      <c r="U633" s="1"/>
      <c r="V633" s="1"/>
      <c r="W633" s="1"/>
      <c r="X633" s="1"/>
      <c r="Y633" s="1"/>
      <c r="Z633" s="1"/>
    </row>
    <row r="634" spans="1:26" ht="12.75" customHeight="1" x14ac:dyDescent="0.25">
      <c r="A634" s="1"/>
      <c r="B634" s="1"/>
      <c r="C634" s="3"/>
      <c r="D634" s="3"/>
      <c r="E634" s="5"/>
      <c r="F634" s="5"/>
      <c r="G634" s="3"/>
      <c r="H634" s="5"/>
      <c r="I634" s="1"/>
      <c r="J634" s="7"/>
      <c r="K634" s="1"/>
      <c r="L634" s="1"/>
      <c r="M634" s="1"/>
      <c r="N634" s="1"/>
      <c r="O634" s="1"/>
      <c r="P634" s="1"/>
      <c r="Q634" s="1"/>
      <c r="R634" s="1"/>
      <c r="S634" s="1"/>
      <c r="T634" s="1"/>
      <c r="U634" s="1"/>
      <c r="V634" s="1"/>
      <c r="W634" s="1"/>
      <c r="X634" s="1"/>
      <c r="Y634" s="1"/>
      <c r="Z634" s="1"/>
    </row>
    <row r="635" spans="1:26" ht="12.75" customHeight="1" x14ac:dyDescent="0.25">
      <c r="A635" s="1"/>
      <c r="B635" s="1"/>
      <c r="C635" s="3"/>
      <c r="D635" s="3"/>
      <c r="E635" s="5"/>
      <c r="F635" s="5"/>
      <c r="G635" s="3"/>
      <c r="H635" s="5"/>
      <c r="I635" s="1"/>
      <c r="J635" s="7"/>
      <c r="K635" s="1"/>
      <c r="L635" s="1"/>
      <c r="M635" s="1"/>
      <c r="N635" s="1"/>
      <c r="O635" s="1"/>
      <c r="P635" s="1"/>
      <c r="Q635" s="1"/>
      <c r="R635" s="1"/>
      <c r="S635" s="1"/>
      <c r="T635" s="1"/>
      <c r="U635" s="1"/>
      <c r="V635" s="1"/>
      <c r="W635" s="1"/>
      <c r="X635" s="1"/>
      <c r="Y635" s="1"/>
      <c r="Z635" s="1"/>
    </row>
    <row r="636" spans="1:26" ht="12.75" customHeight="1" x14ac:dyDescent="0.25">
      <c r="A636" s="1"/>
      <c r="B636" s="1"/>
      <c r="C636" s="3"/>
      <c r="D636" s="3"/>
      <c r="E636" s="5"/>
      <c r="F636" s="5"/>
      <c r="G636" s="3"/>
      <c r="H636" s="5"/>
      <c r="I636" s="1"/>
      <c r="J636" s="7"/>
      <c r="K636" s="1"/>
      <c r="L636" s="1"/>
      <c r="M636" s="1"/>
      <c r="N636" s="1"/>
      <c r="O636" s="1"/>
      <c r="P636" s="1"/>
      <c r="Q636" s="1"/>
      <c r="R636" s="1"/>
      <c r="S636" s="1"/>
      <c r="T636" s="1"/>
      <c r="U636" s="1"/>
      <c r="V636" s="1"/>
      <c r="W636" s="1"/>
      <c r="X636" s="1"/>
      <c r="Y636" s="1"/>
      <c r="Z636" s="1"/>
    </row>
    <row r="637" spans="1:26" ht="12.75" customHeight="1" x14ac:dyDescent="0.25">
      <c r="A637" s="1"/>
      <c r="B637" s="1"/>
      <c r="C637" s="3"/>
      <c r="D637" s="3"/>
      <c r="E637" s="5"/>
      <c r="F637" s="5"/>
      <c r="G637" s="3"/>
      <c r="H637" s="5"/>
      <c r="I637" s="1"/>
      <c r="J637" s="7"/>
      <c r="K637" s="1"/>
      <c r="L637" s="1"/>
      <c r="M637" s="1"/>
      <c r="N637" s="1"/>
      <c r="O637" s="1"/>
      <c r="P637" s="1"/>
      <c r="Q637" s="1"/>
      <c r="R637" s="1"/>
      <c r="S637" s="1"/>
      <c r="T637" s="1"/>
      <c r="U637" s="1"/>
      <c r="V637" s="1"/>
      <c r="W637" s="1"/>
      <c r="X637" s="1"/>
      <c r="Y637" s="1"/>
      <c r="Z637" s="1"/>
    </row>
    <row r="638" spans="1:26" ht="12.75" customHeight="1" x14ac:dyDescent="0.25">
      <c r="A638" s="1"/>
      <c r="B638" s="1"/>
      <c r="C638" s="3"/>
      <c r="D638" s="3"/>
      <c r="E638" s="5"/>
      <c r="F638" s="5"/>
      <c r="G638" s="3"/>
      <c r="H638" s="5"/>
      <c r="I638" s="1"/>
      <c r="J638" s="7"/>
      <c r="K638" s="1"/>
      <c r="L638" s="1"/>
      <c r="M638" s="1"/>
      <c r="N638" s="1"/>
      <c r="O638" s="1"/>
      <c r="P638" s="1"/>
      <c r="Q638" s="1"/>
      <c r="R638" s="1"/>
      <c r="S638" s="1"/>
      <c r="T638" s="1"/>
      <c r="U638" s="1"/>
      <c r="V638" s="1"/>
      <c r="W638" s="1"/>
      <c r="X638" s="1"/>
      <c r="Y638" s="1"/>
      <c r="Z638" s="1"/>
    </row>
    <row r="639" spans="1:26" ht="12.75" customHeight="1" x14ac:dyDescent="0.25">
      <c r="A639" s="1"/>
      <c r="B639" s="1"/>
      <c r="C639" s="3"/>
      <c r="D639" s="3"/>
      <c r="E639" s="5"/>
      <c r="F639" s="5"/>
      <c r="G639" s="3"/>
      <c r="H639" s="5"/>
      <c r="I639" s="1"/>
      <c r="J639" s="7"/>
      <c r="K639" s="1"/>
      <c r="L639" s="1"/>
      <c r="M639" s="1"/>
      <c r="N639" s="1"/>
      <c r="O639" s="1"/>
      <c r="P639" s="1"/>
      <c r="Q639" s="1"/>
      <c r="R639" s="1"/>
      <c r="S639" s="1"/>
      <c r="T639" s="1"/>
      <c r="U639" s="1"/>
      <c r="V639" s="1"/>
      <c r="W639" s="1"/>
      <c r="X639" s="1"/>
      <c r="Y639" s="1"/>
      <c r="Z639" s="1"/>
    </row>
    <row r="640" spans="1:26" ht="12.75" customHeight="1" x14ac:dyDescent="0.25">
      <c r="A640" s="1"/>
      <c r="B640" s="1"/>
      <c r="C640" s="3"/>
      <c r="D640" s="3"/>
      <c r="E640" s="5"/>
      <c r="F640" s="5"/>
      <c r="G640" s="3"/>
      <c r="H640" s="5"/>
      <c r="I640" s="1"/>
      <c r="J640" s="7"/>
      <c r="K640" s="1"/>
      <c r="L640" s="1"/>
      <c r="M640" s="1"/>
      <c r="N640" s="1"/>
      <c r="O640" s="1"/>
      <c r="P640" s="1"/>
      <c r="Q640" s="1"/>
      <c r="R640" s="1"/>
      <c r="S640" s="1"/>
      <c r="T640" s="1"/>
      <c r="U640" s="1"/>
      <c r="V640" s="1"/>
      <c r="W640" s="1"/>
      <c r="X640" s="1"/>
      <c r="Y640" s="1"/>
      <c r="Z640" s="1"/>
    </row>
    <row r="641" spans="1:26" ht="12.75" customHeight="1" x14ac:dyDescent="0.25">
      <c r="A641" s="1"/>
      <c r="B641" s="1"/>
      <c r="C641" s="3"/>
      <c r="D641" s="3"/>
      <c r="E641" s="5"/>
      <c r="F641" s="5"/>
      <c r="G641" s="3"/>
      <c r="H641" s="5"/>
      <c r="I641" s="1"/>
      <c r="J641" s="7"/>
      <c r="K641" s="1"/>
      <c r="L641" s="1"/>
      <c r="M641" s="1"/>
      <c r="N641" s="1"/>
      <c r="O641" s="1"/>
      <c r="P641" s="1"/>
      <c r="Q641" s="1"/>
      <c r="R641" s="1"/>
      <c r="S641" s="1"/>
      <c r="T641" s="1"/>
      <c r="U641" s="1"/>
      <c r="V641" s="1"/>
      <c r="W641" s="1"/>
      <c r="X641" s="1"/>
      <c r="Y641" s="1"/>
      <c r="Z641" s="1"/>
    </row>
    <row r="642" spans="1:26" ht="12.75" customHeight="1" x14ac:dyDescent="0.25">
      <c r="A642" s="1"/>
      <c r="B642" s="1"/>
      <c r="C642" s="3"/>
      <c r="D642" s="3"/>
      <c r="E642" s="5"/>
      <c r="F642" s="5"/>
      <c r="G642" s="3"/>
      <c r="H642" s="5"/>
      <c r="I642" s="1"/>
      <c r="J642" s="7"/>
      <c r="K642" s="1"/>
      <c r="L642" s="1"/>
      <c r="M642" s="1"/>
      <c r="N642" s="1"/>
      <c r="O642" s="1"/>
      <c r="P642" s="1"/>
      <c r="Q642" s="1"/>
      <c r="R642" s="1"/>
      <c r="S642" s="1"/>
      <c r="T642" s="1"/>
      <c r="U642" s="1"/>
      <c r="V642" s="1"/>
      <c r="W642" s="1"/>
      <c r="X642" s="1"/>
      <c r="Y642" s="1"/>
      <c r="Z642" s="1"/>
    </row>
    <row r="643" spans="1:26" ht="12.75" customHeight="1" x14ac:dyDescent="0.25">
      <c r="A643" s="1"/>
      <c r="B643" s="1"/>
      <c r="C643" s="3"/>
      <c r="D643" s="3"/>
      <c r="E643" s="5"/>
      <c r="F643" s="5"/>
      <c r="G643" s="3"/>
      <c r="H643" s="5"/>
      <c r="I643" s="1"/>
      <c r="J643" s="7"/>
      <c r="K643" s="1"/>
      <c r="L643" s="1"/>
      <c r="M643" s="1"/>
      <c r="N643" s="1"/>
      <c r="O643" s="1"/>
      <c r="P643" s="1"/>
      <c r="Q643" s="1"/>
      <c r="R643" s="1"/>
      <c r="S643" s="1"/>
      <c r="T643" s="1"/>
      <c r="U643" s="1"/>
      <c r="V643" s="1"/>
      <c r="W643" s="1"/>
      <c r="X643" s="1"/>
      <c r="Y643" s="1"/>
      <c r="Z643" s="1"/>
    </row>
    <row r="644" spans="1:26" ht="12.75" customHeight="1" x14ac:dyDescent="0.25">
      <c r="A644" s="1"/>
      <c r="B644" s="1"/>
      <c r="C644" s="3"/>
      <c r="D644" s="3"/>
      <c r="E644" s="5"/>
      <c r="F644" s="5"/>
      <c r="G644" s="3"/>
      <c r="H644" s="5"/>
      <c r="I644" s="1"/>
      <c r="J644" s="7"/>
      <c r="K644" s="1"/>
      <c r="L644" s="1"/>
      <c r="M644" s="1"/>
      <c r="N644" s="1"/>
      <c r="O644" s="1"/>
      <c r="P644" s="1"/>
      <c r="Q644" s="1"/>
      <c r="R644" s="1"/>
      <c r="S644" s="1"/>
      <c r="T644" s="1"/>
      <c r="U644" s="1"/>
      <c r="V644" s="1"/>
      <c r="W644" s="1"/>
      <c r="X644" s="1"/>
      <c r="Y644" s="1"/>
      <c r="Z644" s="1"/>
    </row>
    <row r="645" spans="1:26" ht="12.75" customHeight="1" x14ac:dyDescent="0.25">
      <c r="A645" s="1"/>
      <c r="B645" s="1"/>
      <c r="C645" s="3"/>
      <c r="D645" s="3"/>
      <c r="E645" s="5"/>
      <c r="F645" s="5"/>
      <c r="G645" s="3"/>
      <c r="H645" s="5"/>
      <c r="I645" s="1"/>
      <c r="J645" s="7"/>
      <c r="K645" s="1"/>
      <c r="L645" s="1"/>
      <c r="M645" s="1"/>
      <c r="N645" s="1"/>
      <c r="O645" s="1"/>
      <c r="P645" s="1"/>
      <c r="Q645" s="1"/>
      <c r="R645" s="1"/>
      <c r="S645" s="1"/>
      <c r="T645" s="1"/>
      <c r="U645" s="1"/>
      <c r="V645" s="1"/>
      <c r="W645" s="1"/>
      <c r="X645" s="1"/>
      <c r="Y645" s="1"/>
      <c r="Z645" s="1"/>
    </row>
    <row r="646" spans="1:26" ht="12.75" customHeight="1" x14ac:dyDescent="0.25">
      <c r="A646" s="1"/>
      <c r="B646" s="1"/>
      <c r="C646" s="3"/>
      <c r="D646" s="3"/>
      <c r="E646" s="5"/>
      <c r="F646" s="5"/>
      <c r="G646" s="3"/>
      <c r="H646" s="5"/>
      <c r="I646" s="1"/>
      <c r="J646" s="7"/>
      <c r="K646" s="1"/>
      <c r="L646" s="1"/>
      <c r="M646" s="1"/>
      <c r="N646" s="1"/>
      <c r="O646" s="1"/>
      <c r="P646" s="1"/>
      <c r="Q646" s="1"/>
      <c r="R646" s="1"/>
      <c r="S646" s="1"/>
      <c r="T646" s="1"/>
      <c r="U646" s="1"/>
      <c r="V646" s="1"/>
      <c r="W646" s="1"/>
      <c r="X646" s="1"/>
      <c r="Y646" s="1"/>
      <c r="Z646" s="1"/>
    </row>
    <row r="647" spans="1:26" ht="12.75" customHeight="1" x14ac:dyDescent="0.25">
      <c r="A647" s="1"/>
      <c r="B647" s="1"/>
      <c r="C647" s="3"/>
      <c r="D647" s="3"/>
      <c r="E647" s="5"/>
      <c r="F647" s="5"/>
      <c r="G647" s="3"/>
      <c r="H647" s="5"/>
      <c r="I647" s="1"/>
      <c r="J647" s="7"/>
      <c r="K647" s="1"/>
      <c r="L647" s="1"/>
      <c r="M647" s="1"/>
      <c r="N647" s="1"/>
      <c r="O647" s="1"/>
      <c r="P647" s="1"/>
      <c r="Q647" s="1"/>
      <c r="R647" s="1"/>
      <c r="S647" s="1"/>
      <c r="T647" s="1"/>
      <c r="U647" s="1"/>
      <c r="V647" s="1"/>
      <c r="W647" s="1"/>
      <c r="X647" s="1"/>
      <c r="Y647" s="1"/>
      <c r="Z647" s="1"/>
    </row>
    <row r="648" spans="1:26" ht="12.75" customHeight="1" x14ac:dyDescent="0.25">
      <c r="A648" s="1"/>
      <c r="B648" s="1"/>
      <c r="C648" s="3"/>
      <c r="D648" s="3"/>
      <c r="E648" s="5"/>
      <c r="F648" s="5"/>
      <c r="G648" s="3"/>
      <c r="H648" s="5"/>
      <c r="I648" s="1"/>
      <c r="J648" s="7"/>
      <c r="K648" s="1"/>
      <c r="L648" s="1"/>
      <c r="M648" s="1"/>
      <c r="N648" s="1"/>
      <c r="O648" s="1"/>
      <c r="P648" s="1"/>
      <c r="Q648" s="1"/>
      <c r="R648" s="1"/>
      <c r="S648" s="1"/>
      <c r="T648" s="1"/>
      <c r="U648" s="1"/>
      <c r="V648" s="1"/>
      <c r="W648" s="1"/>
      <c r="X648" s="1"/>
      <c r="Y648" s="1"/>
      <c r="Z648" s="1"/>
    </row>
    <row r="649" spans="1:26" ht="12.75" customHeight="1" x14ac:dyDescent="0.25">
      <c r="A649" s="1"/>
      <c r="B649" s="1"/>
      <c r="C649" s="3"/>
      <c r="D649" s="3"/>
      <c r="E649" s="5"/>
      <c r="F649" s="5"/>
      <c r="G649" s="3"/>
      <c r="H649" s="5"/>
      <c r="I649" s="1"/>
      <c r="J649" s="7"/>
      <c r="K649" s="1"/>
      <c r="L649" s="1"/>
      <c r="M649" s="1"/>
      <c r="N649" s="1"/>
      <c r="O649" s="1"/>
      <c r="P649" s="1"/>
      <c r="Q649" s="1"/>
      <c r="R649" s="1"/>
      <c r="S649" s="1"/>
      <c r="T649" s="1"/>
      <c r="U649" s="1"/>
      <c r="V649" s="1"/>
      <c r="W649" s="1"/>
      <c r="X649" s="1"/>
      <c r="Y649" s="1"/>
      <c r="Z649" s="1"/>
    </row>
    <row r="650" spans="1:26" ht="12.75" customHeight="1" x14ac:dyDescent="0.25">
      <c r="A650" s="1"/>
      <c r="B650" s="1"/>
      <c r="C650" s="3"/>
      <c r="D650" s="3"/>
      <c r="E650" s="5"/>
      <c r="F650" s="5"/>
      <c r="G650" s="3"/>
      <c r="H650" s="5"/>
      <c r="I650" s="1"/>
      <c r="J650" s="7"/>
      <c r="K650" s="1"/>
      <c r="L650" s="1"/>
      <c r="M650" s="1"/>
      <c r="N650" s="1"/>
      <c r="O650" s="1"/>
      <c r="P650" s="1"/>
      <c r="Q650" s="1"/>
      <c r="R650" s="1"/>
      <c r="S650" s="1"/>
      <c r="T650" s="1"/>
      <c r="U650" s="1"/>
      <c r="V650" s="1"/>
      <c r="W650" s="1"/>
      <c r="X650" s="1"/>
      <c r="Y650" s="1"/>
      <c r="Z650" s="1"/>
    </row>
    <row r="651" spans="1:26" ht="12.75" customHeight="1" x14ac:dyDescent="0.25">
      <c r="A651" s="1"/>
      <c r="B651" s="1"/>
      <c r="C651" s="3"/>
      <c r="D651" s="3"/>
      <c r="E651" s="5"/>
      <c r="F651" s="5"/>
      <c r="G651" s="3"/>
      <c r="H651" s="5"/>
      <c r="I651" s="1"/>
      <c r="J651" s="7"/>
      <c r="K651" s="1"/>
      <c r="L651" s="1"/>
      <c r="M651" s="1"/>
      <c r="N651" s="1"/>
      <c r="O651" s="1"/>
      <c r="P651" s="1"/>
      <c r="Q651" s="1"/>
      <c r="R651" s="1"/>
      <c r="S651" s="1"/>
      <c r="T651" s="1"/>
      <c r="U651" s="1"/>
      <c r="V651" s="1"/>
      <c r="W651" s="1"/>
      <c r="X651" s="1"/>
      <c r="Y651" s="1"/>
      <c r="Z651" s="1"/>
    </row>
    <row r="652" spans="1:26" ht="12.75" customHeight="1" x14ac:dyDescent="0.25">
      <c r="A652" s="1"/>
      <c r="B652" s="1"/>
      <c r="C652" s="3"/>
      <c r="D652" s="3"/>
      <c r="E652" s="5"/>
      <c r="F652" s="5"/>
      <c r="G652" s="3"/>
      <c r="H652" s="5"/>
      <c r="I652" s="1"/>
      <c r="J652" s="7"/>
      <c r="K652" s="1"/>
      <c r="L652" s="1"/>
      <c r="M652" s="1"/>
      <c r="N652" s="1"/>
      <c r="O652" s="1"/>
      <c r="P652" s="1"/>
      <c r="Q652" s="1"/>
      <c r="R652" s="1"/>
      <c r="S652" s="1"/>
      <c r="T652" s="1"/>
      <c r="U652" s="1"/>
      <c r="V652" s="1"/>
      <c r="W652" s="1"/>
      <c r="X652" s="1"/>
      <c r="Y652" s="1"/>
      <c r="Z652" s="1"/>
    </row>
    <row r="653" spans="1:26" ht="12.75" customHeight="1" x14ac:dyDescent="0.25">
      <c r="A653" s="1"/>
      <c r="B653" s="1"/>
      <c r="C653" s="3"/>
      <c r="D653" s="3"/>
      <c r="E653" s="5"/>
      <c r="F653" s="5"/>
      <c r="G653" s="3"/>
      <c r="H653" s="5"/>
      <c r="I653" s="1"/>
      <c r="J653" s="7"/>
      <c r="K653" s="1"/>
      <c r="L653" s="1"/>
      <c r="M653" s="1"/>
      <c r="N653" s="1"/>
      <c r="O653" s="1"/>
      <c r="P653" s="1"/>
      <c r="Q653" s="1"/>
      <c r="R653" s="1"/>
      <c r="S653" s="1"/>
      <c r="T653" s="1"/>
      <c r="U653" s="1"/>
      <c r="V653" s="1"/>
      <c r="W653" s="1"/>
      <c r="X653" s="1"/>
      <c r="Y653" s="1"/>
      <c r="Z653" s="1"/>
    </row>
    <row r="654" spans="1:26" ht="12.75" customHeight="1" x14ac:dyDescent="0.25">
      <c r="A654" s="1"/>
      <c r="B654" s="1"/>
      <c r="C654" s="3"/>
      <c r="D654" s="3"/>
      <c r="E654" s="5"/>
      <c r="F654" s="5"/>
      <c r="G654" s="3"/>
      <c r="H654" s="5"/>
      <c r="I654" s="1"/>
      <c r="J654" s="7"/>
      <c r="K654" s="1"/>
      <c r="L654" s="1"/>
      <c r="M654" s="1"/>
      <c r="N654" s="1"/>
      <c r="O654" s="1"/>
      <c r="P654" s="1"/>
      <c r="Q654" s="1"/>
      <c r="R654" s="1"/>
      <c r="S654" s="1"/>
      <c r="T654" s="1"/>
      <c r="U654" s="1"/>
      <c r="V654" s="1"/>
      <c r="W654" s="1"/>
      <c r="X654" s="1"/>
      <c r="Y654" s="1"/>
      <c r="Z654" s="1"/>
    </row>
    <row r="655" spans="1:26" ht="12.75" customHeight="1" x14ac:dyDescent="0.25">
      <c r="A655" s="1"/>
      <c r="B655" s="1"/>
      <c r="C655" s="3"/>
      <c r="D655" s="3"/>
      <c r="E655" s="5"/>
      <c r="F655" s="5"/>
      <c r="G655" s="3"/>
      <c r="H655" s="5"/>
      <c r="I655" s="1"/>
      <c r="J655" s="7"/>
      <c r="K655" s="1"/>
      <c r="L655" s="1"/>
      <c r="M655" s="1"/>
      <c r="N655" s="1"/>
      <c r="O655" s="1"/>
      <c r="P655" s="1"/>
      <c r="Q655" s="1"/>
      <c r="R655" s="1"/>
      <c r="S655" s="1"/>
      <c r="T655" s="1"/>
      <c r="U655" s="1"/>
      <c r="V655" s="1"/>
      <c r="W655" s="1"/>
      <c r="X655" s="1"/>
      <c r="Y655" s="1"/>
      <c r="Z655" s="1"/>
    </row>
    <row r="656" spans="1:26" ht="12.75" customHeight="1" x14ac:dyDescent="0.25">
      <c r="A656" s="1"/>
      <c r="B656" s="1"/>
      <c r="C656" s="3"/>
      <c r="D656" s="3"/>
      <c r="E656" s="5"/>
      <c r="F656" s="5"/>
      <c r="G656" s="3"/>
      <c r="H656" s="5"/>
      <c r="I656" s="1"/>
      <c r="J656" s="7"/>
      <c r="K656" s="1"/>
      <c r="L656" s="1"/>
      <c r="M656" s="1"/>
      <c r="N656" s="1"/>
      <c r="O656" s="1"/>
      <c r="P656" s="1"/>
      <c r="Q656" s="1"/>
      <c r="R656" s="1"/>
      <c r="S656" s="1"/>
      <c r="T656" s="1"/>
      <c r="U656" s="1"/>
      <c r="V656" s="1"/>
      <c r="W656" s="1"/>
      <c r="X656" s="1"/>
      <c r="Y656" s="1"/>
      <c r="Z656" s="1"/>
    </row>
    <row r="657" spans="1:26" ht="12.75" customHeight="1" x14ac:dyDescent="0.25">
      <c r="A657" s="1"/>
      <c r="B657" s="1"/>
      <c r="C657" s="3"/>
      <c r="D657" s="3"/>
      <c r="E657" s="5"/>
      <c r="F657" s="5"/>
      <c r="G657" s="3"/>
      <c r="H657" s="5"/>
      <c r="I657" s="1"/>
      <c r="J657" s="7"/>
      <c r="K657" s="1"/>
      <c r="L657" s="1"/>
      <c r="M657" s="1"/>
      <c r="N657" s="1"/>
      <c r="O657" s="1"/>
      <c r="P657" s="1"/>
      <c r="Q657" s="1"/>
      <c r="R657" s="1"/>
      <c r="S657" s="1"/>
      <c r="T657" s="1"/>
      <c r="U657" s="1"/>
      <c r="V657" s="1"/>
      <c r="W657" s="1"/>
      <c r="X657" s="1"/>
      <c r="Y657" s="1"/>
      <c r="Z657" s="1"/>
    </row>
    <row r="658" spans="1:26" ht="12.75" customHeight="1" x14ac:dyDescent="0.25">
      <c r="A658" s="1"/>
      <c r="B658" s="1"/>
      <c r="C658" s="3"/>
      <c r="D658" s="3"/>
      <c r="E658" s="5"/>
      <c r="F658" s="5"/>
      <c r="G658" s="3"/>
      <c r="H658" s="5"/>
      <c r="I658" s="1"/>
      <c r="J658" s="7"/>
      <c r="K658" s="1"/>
      <c r="L658" s="1"/>
      <c r="M658" s="1"/>
      <c r="N658" s="1"/>
      <c r="O658" s="1"/>
      <c r="P658" s="1"/>
      <c r="Q658" s="1"/>
      <c r="R658" s="1"/>
      <c r="S658" s="1"/>
      <c r="T658" s="1"/>
      <c r="U658" s="1"/>
      <c r="V658" s="1"/>
      <c r="W658" s="1"/>
      <c r="X658" s="1"/>
      <c r="Y658" s="1"/>
      <c r="Z658" s="1"/>
    </row>
    <row r="659" spans="1:26" ht="12.75" customHeight="1" x14ac:dyDescent="0.25">
      <c r="A659" s="1"/>
      <c r="B659" s="1"/>
      <c r="C659" s="3"/>
      <c r="D659" s="3"/>
      <c r="E659" s="5"/>
      <c r="F659" s="5"/>
      <c r="G659" s="3"/>
      <c r="H659" s="5"/>
      <c r="I659" s="1"/>
      <c r="J659" s="7"/>
      <c r="K659" s="1"/>
      <c r="L659" s="1"/>
      <c r="M659" s="1"/>
      <c r="N659" s="1"/>
      <c r="O659" s="1"/>
      <c r="P659" s="1"/>
      <c r="Q659" s="1"/>
      <c r="R659" s="1"/>
      <c r="S659" s="1"/>
      <c r="T659" s="1"/>
      <c r="U659" s="1"/>
      <c r="V659" s="1"/>
      <c r="W659" s="1"/>
      <c r="X659" s="1"/>
      <c r="Y659" s="1"/>
      <c r="Z659" s="1"/>
    </row>
    <row r="660" spans="1:26" ht="12.75" customHeight="1" x14ac:dyDescent="0.25">
      <c r="A660" s="1"/>
      <c r="B660" s="1"/>
      <c r="C660" s="3"/>
      <c r="D660" s="3"/>
      <c r="E660" s="5"/>
      <c r="F660" s="5"/>
      <c r="G660" s="3"/>
      <c r="H660" s="5"/>
      <c r="I660" s="1"/>
      <c r="J660" s="7"/>
      <c r="K660" s="1"/>
      <c r="L660" s="1"/>
      <c r="M660" s="1"/>
      <c r="N660" s="1"/>
      <c r="O660" s="1"/>
      <c r="P660" s="1"/>
      <c r="Q660" s="1"/>
      <c r="R660" s="1"/>
      <c r="S660" s="1"/>
      <c r="T660" s="1"/>
      <c r="U660" s="1"/>
      <c r="V660" s="1"/>
      <c r="W660" s="1"/>
      <c r="X660" s="1"/>
      <c r="Y660" s="1"/>
      <c r="Z660" s="1"/>
    </row>
    <row r="661" spans="1:26" ht="12.75" customHeight="1" x14ac:dyDescent="0.25">
      <c r="A661" s="1"/>
      <c r="B661" s="1"/>
      <c r="C661" s="3"/>
      <c r="D661" s="3"/>
      <c r="E661" s="5"/>
      <c r="F661" s="5"/>
      <c r="G661" s="3"/>
      <c r="H661" s="5"/>
      <c r="I661" s="1"/>
      <c r="J661" s="7"/>
      <c r="K661" s="1"/>
      <c r="L661" s="1"/>
      <c r="M661" s="1"/>
      <c r="N661" s="1"/>
      <c r="O661" s="1"/>
      <c r="P661" s="1"/>
      <c r="Q661" s="1"/>
      <c r="R661" s="1"/>
      <c r="S661" s="1"/>
      <c r="T661" s="1"/>
      <c r="U661" s="1"/>
      <c r="V661" s="1"/>
      <c r="W661" s="1"/>
      <c r="X661" s="1"/>
      <c r="Y661" s="1"/>
      <c r="Z661" s="1"/>
    </row>
    <row r="662" spans="1:26" ht="12.75" customHeight="1" x14ac:dyDescent="0.25">
      <c r="A662" s="1"/>
      <c r="B662" s="1"/>
      <c r="C662" s="3"/>
      <c r="D662" s="3"/>
      <c r="E662" s="5"/>
      <c r="F662" s="5"/>
      <c r="G662" s="3"/>
      <c r="H662" s="5"/>
      <c r="I662" s="1"/>
      <c r="J662" s="7"/>
      <c r="K662" s="1"/>
      <c r="L662" s="1"/>
      <c r="M662" s="1"/>
      <c r="N662" s="1"/>
      <c r="O662" s="1"/>
      <c r="P662" s="1"/>
      <c r="Q662" s="1"/>
      <c r="R662" s="1"/>
      <c r="S662" s="1"/>
      <c r="T662" s="1"/>
      <c r="U662" s="1"/>
      <c r="V662" s="1"/>
      <c r="W662" s="1"/>
      <c r="X662" s="1"/>
      <c r="Y662" s="1"/>
      <c r="Z662" s="1"/>
    </row>
    <row r="663" spans="1:26" ht="12.75" customHeight="1" x14ac:dyDescent="0.25">
      <c r="A663" s="1"/>
      <c r="B663" s="1"/>
      <c r="C663" s="3"/>
      <c r="D663" s="3"/>
      <c r="E663" s="5"/>
      <c r="F663" s="5"/>
      <c r="G663" s="3"/>
      <c r="H663" s="5"/>
      <c r="I663" s="1"/>
      <c r="J663" s="7"/>
      <c r="K663" s="1"/>
      <c r="L663" s="1"/>
      <c r="M663" s="1"/>
      <c r="N663" s="1"/>
      <c r="O663" s="1"/>
      <c r="P663" s="1"/>
      <c r="Q663" s="1"/>
      <c r="R663" s="1"/>
      <c r="S663" s="1"/>
      <c r="T663" s="1"/>
      <c r="U663" s="1"/>
      <c r="V663" s="1"/>
      <c r="W663" s="1"/>
      <c r="X663" s="1"/>
      <c r="Y663" s="1"/>
      <c r="Z663" s="1"/>
    </row>
    <row r="664" spans="1:26" ht="12.75" customHeight="1" x14ac:dyDescent="0.25">
      <c r="A664" s="1"/>
      <c r="B664" s="1"/>
      <c r="C664" s="3"/>
      <c r="D664" s="3"/>
      <c r="E664" s="5"/>
      <c r="F664" s="5"/>
      <c r="G664" s="3"/>
      <c r="H664" s="5"/>
      <c r="I664" s="1"/>
      <c r="J664" s="7"/>
      <c r="K664" s="1"/>
      <c r="L664" s="1"/>
      <c r="M664" s="1"/>
      <c r="N664" s="1"/>
      <c r="O664" s="1"/>
      <c r="P664" s="1"/>
      <c r="Q664" s="1"/>
      <c r="R664" s="1"/>
      <c r="S664" s="1"/>
      <c r="T664" s="1"/>
      <c r="U664" s="1"/>
      <c r="V664" s="1"/>
      <c r="W664" s="1"/>
      <c r="X664" s="1"/>
      <c r="Y664" s="1"/>
      <c r="Z664" s="1"/>
    </row>
    <row r="665" spans="1:26" ht="12.75" customHeight="1" x14ac:dyDescent="0.25">
      <c r="A665" s="1"/>
      <c r="B665" s="1"/>
      <c r="C665" s="3"/>
      <c r="D665" s="3"/>
      <c r="E665" s="5"/>
      <c r="F665" s="5"/>
      <c r="G665" s="3"/>
      <c r="H665" s="5"/>
      <c r="I665" s="1"/>
      <c r="J665" s="7"/>
      <c r="K665" s="1"/>
      <c r="L665" s="1"/>
      <c r="M665" s="1"/>
      <c r="N665" s="1"/>
      <c r="O665" s="1"/>
      <c r="P665" s="1"/>
      <c r="Q665" s="1"/>
      <c r="R665" s="1"/>
      <c r="S665" s="1"/>
      <c r="T665" s="1"/>
      <c r="U665" s="1"/>
      <c r="V665" s="1"/>
      <c r="W665" s="1"/>
      <c r="X665" s="1"/>
      <c r="Y665" s="1"/>
      <c r="Z665" s="1"/>
    </row>
    <row r="666" spans="1:26" ht="12.75" customHeight="1" x14ac:dyDescent="0.25">
      <c r="A666" s="1"/>
      <c r="B666" s="1"/>
      <c r="C666" s="3"/>
      <c r="D666" s="3"/>
      <c r="E666" s="5"/>
      <c r="F666" s="5"/>
      <c r="G666" s="3"/>
      <c r="H666" s="5"/>
      <c r="I666" s="1"/>
      <c r="J666" s="7"/>
      <c r="K666" s="1"/>
      <c r="L666" s="1"/>
      <c r="M666" s="1"/>
      <c r="N666" s="1"/>
      <c r="O666" s="1"/>
      <c r="P666" s="1"/>
      <c r="Q666" s="1"/>
      <c r="R666" s="1"/>
      <c r="S666" s="1"/>
      <c r="T666" s="1"/>
      <c r="U666" s="1"/>
      <c r="V666" s="1"/>
      <c r="W666" s="1"/>
      <c r="X666" s="1"/>
      <c r="Y666" s="1"/>
      <c r="Z666" s="1"/>
    </row>
    <row r="667" spans="1:26" ht="12.75" customHeight="1" x14ac:dyDescent="0.25">
      <c r="A667" s="1"/>
      <c r="B667" s="1"/>
      <c r="C667" s="3"/>
      <c r="D667" s="3"/>
      <c r="E667" s="5"/>
      <c r="F667" s="5"/>
      <c r="G667" s="3"/>
      <c r="H667" s="5"/>
      <c r="I667" s="1"/>
      <c r="J667" s="7"/>
      <c r="K667" s="1"/>
      <c r="L667" s="1"/>
      <c r="M667" s="1"/>
      <c r="N667" s="1"/>
      <c r="O667" s="1"/>
      <c r="P667" s="1"/>
      <c r="Q667" s="1"/>
      <c r="R667" s="1"/>
      <c r="S667" s="1"/>
      <c r="T667" s="1"/>
      <c r="U667" s="1"/>
      <c r="V667" s="1"/>
      <c r="W667" s="1"/>
      <c r="X667" s="1"/>
      <c r="Y667" s="1"/>
      <c r="Z667" s="1"/>
    </row>
    <row r="668" spans="1:26" ht="12.75" customHeight="1" x14ac:dyDescent="0.25">
      <c r="A668" s="1"/>
      <c r="B668" s="1"/>
      <c r="C668" s="3"/>
      <c r="D668" s="3"/>
      <c r="E668" s="5"/>
      <c r="F668" s="5"/>
      <c r="G668" s="3"/>
      <c r="H668" s="5"/>
      <c r="I668" s="1"/>
      <c r="J668" s="7"/>
      <c r="K668" s="1"/>
      <c r="L668" s="1"/>
      <c r="M668" s="1"/>
      <c r="N668" s="1"/>
      <c r="O668" s="1"/>
      <c r="P668" s="1"/>
      <c r="Q668" s="1"/>
      <c r="R668" s="1"/>
      <c r="S668" s="1"/>
      <c r="T668" s="1"/>
      <c r="U668" s="1"/>
      <c r="V668" s="1"/>
      <c r="W668" s="1"/>
      <c r="X668" s="1"/>
      <c r="Y668" s="1"/>
      <c r="Z668" s="1"/>
    </row>
    <row r="669" spans="1:26" ht="12.75" customHeight="1" x14ac:dyDescent="0.25">
      <c r="A669" s="1"/>
      <c r="B669" s="1"/>
      <c r="C669" s="3"/>
      <c r="D669" s="3"/>
      <c r="E669" s="5"/>
      <c r="F669" s="5"/>
      <c r="G669" s="3"/>
      <c r="H669" s="5"/>
      <c r="I669" s="1"/>
      <c r="J669" s="7"/>
      <c r="K669" s="1"/>
      <c r="L669" s="1"/>
      <c r="M669" s="1"/>
      <c r="N669" s="1"/>
      <c r="O669" s="1"/>
      <c r="P669" s="1"/>
      <c r="Q669" s="1"/>
      <c r="R669" s="1"/>
      <c r="S669" s="1"/>
      <c r="T669" s="1"/>
      <c r="U669" s="1"/>
      <c r="V669" s="1"/>
      <c r="W669" s="1"/>
      <c r="X669" s="1"/>
      <c r="Y669" s="1"/>
      <c r="Z669" s="1"/>
    </row>
    <row r="670" spans="1:26" ht="12.75" customHeight="1" x14ac:dyDescent="0.25">
      <c r="A670" s="1"/>
      <c r="B670" s="1"/>
      <c r="C670" s="3"/>
      <c r="D670" s="3"/>
      <c r="E670" s="5"/>
      <c r="F670" s="5"/>
      <c r="G670" s="3"/>
      <c r="H670" s="5"/>
      <c r="I670" s="1"/>
      <c r="J670" s="7"/>
      <c r="K670" s="1"/>
      <c r="L670" s="1"/>
      <c r="M670" s="1"/>
      <c r="N670" s="1"/>
      <c r="O670" s="1"/>
      <c r="P670" s="1"/>
      <c r="Q670" s="1"/>
      <c r="R670" s="1"/>
      <c r="S670" s="1"/>
      <c r="T670" s="1"/>
      <c r="U670" s="1"/>
      <c r="V670" s="1"/>
      <c r="W670" s="1"/>
      <c r="X670" s="1"/>
      <c r="Y670" s="1"/>
      <c r="Z670" s="1"/>
    </row>
    <row r="671" spans="1:26" ht="12.75" customHeight="1" x14ac:dyDescent="0.25">
      <c r="A671" s="1"/>
      <c r="B671" s="1"/>
      <c r="C671" s="3"/>
      <c r="D671" s="3"/>
      <c r="E671" s="5"/>
      <c r="F671" s="5"/>
      <c r="G671" s="3"/>
      <c r="H671" s="5"/>
      <c r="I671" s="1"/>
      <c r="J671" s="7"/>
      <c r="K671" s="1"/>
      <c r="L671" s="1"/>
      <c r="M671" s="1"/>
      <c r="N671" s="1"/>
      <c r="O671" s="1"/>
      <c r="P671" s="1"/>
      <c r="Q671" s="1"/>
      <c r="R671" s="1"/>
      <c r="S671" s="1"/>
      <c r="T671" s="1"/>
      <c r="U671" s="1"/>
      <c r="V671" s="1"/>
      <c r="W671" s="1"/>
      <c r="X671" s="1"/>
      <c r="Y671" s="1"/>
      <c r="Z671" s="1"/>
    </row>
    <row r="672" spans="1:26" ht="12.75" customHeight="1" x14ac:dyDescent="0.25">
      <c r="A672" s="1"/>
      <c r="B672" s="1"/>
      <c r="C672" s="3"/>
      <c r="D672" s="3"/>
      <c r="E672" s="5"/>
      <c r="F672" s="5"/>
      <c r="G672" s="3"/>
      <c r="H672" s="5"/>
      <c r="I672" s="1"/>
      <c r="J672" s="7"/>
      <c r="K672" s="1"/>
      <c r="L672" s="1"/>
      <c r="M672" s="1"/>
      <c r="N672" s="1"/>
      <c r="O672" s="1"/>
      <c r="P672" s="1"/>
      <c r="Q672" s="1"/>
      <c r="R672" s="1"/>
      <c r="S672" s="1"/>
      <c r="T672" s="1"/>
      <c r="U672" s="1"/>
      <c r="V672" s="1"/>
      <c r="W672" s="1"/>
      <c r="X672" s="1"/>
      <c r="Y672" s="1"/>
      <c r="Z672" s="1"/>
    </row>
    <row r="673" spans="1:26" ht="12.75" customHeight="1" x14ac:dyDescent="0.25">
      <c r="A673" s="1"/>
      <c r="B673" s="1"/>
      <c r="C673" s="3"/>
      <c r="D673" s="3"/>
      <c r="E673" s="5"/>
      <c r="F673" s="5"/>
      <c r="G673" s="3"/>
      <c r="H673" s="5"/>
      <c r="I673" s="1"/>
      <c r="J673" s="7"/>
      <c r="K673" s="1"/>
      <c r="L673" s="1"/>
      <c r="M673" s="1"/>
      <c r="N673" s="1"/>
      <c r="O673" s="1"/>
      <c r="P673" s="1"/>
      <c r="Q673" s="1"/>
      <c r="R673" s="1"/>
      <c r="S673" s="1"/>
      <c r="T673" s="1"/>
      <c r="U673" s="1"/>
      <c r="V673" s="1"/>
      <c r="W673" s="1"/>
      <c r="X673" s="1"/>
      <c r="Y673" s="1"/>
      <c r="Z673" s="1"/>
    </row>
    <row r="674" spans="1:26" ht="12.75" customHeight="1" x14ac:dyDescent="0.25">
      <c r="A674" s="1"/>
      <c r="B674" s="1"/>
      <c r="C674" s="3"/>
      <c r="D674" s="3"/>
      <c r="E674" s="5"/>
      <c r="F674" s="5"/>
      <c r="G674" s="3"/>
      <c r="H674" s="5"/>
      <c r="I674" s="1"/>
      <c r="J674" s="7"/>
      <c r="K674" s="1"/>
      <c r="L674" s="1"/>
      <c r="M674" s="1"/>
      <c r="N674" s="1"/>
      <c r="O674" s="1"/>
      <c r="P674" s="1"/>
      <c r="Q674" s="1"/>
      <c r="R674" s="1"/>
      <c r="S674" s="1"/>
      <c r="T674" s="1"/>
      <c r="U674" s="1"/>
      <c r="V674" s="1"/>
      <c r="W674" s="1"/>
      <c r="X674" s="1"/>
      <c r="Y674" s="1"/>
      <c r="Z674" s="1"/>
    </row>
    <row r="675" spans="1:26" ht="12.75" customHeight="1" x14ac:dyDescent="0.25">
      <c r="A675" s="1"/>
      <c r="B675" s="1"/>
      <c r="C675" s="3"/>
      <c r="D675" s="3"/>
      <c r="E675" s="5"/>
      <c r="F675" s="5"/>
      <c r="G675" s="3"/>
      <c r="H675" s="5"/>
      <c r="I675" s="1"/>
      <c r="J675" s="7"/>
      <c r="K675" s="1"/>
      <c r="L675" s="1"/>
      <c r="M675" s="1"/>
      <c r="N675" s="1"/>
      <c r="O675" s="1"/>
      <c r="P675" s="1"/>
      <c r="Q675" s="1"/>
      <c r="R675" s="1"/>
      <c r="S675" s="1"/>
      <c r="T675" s="1"/>
      <c r="U675" s="1"/>
      <c r="V675" s="1"/>
      <c r="W675" s="1"/>
      <c r="X675" s="1"/>
      <c r="Y675" s="1"/>
      <c r="Z675" s="1"/>
    </row>
    <row r="676" spans="1:26" ht="12.75" customHeight="1" x14ac:dyDescent="0.25">
      <c r="A676" s="1"/>
      <c r="B676" s="1"/>
      <c r="C676" s="3"/>
      <c r="D676" s="3"/>
      <c r="E676" s="5"/>
      <c r="F676" s="5"/>
      <c r="G676" s="3"/>
      <c r="H676" s="5"/>
      <c r="I676" s="1"/>
      <c r="J676" s="7"/>
      <c r="K676" s="1"/>
      <c r="L676" s="1"/>
      <c r="M676" s="1"/>
      <c r="N676" s="1"/>
      <c r="O676" s="1"/>
      <c r="P676" s="1"/>
      <c r="Q676" s="1"/>
      <c r="R676" s="1"/>
      <c r="S676" s="1"/>
      <c r="T676" s="1"/>
      <c r="U676" s="1"/>
      <c r="V676" s="1"/>
      <c r="W676" s="1"/>
      <c r="X676" s="1"/>
      <c r="Y676" s="1"/>
      <c r="Z676" s="1"/>
    </row>
    <row r="677" spans="1:26" ht="12.75" customHeight="1" x14ac:dyDescent="0.25">
      <c r="A677" s="1"/>
      <c r="B677" s="1"/>
      <c r="C677" s="3"/>
      <c r="D677" s="3"/>
      <c r="E677" s="5"/>
      <c r="F677" s="5"/>
      <c r="G677" s="3"/>
      <c r="H677" s="5"/>
      <c r="I677" s="1"/>
      <c r="J677" s="7"/>
      <c r="K677" s="1"/>
      <c r="L677" s="1"/>
      <c r="M677" s="1"/>
      <c r="N677" s="1"/>
      <c r="O677" s="1"/>
      <c r="P677" s="1"/>
      <c r="Q677" s="1"/>
      <c r="R677" s="1"/>
      <c r="S677" s="1"/>
      <c r="T677" s="1"/>
      <c r="U677" s="1"/>
      <c r="V677" s="1"/>
      <c r="W677" s="1"/>
      <c r="X677" s="1"/>
      <c r="Y677" s="1"/>
      <c r="Z677" s="1"/>
    </row>
    <row r="678" spans="1:26" ht="12.75" customHeight="1" x14ac:dyDescent="0.25">
      <c r="A678" s="1"/>
      <c r="B678" s="1"/>
      <c r="C678" s="3"/>
      <c r="D678" s="3"/>
      <c r="E678" s="5"/>
      <c r="F678" s="5"/>
      <c r="G678" s="3"/>
      <c r="H678" s="5"/>
      <c r="I678" s="1"/>
      <c r="J678" s="7"/>
      <c r="K678" s="1"/>
      <c r="L678" s="1"/>
      <c r="M678" s="1"/>
      <c r="N678" s="1"/>
      <c r="O678" s="1"/>
      <c r="P678" s="1"/>
      <c r="Q678" s="1"/>
      <c r="R678" s="1"/>
      <c r="S678" s="1"/>
      <c r="T678" s="1"/>
      <c r="U678" s="1"/>
      <c r="V678" s="1"/>
      <c r="W678" s="1"/>
      <c r="X678" s="1"/>
      <c r="Y678" s="1"/>
      <c r="Z678" s="1"/>
    </row>
    <row r="679" spans="1:26" ht="12.75" customHeight="1" x14ac:dyDescent="0.25">
      <c r="A679" s="1"/>
      <c r="B679" s="1"/>
      <c r="C679" s="3"/>
      <c r="D679" s="3"/>
      <c r="E679" s="5"/>
      <c r="F679" s="5"/>
      <c r="G679" s="3"/>
      <c r="H679" s="5"/>
      <c r="I679" s="1"/>
      <c r="J679" s="7"/>
      <c r="K679" s="1"/>
      <c r="L679" s="1"/>
      <c r="M679" s="1"/>
      <c r="N679" s="1"/>
      <c r="O679" s="1"/>
      <c r="P679" s="1"/>
      <c r="Q679" s="1"/>
      <c r="R679" s="1"/>
      <c r="S679" s="1"/>
      <c r="T679" s="1"/>
      <c r="U679" s="1"/>
      <c r="V679" s="1"/>
      <c r="W679" s="1"/>
      <c r="X679" s="1"/>
      <c r="Y679" s="1"/>
      <c r="Z679" s="1"/>
    </row>
    <row r="680" spans="1:26" ht="12.75" customHeight="1" x14ac:dyDescent="0.25">
      <c r="A680" s="1"/>
      <c r="B680" s="1"/>
      <c r="C680" s="3"/>
      <c r="D680" s="3"/>
      <c r="E680" s="5"/>
      <c r="F680" s="5"/>
      <c r="G680" s="3"/>
      <c r="H680" s="5"/>
      <c r="I680" s="1"/>
      <c r="J680" s="7"/>
      <c r="K680" s="1"/>
      <c r="L680" s="1"/>
      <c r="M680" s="1"/>
      <c r="N680" s="1"/>
      <c r="O680" s="1"/>
      <c r="P680" s="1"/>
      <c r="Q680" s="1"/>
      <c r="R680" s="1"/>
      <c r="S680" s="1"/>
      <c r="T680" s="1"/>
      <c r="U680" s="1"/>
      <c r="V680" s="1"/>
      <c r="W680" s="1"/>
      <c r="X680" s="1"/>
      <c r="Y680" s="1"/>
      <c r="Z680" s="1"/>
    </row>
    <row r="681" spans="1:26" ht="12.75" customHeight="1" x14ac:dyDescent="0.25">
      <c r="A681" s="1"/>
      <c r="B681" s="1"/>
      <c r="C681" s="3"/>
      <c r="D681" s="3"/>
      <c r="E681" s="5"/>
      <c r="F681" s="5"/>
      <c r="G681" s="3"/>
      <c r="H681" s="5"/>
      <c r="I681" s="1"/>
      <c r="J681" s="7"/>
      <c r="K681" s="1"/>
      <c r="L681" s="1"/>
      <c r="M681" s="1"/>
      <c r="N681" s="1"/>
      <c r="O681" s="1"/>
      <c r="P681" s="1"/>
      <c r="Q681" s="1"/>
      <c r="R681" s="1"/>
      <c r="S681" s="1"/>
      <c r="T681" s="1"/>
      <c r="U681" s="1"/>
      <c r="V681" s="1"/>
      <c r="W681" s="1"/>
      <c r="X681" s="1"/>
      <c r="Y681" s="1"/>
      <c r="Z681" s="1"/>
    </row>
    <row r="682" spans="1:26" ht="12.75" customHeight="1" x14ac:dyDescent="0.25">
      <c r="A682" s="1"/>
      <c r="B682" s="1"/>
      <c r="C682" s="3"/>
      <c r="D682" s="3"/>
      <c r="E682" s="5"/>
      <c r="F682" s="5"/>
      <c r="G682" s="3"/>
      <c r="H682" s="5"/>
      <c r="I682" s="1"/>
      <c r="J682" s="7"/>
      <c r="K682" s="1"/>
      <c r="L682" s="1"/>
      <c r="M682" s="1"/>
      <c r="N682" s="1"/>
      <c r="O682" s="1"/>
      <c r="P682" s="1"/>
      <c r="Q682" s="1"/>
      <c r="R682" s="1"/>
      <c r="S682" s="1"/>
      <c r="T682" s="1"/>
      <c r="U682" s="1"/>
      <c r="V682" s="1"/>
      <c r="W682" s="1"/>
      <c r="X682" s="1"/>
      <c r="Y682" s="1"/>
      <c r="Z682" s="1"/>
    </row>
    <row r="683" spans="1:26" ht="12.75" customHeight="1" x14ac:dyDescent="0.25">
      <c r="A683" s="1"/>
      <c r="B683" s="1"/>
      <c r="C683" s="3"/>
      <c r="D683" s="3"/>
      <c r="E683" s="5"/>
      <c r="F683" s="5"/>
      <c r="G683" s="3"/>
      <c r="H683" s="5"/>
      <c r="I683" s="1"/>
      <c r="J683" s="7"/>
      <c r="K683" s="1"/>
      <c r="L683" s="1"/>
      <c r="M683" s="1"/>
      <c r="N683" s="1"/>
      <c r="O683" s="1"/>
      <c r="P683" s="1"/>
      <c r="Q683" s="1"/>
      <c r="R683" s="1"/>
      <c r="S683" s="1"/>
      <c r="T683" s="1"/>
      <c r="U683" s="1"/>
      <c r="V683" s="1"/>
      <c r="W683" s="1"/>
      <c r="X683" s="1"/>
      <c r="Y683" s="1"/>
      <c r="Z683" s="1"/>
    </row>
    <row r="684" spans="1:26" ht="12.75" customHeight="1" x14ac:dyDescent="0.25">
      <c r="A684" s="1"/>
      <c r="B684" s="1"/>
      <c r="C684" s="3"/>
      <c r="D684" s="3"/>
      <c r="E684" s="5"/>
      <c r="F684" s="5"/>
      <c r="G684" s="3"/>
      <c r="H684" s="5"/>
      <c r="I684" s="1"/>
      <c r="J684" s="7"/>
      <c r="K684" s="1"/>
      <c r="L684" s="1"/>
      <c r="M684" s="1"/>
      <c r="N684" s="1"/>
      <c r="O684" s="1"/>
      <c r="P684" s="1"/>
      <c r="Q684" s="1"/>
      <c r="R684" s="1"/>
      <c r="S684" s="1"/>
      <c r="T684" s="1"/>
      <c r="U684" s="1"/>
      <c r="V684" s="1"/>
      <c r="W684" s="1"/>
      <c r="X684" s="1"/>
      <c r="Y684" s="1"/>
      <c r="Z684" s="1"/>
    </row>
    <row r="685" spans="1:26" ht="12.75" customHeight="1" x14ac:dyDescent="0.25">
      <c r="A685" s="1"/>
      <c r="B685" s="1"/>
      <c r="C685" s="3"/>
      <c r="D685" s="3"/>
      <c r="E685" s="5"/>
      <c r="F685" s="5"/>
      <c r="G685" s="3"/>
      <c r="H685" s="5"/>
      <c r="I685" s="1"/>
      <c r="J685" s="7"/>
      <c r="K685" s="1"/>
      <c r="L685" s="1"/>
      <c r="M685" s="1"/>
      <c r="N685" s="1"/>
      <c r="O685" s="1"/>
      <c r="P685" s="1"/>
      <c r="Q685" s="1"/>
      <c r="R685" s="1"/>
      <c r="S685" s="1"/>
      <c r="T685" s="1"/>
      <c r="U685" s="1"/>
      <c r="V685" s="1"/>
      <c r="W685" s="1"/>
      <c r="X685" s="1"/>
      <c r="Y685" s="1"/>
      <c r="Z685" s="1"/>
    </row>
    <row r="686" spans="1:26" ht="12.75" customHeight="1" x14ac:dyDescent="0.25">
      <c r="A686" s="1"/>
      <c r="B686" s="1"/>
      <c r="C686" s="3"/>
      <c r="D686" s="3"/>
      <c r="E686" s="5"/>
      <c r="F686" s="5"/>
      <c r="G686" s="3"/>
      <c r="H686" s="5"/>
      <c r="I686" s="1"/>
      <c r="J686" s="7"/>
      <c r="K686" s="1"/>
      <c r="L686" s="1"/>
      <c r="M686" s="1"/>
      <c r="N686" s="1"/>
      <c r="O686" s="1"/>
      <c r="P686" s="1"/>
      <c r="Q686" s="1"/>
      <c r="R686" s="1"/>
      <c r="S686" s="1"/>
      <c r="T686" s="1"/>
      <c r="U686" s="1"/>
      <c r="V686" s="1"/>
      <c r="W686" s="1"/>
      <c r="X686" s="1"/>
      <c r="Y686" s="1"/>
      <c r="Z686" s="1"/>
    </row>
    <row r="687" spans="1:26" ht="12.75" customHeight="1" x14ac:dyDescent="0.25">
      <c r="A687" s="1"/>
      <c r="B687" s="1"/>
      <c r="C687" s="3"/>
      <c r="D687" s="3"/>
      <c r="E687" s="5"/>
      <c r="F687" s="5"/>
      <c r="G687" s="3"/>
      <c r="H687" s="5"/>
      <c r="I687" s="1"/>
      <c r="J687" s="7"/>
      <c r="K687" s="1"/>
      <c r="L687" s="1"/>
      <c r="M687" s="1"/>
      <c r="N687" s="1"/>
      <c r="O687" s="1"/>
      <c r="P687" s="1"/>
      <c r="Q687" s="1"/>
      <c r="R687" s="1"/>
      <c r="S687" s="1"/>
      <c r="T687" s="1"/>
      <c r="U687" s="1"/>
      <c r="V687" s="1"/>
      <c r="W687" s="1"/>
      <c r="X687" s="1"/>
      <c r="Y687" s="1"/>
      <c r="Z687" s="1"/>
    </row>
    <row r="688" spans="1:26" ht="12.75" customHeight="1" x14ac:dyDescent="0.25">
      <c r="A688" s="1"/>
      <c r="B688" s="1"/>
      <c r="C688" s="3"/>
      <c r="D688" s="3"/>
      <c r="E688" s="5"/>
      <c r="F688" s="5"/>
      <c r="G688" s="3"/>
      <c r="H688" s="5"/>
      <c r="I688" s="1"/>
      <c r="J688" s="7"/>
      <c r="K688" s="1"/>
      <c r="L688" s="1"/>
      <c r="M688" s="1"/>
      <c r="N688" s="1"/>
      <c r="O688" s="1"/>
      <c r="P688" s="1"/>
      <c r="Q688" s="1"/>
      <c r="R688" s="1"/>
      <c r="S688" s="1"/>
      <c r="T688" s="1"/>
      <c r="U688" s="1"/>
      <c r="V688" s="1"/>
      <c r="W688" s="1"/>
      <c r="X688" s="1"/>
      <c r="Y688" s="1"/>
      <c r="Z688" s="1"/>
    </row>
    <row r="689" spans="1:26" ht="12.75" customHeight="1" x14ac:dyDescent="0.25">
      <c r="A689" s="1"/>
      <c r="B689" s="1"/>
      <c r="C689" s="3"/>
      <c r="D689" s="3"/>
      <c r="E689" s="5"/>
      <c r="F689" s="5"/>
      <c r="G689" s="3"/>
      <c r="H689" s="5"/>
      <c r="I689" s="1"/>
      <c r="J689" s="7"/>
      <c r="K689" s="1"/>
      <c r="L689" s="1"/>
      <c r="M689" s="1"/>
      <c r="N689" s="1"/>
      <c r="O689" s="1"/>
      <c r="P689" s="1"/>
      <c r="Q689" s="1"/>
      <c r="R689" s="1"/>
      <c r="S689" s="1"/>
      <c r="T689" s="1"/>
      <c r="U689" s="1"/>
      <c r="V689" s="1"/>
      <c r="W689" s="1"/>
      <c r="X689" s="1"/>
      <c r="Y689" s="1"/>
      <c r="Z689" s="1"/>
    </row>
    <row r="690" spans="1:26" ht="12.75" customHeight="1" x14ac:dyDescent="0.25">
      <c r="A690" s="1"/>
      <c r="B690" s="1"/>
      <c r="C690" s="3"/>
      <c r="D690" s="3"/>
      <c r="E690" s="5"/>
      <c r="F690" s="5"/>
      <c r="G690" s="3"/>
      <c r="H690" s="5"/>
      <c r="I690" s="1"/>
      <c r="J690" s="7"/>
      <c r="K690" s="1"/>
      <c r="L690" s="1"/>
      <c r="M690" s="1"/>
      <c r="N690" s="1"/>
      <c r="O690" s="1"/>
      <c r="P690" s="1"/>
      <c r="Q690" s="1"/>
      <c r="R690" s="1"/>
      <c r="S690" s="1"/>
      <c r="T690" s="1"/>
      <c r="U690" s="1"/>
      <c r="V690" s="1"/>
      <c r="W690" s="1"/>
      <c r="X690" s="1"/>
      <c r="Y690" s="1"/>
      <c r="Z690" s="1"/>
    </row>
    <row r="691" spans="1:26" ht="12.75" customHeight="1" x14ac:dyDescent="0.25">
      <c r="A691" s="1"/>
      <c r="B691" s="1"/>
      <c r="C691" s="3"/>
      <c r="D691" s="3"/>
      <c r="E691" s="5"/>
      <c r="F691" s="5"/>
      <c r="G691" s="3"/>
      <c r="H691" s="5"/>
      <c r="I691" s="1"/>
      <c r="J691" s="7"/>
      <c r="K691" s="1"/>
      <c r="L691" s="1"/>
      <c r="M691" s="1"/>
      <c r="N691" s="1"/>
      <c r="O691" s="1"/>
      <c r="P691" s="1"/>
      <c r="Q691" s="1"/>
      <c r="R691" s="1"/>
      <c r="S691" s="1"/>
      <c r="T691" s="1"/>
      <c r="U691" s="1"/>
      <c r="V691" s="1"/>
      <c r="W691" s="1"/>
      <c r="X691" s="1"/>
      <c r="Y691" s="1"/>
      <c r="Z691" s="1"/>
    </row>
    <row r="692" spans="1:26" ht="12.75" customHeight="1" x14ac:dyDescent="0.25">
      <c r="A692" s="1"/>
      <c r="B692" s="1"/>
      <c r="C692" s="3"/>
      <c r="D692" s="3"/>
      <c r="E692" s="5"/>
      <c r="F692" s="5"/>
      <c r="G692" s="3"/>
      <c r="H692" s="5"/>
      <c r="I692" s="1"/>
      <c r="J692" s="7"/>
      <c r="K692" s="1"/>
      <c r="L692" s="1"/>
      <c r="M692" s="1"/>
      <c r="N692" s="1"/>
      <c r="O692" s="1"/>
      <c r="P692" s="1"/>
      <c r="Q692" s="1"/>
      <c r="R692" s="1"/>
      <c r="S692" s="1"/>
      <c r="T692" s="1"/>
      <c r="U692" s="1"/>
      <c r="V692" s="1"/>
      <c r="W692" s="1"/>
      <c r="X692" s="1"/>
      <c r="Y692" s="1"/>
      <c r="Z692" s="1"/>
    </row>
    <row r="693" spans="1:26" ht="12.75" customHeight="1" x14ac:dyDescent="0.25">
      <c r="A693" s="1"/>
      <c r="B693" s="1"/>
      <c r="C693" s="3"/>
      <c r="D693" s="3"/>
      <c r="E693" s="5"/>
      <c r="F693" s="5"/>
      <c r="G693" s="3"/>
      <c r="H693" s="5"/>
      <c r="I693" s="1"/>
      <c r="J693" s="7"/>
      <c r="K693" s="1"/>
      <c r="L693" s="1"/>
      <c r="M693" s="1"/>
      <c r="N693" s="1"/>
      <c r="O693" s="1"/>
      <c r="P693" s="1"/>
      <c r="Q693" s="1"/>
      <c r="R693" s="1"/>
      <c r="S693" s="1"/>
      <c r="T693" s="1"/>
      <c r="U693" s="1"/>
      <c r="V693" s="1"/>
      <c r="W693" s="1"/>
      <c r="X693" s="1"/>
      <c r="Y693" s="1"/>
      <c r="Z693" s="1"/>
    </row>
    <row r="694" spans="1:26" ht="12.75" customHeight="1" x14ac:dyDescent="0.25">
      <c r="A694" s="1"/>
      <c r="B694" s="1"/>
      <c r="C694" s="3"/>
      <c r="D694" s="3"/>
      <c r="E694" s="5"/>
      <c r="F694" s="5"/>
      <c r="G694" s="3"/>
      <c r="H694" s="5"/>
      <c r="I694" s="1"/>
      <c r="J694" s="7"/>
      <c r="K694" s="1"/>
      <c r="L694" s="1"/>
      <c r="M694" s="1"/>
      <c r="N694" s="1"/>
      <c r="O694" s="1"/>
      <c r="P694" s="1"/>
      <c r="Q694" s="1"/>
      <c r="R694" s="1"/>
      <c r="S694" s="1"/>
      <c r="T694" s="1"/>
      <c r="U694" s="1"/>
      <c r="V694" s="1"/>
      <c r="W694" s="1"/>
      <c r="X694" s="1"/>
      <c r="Y694" s="1"/>
      <c r="Z694" s="1"/>
    </row>
    <row r="695" spans="1:26" ht="12.75" customHeight="1" x14ac:dyDescent="0.25">
      <c r="A695" s="1"/>
      <c r="B695" s="1"/>
      <c r="C695" s="3"/>
      <c r="D695" s="3"/>
      <c r="E695" s="5"/>
      <c r="F695" s="5"/>
      <c r="G695" s="3"/>
      <c r="H695" s="5"/>
      <c r="I695" s="1"/>
      <c r="J695" s="7"/>
      <c r="K695" s="1"/>
      <c r="L695" s="1"/>
      <c r="M695" s="1"/>
      <c r="N695" s="1"/>
      <c r="O695" s="1"/>
      <c r="P695" s="1"/>
      <c r="Q695" s="1"/>
      <c r="R695" s="1"/>
      <c r="S695" s="1"/>
      <c r="T695" s="1"/>
      <c r="U695" s="1"/>
      <c r="V695" s="1"/>
      <c r="W695" s="1"/>
      <c r="X695" s="1"/>
      <c r="Y695" s="1"/>
      <c r="Z695" s="1"/>
    </row>
    <row r="696" spans="1:26" ht="12.75" customHeight="1" x14ac:dyDescent="0.25">
      <c r="A696" s="1"/>
      <c r="B696" s="1"/>
      <c r="C696" s="3"/>
      <c r="D696" s="3"/>
      <c r="E696" s="5"/>
      <c r="F696" s="5"/>
      <c r="G696" s="3"/>
      <c r="H696" s="5"/>
      <c r="I696" s="1"/>
      <c r="J696" s="7"/>
      <c r="K696" s="1"/>
      <c r="L696" s="1"/>
      <c r="M696" s="1"/>
      <c r="N696" s="1"/>
      <c r="O696" s="1"/>
      <c r="P696" s="1"/>
      <c r="Q696" s="1"/>
      <c r="R696" s="1"/>
      <c r="S696" s="1"/>
      <c r="T696" s="1"/>
      <c r="U696" s="1"/>
      <c r="V696" s="1"/>
      <c r="W696" s="1"/>
      <c r="X696" s="1"/>
      <c r="Y696" s="1"/>
      <c r="Z696" s="1"/>
    </row>
    <row r="697" spans="1:26" ht="12.75" customHeight="1" x14ac:dyDescent="0.25">
      <c r="A697" s="1"/>
      <c r="B697" s="1"/>
      <c r="C697" s="3"/>
      <c r="D697" s="3"/>
      <c r="E697" s="5"/>
      <c r="F697" s="5"/>
      <c r="G697" s="3"/>
      <c r="H697" s="5"/>
      <c r="I697" s="1"/>
      <c r="J697" s="7"/>
      <c r="K697" s="1"/>
      <c r="L697" s="1"/>
      <c r="M697" s="1"/>
      <c r="N697" s="1"/>
      <c r="O697" s="1"/>
      <c r="P697" s="1"/>
      <c r="Q697" s="1"/>
      <c r="R697" s="1"/>
      <c r="S697" s="1"/>
      <c r="T697" s="1"/>
      <c r="U697" s="1"/>
      <c r="V697" s="1"/>
      <c r="W697" s="1"/>
      <c r="X697" s="1"/>
      <c r="Y697" s="1"/>
      <c r="Z697" s="1"/>
    </row>
    <row r="698" spans="1:26" ht="12.75" customHeight="1" x14ac:dyDescent="0.25">
      <c r="A698" s="1"/>
      <c r="B698" s="1"/>
      <c r="C698" s="3"/>
      <c r="D698" s="3"/>
      <c r="E698" s="5"/>
      <c r="F698" s="5"/>
      <c r="G698" s="3"/>
      <c r="H698" s="5"/>
      <c r="I698" s="1"/>
      <c r="J698" s="7"/>
      <c r="K698" s="1"/>
      <c r="L698" s="1"/>
      <c r="M698" s="1"/>
      <c r="N698" s="1"/>
      <c r="O698" s="1"/>
      <c r="P698" s="1"/>
      <c r="Q698" s="1"/>
      <c r="R698" s="1"/>
      <c r="S698" s="1"/>
      <c r="T698" s="1"/>
      <c r="U698" s="1"/>
      <c r="V698" s="1"/>
      <c r="W698" s="1"/>
      <c r="X698" s="1"/>
      <c r="Y698" s="1"/>
      <c r="Z698" s="1"/>
    </row>
    <row r="699" spans="1:26" ht="12.75" customHeight="1" x14ac:dyDescent="0.25">
      <c r="A699" s="1"/>
      <c r="B699" s="1"/>
      <c r="C699" s="3"/>
      <c r="D699" s="3"/>
      <c r="E699" s="5"/>
      <c r="F699" s="5"/>
      <c r="G699" s="3"/>
      <c r="H699" s="5"/>
      <c r="I699" s="1"/>
      <c r="J699" s="7"/>
      <c r="K699" s="1"/>
      <c r="L699" s="1"/>
      <c r="M699" s="1"/>
      <c r="N699" s="1"/>
      <c r="O699" s="1"/>
      <c r="P699" s="1"/>
      <c r="Q699" s="1"/>
      <c r="R699" s="1"/>
      <c r="S699" s="1"/>
      <c r="T699" s="1"/>
      <c r="U699" s="1"/>
      <c r="V699" s="1"/>
      <c r="W699" s="1"/>
      <c r="X699" s="1"/>
      <c r="Y699" s="1"/>
      <c r="Z699" s="1"/>
    </row>
    <row r="700" spans="1:26" ht="12.75" customHeight="1" x14ac:dyDescent="0.25">
      <c r="A700" s="1"/>
      <c r="B700" s="1"/>
      <c r="C700" s="3"/>
      <c r="D700" s="3"/>
      <c r="E700" s="5"/>
      <c r="F700" s="5"/>
      <c r="G700" s="3"/>
      <c r="H700" s="5"/>
      <c r="I700" s="1"/>
      <c r="J700" s="7"/>
      <c r="K700" s="1"/>
      <c r="L700" s="1"/>
      <c r="M700" s="1"/>
      <c r="N700" s="1"/>
      <c r="O700" s="1"/>
      <c r="P700" s="1"/>
      <c r="Q700" s="1"/>
      <c r="R700" s="1"/>
      <c r="S700" s="1"/>
      <c r="T700" s="1"/>
      <c r="U700" s="1"/>
      <c r="V700" s="1"/>
      <c r="W700" s="1"/>
      <c r="X700" s="1"/>
      <c r="Y700" s="1"/>
      <c r="Z700" s="1"/>
    </row>
    <row r="701" spans="1:26" ht="12.75" customHeight="1" x14ac:dyDescent="0.25">
      <c r="A701" s="1"/>
      <c r="B701" s="1"/>
      <c r="C701" s="3"/>
      <c r="D701" s="3"/>
      <c r="E701" s="5"/>
      <c r="F701" s="5"/>
      <c r="G701" s="3"/>
      <c r="H701" s="5"/>
      <c r="I701" s="1"/>
      <c r="J701" s="7"/>
      <c r="K701" s="1"/>
      <c r="L701" s="1"/>
      <c r="M701" s="1"/>
      <c r="N701" s="1"/>
      <c r="O701" s="1"/>
      <c r="P701" s="1"/>
      <c r="Q701" s="1"/>
      <c r="R701" s="1"/>
      <c r="S701" s="1"/>
      <c r="T701" s="1"/>
      <c r="U701" s="1"/>
      <c r="V701" s="1"/>
      <c r="W701" s="1"/>
      <c r="X701" s="1"/>
      <c r="Y701" s="1"/>
      <c r="Z701" s="1"/>
    </row>
    <row r="702" spans="1:26" ht="12.75" customHeight="1" x14ac:dyDescent="0.25">
      <c r="A702" s="1"/>
      <c r="B702" s="1"/>
      <c r="C702" s="3"/>
      <c r="D702" s="3"/>
      <c r="E702" s="5"/>
      <c r="F702" s="5"/>
      <c r="G702" s="3"/>
      <c r="H702" s="5"/>
      <c r="I702" s="1"/>
      <c r="J702" s="7"/>
      <c r="K702" s="1"/>
      <c r="L702" s="1"/>
      <c r="M702" s="1"/>
      <c r="N702" s="1"/>
      <c r="O702" s="1"/>
      <c r="P702" s="1"/>
      <c r="Q702" s="1"/>
      <c r="R702" s="1"/>
      <c r="S702" s="1"/>
      <c r="T702" s="1"/>
      <c r="U702" s="1"/>
      <c r="V702" s="1"/>
      <c r="W702" s="1"/>
      <c r="X702" s="1"/>
      <c r="Y702" s="1"/>
      <c r="Z702" s="1"/>
    </row>
    <row r="703" spans="1:26" ht="12.75" customHeight="1" x14ac:dyDescent="0.25">
      <c r="A703" s="1"/>
      <c r="B703" s="1"/>
      <c r="C703" s="3"/>
      <c r="D703" s="3"/>
      <c r="E703" s="5"/>
      <c r="F703" s="5"/>
      <c r="G703" s="3"/>
      <c r="H703" s="5"/>
      <c r="I703" s="1"/>
      <c r="J703" s="7"/>
      <c r="K703" s="1"/>
      <c r="L703" s="1"/>
      <c r="M703" s="1"/>
      <c r="N703" s="1"/>
      <c r="O703" s="1"/>
      <c r="P703" s="1"/>
      <c r="Q703" s="1"/>
      <c r="R703" s="1"/>
      <c r="S703" s="1"/>
      <c r="T703" s="1"/>
      <c r="U703" s="1"/>
      <c r="V703" s="1"/>
      <c r="W703" s="1"/>
      <c r="X703" s="1"/>
      <c r="Y703" s="1"/>
      <c r="Z703" s="1"/>
    </row>
    <row r="704" spans="1:26" ht="12.75" customHeight="1" x14ac:dyDescent="0.25">
      <c r="A704" s="1"/>
      <c r="B704" s="1"/>
      <c r="C704" s="3"/>
      <c r="D704" s="3"/>
      <c r="E704" s="5"/>
      <c r="F704" s="5"/>
      <c r="G704" s="3"/>
      <c r="H704" s="5"/>
      <c r="I704" s="1"/>
      <c r="J704" s="7"/>
      <c r="K704" s="1"/>
      <c r="L704" s="1"/>
      <c r="M704" s="1"/>
      <c r="N704" s="1"/>
      <c r="O704" s="1"/>
      <c r="P704" s="1"/>
      <c r="Q704" s="1"/>
      <c r="R704" s="1"/>
      <c r="S704" s="1"/>
      <c r="T704" s="1"/>
      <c r="U704" s="1"/>
      <c r="V704" s="1"/>
      <c r="W704" s="1"/>
      <c r="X704" s="1"/>
      <c r="Y704" s="1"/>
      <c r="Z704" s="1"/>
    </row>
    <row r="705" spans="1:26" ht="12.75" customHeight="1" x14ac:dyDescent="0.25">
      <c r="A705" s="1"/>
      <c r="B705" s="1"/>
      <c r="C705" s="3"/>
      <c r="D705" s="3"/>
      <c r="E705" s="5"/>
      <c r="F705" s="5"/>
      <c r="G705" s="3"/>
      <c r="H705" s="5"/>
      <c r="I705" s="1"/>
      <c r="J705" s="7"/>
      <c r="K705" s="1"/>
      <c r="L705" s="1"/>
      <c r="M705" s="1"/>
      <c r="N705" s="1"/>
      <c r="O705" s="1"/>
      <c r="P705" s="1"/>
      <c r="Q705" s="1"/>
      <c r="R705" s="1"/>
      <c r="S705" s="1"/>
      <c r="T705" s="1"/>
      <c r="U705" s="1"/>
      <c r="V705" s="1"/>
      <c r="W705" s="1"/>
      <c r="X705" s="1"/>
      <c r="Y705" s="1"/>
      <c r="Z705" s="1"/>
    </row>
    <row r="706" spans="1:26" ht="12.75" customHeight="1" x14ac:dyDescent="0.25">
      <c r="A706" s="1"/>
      <c r="B706" s="1"/>
      <c r="C706" s="3"/>
      <c r="D706" s="3"/>
      <c r="E706" s="5"/>
      <c r="F706" s="5"/>
      <c r="G706" s="3"/>
      <c r="H706" s="5"/>
      <c r="I706" s="1"/>
      <c r="J706" s="7"/>
      <c r="K706" s="1"/>
      <c r="L706" s="1"/>
      <c r="M706" s="1"/>
      <c r="N706" s="1"/>
      <c r="O706" s="1"/>
      <c r="P706" s="1"/>
      <c r="Q706" s="1"/>
      <c r="R706" s="1"/>
      <c r="S706" s="1"/>
      <c r="T706" s="1"/>
      <c r="U706" s="1"/>
      <c r="V706" s="1"/>
      <c r="W706" s="1"/>
      <c r="X706" s="1"/>
      <c r="Y706" s="1"/>
      <c r="Z706" s="1"/>
    </row>
    <row r="707" spans="1:26" ht="12.75" customHeight="1" x14ac:dyDescent="0.25">
      <c r="A707" s="1"/>
      <c r="B707" s="1"/>
      <c r="C707" s="3"/>
      <c r="D707" s="3"/>
      <c r="E707" s="5"/>
      <c r="F707" s="5"/>
      <c r="G707" s="3"/>
      <c r="H707" s="5"/>
      <c r="I707" s="1"/>
      <c r="J707" s="7"/>
      <c r="K707" s="1"/>
      <c r="L707" s="1"/>
      <c r="M707" s="1"/>
      <c r="N707" s="1"/>
      <c r="O707" s="1"/>
      <c r="P707" s="1"/>
      <c r="Q707" s="1"/>
      <c r="R707" s="1"/>
      <c r="S707" s="1"/>
      <c r="T707" s="1"/>
      <c r="U707" s="1"/>
      <c r="V707" s="1"/>
      <c r="W707" s="1"/>
      <c r="X707" s="1"/>
      <c r="Y707" s="1"/>
      <c r="Z707" s="1"/>
    </row>
    <row r="708" spans="1:26" ht="12.75" customHeight="1" x14ac:dyDescent="0.25">
      <c r="A708" s="1"/>
      <c r="B708" s="1"/>
      <c r="C708" s="3"/>
      <c r="D708" s="3"/>
      <c r="E708" s="5"/>
      <c r="F708" s="5"/>
      <c r="G708" s="3"/>
      <c r="H708" s="5"/>
      <c r="I708" s="1"/>
      <c r="J708" s="7"/>
      <c r="K708" s="1"/>
      <c r="L708" s="1"/>
      <c r="M708" s="1"/>
      <c r="N708" s="1"/>
      <c r="O708" s="1"/>
      <c r="P708" s="1"/>
      <c r="Q708" s="1"/>
      <c r="R708" s="1"/>
      <c r="S708" s="1"/>
      <c r="T708" s="1"/>
      <c r="U708" s="1"/>
      <c r="V708" s="1"/>
      <c r="W708" s="1"/>
      <c r="X708" s="1"/>
      <c r="Y708" s="1"/>
      <c r="Z708" s="1"/>
    </row>
    <row r="709" spans="1:26" ht="12.75" customHeight="1" x14ac:dyDescent="0.25">
      <c r="A709" s="1"/>
      <c r="B709" s="1"/>
      <c r="C709" s="3"/>
      <c r="D709" s="3"/>
      <c r="E709" s="5"/>
      <c r="F709" s="5"/>
      <c r="G709" s="3"/>
      <c r="H709" s="5"/>
      <c r="I709" s="1"/>
      <c r="J709" s="7"/>
      <c r="K709" s="1"/>
      <c r="L709" s="1"/>
      <c r="M709" s="1"/>
      <c r="N709" s="1"/>
      <c r="O709" s="1"/>
      <c r="P709" s="1"/>
      <c r="Q709" s="1"/>
      <c r="R709" s="1"/>
      <c r="S709" s="1"/>
      <c r="T709" s="1"/>
      <c r="U709" s="1"/>
      <c r="V709" s="1"/>
      <c r="W709" s="1"/>
      <c r="X709" s="1"/>
      <c r="Y709" s="1"/>
      <c r="Z709" s="1"/>
    </row>
    <row r="710" spans="1:26" ht="12.75" customHeight="1" x14ac:dyDescent="0.25">
      <c r="A710" s="1"/>
      <c r="B710" s="1"/>
      <c r="C710" s="3"/>
      <c r="D710" s="3"/>
      <c r="E710" s="5"/>
      <c r="F710" s="5"/>
      <c r="G710" s="3"/>
      <c r="H710" s="5"/>
      <c r="I710" s="1"/>
      <c r="J710" s="7"/>
      <c r="K710" s="1"/>
      <c r="L710" s="1"/>
      <c r="M710" s="1"/>
      <c r="N710" s="1"/>
      <c r="O710" s="1"/>
      <c r="P710" s="1"/>
      <c r="Q710" s="1"/>
      <c r="R710" s="1"/>
      <c r="S710" s="1"/>
      <c r="T710" s="1"/>
      <c r="U710" s="1"/>
      <c r="V710" s="1"/>
      <c r="W710" s="1"/>
      <c r="X710" s="1"/>
      <c r="Y710" s="1"/>
      <c r="Z710" s="1"/>
    </row>
    <row r="711" spans="1:26" ht="12.75" customHeight="1" x14ac:dyDescent="0.25">
      <c r="A711" s="1"/>
      <c r="B711" s="1"/>
      <c r="C711" s="3"/>
      <c r="D711" s="3"/>
      <c r="E711" s="5"/>
      <c r="F711" s="5"/>
      <c r="G711" s="3"/>
      <c r="H711" s="5"/>
      <c r="I711" s="1"/>
      <c r="J711" s="7"/>
      <c r="K711" s="1"/>
      <c r="L711" s="1"/>
      <c r="M711" s="1"/>
      <c r="N711" s="1"/>
      <c r="O711" s="1"/>
      <c r="P711" s="1"/>
      <c r="Q711" s="1"/>
      <c r="R711" s="1"/>
      <c r="S711" s="1"/>
      <c r="T711" s="1"/>
      <c r="U711" s="1"/>
      <c r="V711" s="1"/>
      <c r="W711" s="1"/>
      <c r="X711" s="1"/>
      <c r="Y711" s="1"/>
      <c r="Z711" s="1"/>
    </row>
    <row r="712" spans="1:26" ht="12.75" customHeight="1" x14ac:dyDescent="0.25">
      <c r="A712" s="1"/>
      <c r="B712" s="1"/>
      <c r="C712" s="3"/>
      <c r="D712" s="3"/>
      <c r="E712" s="5"/>
      <c r="F712" s="5"/>
      <c r="G712" s="3"/>
      <c r="H712" s="5"/>
      <c r="I712" s="1"/>
      <c r="J712" s="7"/>
      <c r="K712" s="1"/>
      <c r="L712" s="1"/>
      <c r="M712" s="1"/>
      <c r="N712" s="1"/>
      <c r="O712" s="1"/>
      <c r="P712" s="1"/>
      <c r="Q712" s="1"/>
      <c r="R712" s="1"/>
      <c r="S712" s="1"/>
      <c r="T712" s="1"/>
      <c r="U712" s="1"/>
      <c r="V712" s="1"/>
      <c r="W712" s="1"/>
      <c r="X712" s="1"/>
      <c r="Y712" s="1"/>
      <c r="Z712" s="1"/>
    </row>
    <row r="713" spans="1:26" ht="12.75" customHeight="1" x14ac:dyDescent="0.25">
      <c r="A713" s="1"/>
      <c r="B713" s="1"/>
      <c r="C713" s="3"/>
      <c r="D713" s="3"/>
      <c r="E713" s="5"/>
      <c r="F713" s="5"/>
      <c r="G713" s="3"/>
      <c r="H713" s="5"/>
      <c r="I713" s="1"/>
      <c r="J713" s="7"/>
      <c r="K713" s="1"/>
      <c r="L713" s="1"/>
      <c r="M713" s="1"/>
      <c r="N713" s="1"/>
      <c r="O713" s="1"/>
      <c r="P713" s="1"/>
      <c r="Q713" s="1"/>
      <c r="R713" s="1"/>
      <c r="S713" s="1"/>
      <c r="T713" s="1"/>
      <c r="U713" s="1"/>
      <c r="V713" s="1"/>
      <c r="W713" s="1"/>
      <c r="X713" s="1"/>
      <c r="Y713" s="1"/>
      <c r="Z713" s="1"/>
    </row>
    <row r="714" spans="1:26" ht="12.75" customHeight="1" x14ac:dyDescent="0.25">
      <c r="A714" s="1"/>
      <c r="B714" s="1"/>
      <c r="C714" s="3"/>
      <c r="D714" s="3"/>
      <c r="E714" s="5"/>
      <c r="F714" s="5"/>
      <c r="G714" s="3"/>
      <c r="H714" s="5"/>
      <c r="I714" s="1"/>
      <c r="J714" s="7"/>
      <c r="K714" s="1"/>
      <c r="L714" s="1"/>
      <c r="M714" s="1"/>
      <c r="N714" s="1"/>
      <c r="O714" s="1"/>
      <c r="P714" s="1"/>
      <c r="Q714" s="1"/>
      <c r="R714" s="1"/>
      <c r="S714" s="1"/>
      <c r="T714" s="1"/>
      <c r="U714" s="1"/>
      <c r="V714" s="1"/>
      <c r="W714" s="1"/>
      <c r="X714" s="1"/>
      <c r="Y714" s="1"/>
      <c r="Z714" s="1"/>
    </row>
    <row r="715" spans="1:26" ht="12.75" customHeight="1" x14ac:dyDescent="0.25">
      <c r="A715" s="1"/>
      <c r="B715" s="1"/>
      <c r="C715" s="3"/>
      <c r="D715" s="3"/>
      <c r="E715" s="5"/>
      <c r="F715" s="5"/>
      <c r="G715" s="3"/>
      <c r="H715" s="5"/>
      <c r="I715" s="1"/>
      <c r="J715" s="7"/>
      <c r="K715" s="1"/>
      <c r="L715" s="1"/>
      <c r="M715" s="1"/>
      <c r="N715" s="1"/>
      <c r="O715" s="1"/>
      <c r="P715" s="1"/>
      <c r="Q715" s="1"/>
      <c r="R715" s="1"/>
      <c r="S715" s="1"/>
      <c r="T715" s="1"/>
      <c r="U715" s="1"/>
      <c r="V715" s="1"/>
      <c r="W715" s="1"/>
      <c r="X715" s="1"/>
      <c r="Y715" s="1"/>
      <c r="Z715" s="1"/>
    </row>
    <row r="716" spans="1:26" ht="12.75" customHeight="1" x14ac:dyDescent="0.25">
      <c r="A716" s="1"/>
      <c r="B716" s="1"/>
      <c r="C716" s="3"/>
      <c r="D716" s="3"/>
      <c r="E716" s="5"/>
      <c r="F716" s="5"/>
      <c r="G716" s="3"/>
      <c r="H716" s="5"/>
      <c r="I716" s="1"/>
      <c r="J716" s="7"/>
      <c r="K716" s="1"/>
      <c r="L716" s="1"/>
      <c r="M716" s="1"/>
      <c r="N716" s="1"/>
      <c r="O716" s="1"/>
      <c r="P716" s="1"/>
      <c r="Q716" s="1"/>
      <c r="R716" s="1"/>
      <c r="S716" s="1"/>
      <c r="T716" s="1"/>
      <c r="U716" s="1"/>
      <c r="V716" s="1"/>
      <c r="W716" s="1"/>
      <c r="X716" s="1"/>
      <c r="Y716" s="1"/>
      <c r="Z716" s="1"/>
    </row>
    <row r="717" spans="1:26" ht="12.75" customHeight="1" x14ac:dyDescent="0.25">
      <c r="A717" s="1"/>
      <c r="B717" s="1"/>
      <c r="C717" s="3"/>
      <c r="D717" s="3"/>
      <c r="E717" s="5"/>
      <c r="F717" s="5"/>
      <c r="G717" s="3"/>
      <c r="H717" s="5"/>
      <c r="I717" s="1"/>
      <c r="J717" s="7"/>
      <c r="K717" s="1"/>
      <c r="L717" s="1"/>
      <c r="M717" s="1"/>
      <c r="N717" s="1"/>
      <c r="O717" s="1"/>
      <c r="P717" s="1"/>
      <c r="Q717" s="1"/>
      <c r="R717" s="1"/>
      <c r="S717" s="1"/>
      <c r="T717" s="1"/>
      <c r="U717" s="1"/>
      <c r="V717" s="1"/>
      <c r="W717" s="1"/>
      <c r="X717" s="1"/>
      <c r="Y717" s="1"/>
      <c r="Z717" s="1"/>
    </row>
    <row r="718" spans="1:26" ht="12.75" customHeight="1" x14ac:dyDescent="0.25">
      <c r="A718" s="1"/>
      <c r="B718" s="1"/>
      <c r="C718" s="3"/>
      <c r="D718" s="3"/>
      <c r="E718" s="5"/>
      <c r="F718" s="5"/>
      <c r="G718" s="3"/>
      <c r="H718" s="5"/>
      <c r="I718" s="1"/>
      <c r="J718" s="7"/>
      <c r="K718" s="1"/>
      <c r="L718" s="1"/>
      <c r="M718" s="1"/>
      <c r="N718" s="1"/>
      <c r="O718" s="1"/>
      <c r="P718" s="1"/>
      <c r="Q718" s="1"/>
      <c r="R718" s="1"/>
      <c r="S718" s="1"/>
      <c r="T718" s="1"/>
      <c r="U718" s="1"/>
      <c r="V718" s="1"/>
      <c r="W718" s="1"/>
      <c r="X718" s="1"/>
      <c r="Y718" s="1"/>
      <c r="Z718" s="1"/>
    </row>
    <row r="719" spans="1:26" ht="12.75" customHeight="1" x14ac:dyDescent="0.25">
      <c r="A719" s="1"/>
      <c r="B719" s="1"/>
      <c r="C719" s="3"/>
      <c r="D719" s="3"/>
      <c r="E719" s="5"/>
      <c r="F719" s="5"/>
      <c r="G719" s="3"/>
      <c r="H719" s="5"/>
      <c r="I719" s="1"/>
      <c r="J719" s="7"/>
      <c r="K719" s="1"/>
      <c r="L719" s="1"/>
      <c r="M719" s="1"/>
      <c r="N719" s="1"/>
      <c r="O719" s="1"/>
      <c r="P719" s="1"/>
      <c r="Q719" s="1"/>
      <c r="R719" s="1"/>
      <c r="S719" s="1"/>
      <c r="T719" s="1"/>
      <c r="U719" s="1"/>
      <c r="V719" s="1"/>
      <c r="W719" s="1"/>
      <c r="X719" s="1"/>
      <c r="Y719" s="1"/>
      <c r="Z719" s="1"/>
    </row>
    <row r="720" spans="1:26" ht="12.75" customHeight="1" x14ac:dyDescent="0.25">
      <c r="A720" s="1"/>
      <c r="B720" s="1"/>
      <c r="C720" s="3"/>
      <c r="D720" s="3"/>
      <c r="E720" s="5"/>
      <c r="F720" s="5"/>
      <c r="G720" s="3"/>
      <c r="H720" s="5"/>
      <c r="I720" s="1"/>
      <c r="J720" s="7"/>
      <c r="K720" s="1"/>
      <c r="L720" s="1"/>
      <c r="M720" s="1"/>
      <c r="N720" s="1"/>
      <c r="O720" s="1"/>
      <c r="P720" s="1"/>
      <c r="Q720" s="1"/>
      <c r="R720" s="1"/>
      <c r="S720" s="1"/>
      <c r="T720" s="1"/>
      <c r="U720" s="1"/>
      <c r="V720" s="1"/>
      <c r="W720" s="1"/>
      <c r="X720" s="1"/>
      <c r="Y720" s="1"/>
      <c r="Z720" s="1"/>
    </row>
    <row r="721" spans="1:26" ht="12.75" customHeight="1" x14ac:dyDescent="0.25">
      <c r="A721" s="1"/>
      <c r="B721" s="1"/>
      <c r="C721" s="3"/>
      <c r="D721" s="3"/>
      <c r="E721" s="5"/>
      <c r="F721" s="5"/>
      <c r="G721" s="3"/>
      <c r="H721" s="5"/>
      <c r="I721" s="1"/>
      <c r="J721" s="7"/>
      <c r="K721" s="1"/>
      <c r="L721" s="1"/>
      <c r="M721" s="1"/>
      <c r="N721" s="1"/>
      <c r="O721" s="1"/>
      <c r="P721" s="1"/>
      <c r="Q721" s="1"/>
      <c r="R721" s="1"/>
      <c r="S721" s="1"/>
      <c r="T721" s="1"/>
      <c r="U721" s="1"/>
      <c r="V721" s="1"/>
      <c r="W721" s="1"/>
      <c r="X721" s="1"/>
      <c r="Y721" s="1"/>
      <c r="Z721" s="1"/>
    </row>
    <row r="722" spans="1:26" ht="12.75" customHeight="1" x14ac:dyDescent="0.25">
      <c r="A722" s="1"/>
      <c r="B722" s="1"/>
      <c r="C722" s="3"/>
      <c r="D722" s="3"/>
      <c r="E722" s="5"/>
      <c r="F722" s="5"/>
      <c r="G722" s="3"/>
      <c r="H722" s="5"/>
      <c r="I722" s="1"/>
      <c r="J722" s="7"/>
      <c r="K722" s="1"/>
      <c r="L722" s="1"/>
      <c r="M722" s="1"/>
      <c r="N722" s="1"/>
      <c r="O722" s="1"/>
      <c r="P722" s="1"/>
      <c r="Q722" s="1"/>
      <c r="R722" s="1"/>
      <c r="S722" s="1"/>
      <c r="T722" s="1"/>
      <c r="U722" s="1"/>
      <c r="V722" s="1"/>
      <c r="W722" s="1"/>
      <c r="X722" s="1"/>
      <c r="Y722" s="1"/>
      <c r="Z722" s="1"/>
    </row>
    <row r="723" spans="1:26" ht="12.75" customHeight="1" x14ac:dyDescent="0.25">
      <c r="A723" s="1"/>
      <c r="B723" s="1"/>
      <c r="C723" s="3"/>
      <c r="D723" s="3"/>
      <c r="E723" s="5"/>
      <c r="F723" s="5"/>
      <c r="G723" s="3"/>
      <c r="H723" s="5"/>
      <c r="I723" s="1"/>
      <c r="J723" s="7"/>
      <c r="K723" s="1"/>
      <c r="L723" s="1"/>
      <c r="M723" s="1"/>
      <c r="N723" s="1"/>
      <c r="O723" s="1"/>
      <c r="P723" s="1"/>
      <c r="Q723" s="1"/>
      <c r="R723" s="1"/>
      <c r="S723" s="1"/>
      <c r="T723" s="1"/>
      <c r="U723" s="1"/>
      <c r="V723" s="1"/>
      <c r="W723" s="1"/>
      <c r="X723" s="1"/>
      <c r="Y723" s="1"/>
      <c r="Z723" s="1"/>
    </row>
    <row r="724" spans="1:26" ht="12.75" customHeight="1" x14ac:dyDescent="0.25">
      <c r="A724" s="1"/>
      <c r="B724" s="1"/>
      <c r="C724" s="3"/>
      <c r="D724" s="3"/>
      <c r="E724" s="5"/>
      <c r="F724" s="5"/>
      <c r="G724" s="3"/>
      <c r="H724" s="5"/>
      <c r="I724" s="1"/>
      <c r="J724" s="7"/>
      <c r="K724" s="1"/>
      <c r="L724" s="1"/>
      <c r="M724" s="1"/>
      <c r="N724" s="1"/>
      <c r="O724" s="1"/>
      <c r="P724" s="1"/>
      <c r="Q724" s="1"/>
      <c r="R724" s="1"/>
      <c r="S724" s="1"/>
      <c r="T724" s="1"/>
      <c r="U724" s="1"/>
      <c r="V724" s="1"/>
      <c r="W724" s="1"/>
      <c r="X724" s="1"/>
      <c r="Y724" s="1"/>
      <c r="Z724" s="1"/>
    </row>
    <row r="725" spans="1:26" ht="12.75" customHeight="1" x14ac:dyDescent="0.25">
      <c r="A725" s="1"/>
      <c r="B725" s="1"/>
      <c r="C725" s="3"/>
      <c r="D725" s="3"/>
      <c r="E725" s="5"/>
      <c r="F725" s="5"/>
      <c r="G725" s="3"/>
      <c r="H725" s="5"/>
      <c r="I725" s="1"/>
      <c r="J725" s="7"/>
      <c r="K725" s="1"/>
      <c r="L725" s="1"/>
      <c r="M725" s="1"/>
      <c r="N725" s="1"/>
      <c r="O725" s="1"/>
      <c r="P725" s="1"/>
      <c r="Q725" s="1"/>
      <c r="R725" s="1"/>
      <c r="S725" s="1"/>
      <c r="T725" s="1"/>
      <c r="U725" s="1"/>
      <c r="V725" s="1"/>
      <c r="W725" s="1"/>
      <c r="X725" s="1"/>
      <c r="Y725" s="1"/>
      <c r="Z725" s="1"/>
    </row>
    <row r="726" spans="1:26" ht="12.75" customHeight="1" x14ac:dyDescent="0.25">
      <c r="A726" s="1"/>
      <c r="B726" s="1"/>
      <c r="C726" s="3"/>
      <c r="D726" s="3"/>
      <c r="E726" s="5"/>
      <c r="F726" s="5"/>
      <c r="G726" s="3"/>
      <c r="H726" s="5"/>
      <c r="I726" s="1"/>
      <c r="J726" s="7"/>
      <c r="K726" s="1"/>
      <c r="L726" s="1"/>
      <c r="M726" s="1"/>
      <c r="N726" s="1"/>
      <c r="O726" s="1"/>
      <c r="P726" s="1"/>
      <c r="Q726" s="1"/>
      <c r="R726" s="1"/>
      <c r="S726" s="1"/>
      <c r="T726" s="1"/>
      <c r="U726" s="1"/>
      <c r="V726" s="1"/>
      <c r="W726" s="1"/>
      <c r="X726" s="1"/>
      <c r="Y726" s="1"/>
      <c r="Z726" s="1"/>
    </row>
    <row r="727" spans="1:26" ht="12.75" customHeight="1" x14ac:dyDescent="0.25">
      <c r="A727" s="1"/>
      <c r="B727" s="1"/>
      <c r="C727" s="3"/>
      <c r="D727" s="3"/>
      <c r="E727" s="5"/>
      <c r="F727" s="5"/>
      <c r="G727" s="3"/>
      <c r="H727" s="5"/>
      <c r="I727" s="1"/>
      <c r="J727" s="7"/>
      <c r="K727" s="1"/>
      <c r="L727" s="1"/>
      <c r="M727" s="1"/>
      <c r="N727" s="1"/>
      <c r="O727" s="1"/>
      <c r="P727" s="1"/>
      <c r="Q727" s="1"/>
      <c r="R727" s="1"/>
      <c r="S727" s="1"/>
      <c r="T727" s="1"/>
      <c r="U727" s="1"/>
      <c r="V727" s="1"/>
      <c r="W727" s="1"/>
      <c r="X727" s="1"/>
      <c r="Y727" s="1"/>
      <c r="Z727" s="1"/>
    </row>
    <row r="728" spans="1:26" ht="12.75" customHeight="1" x14ac:dyDescent="0.25">
      <c r="A728" s="1"/>
      <c r="B728" s="1"/>
      <c r="C728" s="3"/>
      <c r="D728" s="3"/>
      <c r="E728" s="5"/>
      <c r="F728" s="5"/>
      <c r="G728" s="3"/>
      <c r="H728" s="5"/>
      <c r="I728" s="1"/>
      <c r="J728" s="7"/>
      <c r="K728" s="1"/>
      <c r="L728" s="1"/>
      <c r="M728" s="1"/>
      <c r="N728" s="1"/>
      <c r="O728" s="1"/>
      <c r="P728" s="1"/>
      <c r="Q728" s="1"/>
      <c r="R728" s="1"/>
      <c r="S728" s="1"/>
      <c r="T728" s="1"/>
      <c r="U728" s="1"/>
      <c r="V728" s="1"/>
      <c r="W728" s="1"/>
      <c r="X728" s="1"/>
      <c r="Y728" s="1"/>
      <c r="Z728" s="1"/>
    </row>
    <row r="729" spans="1:26" ht="12.75" customHeight="1" x14ac:dyDescent="0.25">
      <c r="A729" s="1"/>
      <c r="B729" s="1"/>
      <c r="C729" s="3"/>
      <c r="D729" s="3"/>
      <c r="E729" s="5"/>
      <c r="F729" s="5"/>
      <c r="G729" s="3"/>
      <c r="H729" s="5"/>
      <c r="I729" s="1"/>
      <c r="J729" s="7"/>
      <c r="K729" s="1"/>
      <c r="L729" s="1"/>
      <c r="M729" s="1"/>
      <c r="N729" s="1"/>
      <c r="O729" s="1"/>
      <c r="P729" s="1"/>
      <c r="Q729" s="1"/>
      <c r="R729" s="1"/>
      <c r="S729" s="1"/>
      <c r="T729" s="1"/>
      <c r="U729" s="1"/>
      <c r="V729" s="1"/>
      <c r="W729" s="1"/>
      <c r="X729" s="1"/>
      <c r="Y729" s="1"/>
      <c r="Z729" s="1"/>
    </row>
    <row r="730" spans="1:26" ht="12.75" customHeight="1" x14ac:dyDescent="0.25">
      <c r="A730" s="1"/>
      <c r="B730" s="1"/>
      <c r="C730" s="3"/>
      <c r="D730" s="3"/>
      <c r="E730" s="5"/>
      <c r="F730" s="5"/>
      <c r="G730" s="3"/>
      <c r="H730" s="5"/>
      <c r="I730" s="1"/>
      <c r="J730" s="7"/>
      <c r="K730" s="1"/>
      <c r="L730" s="1"/>
      <c r="M730" s="1"/>
      <c r="N730" s="1"/>
      <c r="O730" s="1"/>
      <c r="P730" s="1"/>
      <c r="Q730" s="1"/>
      <c r="R730" s="1"/>
      <c r="S730" s="1"/>
      <c r="T730" s="1"/>
      <c r="U730" s="1"/>
      <c r="V730" s="1"/>
      <c r="W730" s="1"/>
      <c r="X730" s="1"/>
      <c r="Y730" s="1"/>
      <c r="Z730" s="1"/>
    </row>
    <row r="731" spans="1:26" ht="12.75" customHeight="1" x14ac:dyDescent="0.25">
      <c r="A731" s="1"/>
      <c r="B731" s="1"/>
      <c r="C731" s="3"/>
      <c r="D731" s="3"/>
      <c r="E731" s="5"/>
      <c r="F731" s="5"/>
      <c r="G731" s="3"/>
      <c r="H731" s="5"/>
      <c r="I731" s="1"/>
      <c r="J731" s="7"/>
      <c r="K731" s="1"/>
      <c r="L731" s="1"/>
      <c r="M731" s="1"/>
      <c r="N731" s="1"/>
      <c r="O731" s="1"/>
      <c r="P731" s="1"/>
      <c r="Q731" s="1"/>
      <c r="R731" s="1"/>
      <c r="S731" s="1"/>
      <c r="T731" s="1"/>
      <c r="U731" s="1"/>
      <c r="V731" s="1"/>
      <c r="W731" s="1"/>
      <c r="X731" s="1"/>
      <c r="Y731" s="1"/>
      <c r="Z731" s="1"/>
    </row>
    <row r="732" spans="1:26" ht="12.75" customHeight="1" x14ac:dyDescent="0.25">
      <c r="A732" s="1"/>
      <c r="B732" s="1"/>
      <c r="C732" s="3"/>
      <c r="D732" s="3"/>
      <c r="E732" s="5"/>
      <c r="F732" s="5"/>
      <c r="G732" s="3"/>
      <c r="H732" s="5"/>
      <c r="I732" s="1"/>
      <c r="J732" s="7"/>
      <c r="K732" s="1"/>
      <c r="L732" s="1"/>
      <c r="M732" s="1"/>
      <c r="N732" s="1"/>
      <c r="O732" s="1"/>
      <c r="P732" s="1"/>
      <c r="Q732" s="1"/>
      <c r="R732" s="1"/>
      <c r="S732" s="1"/>
      <c r="T732" s="1"/>
      <c r="U732" s="1"/>
      <c r="V732" s="1"/>
      <c r="W732" s="1"/>
      <c r="X732" s="1"/>
      <c r="Y732" s="1"/>
      <c r="Z732" s="1"/>
    </row>
    <row r="733" spans="1:26" ht="12.75" customHeight="1" x14ac:dyDescent="0.25">
      <c r="A733" s="1"/>
      <c r="B733" s="1"/>
      <c r="C733" s="3"/>
      <c r="D733" s="3"/>
      <c r="E733" s="5"/>
      <c r="F733" s="5"/>
      <c r="G733" s="3"/>
      <c r="H733" s="5"/>
      <c r="I733" s="1"/>
      <c r="J733" s="7"/>
      <c r="K733" s="1"/>
      <c r="L733" s="1"/>
      <c r="M733" s="1"/>
      <c r="N733" s="1"/>
      <c r="O733" s="1"/>
      <c r="P733" s="1"/>
      <c r="Q733" s="1"/>
      <c r="R733" s="1"/>
      <c r="S733" s="1"/>
      <c r="T733" s="1"/>
      <c r="U733" s="1"/>
      <c r="V733" s="1"/>
      <c r="W733" s="1"/>
      <c r="X733" s="1"/>
      <c r="Y733" s="1"/>
      <c r="Z733" s="1"/>
    </row>
    <row r="734" spans="1:26" ht="12.75" customHeight="1" x14ac:dyDescent="0.25">
      <c r="A734" s="1"/>
      <c r="B734" s="1"/>
      <c r="C734" s="3"/>
      <c r="D734" s="3"/>
      <c r="E734" s="5"/>
      <c r="F734" s="5"/>
      <c r="G734" s="3"/>
      <c r="H734" s="5"/>
      <c r="I734" s="1"/>
      <c r="J734" s="7"/>
      <c r="K734" s="1"/>
      <c r="L734" s="1"/>
      <c r="M734" s="1"/>
      <c r="N734" s="1"/>
      <c r="O734" s="1"/>
      <c r="P734" s="1"/>
      <c r="Q734" s="1"/>
      <c r="R734" s="1"/>
      <c r="S734" s="1"/>
      <c r="T734" s="1"/>
      <c r="U734" s="1"/>
      <c r="V734" s="1"/>
      <c r="W734" s="1"/>
      <c r="X734" s="1"/>
      <c r="Y734" s="1"/>
      <c r="Z734" s="1"/>
    </row>
    <row r="735" spans="1:26" ht="12.75" customHeight="1" x14ac:dyDescent="0.25">
      <c r="A735" s="1"/>
      <c r="B735" s="1"/>
      <c r="C735" s="3"/>
      <c r="D735" s="3"/>
      <c r="E735" s="5"/>
      <c r="F735" s="5"/>
      <c r="G735" s="3"/>
      <c r="H735" s="5"/>
      <c r="I735" s="1"/>
      <c r="J735" s="7"/>
      <c r="K735" s="1"/>
      <c r="L735" s="1"/>
      <c r="M735" s="1"/>
      <c r="N735" s="1"/>
      <c r="O735" s="1"/>
      <c r="P735" s="1"/>
      <c r="Q735" s="1"/>
      <c r="R735" s="1"/>
      <c r="S735" s="1"/>
      <c r="T735" s="1"/>
      <c r="U735" s="1"/>
      <c r="V735" s="1"/>
      <c r="W735" s="1"/>
      <c r="X735" s="1"/>
      <c r="Y735" s="1"/>
      <c r="Z735" s="1"/>
    </row>
    <row r="736" spans="1:26" ht="12.75" customHeight="1" x14ac:dyDescent="0.25">
      <c r="A736" s="1"/>
      <c r="B736" s="1"/>
      <c r="C736" s="3"/>
      <c r="D736" s="3"/>
      <c r="E736" s="5"/>
      <c r="F736" s="5"/>
      <c r="G736" s="3"/>
      <c r="H736" s="5"/>
      <c r="I736" s="1"/>
      <c r="J736" s="7"/>
      <c r="K736" s="1"/>
      <c r="L736" s="1"/>
      <c r="M736" s="1"/>
      <c r="N736" s="1"/>
      <c r="O736" s="1"/>
      <c r="P736" s="1"/>
      <c r="Q736" s="1"/>
      <c r="R736" s="1"/>
      <c r="S736" s="1"/>
      <c r="T736" s="1"/>
      <c r="U736" s="1"/>
      <c r="V736" s="1"/>
      <c r="W736" s="1"/>
      <c r="X736" s="1"/>
      <c r="Y736" s="1"/>
      <c r="Z736" s="1"/>
    </row>
    <row r="737" spans="1:26" ht="12.75" customHeight="1" x14ac:dyDescent="0.25">
      <c r="A737" s="1"/>
      <c r="B737" s="1"/>
      <c r="C737" s="3"/>
      <c r="D737" s="3"/>
      <c r="E737" s="5"/>
      <c r="F737" s="5"/>
      <c r="G737" s="3"/>
      <c r="H737" s="5"/>
      <c r="I737" s="1"/>
      <c r="J737" s="7"/>
      <c r="K737" s="1"/>
      <c r="L737" s="1"/>
      <c r="M737" s="1"/>
      <c r="N737" s="1"/>
      <c r="O737" s="1"/>
      <c r="P737" s="1"/>
      <c r="Q737" s="1"/>
      <c r="R737" s="1"/>
      <c r="S737" s="1"/>
      <c r="T737" s="1"/>
      <c r="U737" s="1"/>
      <c r="V737" s="1"/>
      <c r="W737" s="1"/>
      <c r="X737" s="1"/>
      <c r="Y737" s="1"/>
      <c r="Z737" s="1"/>
    </row>
    <row r="738" spans="1:26" ht="12.75" customHeight="1" x14ac:dyDescent="0.25">
      <c r="A738" s="1"/>
      <c r="B738" s="1"/>
      <c r="C738" s="3"/>
      <c r="D738" s="3"/>
      <c r="E738" s="5"/>
      <c r="F738" s="5"/>
      <c r="G738" s="3"/>
      <c r="H738" s="5"/>
      <c r="I738" s="1"/>
      <c r="J738" s="7"/>
      <c r="K738" s="1"/>
      <c r="L738" s="1"/>
      <c r="M738" s="1"/>
      <c r="N738" s="1"/>
      <c r="O738" s="1"/>
      <c r="P738" s="1"/>
      <c r="Q738" s="1"/>
      <c r="R738" s="1"/>
      <c r="S738" s="1"/>
      <c r="T738" s="1"/>
      <c r="U738" s="1"/>
      <c r="V738" s="1"/>
      <c r="W738" s="1"/>
      <c r="X738" s="1"/>
      <c r="Y738" s="1"/>
      <c r="Z738" s="1"/>
    </row>
    <row r="739" spans="1:26" ht="12.75" customHeight="1" x14ac:dyDescent="0.25">
      <c r="A739" s="1"/>
      <c r="B739" s="1"/>
      <c r="C739" s="3"/>
      <c r="D739" s="3"/>
      <c r="E739" s="5"/>
      <c r="F739" s="5"/>
      <c r="G739" s="3"/>
      <c r="H739" s="5"/>
      <c r="I739" s="1"/>
      <c r="J739" s="7"/>
      <c r="K739" s="1"/>
      <c r="L739" s="1"/>
      <c r="M739" s="1"/>
      <c r="N739" s="1"/>
      <c r="O739" s="1"/>
      <c r="P739" s="1"/>
      <c r="Q739" s="1"/>
      <c r="R739" s="1"/>
      <c r="S739" s="1"/>
      <c r="T739" s="1"/>
      <c r="U739" s="1"/>
      <c r="V739" s="1"/>
      <c r="W739" s="1"/>
      <c r="X739" s="1"/>
      <c r="Y739" s="1"/>
      <c r="Z739" s="1"/>
    </row>
    <row r="740" spans="1:26" ht="12.75" customHeight="1" x14ac:dyDescent="0.25">
      <c r="A740" s="1"/>
      <c r="B740" s="1"/>
      <c r="C740" s="3"/>
      <c r="D740" s="3"/>
      <c r="E740" s="5"/>
      <c r="F740" s="5"/>
      <c r="G740" s="3"/>
      <c r="H740" s="5"/>
      <c r="I740" s="1"/>
      <c r="J740" s="7"/>
      <c r="K740" s="1"/>
      <c r="L740" s="1"/>
      <c r="M740" s="1"/>
      <c r="N740" s="1"/>
      <c r="O740" s="1"/>
      <c r="P740" s="1"/>
      <c r="Q740" s="1"/>
      <c r="R740" s="1"/>
      <c r="S740" s="1"/>
      <c r="T740" s="1"/>
      <c r="U740" s="1"/>
      <c r="V740" s="1"/>
      <c r="W740" s="1"/>
      <c r="X740" s="1"/>
      <c r="Y740" s="1"/>
      <c r="Z740" s="1"/>
    </row>
    <row r="741" spans="1:26" ht="12.75" customHeight="1" x14ac:dyDescent="0.25">
      <c r="A741" s="1"/>
      <c r="B741" s="1"/>
      <c r="C741" s="3"/>
      <c r="D741" s="3"/>
      <c r="E741" s="5"/>
      <c r="F741" s="5"/>
      <c r="G741" s="3"/>
      <c r="H741" s="5"/>
      <c r="I741" s="1"/>
      <c r="J741" s="7"/>
      <c r="K741" s="1"/>
      <c r="L741" s="1"/>
      <c r="M741" s="1"/>
      <c r="N741" s="1"/>
      <c r="O741" s="1"/>
      <c r="P741" s="1"/>
      <c r="Q741" s="1"/>
      <c r="R741" s="1"/>
      <c r="S741" s="1"/>
      <c r="T741" s="1"/>
      <c r="U741" s="1"/>
      <c r="V741" s="1"/>
      <c r="W741" s="1"/>
      <c r="X741" s="1"/>
      <c r="Y741" s="1"/>
      <c r="Z741" s="1"/>
    </row>
    <row r="742" spans="1:26" ht="12.75" customHeight="1" x14ac:dyDescent="0.25">
      <c r="A742" s="1"/>
      <c r="B742" s="1"/>
      <c r="C742" s="3"/>
      <c r="D742" s="3"/>
      <c r="E742" s="5"/>
      <c r="F742" s="5"/>
      <c r="G742" s="3"/>
      <c r="H742" s="5"/>
      <c r="I742" s="1"/>
      <c r="J742" s="7"/>
      <c r="K742" s="1"/>
      <c r="L742" s="1"/>
      <c r="M742" s="1"/>
      <c r="N742" s="1"/>
      <c r="O742" s="1"/>
      <c r="P742" s="1"/>
      <c r="Q742" s="1"/>
      <c r="R742" s="1"/>
      <c r="S742" s="1"/>
      <c r="T742" s="1"/>
      <c r="U742" s="1"/>
      <c r="V742" s="1"/>
      <c r="W742" s="1"/>
      <c r="X742" s="1"/>
      <c r="Y742" s="1"/>
      <c r="Z742" s="1"/>
    </row>
    <row r="743" spans="1:26" ht="12.75" customHeight="1" x14ac:dyDescent="0.25">
      <c r="A743" s="1"/>
      <c r="B743" s="1"/>
      <c r="C743" s="3"/>
      <c r="D743" s="3"/>
      <c r="E743" s="5"/>
      <c r="F743" s="5"/>
      <c r="G743" s="3"/>
      <c r="H743" s="5"/>
      <c r="I743" s="1"/>
      <c r="J743" s="7"/>
      <c r="K743" s="1"/>
      <c r="L743" s="1"/>
      <c r="M743" s="1"/>
      <c r="N743" s="1"/>
      <c r="O743" s="1"/>
      <c r="P743" s="1"/>
      <c r="Q743" s="1"/>
      <c r="R743" s="1"/>
      <c r="S743" s="1"/>
      <c r="T743" s="1"/>
      <c r="U743" s="1"/>
      <c r="V743" s="1"/>
      <c r="W743" s="1"/>
      <c r="X743" s="1"/>
      <c r="Y743" s="1"/>
      <c r="Z743" s="1"/>
    </row>
    <row r="744" spans="1:26" ht="12.75" customHeight="1" x14ac:dyDescent="0.25">
      <c r="A744" s="1"/>
      <c r="B744" s="1"/>
      <c r="C744" s="3"/>
      <c r="D744" s="3"/>
      <c r="E744" s="5"/>
      <c r="F744" s="5"/>
      <c r="G744" s="3"/>
      <c r="H744" s="5"/>
      <c r="I744" s="1"/>
      <c r="J744" s="7"/>
      <c r="K744" s="1"/>
      <c r="L744" s="1"/>
      <c r="M744" s="1"/>
      <c r="N744" s="1"/>
      <c r="O744" s="1"/>
      <c r="P744" s="1"/>
      <c r="Q744" s="1"/>
      <c r="R744" s="1"/>
      <c r="S744" s="1"/>
      <c r="T744" s="1"/>
      <c r="U744" s="1"/>
      <c r="V744" s="1"/>
      <c r="W744" s="1"/>
      <c r="X744" s="1"/>
      <c r="Y744" s="1"/>
      <c r="Z744" s="1"/>
    </row>
    <row r="745" spans="1:26" ht="12.75" customHeight="1" x14ac:dyDescent="0.25">
      <c r="A745" s="1"/>
      <c r="B745" s="1"/>
      <c r="C745" s="3"/>
      <c r="D745" s="3"/>
      <c r="E745" s="5"/>
      <c r="F745" s="5"/>
      <c r="G745" s="3"/>
      <c r="H745" s="5"/>
      <c r="I745" s="1"/>
      <c r="J745" s="7"/>
      <c r="K745" s="1"/>
      <c r="L745" s="1"/>
      <c r="M745" s="1"/>
      <c r="N745" s="1"/>
      <c r="O745" s="1"/>
      <c r="P745" s="1"/>
      <c r="Q745" s="1"/>
      <c r="R745" s="1"/>
      <c r="S745" s="1"/>
      <c r="T745" s="1"/>
      <c r="U745" s="1"/>
      <c r="V745" s="1"/>
      <c r="W745" s="1"/>
      <c r="X745" s="1"/>
      <c r="Y745" s="1"/>
      <c r="Z745" s="1"/>
    </row>
    <row r="746" spans="1:26" ht="12.75" customHeight="1" x14ac:dyDescent="0.25">
      <c r="A746" s="1"/>
      <c r="B746" s="1"/>
      <c r="C746" s="3"/>
      <c r="D746" s="3"/>
      <c r="E746" s="5"/>
      <c r="F746" s="5"/>
      <c r="G746" s="3"/>
      <c r="H746" s="5"/>
      <c r="I746" s="1"/>
      <c r="J746" s="7"/>
      <c r="K746" s="1"/>
      <c r="L746" s="1"/>
      <c r="M746" s="1"/>
      <c r="N746" s="1"/>
      <c r="O746" s="1"/>
      <c r="P746" s="1"/>
      <c r="Q746" s="1"/>
      <c r="R746" s="1"/>
      <c r="S746" s="1"/>
      <c r="T746" s="1"/>
      <c r="U746" s="1"/>
      <c r="V746" s="1"/>
      <c r="W746" s="1"/>
      <c r="X746" s="1"/>
      <c r="Y746" s="1"/>
      <c r="Z746" s="1"/>
    </row>
    <row r="747" spans="1:26" ht="12.75" customHeight="1" x14ac:dyDescent="0.25">
      <c r="A747" s="1"/>
      <c r="B747" s="1"/>
      <c r="C747" s="3"/>
      <c r="D747" s="3"/>
      <c r="E747" s="5"/>
      <c r="F747" s="5"/>
      <c r="G747" s="3"/>
      <c r="H747" s="5"/>
      <c r="I747" s="1"/>
      <c r="J747" s="7"/>
      <c r="K747" s="1"/>
      <c r="L747" s="1"/>
      <c r="M747" s="1"/>
      <c r="N747" s="1"/>
      <c r="O747" s="1"/>
      <c r="P747" s="1"/>
      <c r="Q747" s="1"/>
      <c r="R747" s="1"/>
      <c r="S747" s="1"/>
      <c r="T747" s="1"/>
      <c r="U747" s="1"/>
      <c r="V747" s="1"/>
      <c r="W747" s="1"/>
      <c r="X747" s="1"/>
      <c r="Y747" s="1"/>
      <c r="Z747" s="1"/>
    </row>
    <row r="748" spans="1:26" ht="12.75" customHeight="1" x14ac:dyDescent="0.25">
      <c r="A748" s="1"/>
      <c r="B748" s="1"/>
      <c r="C748" s="3"/>
      <c r="D748" s="3"/>
      <c r="E748" s="5"/>
      <c r="F748" s="5"/>
      <c r="G748" s="3"/>
      <c r="H748" s="5"/>
      <c r="I748" s="1"/>
      <c r="J748" s="7"/>
      <c r="K748" s="1"/>
      <c r="L748" s="1"/>
      <c r="M748" s="1"/>
      <c r="N748" s="1"/>
      <c r="O748" s="1"/>
      <c r="P748" s="1"/>
      <c r="Q748" s="1"/>
      <c r="R748" s="1"/>
      <c r="S748" s="1"/>
      <c r="T748" s="1"/>
      <c r="U748" s="1"/>
      <c r="V748" s="1"/>
      <c r="W748" s="1"/>
      <c r="X748" s="1"/>
      <c r="Y748" s="1"/>
      <c r="Z748" s="1"/>
    </row>
    <row r="749" spans="1:26" ht="12.75" customHeight="1" x14ac:dyDescent="0.25">
      <c r="A749" s="1"/>
      <c r="B749" s="1"/>
      <c r="C749" s="3"/>
      <c r="D749" s="3"/>
      <c r="E749" s="5"/>
      <c r="F749" s="5"/>
      <c r="G749" s="3"/>
      <c r="H749" s="5"/>
      <c r="I749" s="1"/>
      <c r="J749" s="7"/>
      <c r="K749" s="1"/>
      <c r="L749" s="1"/>
      <c r="M749" s="1"/>
      <c r="N749" s="1"/>
      <c r="O749" s="1"/>
      <c r="P749" s="1"/>
      <c r="Q749" s="1"/>
      <c r="R749" s="1"/>
      <c r="S749" s="1"/>
      <c r="T749" s="1"/>
      <c r="U749" s="1"/>
      <c r="V749" s="1"/>
      <c r="W749" s="1"/>
      <c r="X749" s="1"/>
      <c r="Y749" s="1"/>
      <c r="Z749" s="1"/>
    </row>
    <row r="750" spans="1:26" ht="12.75" customHeight="1" x14ac:dyDescent="0.25">
      <c r="A750" s="1"/>
      <c r="B750" s="1"/>
      <c r="C750" s="3"/>
      <c r="D750" s="3"/>
      <c r="E750" s="5"/>
      <c r="F750" s="5"/>
      <c r="G750" s="3"/>
      <c r="H750" s="5"/>
      <c r="I750" s="1"/>
      <c r="J750" s="7"/>
      <c r="K750" s="1"/>
      <c r="L750" s="1"/>
      <c r="M750" s="1"/>
      <c r="N750" s="1"/>
      <c r="O750" s="1"/>
      <c r="P750" s="1"/>
      <c r="Q750" s="1"/>
      <c r="R750" s="1"/>
      <c r="S750" s="1"/>
      <c r="T750" s="1"/>
      <c r="U750" s="1"/>
      <c r="V750" s="1"/>
      <c r="W750" s="1"/>
      <c r="X750" s="1"/>
      <c r="Y750" s="1"/>
      <c r="Z750" s="1"/>
    </row>
    <row r="751" spans="1:26" ht="12.75" customHeight="1" x14ac:dyDescent="0.25">
      <c r="A751" s="1"/>
      <c r="B751" s="1"/>
      <c r="C751" s="3"/>
      <c r="D751" s="3"/>
      <c r="E751" s="5"/>
      <c r="F751" s="5"/>
      <c r="G751" s="3"/>
      <c r="H751" s="5"/>
      <c r="I751" s="1"/>
      <c r="J751" s="7"/>
      <c r="K751" s="1"/>
      <c r="L751" s="1"/>
      <c r="M751" s="1"/>
      <c r="N751" s="1"/>
      <c r="O751" s="1"/>
      <c r="P751" s="1"/>
      <c r="Q751" s="1"/>
      <c r="R751" s="1"/>
      <c r="S751" s="1"/>
      <c r="T751" s="1"/>
      <c r="U751" s="1"/>
      <c r="V751" s="1"/>
      <c r="W751" s="1"/>
      <c r="X751" s="1"/>
      <c r="Y751" s="1"/>
      <c r="Z751" s="1"/>
    </row>
    <row r="752" spans="1:26" ht="12.75" customHeight="1" x14ac:dyDescent="0.25">
      <c r="A752" s="1"/>
      <c r="B752" s="1"/>
      <c r="C752" s="3"/>
      <c r="D752" s="3"/>
      <c r="E752" s="5"/>
      <c r="F752" s="5"/>
      <c r="G752" s="3"/>
      <c r="H752" s="5"/>
      <c r="I752" s="1"/>
      <c r="J752" s="7"/>
      <c r="K752" s="1"/>
      <c r="L752" s="1"/>
      <c r="M752" s="1"/>
      <c r="N752" s="1"/>
      <c r="O752" s="1"/>
      <c r="P752" s="1"/>
      <c r="Q752" s="1"/>
      <c r="R752" s="1"/>
      <c r="S752" s="1"/>
      <c r="T752" s="1"/>
      <c r="U752" s="1"/>
      <c r="V752" s="1"/>
      <c r="W752" s="1"/>
      <c r="X752" s="1"/>
      <c r="Y752" s="1"/>
      <c r="Z752" s="1"/>
    </row>
    <row r="753" spans="1:26" ht="12.75" customHeight="1" x14ac:dyDescent="0.25">
      <c r="A753" s="1"/>
      <c r="B753" s="1"/>
      <c r="C753" s="3"/>
      <c r="D753" s="3"/>
      <c r="E753" s="5"/>
      <c r="F753" s="5"/>
      <c r="G753" s="3"/>
      <c r="H753" s="5"/>
      <c r="I753" s="1"/>
      <c r="J753" s="7"/>
      <c r="K753" s="1"/>
      <c r="L753" s="1"/>
      <c r="M753" s="1"/>
      <c r="N753" s="1"/>
      <c r="O753" s="1"/>
      <c r="P753" s="1"/>
      <c r="Q753" s="1"/>
      <c r="R753" s="1"/>
      <c r="S753" s="1"/>
      <c r="T753" s="1"/>
      <c r="U753" s="1"/>
      <c r="V753" s="1"/>
      <c r="W753" s="1"/>
      <c r="X753" s="1"/>
      <c r="Y753" s="1"/>
      <c r="Z753" s="1"/>
    </row>
    <row r="754" spans="1:26" ht="12.75" customHeight="1" x14ac:dyDescent="0.25">
      <c r="A754" s="1"/>
      <c r="B754" s="1"/>
      <c r="C754" s="3"/>
      <c r="D754" s="3"/>
      <c r="E754" s="5"/>
      <c r="F754" s="5"/>
      <c r="G754" s="3"/>
      <c r="H754" s="5"/>
      <c r="I754" s="1"/>
      <c r="J754" s="7"/>
      <c r="K754" s="1"/>
      <c r="L754" s="1"/>
      <c r="M754" s="1"/>
      <c r="N754" s="1"/>
      <c r="O754" s="1"/>
      <c r="P754" s="1"/>
      <c r="Q754" s="1"/>
      <c r="R754" s="1"/>
      <c r="S754" s="1"/>
      <c r="T754" s="1"/>
      <c r="U754" s="1"/>
      <c r="V754" s="1"/>
      <c r="W754" s="1"/>
      <c r="X754" s="1"/>
      <c r="Y754" s="1"/>
      <c r="Z754" s="1"/>
    </row>
    <row r="755" spans="1:26" ht="12.75" customHeight="1" x14ac:dyDescent="0.25">
      <c r="A755" s="1"/>
      <c r="B755" s="1"/>
      <c r="C755" s="3"/>
      <c r="D755" s="3"/>
      <c r="E755" s="5"/>
      <c r="F755" s="5"/>
      <c r="G755" s="3"/>
      <c r="H755" s="5"/>
      <c r="I755" s="1"/>
      <c r="J755" s="7"/>
      <c r="K755" s="1"/>
      <c r="L755" s="1"/>
      <c r="M755" s="1"/>
      <c r="N755" s="1"/>
      <c r="O755" s="1"/>
      <c r="P755" s="1"/>
      <c r="Q755" s="1"/>
      <c r="R755" s="1"/>
      <c r="S755" s="1"/>
      <c r="T755" s="1"/>
      <c r="U755" s="1"/>
      <c r="V755" s="1"/>
      <c r="W755" s="1"/>
      <c r="X755" s="1"/>
      <c r="Y755" s="1"/>
      <c r="Z755" s="1"/>
    </row>
    <row r="756" spans="1:26" ht="12.75" customHeight="1" x14ac:dyDescent="0.25">
      <c r="A756" s="1"/>
      <c r="B756" s="1"/>
      <c r="C756" s="3"/>
      <c r="D756" s="3"/>
      <c r="E756" s="5"/>
      <c r="F756" s="5"/>
      <c r="G756" s="3"/>
      <c r="H756" s="5"/>
      <c r="I756" s="1"/>
      <c r="J756" s="7"/>
      <c r="K756" s="1"/>
      <c r="L756" s="1"/>
      <c r="M756" s="1"/>
      <c r="N756" s="1"/>
      <c r="O756" s="1"/>
      <c r="P756" s="1"/>
      <c r="Q756" s="1"/>
      <c r="R756" s="1"/>
      <c r="S756" s="1"/>
      <c r="T756" s="1"/>
      <c r="U756" s="1"/>
      <c r="V756" s="1"/>
      <c r="W756" s="1"/>
      <c r="X756" s="1"/>
      <c r="Y756" s="1"/>
      <c r="Z756" s="1"/>
    </row>
    <row r="757" spans="1:26" ht="12.75" customHeight="1" x14ac:dyDescent="0.25">
      <c r="A757" s="1"/>
      <c r="B757" s="1"/>
      <c r="C757" s="3"/>
      <c r="D757" s="3"/>
      <c r="E757" s="5"/>
      <c r="F757" s="5"/>
      <c r="G757" s="3"/>
      <c r="H757" s="5"/>
      <c r="I757" s="1"/>
      <c r="J757" s="7"/>
      <c r="K757" s="1"/>
      <c r="L757" s="1"/>
      <c r="M757" s="1"/>
      <c r="N757" s="1"/>
      <c r="O757" s="1"/>
      <c r="P757" s="1"/>
      <c r="Q757" s="1"/>
      <c r="R757" s="1"/>
      <c r="S757" s="1"/>
      <c r="T757" s="1"/>
      <c r="U757" s="1"/>
      <c r="V757" s="1"/>
      <c r="W757" s="1"/>
      <c r="X757" s="1"/>
      <c r="Y757" s="1"/>
      <c r="Z757" s="1"/>
    </row>
    <row r="758" spans="1:26" ht="12.75" customHeight="1" x14ac:dyDescent="0.25">
      <c r="A758" s="1"/>
      <c r="B758" s="1"/>
      <c r="C758" s="3"/>
      <c r="D758" s="3"/>
      <c r="E758" s="5"/>
      <c r="F758" s="5"/>
      <c r="G758" s="3"/>
      <c r="H758" s="5"/>
      <c r="I758" s="1"/>
      <c r="J758" s="7"/>
      <c r="K758" s="1"/>
      <c r="L758" s="1"/>
      <c r="M758" s="1"/>
      <c r="N758" s="1"/>
      <c r="O758" s="1"/>
      <c r="P758" s="1"/>
      <c r="Q758" s="1"/>
      <c r="R758" s="1"/>
      <c r="S758" s="1"/>
      <c r="T758" s="1"/>
      <c r="U758" s="1"/>
      <c r="V758" s="1"/>
      <c r="W758" s="1"/>
      <c r="X758" s="1"/>
      <c r="Y758" s="1"/>
      <c r="Z758" s="1"/>
    </row>
    <row r="759" spans="1:26" ht="12.75" customHeight="1" x14ac:dyDescent="0.25">
      <c r="A759" s="1"/>
      <c r="B759" s="1"/>
      <c r="C759" s="3"/>
      <c r="D759" s="3"/>
      <c r="E759" s="5"/>
      <c r="F759" s="5"/>
      <c r="G759" s="3"/>
      <c r="H759" s="5"/>
      <c r="I759" s="1"/>
      <c r="J759" s="7"/>
      <c r="K759" s="1"/>
      <c r="L759" s="1"/>
      <c r="M759" s="1"/>
      <c r="N759" s="1"/>
      <c r="O759" s="1"/>
      <c r="P759" s="1"/>
      <c r="Q759" s="1"/>
      <c r="R759" s="1"/>
      <c r="S759" s="1"/>
      <c r="T759" s="1"/>
      <c r="U759" s="1"/>
      <c r="V759" s="1"/>
      <c r="W759" s="1"/>
      <c r="X759" s="1"/>
      <c r="Y759" s="1"/>
      <c r="Z759" s="1"/>
    </row>
    <row r="760" spans="1:26" ht="12.75" customHeight="1" x14ac:dyDescent="0.25">
      <c r="A760" s="1"/>
      <c r="B760" s="1"/>
      <c r="C760" s="3"/>
      <c r="D760" s="3"/>
      <c r="E760" s="5"/>
      <c r="F760" s="5"/>
      <c r="G760" s="3"/>
      <c r="H760" s="5"/>
      <c r="I760" s="1"/>
      <c r="J760" s="7"/>
      <c r="K760" s="1"/>
      <c r="L760" s="1"/>
      <c r="M760" s="1"/>
      <c r="N760" s="1"/>
      <c r="O760" s="1"/>
      <c r="P760" s="1"/>
      <c r="Q760" s="1"/>
      <c r="R760" s="1"/>
      <c r="S760" s="1"/>
      <c r="T760" s="1"/>
      <c r="U760" s="1"/>
      <c r="V760" s="1"/>
      <c r="W760" s="1"/>
      <c r="X760" s="1"/>
      <c r="Y760" s="1"/>
      <c r="Z760" s="1"/>
    </row>
    <row r="761" spans="1:26" ht="12.75" customHeight="1" x14ac:dyDescent="0.25">
      <c r="A761" s="1"/>
      <c r="B761" s="1"/>
      <c r="C761" s="3"/>
      <c r="D761" s="3"/>
      <c r="E761" s="5"/>
      <c r="F761" s="5"/>
      <c r="G761" s="3"/>
      <c r="H761" s="5"/>
      <c r="I761" s="1"/>
      <c r="J761" s="7"/>
      <c r="K761" s="1"/>
      <c r="L761" s="1"/>
      <c r="M761" s="1"/>
      <c r="N761" s="1"/>
      <c r="O761" s="1"/>
      <c r="P761" s="1"/>
      <c r="Q761" s="1"/>
      <c r="R761" s="1"/>
      <c r="S761" s="1"/>
      <c r="T761" s="1"/>
      <c r="U761" s="1"/>
      <c r="V761" s="1"/>
      <c r="W761" s="1"/>
      <c r="X761" s="1"/>
      <c r="Y761" s="1"/>
      <c r="Z761" s="1"/>
    </row>
    <row r="762" spans="1:26" ht="12.75" customHeight="1" x14ac:dyDescent="0.25">
      <c r="A762" s="1"/>
      <c r="B762" s="1"/>
      <c r="C762" s="3"/>
      <c r="D762" s="3"/>
      <c r="E762" s="5"/>
      <c r="F762" s="5"/>
      <c r="G762" s="3"/>
      <c r="H762" s="5"/>
      <c r="I762" s="1"/>
      <c r="J762" s="7"/>
      <c r="K762" s="1"/>
      <c r="L762" s="1"/>
      <c r="M762" s="1"/>
      <c r="N762" s="1"/>
      <c r="O762" s="1"/>
      <c r="P762" s="1"/>
      <c r="Q762" s="1"/>
      <c r="R762" s="1"/>
      <c r="S762" s="1"/>
      <c r="T762" s="1"/>
      <c r="U762" s="1"/>
      <c r="V762" s="1"/>
      <c r="W762" s="1"/>
      <c r="X762" s="1"/>
      <c r="Y762" s="1"/>
      <c r="Z762" s="1"/>
    </row>
    <row r="763" spans="1:26" ht="12.75" customHeight="1" x14ac:dyDescent="0.25">
      <c r="A763" s="1"/>
      <c r="B763" s="1"/>
      <c r="C763" s="3"/>
      <c r="D763" s="3"/>
      <c r="E763" s="5"/>
      <c r="F763" s="5"/>
      <c r="G763" s="3"/>
      <c r="H763" s="5"/>
      <c r="I763" s="1"/>
      <c r="J763" s="7"/>
      <c r="K763" s="1"/>
      <c r="L763" s="1"/>
      <c r="M763" s="1"/>
      <c r="N763" s="1"/>
      <c r="O763" s="1"/>
      <c r="P763" s="1"/>
      <c r="Q763" s="1"/>
      <c r="R763" s="1"/>
      <c r="S763" s="1"/>
      <c r="T763" s="1"/>
      <c r="U763" s="1"/>
      <c r="V763" s="1"/>
      <c r="W763" s="1"/>
      <c r="X763" s="1"/>
      <c r="Y763" s="1"/>
      <c r="Z763" s="1"/>
    </row>
    <row r="764" spans="1:26" ht="12.75" customHeight="1" x14ac:dyDescent="0.25">
      <c r="A764" s="1"/>
      <c r="B764" s="1"/>
      <c r="C764" s="3"/>
      <c r="D764" s="3"/>
      <c r="E764" s="5"/>
      <c r="F764" s="5"/>
      <c r="G764" s="3"/>
      <c r="H764" s="5"/>
      <c r="I764" s="1"/>
      <c r="J764" s="7"/>
      <c r="K764" s="1"/>
      <c r="L764" s="1"/>
      <c r="M764" s="1"/>
      <c r="N764" s="1"/>
      <c r="O764" s="1"/>
      <c r="P764" s="1"/>
      <c r="Q764" s="1"/>
      <c r="R764" s="1"/>
      <c r="S764" s="1"/>
      <c r="T764" s="1"/>
      <c r="U764" s="1"/>
      <c r="V764" s="1"/>
      <c r="W764" s="1"/>
      <c r="X764" s="1"/>
      <c r="Y764" s="1"/>
      <c r="Z764" s="1"/>
    </row>
    <row r="765" spans="1:26" ht="12.75" customHeight="1" x14ac:dyDescent="0.25">
      <c r="A765" s="1"/>
      <c r="B765" s="1"/>
      <c r="C765" s="3"/>
      <c r="D765" s="3"/>
      <c r="E765" s="5"/>
      <c r="F765" s="5"/>
      <c r="G765" s="3"/>
      <c r="H765" s="5"/>
      <c r="I765" s="1"/>
      <c r="J765" s="7"/>
      <c r="K765" s="1"/>
      <c r="L765" s="1"/>
      <c r="M765" s="1"/>
      <c r="N765" s="1"/>
      <c r="O765" s="1"/>
      <c r="P765" s="1"/>
      <c r="Q765" s="1"/>
      <c r="R765" s="1"/>
      <c r="S765" s="1"/>
      <c r="T765" s="1"/>
      <c r="U765" s="1"/>
      <c r="V765" s="1"/>
      <c r="W765" s="1"/>
      <c r="X765" s="1"/>
      <c r="Y765" s="1"/>
      <c r="Z765" s="1"/>
    </row>
    <row r="766" spans="1:26" ht="12.75" customHeight="1" x14ac:dyDescent="0.25">
      <c r="A766" s="1"/>
      <c r="B766" s="1"/>
      <c r="C766" s="3"/>
      <c r="D766" s="3"/>
      <c r="E766" s="5"/>
      <c r="F766" s="5"/>
      <c r="G766" s="3"/>
      <c r="H766" s="5"/>
      <c r="I766" s="1"/>
      <c r="J766" s="7"/>
      <c r="K766" s="1"/>
      <c r="L766" s="1"/>
      <c r="M766" s="1"/>
      <c r="N766" s="1"/>
      <c r="O766" s="1"/>
      <c r="P766" s="1"/>
      <c r="Q766" s="1"/>
      <c r="R766" s="1"/>
      <c r="S766" s="1"/>
      <c r="T766" s="1"/>
      <c r="U766" s="1"/>
      <c r="V766" s="1"/>
      <c r="W766" s="1"/>
      <c r="X766" s="1"/>
      <c r="Y766" s="1"/>
      <c r="Z766" s="1"/>
    </row>
    <row r="767" spans="1:26" ht="12.75" customHeight="1" x14ac:dyDescent="0.25">
      <c r="A767" s="1"/>
      <c r="B767" s="1"/>
      <c r="C767" s="3"/>
      <c r="D767" s="3"/>
      <c r="E767" s="5"/>
      <c r="F767" s="5"/>
      <c r="G767" s="3"/>
      <c r="H767" s="5"/>
      <c r="I767" s="1"/>
      <c r="J767" s="7"/>
      <c r="K767" s="1"/>
      <c r="L767" s="1"/>
      <c r="M767" s="1"/>
      <c r="N767" s="1"/>
      <c r="O767" s="1"/>
      <c r="P767" s="1"/>
      <c r="Q767" s="1"/>
      <c r="R767" s="1"/>
      <c r="S767" s="1"/>
      <c r="T767" s="1"/>
      <c r="U767" s="1"/>
      <c r="V767" s="1"/>
      <c r="W767" s="1"/>
      <c r="X767" s="1"/>
      <c r="Y767" s="1"/>
      <c r="Z767" s="1"/>
    </row>
    <row r="768" spans="1:26" ht="12.75" customHeight="1" x14ac:dyDescent="0.25">
      <c r="A768" s="1"/>
      <c r="B768" s="1"/>
      <c r="C768" s="3"/>
      <c r="D768" s="3"/>
      <c r="E768" s="5"/>
      <c r="F768" s="5"/>
      <c r="G768" s="3"/>
      <c r="H768" s="5"/>
      <c r="I768" s="1"/>
      <c r="J768" s="7"/>
      <c r="K768" s="1"/>
      <c r="L768" s="1"/>
      <c r="M768" s="1"/>
      <c r="N768" s="1"/>
      <c r="O768" s="1"/>
      <c r="P768" s="1"/>
      <c r="Q768" s="1"/>
      <c r="R768" s="1"/>
      <c r="S768" s="1"/>
      <c r="T768" s="1"/>
      <c r="U768" s="1"/>
      <c r="V768" s="1"/>
      <c r="W768" s="1"/>
      <c r="X768" s="1"/>
      <c r="Y768" s="1"/>
      <c r="Z768" s="1"/>
    </row>
    <row r="769" spans="1:26" ht="12.75" customHeight="1" x14ac:dyDescent="0.25">
      <c r="A769" s="1"/>
      <c r="B769" s="1"/>
      <c r="C769" s="3"/>
      <c r="D769" s="3"/>
      <c r="E769" s="5"/>
      <c r="F769" s="5"/>
      <c r="G769" s="3"/>
      <c r="H769" s="5"/>
      <c r="I769" s="1"/>
      <c r="J769" s="7"/>
      <c r="K769" s="1"/>
      <c r="L769" s="1"/>
      <c r="M769" s="1"/>
      <c r="N769" s="1"/>
      <c r="O769" s="1"/>
      <c r="P769" s="1"/>
      <c r="Q769" s="1"/>
      <c r="R769" s="1"/>
      <c r="S769" s="1"/>
      <c r="T769" s="1"/>
      <c r="U769" s="1"/>
      <c r="V769" s="1"/>
      <c r="W769" s="1"/>
      <c r="X769" s="1"/>
      <c r="Y769" s="1"/>
      <c r="Z769" s="1"/>
    </row>
    <row r="770" spans="1:26" ht="12.75" customHeight="1" x14ac:dyDescent="0.25">
      <c r="A770" s="1"/>
      <c r="B770" s="1"/>
      <c r="C770" s="3"/>
      <c r="D770" s="3"/>
      <c r="E770" s="5"/>
      <c r="F770" s="5"/>
      <c r="G770" s="3"/>
      <c r="H770" s="5"/>
      <c r="I770" s="1"/>
      <c r="J770" s="7"/>
      <c r="K770" s="1"/>
      <c r="L770" s="1"/>
      <c r="M770" s="1"/>
      <c r="N770" s="1"/>
      <c r="O770" s="1"/>
      <c r="P770" s="1"/>
      <c r="Q770" s="1"/>
      <c r="R770" s="1"/>
      <c r="S770" s="1"/>
      <c r="T770" s="1"/>
      <c r="U770" s="1"/>
      <c r="V770" s="1"/>
      <c r="W770" s="1"/>
      <c r="X770" s="1"/>
      <c r="Y770" s="1"/>
      <c r="Z770" s="1"/>
    </row>
    <row r="771" spans="1:26" ht="12.75" customHeight="1" x14ac:dyDescent="0.25">
      <c r="A771" s="1"/>
      <c r="B771" s="1"/>
      <c r="C771" s="3"/>
      <c r="D771" s="3"/>
      <c r="E771" s="5"/>
      <c r="F771" s="5"/>
      <c r="G771" s="3"/>
      <c r="H771" s="5"/>
      <c r="I771" s="1"/>
      <c r="J771" s="7"/>
      <c r="K771" s="1"/>
      <c r="L771" s="1"/>
      <c r="M771" s="1"/>
      <c r="N771" s="1"/>
      <c r="O771" s="1"/>
      <c r="P771" s="1"/>
      <c r="Q771" s="1"/>
      <c r="R771" s="1"/>
      <c r="S771" s="1"/>
      <c r="T771" s="1"/>
      <c r="U771" s="1"/>
      <c r="V771" s="1"/>
      <c r="W771" s="1"/>
      <c r="X771" s="1"/>
      <c r="Y771" s="1"/>
      <c r="Z771" s="1"/>
    </row>
    <row r="772" spans="1:26" ht="12.75" customHeight="1" x14ac:dyDescent="0.25">
      <c r="A772" s="1"/>
      <c r="B772" s="1"/>
      <c r="C772" s="3"/>
      <c r="D772" s="3"/>
      <c r="E772" s="5"/>
      <c r="F772" s="5"/>
      <c r="G772" s="3"/>
      <c r="H772" s="5"/>
      <c r="I772" s="1"/>
      <c r="J772" s="7"/>
      <c r="K772" s="1"/>
      <c r="L772" s="1"/>
      <c r="M772" s="1"/>
      <c r="N772" s="1"/>
      <c r="O772" s="1"/>
      <c r="P772" s="1"/>
      <c r="Q772" s="1"/>
      <c r="R772" s="1"/>
      <c r="S772" s="1"/>
      <c r="T772" s="1"/>
      <c r="U772" s="1"/>
      <c r="V772" s="1"/>
      <c r="W772" s="1"/>
      <c r="X772" s="1"/>
      <c r="Y772" s="1"/>
      <c r="Z772" s="1"/>
    </row>
    <row r="773" spans="1:26" ht="12.75" customHeight="1" x14ac:dyDescent="0.25">
      <c r="A773" s="1"/>
      <c r="B773" s="1"/>
      <c r="C773" s="3"/>
      <c r="D773" s="3"/>
      <c r="E773" s="5"/>
      <c r="F773" s="5"/>
      <c r="G773" s="3"/>
      <c r="H773" s="5"/>
      <c r="I773" s="1"/>
      <c r="J773" s="7"/>
      <c r="K773" s="1"/>
      <c r="L773" s="1"/>
      <c r="M773" s="1"/>
      <c r="N773" s="1"/>
      <c r="O773" s="1"/>
      <c r="P773" s="1"/>
      <c r="Q773" s="1"/>
      <c r="R773" s="1"/>
      <c r="S773" s="1"/>
      <c r="T773" s="1"/>
      <c r="U773" s="1"/>
      <c r="V773" s="1"/>
      <c r="W773" s="1"/>
      <c r="X773" s="1"/>
      <c r="Y773" s="1"/>
      <c r="Z773" s="1"/>
    </row>
    <row r="774" spans="1:26" ht="12.75" customHeight="1" x14ac:dyDescent="0.25">
      <c r="A774" s="1"/>
      <c r="B774" s="1"/>
      <c r="C774" s="3"/>
      <c r="D774" s="3"/>
      <c r="E774" s="5"/>
      <c r="F774" s="5"/>
      <c r="G774" s="3"/>
      <c r="H774" s="5"/>
      <c r="I774" s="1"/>
      <c r="J774" s="7"/>
      <c r="K774" s="1"/>
      <c r="L774" s="1"/>
      <c r="M774" s="1"/>
      <c r="N774" s="1"/>
      <c r="O774" s="1"/>
      <c r="P774" s="1"/>
      <c r="Q774" s="1"/>
      <c r="R774" s="1"/>
      <c r="S774" s="1"/>
      <c r="T774" s="1"/>
      <c r="U774" s="1"/>
      <c r="V774" s="1"/>
      <c r="W774" s="1"/>
      <c r="X774" s="1"/>
      <c r="Y774" s="1"/>
      <c r="Z774" s="1"/>
    </row>
    <row r="775" spans="1:26" ht="12.75" customHeight="1" x14ac:dyDescent="0.25">
      <c r="A775" s="1"/>
      <c r="B775" s="1"/>
      <c r="C775" s="3"/>
      <c r="D775" s="3"/>
      <c r="E775" s="5"/>
      <c r="F775" s="5"/>
      <c r="G775" s="3"/>
      <c r="H775" s="5"/>
      <c r="I775" s="1"/>
      <c r="J775" s="7"/>
      <c r="K775" s="1"/>
      <c r="L775" s="1"/>
      <c r="M775" s="1"/>
      <c r="N775" s="1"/>
      <c r="O775" s="1"/>
      <c r="P775" s="1"/>
      <c r="Q775" s="1"/>
      <c r="R775" s="1"/>
      <c r="S775" s="1"/>
      <c r="T775" s="1"/>
      <c r="U775" s="1"/>
      <c r="V775" s="1"/>
      <c r="W775" s="1"/>
      <c r="X775" s="1"/>
      <c r="Y775" s="1"/>
      <c r="Z775" s="1"/>
    </row>
    <row r="776" spans="1:26" ht="12.75" customHeight="1" x14ac:dyDescent="0.25">
      <c r="A776" s="1"/>
      <c r="B776" s="1"/>
      <c r="C776" s="3"/>
      <c r="D776" s="3"/>
      <c r="E776" s="5"/>
      <c r="F776" s="5"/>
      <c r="G776" s="3"/>
      <c r="H776" s="5"/>
      <c r="I776" s="1"/>
      <c r="J776" s="7"/>
      <c r="K776" s="1"/>
      <c r="L776" s="1"/>
      <c r="M776" s="1"/>
      <c r="N776" s="1"/>
      <c r="O776" s="1"/>
      <c r="P776" s="1"/>
      <c r="Q776" s="1"/>
      <c r="R776" s="1"/>
      <c r="S776" s="1"/>
      <c r="T776" s="1"/>
      <c r="U776" s="1"/>
      <c r="V776" s="1"/>
      <c r="W776" s="1"/>
      <c r="X776" s="1"/>
      <c r="Y776" s="1"/>
      <c r="Z776" s="1"/>
    </row>
    <row r="777" spans="1:26" ht="12.75" customHeight="1" x14ac:dyDescent="0.25">
      <c r="A777" s="1"/>
      <c r="B777" s="1"/>
      <c r="C777" s="3"/>
      <c r="D777" s="3"/>
      <c r="E777" s="5"/>
      <c r="F777" s="5"/>
      <c r="G777" s="3"/>
      <c r="H777" s="5"/>
      <c r="I777" s="1"/>
      <c r="J777" s="7"/>
      <c r="K777" s="1"/>
      <c r="L777" s="1"/>
      <c r="M777" s="1"/>
      <c r="N777" s="1"/>
      <c r="O777" s="1"/>
      <c r="P777" s="1"/>
      <c r="Q777" s="1"/>
      <c r="R777" s="1"/>
      <c r="S777" s="1"/>
      <c r="T777" s="1"/>
      <c r="U777" s="1"/>
      <c r="V777" s="1"/>
      <c r="W777" s="1"/>
      <c r="X777" s="1"/>
      <c r="Y777" s="1"/>
      <c r="Z777" s="1"/>
    </row>
    <row r="778" spans="1:26" ht="12.75" customHeight="1" x14ac:dyDescent="0.25">
      <c r="A778" s="1"/>
      <c r="B778" s="1"/>
      <c r="C778" s="3"/>
      <c r="D778" s="3"/>
      <c r="E778" s="5"/>
      <c r="F778" s="5"/>
      <c r="G778" s="3"/>
      <c r="H778" s="5"/>
      <c r="I778" s="1"/>
      <c r="J778" s="7"/>
      <c r="K778" s="1"/>
      <c r="L778" s="1"/>
      <c r="M778" s="1"/>
      <c r="N778" s="1"/>
      <c r="O778" s="1"/>
      <c r="P778" s="1"/>
      <c r="Q778" s="1"/>
      <c r="R778" s="1"/>
      <c r="S778" s="1"/>
      <c r="T778" s="1"/>
      <c r="U778" s="1"/>
      <c r="V778" s="1"/>
      <c r="W778" s="1"/>
      <c r="X778" s="1"/>
      <c r="Y778" s="1"/>
      <c r="Z778" s="1"/>
    </row>
    <row r="779" spans="1:26" ht="12.75" customHeight="1" x14ac:dyDescent="0.25">
      <c r="A779" s="1"/>
      <c r="B779" s="1"/>
      <c r="C779" s="3"/>
      <c r="D779" s="3"/>
      <c r="E779" s="5"/>
      <c r="F779" s="5"/>
      <c r="G779" s="3"/>
      <c r="H779" s="5"/>
      <c r="I779" s="1"/>
      <c r="J779" s="7"/>
      <c r="K779" s="1"/>
      <c r="L779" s="1"/>
      <c r="M779" s="1"/>
      <c r="N779" s="1"/>
      <c r="O779" s="1"/>
      <c r="P779" s="1"/>
      <c r="Q779" s="1"/>
      <c r="R779" s="1"/>
      <c r="S779" s="1"/>
      <c r="T779" s="1"/>
      <c r="U779" s="1"/>
      <c r="V779" s="1"/>
      <c r="W779" s="1"/>
      <c r="X779" s="1"/>
      <c r="Y779" s="1"/>
      <c r="Z779" s="1"/>
    </row>
    <row r="780" spans="1:26" ht="12.75" customHeight="1" x14ac:dyDescent="0.25">
      <c r="A780" s="1"/>
      <c r="B780" s="1"/>
      <c r="C780" s="3"/>
      <c r="D780" s="3"/>
      <c r="E780" s="5"/>
      <c r="F780" s="5"/>
      <c r="G780" s="3"/>
      <c r="H780" s="5"/>
      <c r="I780" s="1"/>
      <c r="J780" s="7"/>
      <c r="K780" s="1"/>
      <c r="L780" s="1"/>
      <c r="M780" s="1"/>
      <c r="N780" s="1"/>
      <c r="O780" s="1"/>
      <c r="P780" s="1"/>
      <c r="Q780" s="1"/>
      <c r="R780" s="1"/>
      <c r="S780" s="1"/>
      <c r="T780" s="1"/>
      <c r="U780" s="1"/>
      <c r="V780" s="1"/>
      <c r="W780" s="1"/>
      <c r="X780" s="1"/>
      <c r="Y780" s="1"/>
      <c r="Z780" s="1"/>
    </row>
    <row r="781" spans="1:26" ht="12.75" customHeight="1" x14ac:dyDescent="0.25">
      <c r="A781" s="1"/>
      <c r="B781" s="1"/>
      <c r="C781" s="3"/>
      <c r="D781" s="3"/>
      <c r="E781" s="5"/>
      <c r="F781" s="5"/>
      <c r="G781" s="3"/>
      <c r="H781" s="5"/>
      <c r="I781" s="1"/>
      <c r="J781" s="7"/>
      <c r="K781" s="1"/>
      <c r="L781" s="1"/>
      <c r="M781" s="1"/>
      <c r="N781" s="1"/>
      <c r="O781" s="1"/>
      <c r="P781" s="1"/>
      <c r="Q781" s="1"/>
      <c r="R781" s="1"/>
      <c r="S781" s="1"/>
      <c r="T781" s="1"/>
      <c r="U781" s="1"/>
      <c r="V781" s="1"/>
      <c r="W781" s="1"/>
      <c r="X781" s="1"/>
      <c r="Y781" s="1"/>
      <c r="Z781" s="1"/>
    </row>
    <row r="782" spans="1:26" ht="12.75" customHeight="1" x14ac:dyDescent="0.25">
      <c r="A782" s="1"/>
      <c r="B782" s="1"/>
      <c r="C782" s="3"/>
      <c r="D782" s="3"/>
      <c r="E782" s="5"/>
      <c r="F782" s="5"/>
      <c r="G782" s="3"/>
      <c r="H782" s="5"/>
      <c r="I782" s="1"/>
      <c r="J782" s="7"/>
      <c r="K782" s="1"/>
      <c r="L782" s="1"/>
      <c r="M782" s="1"/>
      <c r="N782" s="1"/>
      <c r="O782" s="1"/>
      <c r="P782" s="1"/>
      <c r="Q782" s="1"/>
      <c r="R782" s="1"/>
      <c r="S782" s="1"/>
      <c r="T782" s="1"/>
      <c r="U782" s="1"/>
      <c r="V782" s="1"/>
      <c r="W782" s="1"/>
      <c r="X782" s="1"/>
      <c r="Y782" s="1"/>
      <c r="Z782" s="1"/>
    </row>
    <row r="783" spans="1:26" ht="12.75" customHeight="1" x14ac:dyDescent="0.25">
      <c r="A783" s="1"/>
      <c r="B783" s="1"/>
      <c r="C783" s="3"/>
      <c r="D783" s="3"/>
      <c r="E783" s="5"/>
      <c r="F783" s="5"/>
      <c r="G783" s="3"/>
      <c r="H783" s="5"/>
      <c r="I783" s="1"/>
      <c r="J783" s="7"/>
      <c r="K783" s="1"/>
      <c r="L783" s="1"/>
      <c r="M783" s="1"/>
      <c r="N783" s="1"/>
      <c r="O783" s="1"/>
      <c r="P783" s="1"/>
      <c r="Q783" s="1"/>
      <c r="R783" s="1"/>
      <c r="S783" s="1"/>
      <c r="T783" s="1"/>
      <c r="U783" s="1"/>
      <c r="V783" s="1"/>
      <c r="W783" s="1"/>
      <c r="X783" s="1"/>
      <c r="Y783" s="1"/>
      <c r="Z783" s="1"/>
    </row>
    <row r="784" spans="1:26" ht="12.75" customHeight="1" x14ac:dyDescent="0.25">
      <c r="A784" s="1"/>
      <c r="B784" s="1"/>
      <c r="C784" s="3"/>
      <c r="D784" s="3"/>
      <c r="E784" s="5"/>
      <c r="F784" s="5"/>
      <c r="G784" s="3"/>
      <c r="H784" s="5"/>
      <c r="I784" s="1"/>
      <c r="J784" s="7"/>
      <c r="K784" s="1"/>
      <c r="L784" s="1"/>
      <c r="M784" s="1"/>
      <c r="N784" s="1"/>
      <c r="O784" s="1"/>
      <c r="P784" s="1"/>
      <c r="Q784" s="1"/>
      <c r="R784" s="1"/>
      <c r="S784" s="1"/>
      <c r="T784" s="1"/>
      <c r="U784" s="1"/>
      <c r="V784" s="1"/>
      <c r="W784" s="1"/>
      <c r="X784" s="1"/>
      <c r="Y784" s="1"/>
      <c r="Z784" s="1"/>
    </row>
    <row r="785" spans="1:26" ht="12.75" customHeight="1" x14ac:dyDescent="0.25">
      <c r="A785" s="1"/>
      <c r="B785" s="1"/>
      <c r="C785" s="3"/>
      <c r="D785" s="3"/>
      <c r="E785" s="5"/>
      <c r="F785" s="5"/>
      <c r="G785" s="3"/>
      <c r="H785" s="5"/>
      <c r="I785" s="1"/>
      <c r="J785" s="7"/>
      <c r="K785" s="1"/>
      <c r="L785" s="1"/>
      <c r="M785" s="1"/>
      <c r="N785" s="1"/>
      <c r="O785" s="1"/>
      <c r="P785" s="1"/>
      <c r="Q785" s="1"/>
      <c r="R785" s="1"/>
      <c r="S785" s="1"/>
      <c r="T785" s="1"/>
      <c r="U785" s="1"/>
      <c r="V785" s="1"/>
      <c r="W785" s="1"/>
      <c r="X785" s="1"/>
      <c r="Y785" s="1"/>
      <c r="Z785" s="1"/>
    </row>
    <row r="786" spans="1:26" ht="12.75" customHeight="1" x14ac:dyDescent="0.25">
      <c r="A786" s="1"/>
      <c r="B786" s="1"/>
      <c r="C786" s="3"/>
      <c r="D786" s="3"/>
      <c r="E786" s="5"/>
      <c r="F786" s="5"/>
      <c r="G786" s="3"/>
      <c r="H786" s="5"/>
      <c r="I786" s="1"/>
      <c r="J786" s="7"/>
      <c r="K786" s="1"/>
      <c r="L786" s="1"/>
      <c r="M786" s="1"/>
      <c r="N786" s="1"/>
      <c r="O786" s="1"/>
      <c r="P786" s="1"/>
      <c r="Q786" s="1"/>
      <c r="R786" s="1"/>
      <c r="S786" s="1"/>
      <c r="T786" s="1"/>
      <c r="U786" s="1"/>
      <c r="V786" s="1"/>
      <c r="W786" s="1"/>
      <c r="X786" s="1"/>
      <c r="Y786" s="1"/>
      <c r="Z786" s="1"/>
    </row>
    <row r="787" spans="1:26" ht="12.75" customHeight="1" x14ac:dyDescent="0.25">
      <c r="A787" s="1"/>
      <c r="B787" s="1"/>
      <c r="C787" s="3"/>
      <c r="D787" s="3"/>
      <c r="E787" s="5"/>
      <c r="F787" s="5"/>
      <c r="G787" s="3"/>
      <c r="H787" s="5"/>
      <c r="I787" s="1"/>
      <c r="J787" s="7"/>
      <c r="K787" s="1"/>
      <c r="L787" s="1"/>
      <c r="M787" s="1"/>
      <c r="N787" s="1"/>
      <c r="O787" s="1"/>
      <c r="P787" s="1"/>
      <c r="Q787" s="1"/>
      <c r="R787" s="1"/>
      <c r="S787" s="1"/>
      <c r="T787" s="1"/>
      <c r="U787" s="1"/>
      <c r="V787" s="1"/>
      <c r="W787" s="1"/>
      <c r="X787" s="1"/>
      <c r="Y787" s="1"/>
      <c r="Z787" s="1"/>
    </row>
    <row r="788" spans="1:26" ht="12.75" customHeight="1" x14ac:dyDescent="0.25">
      <c r="A788" s="1"/>
      <c r="B788" s="1"/>
      <c r="C788" s="3"/>
      <c r="D788" s="3"/>
      <c r="E788" s="5"/>
      <c r="F788" s="5"/>
      <c r="G788" s="3"/>
      <c r="H788" s="5"/>
      <c r="I788" s="1"/>
      <c r="J788" s="7"/>
      <c r="K788" s="1"/>
      <c r="L788" s="1"/>
      <c r="M788" s="1"/>
      <c r="N788" s="1"/>
      <c r="O788" s="1"/>
      <c r="P788" s="1"/>
      <c r="Q788" s="1"/>
      <c r="R788" s="1"/>
      <c r="S788" s="1"/>
      <c r="T788" s="1"/>
      <c r="U788" s="1"/>
      <c r="V788" s="1"/>
      <c r="W788" s="1"/>
      <c r="X788" s="1"/>
      <c r="Y788" s="1"/>
      <c r="Z788" s="1"/>
    </row>
    <row r="789" spans="1:26" ht="12.75" customHeight="1" x14ac:dyDescent="0.25">
      <c r="A789" s="1"/>
      <c r="B789" s="1"/>
      <c r="C789" s="3"/>
      <c r="D789" s="3"/>
      <c r="E789" s="5"/>
      <c r="F789" s="5"/>
      <c r="G789" s="3"/>
      <c r="H789" s="5"/>
      <c r="I789" s="1"/>
      <c r="J789" s="7"/>
      <c r="K789" s="1"/>
      <c r="L789" s="1"/>
      <c r="M789" s="1"/>
      <c r="N789" s="1"/>
      <c r="O789" s="1"/>
      <c r="P789" s="1"/>
      <c r="Q789" s="1"/>
      <c r="R789" s="1"/>
      <c r="S789" s="1"/>
      <c r="T789" s="1"/>
      <c r="U789" s="1"/>
      <c r="V789" s="1"/>
      <c r="W789" s="1"/>
      <c r="X789" s="1"/>
      <c r="Y789" s="1"/>
      <c r="Z789" s="1"/>
    </row>
    <row r="790" spans="1:26" ht="12.75" customHeight="1" x14ac:dyDescent="0.25">
      <c r="A790" s="1"/>
      <c r="B790" s="1"/>
      <c r="C790" s="3"/>
      <c r="D790" s="3"/>
      <c r="E790" s="5"/>
      <c r="F790" s="5"/>
      <c r="G790" s="3"/>
      <c r="H790" s="5"/>
      <c r="I790" s="1"/>
      <c r="J790" s="7"/>
      <c r="K790" s="1"/>
      <c r="L790" s="1"/>
      <c r="M790" s="1"/>
      <c r="N790" s="1"/>
      <c r="O790" s="1"/>
      <c r="P790" s="1"/>
      <c r="Q790" s="1"/>
      <c r="R790" s="1"/>
      <c r="S790" s="1"/>
      <c r="T790" s="1"/>
      <c r="U790" s="1"/>
      <c r="V790" s="1"/>
      <c r="W790" s="1"/>
      <c r="X790" s="1"/>
      <c r="Y790" s="1"/>
      <c r="Z790" s="1"/>
    </row>
    <row r="791" spans="1:26" ht="12.75" customHeight="1" x14ac:dyDescent="0.25">
      <c r="A791" s="1"/>
      <c r="B791" s="1"/>
      <c r="C791" s="3"/>
      <c r="D791" s="3"/>
      <c r="E791" s="5"/>
      <c r="F791" s="5"/>
      <c r="G791" s="3"/>
      <c r="H791" s="5"/>
      <c r="I791" s="1"/>
      <c r="J791" s="7"/>
      <c r="K791" s="1"/>
      <c r="L791" s="1"/>
      <c r="M791" s="1"/>
      <c r="N791" s="1"/>
      <c r="O791" s="1"/>
      <c r="P791" s="1"/>
      <c r="Q791" s="1"/>
      <c r="R791" s="1"/>
      <c r="S791" s="1"/>
      <c r="T791" s="1"/>
      <c r="U791" s="1"/>
      <c r="V791" s="1"/>
      <c r="W791" s="1"/>
      <c r="X791" s="1"/>
      <c r="Y791" s="1"/>
      <c r="Z791" s="1"/>
    </row>
    <row r="792" spans="1:26" ht="12.75" customHeight="1" x14ac:dyDescent="0.25">
      <c r="A792" s="1"/>
      <c r="B792" s="1"/>
      <c r="C792" s="3"/>
      <c r="D792" s="3"/>
      <c r="E792" s="5"/>
      <c r="F792" s="5"/>
      <c r="G792" s="3"/>
      <c r="H792" s="5"/>
      <c r="I792" s="1"/>
      <c r="J792" s="7"/>
      <c r="K792" s="1"/>
      <c r="L792" s="1"/>
      <c r="M792" s="1"/>
      <c r="N792" s="1"/>
      <c r="O792" s="1"/>
      <c r="P792" s="1"/>
      <c r="Q792" s="1"/>
      <c r="R792" s="1"/>
      <c r="S792" s="1"/>
      <c r="T792" s="1"/>
      <c r="U792" s="1"/>
      <c r="V792" s="1"/>
      <c r="W792" s="1"/>
      <c r="X792" s="1"/>
      <c r="Y792" s="1"/>
      <c r="Z792" s="1"/>
    </row>
    <row r="793" spans="1:26" ht="12.75" customHeight="1" x14ac:dyDescent="0.25">
      <c r="A793" s="1"/>
      <c r="B793" s="1"/>
      <c r="C793" s="3"/>
      <c r="D793" s="3"/>
      <c r="E793" s="5"/>
      <c r="F793" s="5"/>
      <c r="G793" s="3"/>
      <c r="H793" s="5"/>
      <c r="I793" s="1"/>
      <c r="J793" s="7"/>
      <c r="K793" s="1"/>
      <c r="L793" s="1"/>
      <c r="M793" s="1"/>
      <c r="N793" s="1"/>
      <c r="O793" s="1"/>
      <c r="P793" s="1"/>
      <c r="Q793" s="1"/>
      <c r="R793" s="1"/>
      <c r="S793" s="1"/>
      <c r="T793" s="1"/>
      <c r="U793" s="1"/>
      <c r="V793" s="1"/>
      <c r="W793" s="1"/>
      <c r="X793" s="1"/>
      <c r="Y793" s="1"/>
      <c r="Z793" s="1"/>
    </row>
    <row r="794" spans="1:26" ht="12.75" customHeight="1" x14ac:dyDescent="0.25">
      <c r="A794" s="1"/>
      <c r="B794" s="1"/>
      <c r="C794" s="3"/>
      <c r="D794" s="3"/>
      <c r="E794" s="5"/>
      <c r="F794" s="5"/>
      <c r="G794" s="3"/>
      <c r="H794" s="5"/>
      <c r="I794" s="1"/>
      <c r="J794" s="7"/>
      <c r="K794" s="1"/>
      <c r="L794" s="1"/>
      <c r="M794" s="1"/>
      <c r="N794" s="1"/>
      <c r="O794" s="1"/>
      <c r="P794" s="1"/>
      <c r="Q794" s="1"/>
      <c r="R794" s="1"/>
      <c r="S794" s="1"/>
      <c r="T794" s="1"/>
      <c r="U794" s="1"/>
      <c r="V794" s="1"/>
      <c r="W794" s="1"/>
      <c r="X794" s="1"/>
      <c r="Y794" s="1"/>
      <c r="Z794" s="1"/>
    </row>
    <row r="795" spans="1:26" ht="12.75" customHeight="1" x14ac:dyDescent="0.25">
      <c r="A795" s="1"/>
      <c r="B795" s="1"/>
      <c r="C795" s="3"/>
      <c r="D795" s="3"/>
      <c r="E795" s="5"/>
      <c r="F795" s="5"/>
      <c r="G795" s="3"/>
      <c r="H795" s="5"/>
      <c r="I795" s="1"/>
      <c r="J795" s="7"/>
      <c r="K795" s="1"/>
      <c r="L795" s="1"/>
      <c r="M795" s="1"/>
      <c r="N795" s="1"/>
      <c r="O795" s="1"/>
      <c r="P795" s="1"/>
      <c r="Q795" s="1"/>
      <c r="R795" s="1"/>
      <c r="S795" s="1"/>
      <c r="T795" s="1"/>
      <c r="U795" s="1"/>
      <c r="V795" s="1"/>
      <c r="W795" s="1"/>
      <c r="X795" s="1"/>
      <c r="Y795" s="1"/>
      <c r="Z795" s="1"/>
    </row>
    <row r="796" spans="1:26" ht="12.75" customHeight="1" x14ac:dyDescent="0.25">
      <c r="A796" s="1"/>
      <c r="B796" s="1"/>
      <c r="C796" s="3"/>
      <c r="D796" s="3"/>
      <c r="E796" s="5"/>
      <c r="F796" s="5"/>
      <c r="G796" s="3"/>
      <c r="H796" s="5"/>
      <c r="I796" s="1"/>
      <c r="J796" s="7"/>
      <c r="K796" s="1"/>
      <c r="L796" s="1"/>
      <c r="M796" s="1"/>
      <c r="N796" s="1"/>
      <c r="O796" s="1"/>
      <c r="P796" s="1"/>
      <c r="Q796" s="1"/>
      <c r="R796" s="1"/>
      <c r="S796" s="1"/>
      <c r="T796" s="1"/>
      <c r="U796" s="1"/>
      <c r="V796" s="1"/>
      <c r="W796" s="1"/>
      <c r="X796" s="1"/>
      <c r="Y796" s="1"/>
      <c r="Z796" s="1"/>
    </row>
    <row r="797" spans="1:26" ht="12.75" customHeight="1" x14ac:dyDescent="0.25">
      <c r="A797" s="1"/>
      <c r="B797" s="1"/>
      <c r="C797" s="3"/>
      <c r="D797" s="3"/>
      <c r="E797" s="5"/>
      <c r="F797" s="5"/>
      <c r="G797" s="3"/>
      <c r="H797" s="5"/>
      <c r="I797" s="1"/>
      <c r="J797" s="7"/>
      <c r="K797" s="1"/>
      <c r="L797" s="1"/>
      <c r="M797" s="1"/>
      <c r="N797" s="1"/>
      <c r="O797" s="1"/>
      <c r="P797" s="1"/>
      <c r="Q797" s="1"/>
      <c r="R797" s="1"/>
      <c r="S797" s="1"/>
      <c r="T797" s="1"/>
      <c r="U797" s="1"/>
      <c r="V797" s="1"/>
      <c r="W797" s="1"/>
      <c r="X797" s="1"/>
      <c r="Y797" s="1"/>
      <c r="Z797" s="1"/>
    </row>
    <row r="798" spans="1:26" ht="12.75" customHeight="1" x14ac:dyDescent="0.25">
      <c r="A798" s="1"/>
      <c r="B798" s="1"/>
      <c r="C798" s="3"/>
      <c r="D798" s="3"/>
      <c r="E798" s="5"/>
      <c r="F798" s="5"/>
      <c r="G798" s="3"/>
      <c r="H798" s="5"/>
      <c r="I798" s="1"/>
      <c r="J798" s="7"/>
      <c r="K798" s="1"/>
      <c r="L798" s="1"/>
      <c r="M798" s="1"/>
      <c r="N798" s="1"/>
      <c r="O798" s="1"/>
      <c r="P798" s="1"/>
      <c r="Q798" s="1"/>
      <c r="R798" s="1"/>
      <c r="S798" s="1"/>
      <c r="T798" s="1"/>
      <c r="U798" s="1"/>
      <c r="V798" s="1"/>
      <c r="W798" s="1"/>
      <c r="X798" s="1"/>
      <c r="Y798" s="1"/>
      <c r="Z798" s="1"/>
    </row>
    <row r="799" spans="1:26" ht="12.75" customHeight="1" x14ac:dyDescent="0.25">
      <c r="A799" s="1"/>
      <c r="B799" s="1"/>
      <c r="C799" s="3"/>
      <c r="D799" s="3"/>
      <c r="E799" s="5"/>
      <c r="F799" s="5"/>
      <c r="G799" s="3"/>
      <c r="H799" s="5"/>
      <c r="I799" s="1"/>
      <c r="J799" s="7"/>
      <c r="K799" s="1"/>
      <c r="L799" s="1"/>
      <c r="M799" s="1"/>
      <c r="N799" s="1"/>
      <c r="O799" s="1"/>
      <c r="P799" s="1"/>
      <c r="Q799" s="1"/>
      <c r="R799" s="1"/>
      <c r="S799" s="1"/>
      <c r="T799" s="1"/>
      <c r="U799" s="1"/>
      <c r="V799" s="1"/>
      <c r="W799" s="1"/>
      <c r="X799" s="1"/>
      <c r="Y799" s="1"/>
      <c r="Z799" s="1"/>
    </row>
    <row r="800" spans="1:26" ht="12.75" customHeight="1" x14ac:dyDescent="0.25">
      <c r="A800" s="1"/>
      <c r="B800" s="1"/>
      <c r="C800" s="3"/>
      <c r="D800" s="3"/>
      <c r="E800" s="5"/>
      <c r="F800" s="5"/>
      <c r="G800" s="3"/>
      <c r="H800" s="5"/>
      <c r="I800" s="1"/>
      <c r="J800" s="7"/>
      <c r="K800" s="1"/>
      <c r="L800" s="1"/>
      <c r="M800" s="1"/>
      <c r="N800" s="1"/>
      <c r="O800" s="1"/>
      <c r="P800" s="1"/>
      <c r="Q800" s="1"/>
      <c r="R800" s="1"/>
      <c r="S800" s="1"/>
      <c r="T800" s="1"/>
      <c r="U800" s="1"/>
      <c r="V800" s="1"/>
      <c r="W800" s="1"/>
      <c r="X800" s="1"/>
      <c r="Y800" s="1"/>
      <c r="Z800" s="1"/>
    </row>
    <row r="801" spans="1:26" ht="12.75" customHeight="1" x14ac:dyDescent="0.25">
      <c r="A801" s="1"/>
      <c r="B801" s="1"/>
      <c r="C801" s="3"/>
      <c r="D801" s="3"/>
      <c r="E801" s="5"/>
      <c r="F801" s="5"/>
      <c r="G801" s="3"/>
      <c r="H801" s="5"/>
      <c r="I801" s="1"/>
      <c r="J801" s="7"/>
      <c r="K801" s="1"/>
      <c r="L801" s="1"/>
      <c r="M801" s="1"/>
      <c r="N801" s="1"/>
      <c r="O801" s="1"/>
      <c r="P801" s="1"/>
      <c r="Q801" s="1"/>
      <c r="R801" s="1"/>
      <c r="S801" s="1"/>
      <c r="T801" s="1"/>
      <c r="U801" s="1"/>
      <c r="V801" s="1"/>
      <c r="W801" s="1"/>
      <c r="X801" s="1"/>
      <c r="Y801" s="1"/>
      <c r="Z801" s="1"/>
    </row>
    <row r="802" spans="1:26" ht="12.75" customHeight="1" x14ac:dyDescent="0.25">
      <c r="A802" s="1"/>
      <c r="B802" s="1"/>
      <c r="C802" s="3"/>
      <c r="D802" s="3"/>
      <c r="E802" s="5"/>
      <c r="F802" s="5"/>
      <c r="G802" s="3"/>
      <c r="H802" s="5"/>
      <c r="I802" s="1"/>
      <c r="J802" s="7"/>
      <c r="K802" s="1"/>
      <c r="L802" s="1"/>
      <c r="M802" s="1"/>
      <c r="N802" s="1"/>
      <c r="O802" s="1"/>
      <c r="P802" s="1"/>
      <c r="Q802" s="1"/>
      <c r="R802" s="1"/>
      <c r="S802" s="1"/>
      <c r="T802" s="1"/>
      <c r="U802" s="1"/>
      <c r="V802" s="1"/>
      <c r="W802" s="1"/>
      <c r="X802" s="1"/>
      <c r="Y802" s="1"/>
      <c r="Z802" s="1"/>
    </row>
    <row r="803" spans="1:26" ht="12.75" customHeight="1" x14ac:dyDescent="0.25">
      <c r="A803" s="1"/>
      <c r="B803" s="1"/>
      <c r="C803" s="3"/>
      <c r="D803" s="3"/>
      <c r="E803" s="5"/>
      <c r="F803" s="5"/>
      <c r="G803" s="3"/>
      <c r="H803" s="5"/>
      <c r="I803" s="1"/>
      <c r="J803" s="7"/>
      <c r="K803" s="1"/>
      <c r="L803" s="1"/>
      <c r="M803" s="1"/>
      <c r="N803" s="1"/>
      <c r="O803" s="1"/>
      <c r="P803" s="1"/>
      <c r="Q803" s="1"/>
      <c r="R803" s="1"/>
      <c r="S803" s="1"/>
      <c r="T803" s="1"/>
      <c r="U803" s="1"/>
      <c r="V803" s="1"/>
      <c r="W803" s="1"/>
      <c r="X803" s="1"/>
      <c r="Y803" s="1"/>
      <c r="Z803" s="1"/>
    </row>
    <row r="804" spans="1:26" ht="12.75" customHeight="1" x14ac:dyDescent="0.25">
      <c r="A804" s="1"/>
      <c r="B804" s="1"/>
      <c r="C804" s="3"/>
      <c r="D804" s="3"/>
      <c r="E804" s="5"/>
      <c r="F804" s="5"/>
      <c r="G804" s="3"/>
      <c r="H804" s="5"/>
      <c r="I804" s="1"/>
      <c r="J804" s="7"/>
      <c r="K804" s="1"/>
      <c r="L804" s="1"/>
      <c r="M804" s="1"/>
      <c r="N804" s="1"/>
      <c r="O804" s="1"/>
      <c r="P804" s="1"/>
      <c r="Q804" s="1"/>
      <c r="R804" s="1"/>
      <c r="S804" s="1"/>
      <c r="T804" s="1"/>
      <c r="U804" s="1"/>
      <c r="V804" s="1"/>
      <c r="W804" s="1"/>
      <c r="X804" s="1"/>
      <c r="Y804" s="1"/>
      <c r="Z804" s="1"/>
    </row>
    <row r="805" spans="1:26" ht="12.75" customHeight="1" x14ac:dyDescent="0.25">
      <c r="A805" s="1"/>
      <c r="B805" s="1"/>
      <c r="C805" s="3"/>
      <c r="D805" s="3"/>
      <c r="E805" s="5"/>
      <c r="F805" s="5"/>
      <c r="G805" s="3"/>
      <c r="H805" s="5"/>
      <c r="I805" s="1"/>
      <c r="J805" s="7"/>
      <c r="K805" s="1"/>
      <c r="L805" s="1"/>
      <c r="M805" s="1"/>
      <c r="N805" s="1"/>
      <c r="O805" s="1"/>
      <c r="P805" s="1"/>
      <c r="Q805" s="1"/>
      <c r="R805" s="1"/>
      <c r="S805" s="1"/>
      <c r="T805" s="1"/>
      <c r="U805" s="1"/>
      <c r="V805" s="1"/>
      <c r="W805" s="1"/>
      <c r="X805" s="1"/>
      <c r="Y805" s="1"/>
      <c r="Z805" s="1"/>
    </row>
    <row r="806" spans="1:26" ht="12.75" customHeight="1" x14ac:dyDescent="0.25">
      <c r="A806" s="1"/>
      <c r="B806" s="1"/>
      <c r="C806" s="3"/>
      <c r="D806" s="3"/>
      <c r="E806" s="5"/>
      <c r="F806" s="5"/>
      <c r="G806" s="3"/>
      <c r="H806" s="5"/>
      <c r="I806" s="1"/>
      <c r="J806" s="7"/>
      <c r="K806" s="1"/>
      <c r="L806" s="1"/>
      <c r="M806" s="1"/>
      <c r="N806" s="1"/>
      <c r="O806" s="1"/>
      <c r="P806" s="1"/>
      <c r="Q806" s="1"/>
      <c r="R806" s="1"/>
      <c r="S806" s="1"/>
      <c r="T806" s="1"/>
      <c r="U806" s="1"/>
      <c r="V806" s="1"/>
      <c r="W806" s="1"/>
      <c r="X806" s="1"/>
      <c r="Y806" s="1"/>
      <c r="Z806" s="1"/>
    </row>
    <row r="807" spans="1:26" ht="12.75" customHeight="1" x14ac:dyDescent="0.25">
      <c r="A807" s="1"/>
      <c r="B807" s="1"/>
      <c r="C807" s="3"/>
      <c r="D807" s="3"/>
      <c r="E807" s="5"/>
      <c r="F807" s="5"/>
      <c r="G807" s="3"/>
      <c r="H807" s="5"/>
      <c r="I807" s="1"/>
      <c r="J807" s="7"/>
      <c r="K807" s="1"/>
      <c r="L807" s="1"/>
      <c r="M807" s="1"/>
      <c r="N807" s="1"/>
      <c r="O807" s="1"/>
      <c r="P807" s="1"/>
      <c r="Q807" s="1"/>
      <c r="R807" s="1"/>
      <c r="S807" s="1"/>
      <c r="T807" s="1"/>
      <c r="U807" s="1"/>
      <c r="V807" s="1"/>
      <c r="W807" s="1"/>
      <c r="X807" s="1"/>
      <c r="Y807" s="1"/>
      <c r="Z807" s="1"/>
    </row>
    <row r="808" spans="1:26" ht="12.75" customHeight="1" x14ac:dyDescent="0.25">
      <c r="A808" s="1"/>
      <c r="B808" s="1"/>
      <c r="C808" s="3"/>
      <c r="D808" s="3"/>
      <c r="E808" s="5"/>
      <c r="F808" s="5"/>
      <c r="G808" s="3"/>
      <c r="H808" s="5"/>
      <c r="I808" s="1"/>
      <c r="J808" s="7"/>
      <c r="K808" s="1"/>
      <c r="L808" s="1"/>
      <c r="M808" s="1"/>
      <c r="N808" s="1"/>
      <c r="O808" s="1"/>
      <c r="P808" s="1"/>
      <c r="Q808" s="1"/>
      <c r="R808" s="1"/>
      <c r="S808" s="1"/>
      <c r="T808" s="1"/>
      <c r="U808" s="1"/>
      <c r="V808" s="1"/>
      <c r="W808" s="1"/>
      <c r="X808" s="1"/>
      <c r="Y808" s="1"/>
      <c r="Z808" s="1"/>
    </row>
    <row r="809" spans="1:26" ht="12.75" customHeight="1" x14ac:dyDescent="0.25">
      <c r="A809" s="1"/>
      <c r="B809" s="1"/>
      <c r="C809" s="3"/>
      <c r="D809" s="3"/>
      <c r="E809" s="5"/>
      <c r="F809" s="5"/>
      <c r="G809" s="3"/>
      <c r="H809" s="5"/>
      <c r="I809" s="1"/>
      <c r="J809" s="7"/>
      <c r="K809" s="1"/>
      <c r="L809" s="1"/>
      <c r="M809" s="1"/>
      <c r="N809" s="1"/>
      <c r="O809" s="1"/>
      <c r="P809" s="1"/>
      <c r="Q809" s="1"/>
      <c r="R809" s="1"/>
      <c r="S809" s="1"/>
      <c r="T809" s="1"/>
      <c r="U809" s="1"/>
      <c r="V809" s="1"/>
      <c r="W809" s="1"/>
      <c r="X809" s="1"/>
      <c r="Y809" s="1"/>
      <c r="Z809" s="1"/>
    </row>
    <row r="810" spans="1:26" ht="12.75" customHeight="1" x14ac:dyDescent="0.25">
      <c r="A810" s="1"/>
      <c r="B810" s="1"/>
      <c r="C810" s="3"/>
      <c r="D810" s="3"/>
      <c r="E810" s="5"/>
      <c r="F810" s="5"/>
      <c r="G810" s="3"/>
      <c r="H810" s="5"/>
      <c r="I810" s="1"/>
      <c r="J810" s="7"/>
      <c r="K810" s="1"/>
      <c r="L810" s="1"/>
      <c r="M810" s="1"/>
      <c r="N810" s="1"/>
      <c r="O810" s="1"/>
      <c r="P810" s="1"/>
      <c r="Q810" s="1"/>
      <c r="R810" s="1"/>
      <c r="S810" s="1"/>
      <c r="T810" s="1"/>
      <c r="U810" s="1"/>
      <c r="V810" s="1"/>
      <c r="W810" s="1"/>
      <c r="X810" s="1"/>
      <c r="Y810" s="1"/>
      <c r="Z810" s="1"/>
    </row>
    <row r="811" spans="1:26" ht="12.75" customHeight="1" x14ac:dyDescent="0.25">
      <c r="A811" s="1"/>
      <c r="B811" s="1"/>
      <c r="C811" s="3"/>
      <c r="D811" s="3"/>
      <c r="E811" s="5"/>
      <c r="F811" s="5"/>
      <c r="G811" s="3"/>
      <c r="H811" s="5"/>
      <c r="I811" s="1"/>
      <c r="J811" s="7"/>
      <c r="K811" s="1"/>
      <c r="L811" s="1"/>
      <c r="M811" s="1"/>
      <c r="N811" s="1"/>
      <c r="O811" s="1"/>
      <c r="P811" s="1"/>
      <c r="Q811" s="1"/>
      <c r="R811" s="1"/>
      <c r="S811" s="1"/>
      <c r="T811" s="1"/>
      <c r="U811" s="1"/>
      <c r="V811" s="1"/>
      <c r="W811" s="1"/>
      <c r="X811" s="1"/>
      <c r="Y811" s="1"/>
      <c r="Z811" s="1"/>
    </row>
    <row r="812" spans="1:26" ht="12.75" customHeight="1" x14ac:dyDescent="0.25">
      <c r="A812" s="1"/>
      <c r="B812" s="1"/>
      <c r="C812" s="3"/>
      <c r="D812" s="3"/>
      <c r="E812" s="5"/>
      <c r="F812" s="5"/>
      <c r="G812" s="3"/>
      <c r="H812" s="5"/>
      <c r="I812" s="1"/>
      <c r="J812" s="7"/>
      <c r="K812" s="1"/>
      <c r="L812" s="1"/>
      <c r="M812" s="1"/>
      <c r="N812" s="1"/>
      <c r="O812" s="1"/>
      <c r="P812" s="1"/>
      <c r="Q812" s="1"/>
      <c r="R812" s="1"/>
      <c r="S812" s="1"/>
      <c r="T812" s="1"/>
      <c r="U812" s="1"/>
      <c r="V812" s="1"/>
      <c r="W812" s="1"/>
      <c r="X812" s="1"/>
      <c r="Y812" s="1"/>
      <c r="Z812" s="1"/>
    </row>
    <row r="813" spans="1:26" ht="12.75" customHeight="1" x14ac:dyDescent="0.25">
      <c r="A813" s="1"/>
      <c r="B813" s="1"/>
      <c r="C813" s="3"/>
      <c r="D813" s="3"/>
      <c r="E813" s="5"/>
      <c r="F813" s="5"/>
      <c r="G813" s="3"/>
      <c r="H813" s="5"/>
      <c r="I813" s="1"/>
      <c r="J813" s="7"/>
      <c r="K813" s="1"/>
      <c r="L813" s="1"/>
      <c r="M813" s="1"/>
      <c r="N813" s="1"/>
      <c r="O813" s="1"/>
      <c r="P813" s="1"/>
      <c r="Q813" s="1"/>
      <c r="R813" s="1"/>
      <c r="S813" s="1"/>
      <c r="T813" s="1"/>
      <c r="U813" s="1"/>
      <c r="V813" s="1"/>
      <c r="W813" s="1"/>
      <c r="X813" s="1"/>
      <c r="Y813" s="1"/>
      <c r="Z813" s="1"/>
    </row>
    <row r="814" spans="1:26" ht="12.75" customHeight="1" x14ac:dyDescent="0.25">
      <c r="A814" s="1"/>
      <c r="B814" s="1"/>
      <c r="C814" s="3"/>
      <c r="D814" s="3"/>
      <c r="E814" s="5"/>
      <c r="F814" s="5"/>
      <c r="G814" s="3"/>
      <c r="H814" s="5"/>
      <c r="I814" s="1"/>
      <c r="J814" s="7"/>
      <c r="K814" s="1"/>
      <c r="L814" s="1"/>
      <c r="M814" s="1"/>
      <c r="N814" s="1"/>
      <c r="O814" s="1"/>
      <c r="P814" s="1"/>
      <c r="Q814" s="1"/>
      <c r="R814" s="1"/>
      <c r="S814" s="1"/>
      <c r="T814" s="1"/>
      <c r="U814" s="1"/>
      <c r="V814" s="1"/>
      <c r="W814" s="1"/>
      <c r="X814" s="1"/>
      <c r="Y814" s="1"/>
      <c r="Z814" s="1"/>
    </row>
    <row r="815" spans="1:26" ht="12.75" customHeight="1" x14ac:dyDescent="0.25">
      <c r="A815" s="1"/>
      <c r="B815" s="1"/>
      <c r="C815" s="3"/>
      <c r="D815" s="3"/>
      <c r="E815" s="5"/>
      <c r="F815" s="5"/>
      <c r="G815" s="3"/>
      <c r="H815" s="5"/>
      <c r="I815" s="1"/>
      <c r="J815" s="7"/>
      <c r="K815" s="1"/>
      <c r="L815" s="1"/>
      <c r="M815" s="1"/>
      <c r="N815" s="1"/>
      <c r="O815" s="1"/>
      <c r="P815" s="1"/>
      <c r="Q815" s="1"/>
      <c r="R815" s="1"/>
      <c r="S815" s="1"/>
      <c r="T815" s="1"/>
      <c r="U815" s="1"/>
      <c r="V815" s="1"/>
      <c r="W815" s="1"/>
      <c r="X815" s="1"/>
      <c r="Y815" s="1"/>
      <c r="Z815" s="1"/>
    </row>
    <row r="816" spans="1:26" ht="12.75" customHeight="1" x14ac:dyDescent="0.25">
      <c r="A816" s="1"/>
      <c r="B816" s="1"/>
      <c r="C816" s="3"/>
      <c r="D816" s="3"/>
      <c r="E816" s="5"/>
      <c r="F816" s="5"/>
      <c r="G816" s="3"/>
      <c r="H816" s="5"/>
      <c r="I816" s="1"/>
      <c r="J816" s="7"/>
      <c r="K816" s="1"/>
      <c r="L816" s="1"/>
      <c r="M816" s="1"/>
      <c r="N816" s="1"/>
      <c r="O816" s="1"/>
      <c r="P816" s="1"/>
      <c r="Q816" s="1"/>
      <c r="R816" s="1"/>
      <c r="S816" s="1"/>
      <c r="T816" s="1"/>
      <c r="U816" s="1"/>
      <c r="V816" s="1"/>
      <c r="W816" s="1"/>
      <c r="X816" s="1"/>
      <c r="Y816" s="1"/>
      <c r="Z816" s="1"/>
    </row>
    <row r="817" spans="1:26" ht="12.75" customHeight="1" x14ac:dyDescent="0.25">
      <c r="A817" s="1"/>
      <c r="B817" s="1"/>
      <c r="C817" s="3"/>
      <c r="D817" s="3"/>
      <c r="E817" s="5"/>
      <c r="F817" s="5"/>
      <c r="G817" s="3"/>
      <c r="H817" s="5"/>
      <c r="I817" s="1"/>
      <c r="J817" s="7"/>
      <c r="K817" s="1"/>
      <c r="L817" s="1"/>
      <c r="M817" s="1"/>
      <c r="N817" s="1"/>
      <c r="O817" s="1"/>
      <c r="P817" s="1"/>
      <c r="Q817" s="1"/>
      <c r="R817" s="1"/>
      <c r="S817" s="1"/>
      <c r="T817" s="1"/>
      <c r="U817" s="1"/>
      <c r="V817" s="1"/>
      <c r="W817" s="1"/>
      <c r="X817" s="1"/>
      <c r="Y817" s="1"/>
      <c r="Z817" s="1"/>
    </row>
    <row r="818" spans="1:26" ht="12.75" customHeight="1" x14ac:dyDescent="0.25">
      <c r="A818" s="1"/>
      <c r="B818" s="1"/>
      <c r="C818" s="3"/>
      <c r="D818" s="3"/>
      <c r="E818" s="5"/>
      <c r="F818" s="5"/>
      <c r="G818" s="3"/>
      <c r="H818" s="5"/>
      <c r="I818" s="1"/>
      <c r="J818" s="7"/>
      <c r="K818" s="1"/>
      <c r="L818" s="1"/>
      <c r="M818" s="1"/>
      <c r="N818" s="1"/>
      <c r="O818" s="1"/>
      <c r="P818" s="1"/>
      <c r="Q818" s="1"/>
      <c r="R818" s="1"/>
      <c r="S818" s="1"/>
      <c r="T818" s="1"/>
      <c r="U818" s="1"/>
      <c r="V818" s="1"/>
      <c r="W818" s="1"/>
      <c r="X818" s="1"/>
      <c r="Y818" s="1"/>
      <c r="Z818" s="1"/>
    </row>
    <row r="819" spans="1:26" ht="12.75" customHeight="1" x14ac:dyDescent="0.25">
      <c r="A819" s="1"/>
      <c r="B819" s="1"/>
      <c r="C819" s="3"/>
      <c r="D819" s="3"/>
      <c r="E819" s="5"/>
      <c r="F819" s="5"/>
      <c r="G819" s="3"/>
      <c r="H819" s="5"/>
      <c r="I819" s="1"/>
      <c r="J819" s="7"/>
      <c r="K819" s="1"/>
      <c r="L819" s="1"/>
      <c r="M819" s="1"/>
      <c r="N819" s="1"/>
      <c r="O819" s="1"/>
      <c r="P819" s="1"/>
      <c r="Q819" s="1"/>
      <c r="R819" s="1"/>
      <c r="S819" s="1"/>
      <c r="T819" s="1"/>
      <c r="U819" s="1"/>
      <c r="V819" s="1"/>
      <c r="W819" s="1"/>
      <c r="X819" s="1"/>
      <c r="Y819" s="1"/>
      <c r="Z819" s="1"/>
    </row>
    <row r="820" spans="1:26" ht="12.75" customHeight="1" x14ac:dyDescent="0.25">
      <c r="A820" s="1"/>
      <c r="B820" s="1"/>
      <c r="C820" s="3"/>
      <c r="D820" s="3"/>
      <c r="E820" s="5"/>
      <c r="F820" s="5"/>
      <c r="G820" s="3"/>
      <c r="H820" s="5"/>
      <c r="I820" s="1"/>
      <c r="J820" s="7"/>
      <c r="K820" s="1"/>
      <c r="L820" s="1"/>
      <c r="M820" s="1"/>
      <c r="N820" s="1"/>
      <c r="O820" s="1"/>
      <c r="P820" s="1"/>
      <c r="Q820" s="1"/>
      <c r="R820" s="1"/>
      <c r="S820" s="1"/>
      <c r="T820" s="1"/>
      <c r="U820" s="1"/>
      <c r="V820" s="1"/>
      <c r="W820" s="1"/>
      <c r="X820" s="1"/>
      <c r="Y820" s="1"/>
      <c r="Z820" s="1"/>
    </row>
    <row r="821" spans="1:26" ht="12.75" customHeight="1" x14ac:dyDescent="0.25">
      <c r="A821" s="1"/>
      <c r="B821" s="1"/>
      <c r="C821" s="3"/>
      <c r="D821" s="3"/>
      <c r="E821" s="5"/>
      <c r="F821" s="5"/>
      <c r="G821" s="3"/>
      <c r="H821" s="5"/>
      <c r="I821" s="1"/>
      <c r="J821" s="7"/>
      <c r="K821" s="1"/>
      <c r="L821" s="1"/>
      <c r="M821" s="1"/>
      <c r="N821" s="1"/>
      <c r="O821" s="1"/>
      <c r="P821" s="1"/>
      <c r="Q821" s="1"/>
      <c r="R821" s="1"/>
      <c r="S821" s="1"/>
      <c r="T821" s="1"/>
      <c r="U821" s="1"/>
      <c r="V821" s="1"/>
      <c r="W821" s="1"/>
      <c r="X821" s="1"/>
      <c r="Y821" s="1"/>
      <c r="Z821" s="1"/>
    </row>
    <row r="822" spans="1:26" ht="12.75" customHeight="1" x14ac:dyDescent="0.25">
      <c r="A822" s="1"/>
      <c r="B822" s="1"/>
      <c r="C822" s="3"/>
      <c r="D822" s="3"/>
      <c r="E822" s="5"/>
      <c r="F822" s="5"/>
      <c r="G822" s="3"/>
      <c r="H822" s="5"/>
      <c r="I822" s="1"/>
      <c r="J822" s="7"/>
      <c r="K822" s="1"/>
      <c r="L822" s="1"/>
      <c r="M822" s="1"/>
      <c r="N822" s="1"/>
      <c r="O822" s="1"/>
      <c r="P822" s="1"/>
      <c r="Q822" s="1"/>
      <c r="R822" s="1"/>
      <c r="S822" s="1"/>
      <c r="T822" s="1"/>
      <c r="U822" s="1"/>
      <c r="V822" s="1"/>
      <c r="W822" s="1"/>
      <c r="X822" s="1"/>
      <c r="Y822" s="1"/>
      <c r="Z822" s="1"/>
    </row>
    <row r="823" spans="1:26" ht="12.75" customHeight="1" x14ac:dyDescent="0.25">
      <c r="A823" s="1"/>
      <c r="B823" s="1"/>
      <c r="C823" s="3"/>
      <c r="D823" s="3"/>
      <c r="E823" s="5"/>
      <c r="F823" s="5"/>
      <c r="G823" s="3"/>
      <c r="H823" s="5"/>
      <c r="I823" s="1"/>
      <c r="J823" s="7"/>
      <c r="K823" s="1"/>
      <c r="L823" s="1"/>
      <c r="M823" s="1"/>
      <c r="N823" s="1"/>
      <c r="O823" s="1"/>
      <c r="P823" s="1"/>
      <c r="Q823" s="1"/>
      <c r="R823" s="1"/>
      <c r="S823" s="1"/>
      <c r="T823" s="1"/>
      <c r="U823" s="1"/>
      <c r="V823" s="1"/>
      <c r="W823" s="1"/>
      <c r="X823" s="1"/>
      <c r="Y823" s="1"/>
      <c r="Z823" s="1"/>
    </row>
    <row r="824" spans="1:26" ht="12.75" customHeight="1" x14ac:dyDescent="0.25">
      <c r="A824" s="1"/>
      <c r="B824" s="1"/>
      <c r="C824" s="3"/>
      <c r="D824" s="3"/>
      <c r="E824" s="5"/>
      <c r="F824" s="5"/>
      <c r="G824" s="3"/>
      <c r="H824" s="5"/>
      <c r="I824" s="1"/>
      <c r="J824" s="7"/>
      <c r="K824" s="1"/>
      <c r="L824" s="1"/>
      <c r="M824" s="1"/>
      <c r="N824" s="1"/>
      <c r="O824" s="1"/>
      <c r="P824" s="1"/>
      <c r="Q824" s="1"/>
      <c r="R824" s="1"/>
      <c r="S824" s="1"/>
      <c r="T824" s="1"/>
      <c r="U824" s="1"/>
      <c r="V824" s="1"/>
      <c r="W824" s="1"/>
      <c r="X824" s="1"/>
      <c r="Y824" s="1"/>
      <c r="Z824" s="1"/>
    </row>
    <row r="825" spans="1:26" ht="12.75" customHeight="1" x14ac:dyDescent="0.25">
      <c r="A825" s="1"/>
      <c r="B825" s="1"/>
      <c r="C825" s="3"/>
      <c r="D825" s="3"/>
      <c r="E825" s="5"/>
      <c r="F825" s="5"/>
      <c r="G825" s="3"/>
      <c r="H825" s="5"/>
      <c r="I825" s="1"/>
      <c r="J825" s="7"/>
      <c r="K825" s="1"/>
      <c r="L825" s="1"/>
      <c r="M825" s="1"/>
      <c r="N825" s="1"/>
      <c r="O825" s="1"/>
      <c r="P825" s="1"/>
      <c r="Q825" s="1"/>
      <c r="R825" s="1"/>
      <c r="S825" s="1"/>
      <c r="T825" s="1"/>
      <c r="U825" s="1"/>
      <c r="V825" s="1"/>
      <c r="W825" s="1"/>
      <c r="X825" s="1"/>
      <c r="Y825" s="1"/>
      <c r="Z825" s="1"/>
    </row>
    <row r="826" spans="1:26" ht="12.75" customHeight="1" x14ac:dyDescent="0.25">
      <c r="A826" s="1"/>
      <c r="B826" s="1"/>
      <c r="C826" s="3"/>
      <c r="D826" s="3"/>
      <c r="E826" s="5"/>
      <c r="F826" s="5"/>
      <c r="G826" s="3"/>
      <c r="H826" s="5"/>
      <c r="I826" s="1"/>
      <c r="J826" s="7"/>
      <c r="K826" s="1"/>
      <c r="L826" s="1"/>
      <c r="M826" s="1"/>
      <c r="N826" s="1"/>
      <c r="O826" s="1"/>
      <c r="P826" s="1"/>
      <c r="Q826" s="1"/>
      <c r="R826" s="1"/>
      <c r="S826" s="1"/>
      <c r="T826" s="1"/>
      <c r="U826" s="1"/>
      <c r="V826" s="1"/>
      <c r="W826" s="1"/>
      <c r="X826" s="1"/>
      <c r="Y826" s="1"/>
      <c r="Z826" s="1"/>
    </row>
    <row r="827" spans="1:26" ht="12.75" customHeight="1" x14ac:dyDescent="0.25">
      <c r="A827" s="1"/>
      <c r="B827" s="1"/>
      <c r="C827" s="3"/>
      <c r="D827" s="3"/>
      <c r="E827" s="5"/>
      <c r="F827" s="5"/>
      <c r="G827" s="3"/>
      <c r="H827" s="5"/>
      <c r="I827" s="1"/>
      <c r="J827" s="7"/>
      <c r="K827" s="1"/>
      <c r="L827" s="1"/>
      <c r="M827" s="1"/>
      <c r="N827" s="1"/>
      <c r="O827" s="1"/>
      <c r="P827" s="1"/>
      <c r="Q827" s="1"/>
      <c r="R827" s="1"/>
      <c r="S827" s="1"/>
      <c r="T827" s="1"/>
      <c r="U827" s="1"/>
      <c r="V827" s="1"/>
      <c r="W827" s="1"/>
      <c r="X827" s="1"/>
      <c r="Y827" s="1"/>
      <c r="Z827" s="1"/>
    </row>
    <row r="828" spans="1:26" ht="12.75" customHeight="1" x14ac:dyDescent="0.25">
      <c r="A828" s="1"/>
      <c r="B828" s="1"/>
      <c r="C828" s="3"/>
      <c r="D828" s="3"/>
      <c r="E828" s="5"/>
      <c r="F828" s="5"/>
      <c r="G828" s="3"/>
      <c r="H828" s="5"/>
      <c r="I828" s="1"/>
      <c r="J828" s="7"/>
      <c r="K828" s="1"/>
      <c r="L828" s="1"/>
      <c r="M828" s="1"/>
      <c r="N828" s="1"/>
      <c r="O828" s="1"/>
      <c r="P828" s="1"/>
      <c r="Q828" s="1"/>
      <c r="R828" s="1"/>
      <c r="S828" s="1"/>
      <c r="T828" s="1"/>
      <c r="U828" s="1"/>
      <c r="V828" s="1"/>
      <c r="W828" s="1"/>
      <c r="X828" s="1"/>
      <c r="Y828" s="1"/>
      <c r="Z828" s="1"/>
    </row>
    <row r="829" spans="1:26" ht="12.75" customHeight="1" x14ac:dyDescent="0.25">
      <c r="A829" s="1"/>
      <c r="B829" s="1"/>
      <c r="C829" s="3"/>
      <c r="D829" s="3"/>
      <c r="E829" s="5"/>
      <c r="F829" s="5"/>
      <c r="G829" s="3"/>
      <c r="H829" s="5"/>
      <c r="I829" s="1"/>
      <c r="J829" s="7"/>
      <c r="K829" s="1"/>
      <c r="L829" s="1"/>
      <c r="M829" s="1"/>
      <c r="N829" s="1"/>
      <c r="O829" s="1"/>
      <c r="P829" s="1"/>
      <c r="Q829" s="1"/>
      <c r="R829" s="1"/>
      <c r="S829" s="1"/>
      <c r="T829" s="1"/>
      <c r="U829" s="1"/>
      <c r="V829" s="1"/>
      <c r="W829" s="1"/>
      <c r="X829" s="1"/>
      <c r="Y829" s="1"/>
      <c r="Z829" s="1"/>
    </row>
    <row r="830" spans="1:26" ht="12.75" customHeight="1" x14ac:dyDescent="0.25">
      <c r="A830" s="1"/>
      <c r="B830" s="1"/>
      <c r="C830" s="3"/>
      <c r="D830" s="3"/>
      <c r="E830" s="5"/>
      <c r="F830" s="5"/>
      <c r="G830" s="3"/>
      <c r="H830" s="5"/>
      <c r="I830" s="1"/>
      <c r="J830" s="7"/>
      <c r="K830" s="1"/>
      <c r="L830" s="1"/>
      <c r="M830" s="1"/>
      <c r="N830" s="1"/>
      <c r="O830" s="1"/>
      <c r="P830" s="1"/>
      <c r="Q830" s="1"/>
      <c r="R830" s="1"/>
      <c r="S830" s="1"/>
      <c r="T830" s="1"/>
      <c r="U830" s="1"/>
      <c r="V830" s="1"/>
      <c r="W830" s="1"/>
      <c r="X830" s="1"/>
      <c r="Y830" s="1"/>
      <c r="Z830" s="1"/>
    </row>
    <row r="831" spans="1:26" ht="12.75" customHeight="1" x14ac:dyDescent="0.25">
      <c r="A831" s="1"/>
      <c r="B831" s="1"/>
      <c r="C831" s="3"/>
      <c r="D831" s="3"/>
      <c r="E831" s="5"/>
      <c r="F831" s="5"/>
      <c r="G831" s="3"/>
      <c r="H831" s="5"/>
      <c r="I831" s="1"/>
      <c r="J831" s="7"/>
      <c r="K831" s="1"/>
      <c r="L831" s="1"/>
      <c r="M831" s="1"/>
      <c r="N831" s="1"/>
      <c r="O831" s="1"/>
      <c r="P831" s="1"/>
      <c r="Q831" s="1"/>
      <c r="R831" s="1"/>
      <c r="S831" s="1"/>
      <c r="T831" s="1"/>
      <c r="U831" s="1"/>
      <c r="V831" s="1"/>
      <c r="W831" s="1"/>
      <c r="X831" s="1"/>
      <c r="Y831" s="1"/>
      <c r="Z831" s="1"/>
    </row>
    <row r="832" spans="1:26" ht="12.75" customHeight="1" x14ac:dyDescent="0.25">
      <c r="A832" s="1"/>
      <c r="B832" s="1"/>
      <c r="C832" s="3"/>
      <c r="D832" s="3"/>
      <c r="E832" s="5"/>
      <c r="F832" s="5"/>
      <c r="G832" s="3"/>
      <c r="H832" s="5"/>
      <c r="I832" s="1"/>
      <c r="J832" s="7"/>
      <c r="K832" s="1"/>
      <c r="L832" s="1"/>
      <c r="M832" s="1"/>
      <c r="N832" s="1"/>
      <c r="O832" s="1"/>
      <c r="P832" s="1"/>
      <c r="Q832" s="1"/>
      <c r="R832" s="1"/>
      <c r="S832" s="1"/>
      <c r="T832" s="1"/>
      <c r="U832" s="1"/>
      <c r="V832" s="1"/>
      <c r="W832" s="1"/>
      <c r="X832" s="1"/>
      <c r="Y832" s="1"/>
      <c r="Z832" s="1"/>
    </row>
    <row r="833" spans="1:26" ht="12.75" customHeight="1" x14ac:dyDescent="0.25">
      <c r="A833" s="1"/>
      <c r="B833" s="1"/>
      <c r="C833" s="3"/>
      <c r="D833" s="3"/>
      <c r="E833" s="5"/>
      <c r="F833" s="5"/>
      <c r="G833" s="3"/>
      <c r="H833" s="5"/>
      <c r="I833" s="1"/>
      <c r="J833" s="7"/>
      <c r="K833" s="1"/>
      <c r="L833" s="1"/>
      <c r="M833" s="1"/>
      <c r="N833" s="1"/>
      <c r="O833" s="1"/>
      <c r="P833" s="1"/>
      <c r="Q833" s="1"/>
      <c r="R833" s="1"/>
      <c r="S833" s="1"/>
      <c r="T833" s="1"/>
      <c r="U833" s="1"/>
      <c r="V833" s="1"/>
      <c r="W833" s="1"/>
      <c r="X833" s="1"/>
      <c r="Y833" s="1"/>
      <c r="Z833" s="1"/>
    </row>
    <row r="834" spans="1:26" ht="12.75" customHeight="1" x14ac:dyDescent="0.25">
      <c r="A834" s="1"/>
      <c r="B834" s="1"/>
      <c r="C834" s="3"/>
      <c r="D834" s="3"/>
      <c r="E834" s="5"/>
      <c r="F834" s="5"/>
      <c r="G834" s="3"/>
      <c r="H834" s="5"/>
      <c r="I834" s="1"/>
      <c r="J834" s="7"/>
      <c r="K834" s="1"/>
      <c r="L834" s="1"/>
      <c r="M834" s="1"/>
      <c r="N834" s="1"/>
      <c r="O834" s="1"/>
      <c r="P834" s="1"/>
      <c r="Q834" s="1"/>
      <c r="R834" s="1"/>
      <c r="S834" s="1"/>
      <c r="T834" s="1"/>
      <c r="U834" s="1"/>
      <c r="V834" s="1"/>
      <c r="W834" s="1"/>
      <c r="X834" s="1"/>
      <c r="Y834" s="1"/>
      <c r="Z834" s="1"/>
    </row>
    <row r="835" spans="1:26" ht="12.75" customHeight="1" x14ac:dyDescent="0.25">
      <c r="A835" s="1"/>
      <c r="B835" s="1"/>
      <c r="C835" s="3"/>
      <c r="D835" s="3"/>
      <c r="E835" s="5"/>
      <c r="F835" s="5"/>
      <c r="G835" s="3"/>
      <c r="H835" s="5"/>
      <c r="I835" s="1"/>
      <c r="J835" s="7"/>
      <c r="K835" s="1"/>
      <c r="L835" s="1"/>
      <c r="M835" s="1"/>
      <c r="N835" s="1"/>
      <c r="O835" s="1"/>
      <c r="P835" s="1"/>
      <c r="Q835" s="1"/>
      <c r="R835" s="1"/>
      <c r="S835" s="1"/>
      <c r="T835" s="1"/>
      <c r="U835" s="1"/>
      <c r="V835" s="1"/>
      <c r="W835" s="1"/>
      <c r="X835" s="1"/>
      <c r="Y835" s="1"/>
      <c r="Z835" s="1"/>
    </row>
    <row r="836" spans="1:26" ht="12.75" customHeight="1" x14ac:dyDescent="0.25">
      <c r="A836" s="1"/>
      <c r="B836" s="1"/>
      <c r="C836" s="3"/>
      <c r="D836" s="3"/>
      <c r="E836" s="5"/>
      <c r="F836" s="5"/>
      <c r="G836" s="3"/>
      <c r="H836" s="5"/>
      <c r="I836" s="1"/>
      <c r="J836" s="7"/>
      <c r="K836" s="1"/>
      <c r="L836" s="1"/>
      <c r="M836" s="1"/>
      <c r="N836" s="1"/>
      <c r="O836" s="1"/>
      <c r="P836" s="1"/>
      <c r="Q836" s="1"/>
      <c r="R836" s="1"/>
      <c r="S836" s="1"/>
      <c r="T836" s="1"/>
      <c r="U836" s="1"/>
      <c r="V836" s="1"/>
      <c r="W836" s="1"/>
      <c r="X836" s="1"/>
      <c r="Y836" s="1"/>
      <c r="Z836" s="1"/>
    </row>
    <row r="837" spans="1:26" ht="12.75" customHeight="1" x14ac:dyDescent="0.25">
      <c r="A837" s="1"/>
      <c r="B837" s="1"/>
      <c r="C837" s="3"/>
      <c r="D837" s="3"/>
      <c r="E837" s="5"/>
      <c r="F837" s="5"/>
      <c r="G837" s="3"/>
      <c r="H837" s="5"/>
      <c r="I837" s="1"/>
      <c r="J837" s="7"/>
      <c r="K837" s="1"/>
      <c r="L837" s="1"/>
      <c r="M837" s="1"/>
      <c r="N837" s="1"/>
      <c r="O837" s="1"/>
      <c r="P837" s="1"/>
      <c r="Q837" s="1"/>
      <c r="R837" s="1"/>
      <c r="S837" s="1"/>
      <c r="T837" s="1"/>
      <c r="U837" s="1"/>
      <c r="V837" s="1"/>
      <c r="W837" s="1"/>
      <c r="X837" s="1"/>
      <c r="Y837" s="1"/>
      <c r="Z837" s="1"/>
    </row>
    <row r="838" spans="1:26" ht="12.75" customHeight="1" x14ac:dyDescent="0.25">
      <c r="A838" s="1"/>
      <c r="B838" s="1"/>
      <c r="C838" s="3"/>
      <c r="D838" s="3"/>
      <c r="E838" s="5"/>
      <c r="F838" s="5"/>
      <c r="G838" s="3"/>
      <c r="H838" s="5"/>
      <c r="I838" s="1"/>
      <c r="J838" s="7"/>
      <c r="K838" s="1"/>
      <c r="L838" s="1"/>
      <c r="M838" s="1"/>
      <c r="N838" s="1"/>
      <c r="O838" s="1"/>
      <c r="P838" s="1"/>
      <c r="Q838" s="1"/>
      <c r="R838" s="1"/>
      <c r="S838" s="1"/>
      <c r="T838" s="1"/>
      <c r="U838" s="1"/>
      <c r="V838" s="1"/>
      <c r="W838" s="1"/>
      <c r="X838" s="1"/>
      <c r="Y838" s="1"/>
      <c r="Z838" s="1"/>
    </row>
    <row r="839" spans="1:26" ht="12.75" customHeight="1" x14ac:dyDescent="0.25">
      <c r="A839" s="1"/>
      <c r="B839" s="1"/>
      <c r="C839" s="3"/>
      <c r="D839" s="3"/>
      <c r="E839" s="5"/>
      <c r="F839" s="5"/>
      <c r="G839" s="3"/>
      <c r="H839" s="5"/>
      <c r="I839" s="1"/>
      <c r="J839" s="7"/>
      <c r="K839" s="1"/>
      <c r="L839" s="1"/>
      <c r="M839" s="1"/>
      <c r="N839" s="1"/>
      <c r="O839" s="1"/>
      <c r="P839" s="1"/>
      <c r="Q839" s="1"/>
      <c r="R839" s="1"/>
      <c r="S839" s="1"/>
      <c r="T839" s="1"/>
      <c r="U839" s="1"/>
      <c r="V839" s="1"/>
      <c r="W839" s="1"/>
      <c r="X839" s="1"/>
      <c r="Y839" s="1"/>
      <c r="Z839" s="1"/>
    </row>
    <row r="840" spans="1:26" ht="12.75" customHeight="1" x14ac:dyDescent="0.25">
      <c r="A840" s="1"/>
      <c r="B840" s="1"/>
      <c r="C840" s="3"/>
      <c r="D840" s="3"/>
      <c r="E840" s="5"/>
      <c r="F840" s="5"/>
      <c r="G840" s="3"/>
      <c r="H840" s="5"/>
      <c r="I840" s="1"/>
      <c r="J840" s="7"/>
      <c r="K840" s="1"/>
      <c r="L840" s="1"/>
      <c r="M840" s="1"/>
      <c r="N840" s="1"/>
      <c r="O840" s="1"/>
      <c r="P840" s="1"/>
      <c r="Q840" s="1"/>
      <c r="R840" s="1"/>
      <c r="S840" s="1"/>
      <c r="T840" s="1"/>
      <c r="U840" s="1"/>
      <c r="V840" s="1"/>
      <c r="W840" s="1"/>
      <c r="X840" s="1"/>
      <c r="Y840" s="1"/>
      <c r="Z840" s="1"/>
    </row>
    <row r="841" spans="1:26" ht="12.75" customHeight="1" x14ac:dyDescent="0.25">
      <c r="A841" s="1"/>
      <c r="B841" s="1"/>
      <c r="C841" s="3"/>
      <c r="D841" s="3"/>
      <c r="E841" s="5"/>
      <c r="F841" s="5"/>
      <c r="G841" s="3"/>
      <c r="H841" s="5"/>
      <c r="I841" s="1"/>
      <c r="J841" s="7"/>
      <c r="K841" s="1"/>
      <c r="L841" s="1"/>
      <c r="M841" s="1"/>
      <c r="N841" s="1"/>
      <c r="O841" s="1"/>
      <c r="P841" s="1"/>
      <c r="Q841" s="1"/>
      <c r="R841" s="1"/>
      <c r="S841" s="1"/>
      <c r="T841" s="1"/>
      <c r="U841" s="1"/>
      <c r="V841" s="1"/>
      <c r="W841" s="1"/>
      <c r="X841" s="1"/>
      <c r="Y841" s="1"/>
      <c r="Z841" s="1"/>
    </row>
    <row r="842" spans="1:26" ht="12.75" customHeight="1" x14ac:dyDescent="0.25">
      <c r="A842" s="1"/>
      <c r="B842" s="1"/>
      <c r="C842" s="3"/>
      <c r="D842" s="3"/>
      <c r="E842" s="5"/>
      <c r="F842" s="5"/>
      <c r="G842" s="3"/>
      <c r="H842" s="5"/>
      <c r="I842" s="1"/>
      <c r="J842" s="7"/>
      <c r="K842" s="1"/>
      <c r="L842" s="1"/>
      <c r="M842" s="1"/>
      <c r="N842" s="1"/>
      <c r="O842" s="1"/>
      <c r="P842" s="1"/>
      <c r="Q842" s="1"/>
      <c r="R842" s="1"/>
      <c r="S842" s="1"/>
      <c r="T842" s="1"/>
      <c r="U842" s="1"/>
      <c r="V842" s="1"/>
      <c r="W842" s="1"/>
      <c r="X842" s="1"/>
      <c r="Y842" s="1"/>
      <c r="Z842" s="1"/>
    </row>
    <row r="843" spans="1:26" ht="12.75" customHeight="1" x14ac:dyDescent="0.25">
      <c r="A843" s="1"/>
      <c r="B843" s="1"/>
      <c r="C843" s="3"/>
      <c r="D843" s="3"/>
      <c r="E843" s="5"/>
      <c r="F843" s="5"/>
      <c r="G843" s="3"/>
      <c r="H843" s="5"/>
      <c r="I843" s="1"/>
      <c r="J843" s="7"/>
      <c r="K843" s="1"/>
      <c r="L843" s="1"/>
      <c r="M843" s="1"/>
      <c r="N843" s="1"/>
      <c r="O843" s="1"/>
      <c r="P843" s="1"/>
      <c r="Q843" s="1"/>
      <c r="R843" s="1"/>
      <c r="S843" s="1"/>
      <c r="T843" s="1"/>
      <c r="U843" s="1"/>
      <c r="V843" s="1"/>
      <c r="W843" s="1"/>
      <c r="X843" s="1"/>
      <c r="Y843" s="1"/>
      <c r="Z843" s="1"/>
    </row>
    <row r="844" spans="1:26" ht="12.75" customHeight="1" x14ac:dyDescent="0.25">
      <c r="A844" s="1"/>
      <c r="B844" s="1"/>
      <c r="C844" s="3"/>
      <c r="D844" s="3"/>
      <c r="E844" s="5"/>
      <c r="F844" s="5"/>
      <c r="G844" s="3"/>
      <c r="H844" s="5"/>
      <c r="I844" s="1"/>
      <c r="J844" s="7"/>
      <c r="K844" s="1"/>
      <c r="L844" s="1"/>
      <c r="M844" s="1"/>
      <c r="N844" s="1"/>
      <c r="O844" s="1"/>
      <c r="P844" s="1"/>
      <c r="Q844" s="1"/>
      <c r="R844" s="1"/>
      <c r="S844" s="1"/>
      <c r="T844" s="1"/>
      <c r="U844" s="1"/>
      <c r="V844" s="1"/>
      <c r="W844" s="1"/>
      <c r="X844" s="1"/>
      <c r="Y844" s="1"/>
      <c r="Z844" s="1"/>
    </row>
    <row r="845" spans="1:26" ht="12.75" customHeight="1" x14ac:dyDescent="0.25">
      <c r="A845" s="1"/>
      <c r="B845" s="1"/>
      <c r="C845" s="3"/>
      <c r="D845" s="3"/>
      <c r="E845" s="5"/>
      <c r="F845" s="5"/>
      <c r="G845" s="3"/>
      <c r="H845" s="5"/>
      <c r="I845" s="1"/>
      <c r="J845" s="7"/>
      <c r="K845" s="1"/>
      <c r="L845" s="1"/>
      <c r="M845" s="1"/>
      <c r="N845" s="1"/>
      <c r="O845" s="1"/>
      <c r="P845" s="1"/>
      <c r="Q845" s="1"/>
      <c r="R845" s="1"/>
      <c r="S845" s="1"/>
      <c r="T845" s="1"/>
      <c r="U845" s="1"/>
      <c r="V845" s="1"/>
      <c r="W845" s="1"/>
      <c r="X845" s="1"/>
      <c r="Y845" s="1"/>
      <c r="Z845" s="1"/>
    </row>
    <row r="846" spans="1:26" ht="12.75" customHeight="1" x14ac:dyDescent="0.25">
      <c r="A846" s="1"/>
      <c r="B846" s="1"/>
      <c r="C846" s="3"/>
      <c r="D846" s="3"/>
      <c r="E846" s="5"/>
      <c r="F846" s="5"/>
      <c r="G846" s="3"/>
      <c r="H846" s="5"/>
      <c r="I846" s="1"/>
      <c r="J846" s="7"/>
      <c r="K846" s="1"/>
      <c r="L846" s="1"/>
      <c r="M846" s="1"/>
      <c r="N846" s="1"/>
      <c r="O846" s="1"/>
      <c r="P846" s="1"/>
      <c r="Q846" s="1"/>
      <c r="R846" s="1"/>
      <c r="S846" s="1"/>
      <c r="T846" s="1"/>
      <c r="U846" s="1"/>
      <c r="V846" s="1"/>
      <c r="W846" s="1"/>
      <c r="X846" s="1"/>
      <c r="Y846" s="1"/>
      <c r="Z846" s="1"/>
    </row>
    <row r="847" spans="1:26" ht="12.75" customHeight="1" x14ac:dyDescent="0.25">
      <c r="A847" s="1"/>
      <c r="B847" s="1"/>
      <c r="C847" s="3"/>
      <c r="D847" s="3"/>
      <c r="E847" s="5"/>
      <c r="F847" s="5"/>
      <c r="G847" s="3"/>
      <c r="H847" s="5"/>
      <c r="I847" s="1"/>
      <c r="J847" s="7"/>
      <c r="K847" s="1"/>
      <c r="L847" s="1"/>
      <c r="M847" s="1"/>
      <c r="N847" s="1"/>
      <c r="O847" s="1"/>
      <c r="P847" s="1"/>
      <c r="Q847" s="1"/>
      <c r="R847" s="1"/>
      <c r="S847" s="1"/>
      <c r="T847" s="1"/>
      <c r="U847" s="1"/>
      <c r="V847" s="1"/>
      <c r="W847" s="1"/>
      <c r="X847" s="1"/>
      <c r="Y847" s="1"/>
      <c r="Z847" s="1"/>
    </row>
    <row r="848" spans="1:26" ht="12.75" customHeight="1" x14ac:dyDescent="0.25">
      <c r="A848" s="1"/>
      <c r="B848" s="1"/>
      <c r="C848" s="3"/>
      <c r="D848" s="3"/>
      <c r="E848" s="5"/>
      <c r="F848" s="5"/>
      <c r="G848" s="3"/>
      <c r="H848" s="5"/>
      <c r="I848" s="1"/>
      <c r="J848" s="7"/>
      <c r="K848" s="1"/>
      <c r="L848" s="1"/>
      <c r="M848" s="1"/>
      <c r="N848" s="1"/>
      <c r="O848" s="1"/>
      <c r="P848" s="1"/>
      <c r="Q848" s="1"/>
      <c r="R848" s="1"/>
      <c r="S848" s="1"/>
      <c r="T848" s="1"/>
      <c r="U848" s="1"/>
      <c r="V848" s="1"/>
      <c r="W848" s="1"/>
      <c r="X848" s="1"/>
      <c r="Y848" s="1"/>
      <c r="Z848" s="1"/>
    </row>
    <row r="849" spans="1:26" ht="12.75" customHeight="1" x14ac:dyDescent="0.25">
      <c r="A849" s="1"/>
      <c r="B849" s="1"/>
      <c r="C849" s="3"/>
      <c r="D849" s="3"/>
      <c r="E849" s="5"/>
      <c r="F849" s="5"/>
      <c r="G849" s="3"/>
      <c r="H849" s="5"/>
      <c r="I849" s="1"/>
      <c r="J849" s="7"/>
      <c r="K849" s="1"/>
      <c r="L849" s="1"/>
      <c r="M849" s="1"/>
      <c r="N849" s="1"/>
      <c r="O849" s="1"/>
      <c r="P849" s="1"/>
      <c r="Q849" s="1"/>
      <c r="R849" s="1"/>
      <c r="S849" s="1"/>
      <c r="T849" s="1"/>
      <c r="U849" s="1"/>
      <c r="V849" s="1"/>
      <c r="W849" s="1"/>
      <c r="X849" s="1"/>
      <c r="Y849" s="1"/>
      <c r="Z849" s="1"/>
    </row>
    <row r="850" spans="1:26" ht="12.75" customHeight="1" x14ac:dyDescent="0.25">
      <c r="A850" s="1"/>
      <c r="B850" s="1"/>
      <c r="C850" s="3"/>
      <c r="D850" s="3"/>
      <c r="E850" s="5"/>
      <c r="F850" s="5"/>
      <c r="G850" s="3"/>
      <c r="H850" s="5"/>
      <c r="I850" s="1"/>
      <c r="J850" s="7"/>
      <c r="K850" s="1"/>
      <c r="L850" s="1"/>
      <c r="M850" s="1"/>
      <c r="N850" s="1"/>
      <c r="O850" s="1"/>
      <c r="P850" s="1"/>
      <c r="Q850" s="1"/>
      <c r="R850" s="1"/>
      <c r="S850" s="1"/>
      <c r="T850" s="1"/>
      <c r="U850" s="1"/>
      <c r="V850" s="1"/>
      <c r="W850" s="1"/>
      <c r="X850" s="1"/>
      <c r="Y850" s="1"/>
      <c r="Z850" s="1"/>
    </row>
    <row r="851" spans="1:26" ht="12.75" customHeight="1" x14ac:dyDescent="0.25">
      <c r="A851" s="1"/>
      <c r="B851" s="1"/>
      <c r="C851" s="3"/>
      <c r="D851" s="3"/>
      <c r="E851" s="5"/>
      <c r="F851" s="5"/>
      <c r="G851" s="3"/>
      <c r="H851" s="5"/>
      <c r="I851" s="1"/>
      <c r="J851" s="7"/>
      <c r="K851" s="1"/>
      <c r="L851" s="1"/>
      <c r="M851" s="1"/>
      <c r="N851" s="1"/>
      <c r="O851" s="1"/>
      <c r="P851" s="1"/>
      <c r="Q851" s="1"/>
      <c r="R851" s="1"/>
      <c r="S851" s="1"/>
      <c r="T851" s="1"/>
      <c r="U851" s="1"/>
      <c r="V851" s="1"/>
      <c r="W851" s="1"/>
      <c r="X851" s="1"/>
      <c r="Y851" s="1"/>
      <c r="Z851" s="1"/>
    </row>
    <row r="852" spans="1:26" ht="12.75" customHeight="1" x14ac:dyDescent="0.25">
      <c r="A852" s="1"/>
      <c r="B852" s="1"/>
      <c r="C852" s="3"/>
      <c r="D852" s="3"/>
      <c r="E852" s="5"/>
      <c r="F852" s="5"/>
      <c r="G852" s="3"/>
      <c r="H852" s="5"/>
      <c r="I852" s="1"/>
      <c r="J852" s="7"/>
      <c r="K852" s="1"/>
      <c r="L852" s="1"/>
      <c r="M852" s="1"/>
      <c r="N852" s="1"/>
      <c r="O852" s="1"/>
      <c r="P852" s="1"/>
      <c r="Q852" s="1"/>
      <c r="R852" s="1"/>
      <c r="S852" s="1"/>
      <c r="T852" s="1"/>
      <c r="U852" s="1"/>
      <c r="V852" s="1"/>
      <c r="W852" s="1"/>
      <c r="X852" s="1"/>
      <c r="Y852" s="1"/>
      <c r="Z852" s="1"/>
    </row>
    <row r="853" spans="1:26" ht="12.75" customHeight="1" x14ac:dyDescent="0.25">
      <c r="A853" s="1"/>
      <c r="B853" s="1"/>
      <c r="C853" s="3"/>
      <c r="D853" s="3"/>
      <c r="E853" s="5"/>
      <c r="F853" s="5"/>
      <c r="G853" s="3"/>
      <c r="H853" s="5"/>
      <c r="I853" s="1"/>
      <c r="J853" s="7"/>
      <c r="K853" s="1"/>
      <c r="L853" s="1"/>
      <c r="M853" s="1"/>
      <c r="N853" s="1"/>
      <c r="O853" s="1"/>
      <c r="P853" s="1"/>
      <c r="Q853" s="1"/>
      <c r="R853" s="1"/>
      <c r="S853" s="1"/>
      <c r="T853" s="1"/>
      <c r="U853" s="1"/>
      <c r="V853" s="1"/>
      <c r="W853" s="1"/>
      <c r="X853" s="1"/>
      <c r="Y853" s="1"/>
      <c r="Z853" s="1"/>
    </row>
    <row r="854" spans="1:26" ht="12.75" customHeight="1" x14ac:dyDescent="0.25">
      <c r="A854" s="1"/>
      <c r="B854" s="1"/>
      <c r="C854" s="3"/>
      <c r="D854" s="3"/>
      <c r="E854" s="5"/>
      <c r="F854" s="5"/>
      <c r="G854" s="3"/>
      <c r="H854" s="5"/>
      <c r="I854" s="1"/>
      <c r="J854" s="7"/>
      <c r="K854" s="1"/>
      <c r="L854" s="1"/>
      <c r="M854" s="1"/>
      <c r="N854" s="1"/>
      <c r="O854" s="1"/>
      <c r="P854" s="1"/>
      <c r="Q854" s="1"/>
      <c r="R854" s="1"/>
      <c r="S854" s="1"/>
      <c r="T854" s="1"/>
      <c r="U854" s="1"/>
      <c r="V854" s="1"/>
      <c r="W854" s="1"/>
      <c r="X854" s="1"/>
      <c r="Y854" s="1"/>
      <c r="Z854" s="1"/>
    </row>
    <row r="855" spans="1:26" ht="12.75" customHeight="1" x14ac:dyDescent="0.25">
      <c r="A855" s="1"/>
      <c r="B855" s="1"/>
      <c r="C855" s="3"/>
      <c r="D855" s="3"/>
      <c r="E855" s="5"/>
      <c r="F855" s="5"/>
      <c r="G855" s="3"/>
      <c r="H855" s="5"/>
      <c r="I855" s="1"/>
      <c r="J855" s="7"/>
      <c r="K855" s="1"/>
      <c r="L855" s="1"/>
      <c r="M855" s="1"/>
      <c r="N855" s="1"/>
      <c r="O855" s="1"/>
      <c r="P855" s="1"/>
      <c r="Q855" s="1"/>
      <c r="R855" s="1"/>
      <c r="S855" s="1"/>
      <c r="T855" s="1"/>
      <c r="U855" s="1"/>
      <c r="V855" s="1"/>
      <c r="W855" s="1"/>
      <c r="X855" s="1"/>
      <c r="Y855" s="1"/>
      <c r="Z855" s="1"/>
    </row>
    <row r="856" spans="1:26" ht="12.75" customHeight="1" x14ac:dyDescent="0.25">
      <c r="A856" s="1"/>
      <c r="B856" s="1"/>
      <c r="C856" s="3"/>
      <c r="D856" s="3"/>
      <c r="E856" s="5"/>
      <c r="F856" s="5"/>
      <c r="G856" s="3"/>
      <c r="H856" s="5"/>
      <c r="I856" s="1"/>
      <c r="J856" s="7"/>
      <c r="K856" s="1"/>
      <c r="L856" s="1"/>
      <c r="M856" s="1"/>
      <c r="N856" s="1"/>
      <c r="O856" s="1"/>
      <c r="P856" s="1"/>
      <c r="Q856" s="1"/>
      <c r="R856" s="1"/>
      <c r="S856" s="1"/>
      <c r="T856" s="1"/>
      <c r="U856" s="1"/>
      <c r="V856" s="1"/>
      <c r="W856" s="1"/>
      <c r="X856" s="1"/>
      <c r="Y856" s="1"/>
      <c r="Z856" s="1"/>
    </row>
    <row r="857" spans="1:26" ht="12.75" customHeight="1" x14ac:dyDescent="0.25">
      <c r="A857" s="1"/>
      <c r="B857" s="1"/>
      <c r="C857" s="3"/>
      <c r="D857" s="3"/>
      <c r="E857" s="5"/>
      <c r="F857" s="5"/>
      <c r="G857" s="3"/>
      <c r="H857" s="5"/>
      <c r="I857" s="1"/>
      <c r="J857" s="7"/>
      <c r="K857" s="1"/>
      <c r="L857" s="1"/>
      <c r="M857" s="1"/>
      <c r="N857" s="1"/>
      <c r="O857" s="1"/>
      <c r="P857" s="1"/>
      <c r="Q857" s="1"/>
      <c r="R857" s="1"/>
      <c r="S857" s="1"/>
      <c r="T857" s="1"/>
      <c r="U857" s="1"/>
      <c r="V857" s="1"/>
      <c r="W857" s="1"/>
      <c r="X857" s="1"/>
      <c r="Y857" s="1"/>
      <c r="Z857" s="1"/>
    </row>
    <row r="858" spans="1:26" ht="12.75" customHeight="1" x14ac:dyDescent="0.25">
      <c r="A858" s="1"/>
      <c r="B858" s="1"/>
      <c r="C858" s="3"/>
      <c r="D858" s="3"/>
      <c r="E858" s="5"/>
      <c r="F858" s="5"/>
      <c r="G858" s="3"/>
      <c r="H858" s="5"/>
      <c r="I858" s="1"/>
      <c r="J858" s="7"/>
      <c r="K858" s="1"/>
      <c r="L858" s="1"/>
      <c r="M858" s="1"/>
      <c r="N858" s="1"/>
      <c r="O858" s="1"/>
      <c r="P858" s="1"/>
      <c r="Q858" s="1"/>
      <c r="R858" s="1"/>
      <c r="S858" s="1"/>
      <c r="T858" s="1"/>
      <c r="U858" s="1"/>
      <c r="V858" s="1"/>
      <c r="W858" s="1"/>
      <c r="X858" s="1"/>
      <c r="Y858" s="1"/>
      <c r="Z858" s="1"/>
    </row>
    <row r="859" spans="1:26" ht="12.75" customHeight="1" x14ac:dyDescent="0.25">
      <c r="A859" s="1"/>
      <c r="B859" s="1"/>
      <c r="C859" s="3"/>
      <c r="D859" s="3"/>
      <c r="E859" s="5"/>
      <c r="F859" s="5"/>
      <c r="G859" s="3"/>
      <c r="H859" s="5"/>
      <c r="I859" s="1"/>
      <c r="J859" s="7"/>
      <c r="K859" s="1"/>
      <c r="L859" s="1"/>
      <c r="M859" s="1"/>
      <c r="N859" s="1"/>
      <c r="O859" s="1"/>
      <c r="P859" s="1"/>
      <c r="Q859" s="1"/>
      <c r="R859" s="1"/>
      <c r="S859" s="1"/>
      <c r="T859" s="1"/>
      <c r="U859" s="1"/>
      <c r="V859" s="1"/>
      <c r="W859" s="1"/>
      <c r="X859" s="1"/>
      <c r="Y859" s="1"/>
      <c r="Z859" s="1"/>
    </row>
    <row r="860" spans="1:26" ht="12.75" customHeight="1" x14ac:dyDescent="0.25">
      <c r="A860" s="1"/>
      <c r="B860" s="1"/>
      <c r="C860" s="3"/>
      <c r="D860" s="3"/>
      <c r="E860" s="5"/>
      <c r="F860" s="5"/>
      <c r="G860" s="3"/>
      <c r="H860" s="5"/>
      <c r="I860" s="1"/>
      <c r="J860" s="7"/>
      <c r="K860" s="1"/>
      <c r="L860" s="1"/>
      <c r="M860" s="1"/>
      <c r="N860" s="1"/>
      <c r="O860" s="1"/>
      <c r="P860" s="1"/>
      <c r="Q860" s="1"/>
      <c r="R860" s="1"/>
      <c r="S860" s="1"/>
      <c r="T860" s="1"/>
      <c r="U860" s="1"/>
      <c r="V860" s="1"/>
      <c r="W860" s="1"/>
      <c r="X860" s="1"/>
      <c r="Y860" s="1"/>
      <c r="Z860" s="1"/>
    </row>
    <row r="861" spans="1:26" ht="12.75" customHeight="1" x14ac:dyDescent="0.25">
      <c r="A861" s="1"/>
      <c r="B861" s="1"/>
      <c r="C861" s="3"/>
      <c r="D861" s="3"/>
      <c r="E861" s="5"/>
      <c r="F861" s="5"/>
      <c r="G861" s="3"/>
      <c r="H861" s="5"/>
      <c r="I861" s="1"/>
      <c r="J861" s="7"/>
      <c r="K861" s="1"/>
      <c r="L861" s="1"/>
      <c r="M861" s="1"/>
      <c r="N861" s="1"/>
      <c r="O861" s="1"/>
      <c r="P861" s="1"/>
      <c r="Q861" s="1"/>
      <c r="R861" s="1"/>
      <c r="S861" s="1"/>
      <c r="T861" s="1"/>
      <c r="U861" s="1"/>
      <c r="V861" s="1"/>
      <c r="W861" s="1"/>
      <c r="X861" s="1"/>
      <c r="Y861" s="1"/>
      <c r="Z861" s="1"/>
    </row>
    <row r="862" spans="1:26" ht="12.75" customHeight="1" x14ac:dyDescent="0.25">
      <c r="A862" s="1"/>
      <c r="B862" s="1"/>
      <c r="C862" s="3"/>
      <c r="D862" s="3"/>
      <c r="E862" s="5"/>
      <c r="F862" s="5"/>
      <c r="G862" s="3"/>
      <c r="H862" s="5"/>
      <c r="I862" s="1"/>
      <c r="J862" s="7"/>
      <c r="K862" s="1"/>
      <c r="L862" s="1"/>
      <c r="M862" s="1"/>
      <c r="N862" s="1"/>
      <c r="O862" s="1"/>
      <c r="P862" s="1"/>
      <c r="Q862" s="1"/>
      <c r="R862" s="1"/>
      <c r="S862" s="1"/>
      <c r="T862" s="1"/>
      <c r="U862" s="1"/>
      <c r="V862" s="1"/>
      <c r="W862" s="1"/>
      <c r="X862" s="1"/>
      <c r="Y862" s="1"/>
      <c r="Z862" s="1"/>
    </row>
    <row r="863" spans="1:26" ht="12.75" customHeight="1" x14ac:dyDescent="0.25">
      <c r="A863" s="1"/>
      <c r="B863" s="1"/>
      <c r="C863" s="3"/>
      <c r="D863" s="3"/>
      <c r="E863" s="5"/>
      <c r="F863" s="5"/>
      <c r="G863" s="3"/>
      <c r="H863" s="5"/>
      <c r="I863" s="1"/>
      <c r="J863" s="7"/>
      <c r="K863" s="1"/>
      <c r="L863" s="1"/>
      <c r="M863" s="1"/>
      <c r="N863" s="1"/>
      <c r="O863" s="1"/>
      <c r="P863" s="1"/>
      <c r="Q863" s="1"/>
      <c r="R863" s="1"/>
      <c r="S863" s="1"/>
      <c r="T863" s="1"/>
      <c r="U863" s="1"/>
      <c r="V863" s="1"/>
      <c r="W863" s="1"/>
      <c r="X863" s="1"/>
      <c r="Y863" s="1"/>
      <c r="Z863" s="1"/>
    </row>
    <row r="864" spans="1:26" ht="12.75" customHeight="1" x14ac:dyDescent="0.25">
      <c r="A864" s="1"/>
      <c r="B864" s="1"/>
      <c r="C864" s="3"/>
      <c r="D864" s="3"/>
      <c r="E864" s="5"/>
      <c r="F864" s="5"/>
      <c r="G864" s="3"/>
      <c r="H864" s="5"/>
      <c r="I864" s="1"/>
      <c r="J864" s="7"/>
      <c r="K864" s="1"/>
      <c r="L864" s="1"/>
      <c r="M864" s="1"/>
      <c r="N864" s="1"/>
      <c r="O864" s="1"/>
      <c r="P864" s="1"/>
      <c r="Q864" s="1"/>
      <c r="R864" s="1"/>
      <c r="S864" s="1"/>
      <c r="T864" s="1"/>
      <c r="U864" s="1"/>
      <c r="V864" s="1"/>
      <c r="W864" s="1"/>
      <c r="X864" s="1"/>
      <c r="Y864" s="1"/>
      <c r="Z864" s="1"/>
    </row>
    <row r="865" spans="1:26" ht="12.75" customHeight="1" x14ac:dyDescent="0.25">
      <c r="A865" s="1"/>
      <c r="B865" s="1"/>
      <c r="C865" s="3"/>
      <c r="D865" s="3"/>
      <c r="E865" s="5"/>
      <c r="F865" s="5"/>
      <c r="G865" s="3"/>
      <c r="H865" s="5"/>
      <c r="I865" s="1"/>
      <c r="J865" s="7"/>
      <c r="K865" s="1"/>
      <c r="L865" s="1"/>
      <c r="M865" s="1"/>
      <c r="N865" s="1"/>
      <c r="O865" s="1"/>
      <c r="P865" s="1"/>
      <c r="Q865" s="1"/>
      <c r="R865" s="1"/>
      <c r="S865" s="1"/>
      <c r="T865" s="1"/>
      <c r="U865" s="1"/>
      <c r="V865" s="1"/>
      <c r="W865" s="1"/>
      <c r="X865" s="1"/>
      <c r="Y865" s="1"/>
      <c r="Z865" s="1"/>
    </row>
    <row r="866" spans="1:26" ht="12.75" customHeight="1" x14ac:dyDescent="0.25">
      <c r="A866" s="1"/>
      <c r="B866" s="1"/>
      <c r="C866" s="3"/>
      <c r="D866" s="3"/>
      <c r="E866" s="5"/>
      <c r="F866" s="5"/>
      <c r="G866" s="3"/>
      <c r="H866" s="5"/>
      <c r="I866" s="1"/>
      <c r="J866" s="7"/>
      <c r="K866" s="1"/>
      <c r="L866" s="1"/>
      <c r="M866" s="1"/>
      <c r="N866" s="1"/>
      <c r="O866" s="1"/>
      <c r="P866" s="1"/>
      <c r="Q866" s="1"/>
      <c r="R866" s="1"/>
      <c r="S866" s="1"/>
      <c r="T866" s="1"/>
      <c r="U866" s="1"/>
      <c r="V866" s="1"/>
      <c r="W866" s="1"/>
      <c r="X866" s="1"/>
      <c r="Y866" s="1"/>
      <c r="Z866" s="1"/>
    </row>
    <row r="867" spans="1:26" ht="12.75" customHeight="1" x14ac:dyDescent="0.25">
      <c r="A867" s="1"/>
      <c r="B867" s="1"/>
      <c r="C867" s="3"/>
      <c r="D867" s="3"/>
      <c r="E867" s="5"/>
      <c r="F867" s="5"/>
      <c r="G867" s="3"/>
      <c r="H867" s="5"/>
      <c r="I867" s="1"/>
      <c r="J867" s="7"/>
      <c r="K867" s="1"/>
      <c r="L867" s="1"/>
      <c r="M867" s="1"/>
      <c r="N867" s="1"/>
      <c r="O867" s="1"/>
      <c r="P867" s="1"/>
      <c r="Q867" s="1"/>
      <c r="R867" s="1"/>
      <c r="S867" s="1"/>
      <c r="T867" s="1"/>
      <c r="U867" s="1"/>
      <c r="V867" s="1"/>
      <c r="W867" s="1"/>
      <c r="X867" s="1"/>
      <c r="Y867" s="1"/>
      <c r="Z867" s="1"/>
    </row>
    <row r="868" spans="1:26" ht="12.75" customHeight="1" x14ac:dyDescent="0.25">
      <c r="A868" s="1"/>
      <c r="B868" s="1"/>
      <c r="C868" s="3"/>
      <c r="D868" s="3"/>
      <c r="E868" s="5"/>
      <c r="F868" s="5"/>
      <c r="G868" s="3"/>
      <c r="H868" s="5"/>
      <c r="I868" s="1"/>
      <c r="J868" s="7"/>
      <c r="K868" s="1"/>
      <c r="L868" s="1"/>
      <c r="M868" s="1"/>
      <c r="N868" s="1"/>
      <c r="O868" s="1"/>
      <c r="P868" s="1"/>
      <c r="Q868" s="1"/>
      <c r="R868" s="1"/>
      <c r="S868" s="1"/>
      <c r="T868" s="1"/>
      <c r="U868" s="1"/>
      <c r="V868" s="1"/>
      <c r="W868" s="1"/>
      <c r="X868" s="1"/>
      <c r="Y868" s="1"/>
      <c r="Z868" s="1"/>
    </row>
    <row r="869" spans="1:26" ht="12.75" customHeight="1" x14ac:dyDescent="0.25">
      <c r="A869" s="1"/>
      <c r="B869" s="1"/>
      <c r="C869" s="3"/>
      <c r="D869" s="3"/>
      <c r="E869" s="5"/>
      <c r="F869" s="5"/>
      <c r="G869" s="3"/>
      <c r="H869" s="5"/>
      <c r="I869" s="1"/>
      <c r="J869" s="7"/>
      <c r="K869" s="1"/>
      <c r="L869" s="1"/>
      <c r="M869" s="1"/>
      <c r="N869" s="1"/>
      <c r="O869" s="1"/>
      <c r="P869" s="1"/>
      <c r="Q869" s="1"/>
      <c r="R869" s="1"/>
      <c r="S869" s="1"/>
      <c r="T869" s="1"/>
      <c r="U869" s="1"/>
      <c r="V869" s="1"/>
      <c r="W869" s="1"/>
      <c r="X869" s="1"/>
      <c r="Y869" s="1"/>
      <c r="Z869" s="1"/>
    </row>
    <row r="870" spans="1:26" ht="12.75" customHeight="1" x14ac:dyDescent="0.25">
      <c r="A870" s="1"/>
      <c r="B870" s="1"/>
      <c r="C870" s="3"/>
      <c r="D870" s="3"/>
      <c r="E870" s="5"/>
      <c r="F870" s="5"/>
      <c r="G870" s="3"/>
      <c r="H870" s="5"/>
      <c r="I870" s="1"/>
      <c r="J870" s="7"/>
      <c r="K870" s="1"/>
      <c r="L870" s="1"/>
      <c r="M870" s="1"/>
      <c r="N870" s="1"/>
      <c r="O870" s="1"/>
      <c r="P870" s="1"/>
      <c r="Q870" s="1"/>
      <c r="R870" s="1"/>
      <c r="S870" s="1"/>
      <c r="T870" s="1"/>
      <c r="U870" s="1"/>
      <c r="V870" s="1"/>
      <c r="W870" s="1"/>
      <c r="X870" s="1"/>
      <c r="Y870" s="1"/>
      <c r="Z870" s="1"/>
    </row>
    <row r="871" spans="1:26" ht="12.75" customHeight="1" x14ac:dyDescent="0.25">
      <c r="A871" s="1"/>
      <c r="B871" s="1"/>
      <c r="C871" s="3"/>
      <c r="D871" s="3"/>
      <c r="E871" s="5"/>
      <c r="F871" s="5"/>
      <c r="G871" s="3"/>
      <c r="H871" s="5"/>
      <c r="I871" s="1"/>
      <c r="J871" s="7"/>
      <c r="K871" s="1"/>
      <c r="L871" s="1"/>
      <c r="M871" s="1"/>
      <c r="N871" s="1"/>
      <c r="O871" s="1"/>
      <c r="P871" s="1"/>
      <c r="Q871" s="1"/>
      <c r="R871" s="1"/>
      <c r="S871" s="1"/>
      <c r="T871" s="1"/>
      <c r="U871" s="1"/>
      <c r="V871" s="1"/>
      <c r="W871" s="1"/>
      <c r="X871" s="1"/>
      <c r="Y871" s="1"/>
      <c r="Z871" s="1"/>
    </row>
    <row r="872" spans="1:26" ht="12.75" customHeight="1" x14ac:dyDescent="0.25">
      <c r="A872" s="1"/>
      <c r="B872" s="1"/>
      <c r="C872" s="3"/>
      <c r="D872" s="3"/>
      <c r="E872" s="5"/>
      <c r="F872" s="5"/>
      <c r="G872" s="3"/>
      <c r="H872" s="5"/>
      <c r="I872" s="1"/>
      <c r="J872" s="7"/>
      <c r="K872" s="1"/>
      <c r="L872" s="1"/>
      <c r="M872" s="1"/>
      <c r="N872" s="1"/>
      <c r="O872" s="1"/>
      <c r="P872" s="1"/>
      <c r="Q872" s="1"/>
      <c r="R872" s="1"/>
      <c r="S872" s="1"/>
      <c r="T872" s="1"/>
      <c r="U872" s="1"/>
      <c r="V872" s="1"/>
      <c r="W872" s="1"/>
      <c r="X872" s="1"/>
      <c r="Y872" s="1"/>
      <c r="Z872" s="1"/>
    </row>
    <row r="873" spans="1:26" ht="12.75" customHeight="1" x14ac:dyDescent="0.25">
      <c r="A873" s="1"/>
      <c r="B873" s="1"/>
      <c r="C873" s="3"/>
      <c r="D873" s="3"/>
      <c r="E873" s="5"/>
      <c r="F873" s="5"/>
      <c r="G873" s="3"/>
      <c r="H873" s="5"/>
      <c r="I873" s="1"/>
      <c r="J873" s="7"/>
      <c r="K873" s="1"/>
      <c r="L873" s="1"/>
      <c r="M873" s="1"/>
      <c r="N873" s="1"/>
      <c r="O873" s="1"/>
      <c r="P873" s="1"/>
      <c r="Q873" s="1"/>
      <c r="R873" s="1"/>
      <c r="S873" s="1"/>
      <c r="T873" s="1"/>
      <c r="U873" s="1"/>
      <c r="V873" s="1"/>
      <c r="W873" s="1"/>
      <c r="X873" s="1"/>
      <c r="Y873" s="1"/>
      <c r="Z873" s="1"/>
    </row>
    <row r="874" spans="1:26" ht="12.75" customHeight="1" x14ac:dyDescent="0.25">
      <c r="A874" s="1"/>
      <c r="B874" s="1"/>
      <c r="C874" s="3"/>
      <c r="D874" s="3"/>
      <c r="E874" s="5"/>
      <c r="F874" s="5"/>
      <c r="G874" s="3"/>
      <c r="H874" s="5"/>
      <c r="I874" s="1"/>
      <c r="J874" s="7"/>
      <c r="K874" s="1"/>
      <c r="L874" s="1"/>
      <c r="M874" s="1"/>
      <c r="N874" s="1"/>
      <c r="O874" s="1"/>
      <c r="P874" s="1"/>
      <c r="Q874" s="1"/>
      <c r="R874" s="1"/>
      <c r="S874" s="1"/>
      <c r="T874" s="1"/>
      <c r="U874" s="1"/>
      <c r="V874" s="1"/>
      <c r="W874" s="1"/>
      <c r="X874" s="1"/>
      <c r="Y874" s="1"/>
      <c r="Z874" s="1"/>
    </row>
    <row r="875" spans="1:26" ht="12.75" customHeight="1" x14ac:dyDescent="0.25">
      <c r="A875" s="1"/>
      <c r="B875" s="1"/>
      <c r="C875" s="3"/>
      <c r="D875" s="3"/>
      <c r="E875" s="5"/>
      <c r="F875" s="5"/>
      <c r="G875" s="3"/>
      <c r="H875" s="5"/>
      <c r="I875" s="1"/>
      <c r="J875" s="7"/>
      <c r="K875" s="1"/>
      <c r="L875" s="1"/>
      <c r="M875" s="1"/>
      <c r="N875" s="1"/>
      <c r="O875" s="1"/>
      <c r="P875" s="1"/>
      <c r="Q875" s="1"/>
      <c r="R875" s="1"/>
      <c r="S875" s="1"/>
      <c r="T875" s="1"/>
      <c r="U875" s="1"/>
      <c r="V875" s="1"/>
      <c r="W875" s="1"/>
      <c r="X875" s="1"/>
      <c r="Y875" s="1"/>
      <c r="Z875" s="1"/>
    </row>
    <row r="876" spans="1:26" ht="12.75" customHeight="1" x14ac:dyDescent="0.25">
      <c r="A876" s="1"/>
      <c r="B876" s="1"/>
      <c r="C876" s="3"/>
      <c r="D876" s="3"/>
      <c r="E876" s="5"/>
      <c r="F876" s="5"/>
      <c r="G876" s="3"/>
      <c r="H876" s="5"/>
      <c r="I876" s="1"/>
      <c r="J876" s="7"/>
      <c r="K876" s="1"/>
      <c r="L876" s="1"/>
      <c r="M876" s="1"/>
      <c r="N876" s="1"/>
      <c r="O876" s="1"/>
      <c r="P876" s="1"/>
      <c r="Q876" s="1"/>
      <c r="R876" s="1"/>
      <c r="S876" s="1"/>
      <c r="T876" s="1"/>
      <c r="U876" s="1"/>
      <c r="V876" s="1"/>
      <c r="W876" s="1"/>
      <c r="X876" s="1"/>
      <c r="Y876" s="1"/>
      <c r="Z876" s="1"/>
    </row>
    <row r="877" spans="1:26" ht="12.75" customHeight="1" x14ac:dyDescent="0.25">
      <c r="A877" s="1"/>
      <c r="B877" s="1"/>
      <c r="C877" s="3"/>
      <c r="D877" s="3"/>
      <c r="E877" s="5"/>
      <c r="F877" s="5"/>
      <c r="G877" s="3"/>
      <c r="H877" s="5"/>
      <c r="I877" s="1"/>
      <c r="J877" s="7"/>
      <c r="K877" s="1"/>
      <c r="L877" s="1"/>
      <c r="M877" s="1"/>
      <c r="N877" s="1"/>
      <c r="O877" s="1"/>
      <c r="P877" s="1"/>
      <c r="Q877" s="1"/>
      <c r="R877" s="1"/>
      <c r="S877" s="1"/>
      <c r="T877" s="1"/>
      <c r="U877" s="1"/>
      <c r="V877" s="1"/>
      <c r="W877" s="1"/>
      <c r="X877" s="1"/>
      <c r="Y877" s="1"/>
      <c r="Z877" s="1"/>
    </row>
    <row r="878" spans="1:26" ht="12.75" customHeight="1" x14ac:dyDescent="0.25">
      <c r="A878" s="1"/>
      <c r="B878" s="1"/>
      <c r="C878" s="3"/>
      <c r="D878" s="3"/>
      <c r="E878" s="5"/>
      <c r="F878" s="5"/>
      <c r="G878" s="3"/>
      <c r="H878" s="5"/>
      <c r="I878" s="1"/>
      <c r="J878" s="7"/>
      <c r="K878" s="1"/>
      <c r="L878" s="1"/>
      <c r="M878" s="1"/>
      <c r="N878" s="1"/>
      <c r="O878" s="1"/>
      <c r="P878" s="1"/>
      <c r="Q878" s="1"/>
      <c r="R878" s="1"/>
      <c r="S878" s="1"/>
      <c r="T878" s="1"/>
      <c r="U878" s="1"/>
      <c r="V878" s="1"/>
      <c r="W878" s="1"/>
      <c r="X878" s="1"/>
      <c r="Y878" s="1"/>
      <c r="Z878" s="1"/>
    </row>
    <row r="879" spans="1:26" ht="12.75" customHeight="1" x14ac:dyDescent="0.25">
      <c r="A879" s="1"/>
      <c r="B879" s="1"/>
      <c r="C879" s="3"/>
      <c r="D879" s="3"/>
      <c r="E879" s="5"/>
      <c r="F879" s="5"/>
      <c r="G879" s="3"/>
      <c r="H879" s="5"/>
      <c r="I879" s="1"/>
      <c r="J879" s="7"/>
      <c r="K879" s="1"/>
      <c r="L879" s="1"/>
      <c r="M879" s="1"/>
      <c r="N879" s="1"/>
      <c r="O879" s="1"/>
      <c r="P879" s="1"/>
      <c r="Q879" s="1"/>
      <c r="R879" s="1"/>
      <c r="S879" s="1"/>
      <c r="T879" s="1"/>
      <c r="U879" s="1"/>
      <c r="V879" s="1"/>
      <c r="W879" s="1"/>
      <c r="X879" s="1"/>
      <c r="Y879" s="1"/>
      <c r="Z879" s="1"/>
    </row>
    <row r="880" spans="1:26" ht="12.75" customHeight="1" x14ac:dyDescent="0.25">
      <c r="A880" s="1"/>
      <c r="B880" s="1"/>
      <c r="C880" s="3"/>
      <c r="D880" s="3"/>
      <c r="E880" s="5"/>
      <c r="F880" s="5"/>
      <c r="G880" s="3"/>
      <c r="H880" s="5"/>
      <c r="I880" s="1"/>
      <c r="J880" s="7"/>
      <c r="K880" s="1"/>
      <c r="L880" s="1"/>
      <c r="M880" s="1"/>
      <c r="N880" s="1"/>
      <c r="O880" s="1"/>
      <c r="P880" s="1"/>
      <c r="Q880" s="1"/>
      <c r="R880" s="1"/>
      <c r="S880" s="1"/>
      <c r="T880" s="1"/>
      <c r="U880" s="1"/>
      <c r="V880" s="1"/>
      <c r="W880" s="1"/>
      <c r="X880" s="1"/>
      <c r="Y880" s="1"/>
      <c r="Z880" s="1"/>
    </row>
    <row r="881" spans="1:26" ht="12.75" customHeight="1" x14ac:dyDescent="0.25">
      <c r="A881" s="1"/>
      <c r="B881" s="1"/>
      <c r="C881" s="3"/>
      <c r="D881" s="3"/>
      <c r="E881" s="5"/>
      <c r="F881" s="5"/>
      <c r="G881" s="3"/>
      <c r="H881" s="5"/>
      <c r="I881" s="1"/>
      <c r="J881" s="7"/>
      <c r="K881" s="1"/>
      <c r="L881" s="1"/>
      <c r="M881" s="1"/>
      <c r="N881" s="1"/>
      <c r="O881" s="1"/>
      <c r="P881" s="1"/>
      <c r="Q881" s="1"/>
      <c r="R881" s="1"/>
      <c r="S881" s="1"/>
      <c r="T881" s="1"/>
      <c r="U881" s="1"/>
      <c r="V881" s="1"/>
      <c r="W881" s="1"/>
      <c r="X881" s="1"/>
      <c r="Y881" s="1"/>
      <c r="Z881" s="1"/>
    </row>
    <row r="882" spans="1:26" ht="12.75" customHeight="1" x14ac:dyDescent="0.25">
      <c r="A882" s="1"/>
      <c r="B882" s="1"/>
      <c r="C882" s="3"/>
      <c r="D882" s="3"/>
      <c r="E882" s="5"/>
      <c r="F882" s="5"/>
      <c r="G882" s="3"/>
      <c r="H882" s="5"/>
      <c r="I882" s="1"/>
      <c r="J882" s="7"/>
      <c r="K882" s="1"/>
      <c r="L882" s="1"/>
      <c r="M882" s="1"/>
      <c r="N882" s="1"/>
      <c r="O882" s="1"/>
      <c r="P882" s="1"/>
      <c r="Q882" s="1"/>
      <c r="R882" s="1"/>
      <c r="S882" s="1"/>
      <c r="T882" s="1"/>
      <c r="U882" s="1"/>
      <c r="V882" s="1"/>
      <c r="W882" s="1"/>
      <c r="X882" s="1"/>
      <c r="Y882" s="1"/>
      <c r="Z882" s="1"/>
    </row>
    <row r="883" spans="1:26" ht="12.75" customHeight="1" x14ac:dyDescent="0.25">
      <c r="A883" s="1"/>
      <c r="B883" s="1"/>
      <c r="C883" s="3"/>
      <c r="D883" s="3"/>
      <c r="E883" s="5"/>
      <c r="F883" s="5"/>
      <c r="G883" s="3"/>
      <c r="H883" s="5"/>
      <c r="I883" s="1"/>
      <c r="J883" s="7"/>
      <c r="K883" s="1"/>
      <c r="L883" s="1"/>
      <c r="M883" s="1"/>
      <c r="N883" s="1"/>
      <c r="O883" s="1"/>
      <c r="P883" s="1"/>
      <c r="Q883" s="1"/>
      <c r="R883" s="1"/>
      <c r="S883" s="1"/>
      <c r="T883" s="1"/>
      <c r="U883" s="1"/>
      <c r="V883" s="1"/>
      <c r="W883" s="1"/>
      <c r="X883" s="1"/>
      <c r="Y883" s="1"/>
      <c r="Z883" s="1"/>
    </row>
    <row r="884" spans="1:26" ht="12.75" customHeight="1" x14ac:dyDescent="0.25">
      <c r="A884" s="1"/>
      <c r="B884" s="1"/>
      <c r="C884" s="3"/>
      <c r="D884" s="3"/>
      <c r="E884" s="5"/>
      <c r="F884" s="5"/>
      <c r="G884" s="3"/>
      <c r="H884" s="5"/>
      <c r="I884" s="1"/>
      <c r="J884" s="7"/>
      <c r="K884" s="1"/>
      <c r="L884" s="1"/>
      <c r="M884" s="1"/>
      <c r="N884" s="1"/>
      <c r="O884" s="1"/>
      <c r="P884" s="1"/>
      <c r="Q884" s="1"/>
      <c r="R884" s="1"/>
      <c r="S884" s="1"/>
      <c r="T884" s="1"/>
      <c r="U884" s="1"/>
      <c r="V884" s="1"/>
      <c r="W884" s="1"/>
      <c r="X884" s="1"/>
      <c r="Y884" s="1"/>
      <c r="Z884" s="1"/>
    </row>
    <row r="885" spans="1:26" ht="12.75" customHeight="1" x14ac:dyDescent="0.25">
      <c r="A885" s="1"/>
      <c r="B885" s="1"/>
      <c r="C885" s="3"/>
      <c r="D885" s="3"/>
      <c r="E885" s="5"/>
      <c r="F885" s="5"/>
      <c r="G885" s="3"/>
      <c r="H885" s="5"/>
      <c r="I885" s="1"/>
      <c r="J885" s="7"/>
      <c r="K885" s="1"/>
      <c r="L885" s="1"/>
      <c r="M885" s="1"/>
      <c r="N885" s="1"/>
      <c r="O885" s="1"/>
      <c r="P885" s="1"/>
      <c r="Q885" s="1"/>
      <c r="R885" s="1"/>
      <c r="S885" s="1"/>
      <c r="T885" s="1"/>
      <c r="U885" s="1"/>
      <c r="V885" s="1"/>
      <c r="W885" s="1"/>
      <c r="X885" s="1"/>
      <c r="Y885" s="1"/>
      <c r="Z885" s="1"/>
    </row>
    <row r="886" spans="1:26" ht="12.75" customHeight="1" x14ac:dyDescent="0.25">
      <c r="A886" s="1"/>
      <c r="B886" s="1"/>
      <c r="C886" s="3"/>
      <c r="D886" s="3"/>
      <c r="E886" s="5"/>
      <c r="F886" s="5"/>
      <c r="G886" s="3"/>
      <c r="H886" s="5"/>
      <c r="I886" s="1"/>
      <c r="J886" s="7"/>
      <c r="K886" s="1"/>
      <c r="L886" s="1"/>
      <c r="M886" s="1"/>
      <c r="N886" s="1"/>
      <c r="O886" s="1"/>
      <c r="P886" s="1"/>
      <c r="Q886" s="1"/>
      <c r="R886" s="1"/>
      <c r="S886" s="1"/>
      <c r="T886" s="1"/>
      <c r="U886" s="1"/>
      <c r="V886" s="1"/>
      <c r="W886" s="1"/>
      <c r="X886" s="1"/>
      <c r="Y886" s="1"/>
      <c r="Z886" s="1"/>
    </row>
    <row r="887" spans="1:26" ht="12.75" customHeight="1" x14ac:dyDescent="0.25">
      <c r="A887" s="1"/>
      <c r="B887" s="1"/>
      <c r="C887" s="3"/>
      <c r="D887" s="3"/>
      <c r="E887" s="5"/>
      <c r="F887" s="5"/>
      <c r="G887" s="3"/>
      <c r="H887" s="5"/>
      <c r="I887" s="1"/>
      <c r="J887" s="7"/>
      <c r="K887" s="1"/>
      <c r="L887" s="1"/>
      <c r="M887" s="1"/>
      <c r="N887" s="1"/>
      <c r="O887" s="1"/>
      <c r="P887" s="1"/>
      <c r="Q887" s="1"/>
      <c r="R887" s="1"/>
      <c r="S887" s="1"/>
      <c r="T887" s="1"/>
      <c r="U887" s="1"/>
      <c r="V887" s="1"/>
      <c r="W887" s="1"/>
      <c r="X887" s="1"/>
      <c r="Y887" s="1"/>
      <c r="Z887" s="1"/>
    </row>
    <row r="888" spans="1:26" ht="12.75" customHeight="1" x14ac:dyDescent="0.25">
      <c r="A888" s="1"/>
      <c r="B888" s="1"/>
      <c r="C888" s="3"/>
      <c r="D888" s="3"/>
      <c r="E888" s="5"/>
      <c r="F888" s="5"/>
      <c r="G888" s="3"/>
      <c r="H888" s="5"/>
      <c r="I888" s="1"/>
      <c r="J888" s="7"/>
      <c r="K888" s="1"/>
      <c r="L888" s="1"/>
      <c r="M888" s="1"/>
      <c r="N888" s="1"/>
      <c r="O888" s="1"/>
      <c r="P888" s="1"/>
      <c r="Q888" s="1"/>
      <c r="R888" s="1"/>
      <c r="S888" s="1"/>
      <c r="T888" s="1"/>
      <c r="U888" s="1"/>
      <c r="V888" s="1"/>
      <c r="W888" s="1"/>
      <c r="X888" s="1"/>
      <c r="Y888" s="1"/>
      <c r="Z888" s="1"/>
    </row>
    <row r="889" spans="1:26" ht="12.75" customHeight="1" x14ac:dyDescent="0.25">
      <c r="A889" s="1"/>
      <c r="B889" s="1"/>
      <c r="C889" s="3"/>
      <c r="D889" s="3"/>
      <c r="E889" s="5"/>
      <c r="F889" s="5"/>
      <c r="G889" s="3"/>
      <c r="H889" s="5"/>
      <c r="I889" s="1"/>
      <c r="J889" s="7"/>
      <c r="K889" s="1"/>
      <c r="L889" s="1"/>
      <c r="M889" s="1"/>
      <c r="N889" s="1"/>
      <c r="O889" s="1"/>
      <c r="P889" s="1"/>
      <c r="Q889" s="1"/>
      <c r="R889" s="1"/>
      <c r="S889" s="1"/>
      <c r="T889" s="1"/>
      <c r="U889" s="1"/>
      <c r="V889" s="1"/>
      <c r="W889" s="1"/>
      <c r="X889" s="1"/>
      <c r="Y889" s="1"/>
      <c r="Z889" s="1"/>
    </row>
    <row r="890" spans="1:26" ht="12.75" customHeight="1" x14ac:dyDescent="0.25">
      <c r="A890" s="1"/>
      <c r="B890" s="1"/>
      <c r="C890" s="3"/>
      <c r="D890" s="3"/>
      <c r="E890" s="5"/>
      <c r="F890" s="5"/>
      <c r="G890" s="3"/>
      <c r="H890" s="5"/>
      <c r="I890" s="1"/>
      <c r="J890" s="7"/>
      <c r="K890" s="1"/>
      <c r="L890" s="1"/>
      <c r="M890" s="1"/>
      <c r="N890" s="1"/>
      <c r="O890" s="1"/>
      <c r="P890" s="1"/>
      <c r="Q890" s="1"/>
      <c r="R890" s="1"/>
      <c r="S890" s="1"/>
      <c r="T890" s="1"/>
      <c r="U890" s="1"/>
      <c r="V890" s="1"/>
      <c r="W890" s="1"/>
      <c r="X890" s="1"/>
      <c r="Y890" s="1"/>
      <c r="Z890" s="1"/>
    </row>
    <row r="891" spans="1:26" ht="12.75" customHeight="1" x14ac:dyDescent="0.25">
      <c r="A891" s="1"/>
      <c r="B891" s="1"/>
      <c r="C891" s="3"/>
      <c r="D891" s="3"/>
      <c r="E891" s="5"/>
      <c r="F891" s="5"/>
      <c r="G891" s="3"/>
      <c r="H891" s="5"/>
      <c r="I891" s="1"/>
      <c r="J891" s="7"/>
      <c r="K891" s="1"/>
      <c r="L891" s="1"/>
      <c r="M891" s="1"/>
      <c r="N891" s="1"/>
      <c r="O891" s="1"/>
      <c r="P891" s="1"/>
      <c r="Q891" s="1"/>
      <c r="R891" s="1"/>
      <c r="S891" s="1"/>
      <c r="T891" s="1"/>
      <c r="U891" s="1"/>
      <c r="V891" s="1"/>
      <c r="W891" s="1"/>
      <c r="X891" s="1"/>
      <c r="Y891" s="1"/>
      <c r="Z891" s="1"/>
    </row>
    <row r="892" spans="1:26" ht="12.75" customHeight="1" x14ac:dyDescent="0.25">
      <c r="A892" s="1"/>
      <c r="B892" s="1"/>
      <c r="C892" s="3"/>
      <c r="D892" s="3"/>
      <c r="E892" s="5"/>
      <c r="F892" s="5"/>
      <c r="G892" s="3"/>
      <c r="H892" s="5"/>
      <c r="I892" s="1"/>
      <c r="J892" s="7"/>
      <c r="K892" s="1"/>
      <c r="L892" s="1"/>
      <c r="M892" s="1"/>
      <c r="N892" s="1"/>
      <c r="O892" s="1"/>
      <c r="P892" s="1"/>
      <c r="Q892" s="1"/>
      <c r="R892" s="1"/>
      <c r="S892" s="1"/>
      <c r="T892" s="1"/>
      <c r="U892" s="1"/>
      <c r="V892" s="1"/>
      <c r="W892" s="1"/>
      <c r="X892" s="1"/>
      <c r="Y892" s="1"/>
      <c r="Z892" s="1"/>
    </row>
    <row r="893" spans="1:26" ht="12.75" customHeight="1" x14ac:dyDescent="0.25">
      <c r="A893" s="1"/>
      <c r="B893" s="1"/>
      <c r="C893" s="3"/>
      <c r="D893" s="3"/>
      <c r="E893" s="5"/>
      <c r="F893" s="5"/>
      <c r="G893" s="3"/>
      <c r="H893" s="5"/>
      <c r="I893" s="1"/>
      <c r="J893" s="7"/>
      <c r="K893" s="1"/>
      <c r="L893" s="1"/>
      <c r="M893" s="1"/>
      <c r="N893" s="1"/>
      <c r="O893" s="1"/>
      <c r="P893" s="1"/>
      <c r="Q893" s="1"/>
      <c r="R893" s="1"/>
      <c r="S893" s="1"/>
      <c r="T893" s="1"/>
      <c r="U893" s="1"/>
      <c r="V893" s="1"/>
      <c r="W893" s="1"/>
      <c r="X893" s="1"/>
      <c r="Y893" s="1"/>
      <c r="Z893" s="1"/>
    </row>
    <row r="894" spans="1:26" ht="12.75" customHeight="1" x14ac:dyDescent="0.25">
      <c r="A894" s="1"/>
      <c r="B894" s="1"/>
      <c r="C894" s="3"/>
      <c r="D894" s="3"/>
      <c r="E894" s="5"/>
      <c r="F894" s="5"/>
      <c r="G894" s="3"/>
      <c r="H894" s="5"/>
      <c r="I894" s="1"/>
      <c r="J894" s="7"/>
      <c r="K894" s="1"/>
      <c r="L894" s="1"/>
      <c r="M894" s="1"/>
      <c r="N894" s="1"/>
      <c r="O894" s="1"/>
      <c r="P894" s="1"/>
      <c r="Q894" s="1"/>
      <c r="R894" s="1"/>
      <c r="S894" s="1"/>
      <c r="T894" s="1"/>
      <c r="U894" s="1"/>
      <c r="V894" s="1"/>
      <c r="W894" s="1"/>
      <c r="X894" s="1"/>
      <c r="Y894" s="1"/>
      <c r="Z894" s="1"/>
    </row>
    <row r="895" spans="1:26" ht="12.75" customHeight="1" x14ac:dyDescent="0.25">
      <c r="A895" s="1"/>
      <c r="B895" s="1"/>
      <c r="C895" s="3"/>
      <c r="D895" s="3"/>
      <c r="E895" s="5"/>
      <c r="F895" s="5"/>
      <c r="G895" s="3"/>
      <c r="H895" s="5"/>
      <c r="I895" s="1"/>
      <c r="J895" s="7"/>
      <c r="K895" s="1"/>
      <c r="L895" s="1"/>
      <c r="M895" s="1"/>
      <c r="N895" s="1"/>
      <c r="O895" s="1"/>
      <c r="P895" s="1"/>
      <c r="Q895" s="1"/>
      <c r="R895" s="1"/>
      <c r="S895" s="1"/>
      <c r="T895" s="1"/>
      <c r="U895" s="1"/>
      <c r="V895" s="1"/>
      <c r="W895" s="1"/>
      <c r="X895" s="1"/>
      <c r="Y895" s="1"/>
      <c r="Z895" s="1"/>
    </row>
    <row r="896" spans="1:26" ht="12.75" customHeight="1" x14ac:dyDescent="0.25">
      <c r="A896" s="1"/>
      <c r="B896" s="1"/>
      <c r="C896" s="3"/>
      <c r="D896" s="3"/>
      <c r="E896" s="5"/>
      <c r="F896" s="5"/>
      <c r="G896" s="3"/>
      <c r="H896" s="5"/>
      <c r="I896" s="1"/>
      <c r="J896" s="7"/>
      <c r="K896" s="1"/>
      <c r="L896" s="1"/>
      <c r="M896" s="1"/>
      <c r="N896" s="1"/>
      <c r="O896" s="1"/>
      <c r="P896" s="1"/>
      <c r="Q896" s="1"/>
      <c r="R896" s="1"/>
      <c r="S896" s="1"/>
      <c r="T896" s="1"/>
      <c r="U896" s="1"/>
      <c r="V896" s="1"/>
      <c r="W896" s="1"/>
      <c r="X896" s="1"/>
      <c r="Y896" s="1"/>
      <c r="Z896" s="1"/>
    </row>
    <row r="897" spans="1:26" ht="12.75" customHeight="1" x14ac:dyDescent="0.25">
      <c r="A897" s="1"/>
      <c r="B897" s="1"/>
      <c r="C897" s="3"/>
      <c r="D897" s="3"/>
      <c r="E897" s="5"/>
      <c r="F897" s="5"/>
      <c r="G897" s="3"/>
      <c r="H897" s="5"/>
      <c r="I897" s="1"/>
      <c r="J897" s="7"/>
      <c r="K897" s="1"/>
      <c r="L897" s="1"/>
      <c r="M897" s="1"/>
      <c r="N897" s="1"/>
      <c r="O897" s="1"/>
      <c r="P897" s="1"/>
      <c r="Q897" s="1"/>
      <c r="R897" s="1"/>
      <c r="S897" s="1"/>
      <c r="T897" s="1"/>
      <c r="U897" s="1"/>
      <c r="V897" s="1"/>
      <c r="W897" s="1"/>
      <c r="X897" s="1"/>
      <c r="Y897" s="1"/>
      <c r="Z897" s="1"/>
    </row>
    <row r="898" spans="1:26" ht="12.75" customHeight="1" x14ac:dyDescent="0.25">
      <c r="A898" s="1"/>
      <c r="B898" s="1"/>
      <c r="C898" s="3"/>
      <c r="D898" s="3"/>
      <c r="E898" s="5"/>
      <c r="F898" s="5"/>
      <c r="G898" s="3"/>
      <c r="H898" s="5"/>
      <c r="I898" s="1"/>
      <c r="J898" s="7"/>
      <c r="K898" s="1"/>
      <c r="L898" s="1"/>
      <c r="M898" s="1"/>
      <c r="N898" s="1"/>
      <c r="O898" s="1"/>
      <c r="P898" s="1"/>
      <c r="Q898" s="1"/>
      <c r="R898" s="1"/>
      <c r="S898" s="1"/>
      <c r="T898" s="1"/>
      <c r="U898" s="1"/>
      <c r="V898" s="1"/>
      <c r="W898" s="1"/>
      <c r="X898" s="1"/>
      <c r="Y898" s="1"/>
      <c r="Z898" s="1"/>
    </row>
    <row r="899" spans="1:26" ht="12.75" customHeight="1" x14ac:dyDescent="0.25">
      <c r="A899" s="1"/>
      <c r="B899" s="1"/>
      <c r="C899" s="3"/>
      <c r="D899" s="3"/>
      <c r="E899" s="5"/>
      <c r="F899" s="5"/>
      <c r="G899" s="3"/>
      <c r="H899" s="5"/>
      <c r="I899" s="1"/>
      <c r="J899" s="7"/>
      <c r="K899" s="1"/>
      <c r="L899" s="1"/>
      <c r="M899" s="1"/>
      <c r="N899" s="1"/>
      <c r="O899" s="1"/>
      <c r="P899" s="1"/>
      <c r="Q899" s="1"/>
      <c r="R899" s="1"/>
      <c r="S899" s="1"/>
      <c r="T899" s="1"/>
      <c r="U899" s="1"/>
      <c r="V899" s="1"/>
      <c r="W899" s="1"/>
      <c r="X899" s="1"/>
      <c r="Y899" s="1"/>
      <c r="Z899" s="1"/>
    </row>
    <row r="900" spans="1:26" ht="12.75" customHeight="1" x14ac:dyDescent="0.25">
      <c r="A900" s="1"/>
      <c r="B900" s="1"/>
      <c r="C900" s="3"/>
      <c r="D900" s="3"/>
      <c r="E900" s="5"/>
      <c r="F900" s="5"/>
      <c r="G900" s="3"/>
      <c r="H900" s="5"/>
      <c r="I900" s="1"/>
      <c r="J900" s="7"/>
      <c r="K900" s="1"/>
      <c r="L900" s="1"/>
      <c r="M900" s="1"/>
      <c r="N900" s="1"/>
      <c r="O900" s="1"/>
      <c r="P900" s="1"/>
      <c r="Q900" s="1"/>
      <c r="R900" s="1"/>
      <c r="S900" s="1"/>
      <c r="T900" s="1"/>
      <c r="U900" s="1"/>
      <c r="V900" s="1"/>
      <c r="W900" s="1"/>
      <c r="X900" s="1"/>
      <c r="Y900" s="1"/>
      <c r="Z900" s="1"/>
    </row>
    <row r="901" spans="1:26" ht="12.75" customHeight="1" x14ac:dyDescent="0.25">
      <c r="A901" s="1"/>
      <c r="B901" s="1"/>
      <c r="C901" s="3"/>
      <c r="D901" s="3"/>
      <c r="E901" s="5"/>
      <c r="F901" s="5"/>
      <c r="G901" s="3"/>
      <c r="H901" s="5"/>
      <c r="I901" s="1"/>
      <c r="J901" s="7"/>
      <c r="K901" s="1"/>
      <c r="L901" s="1"/>
      <c r="M901" s="1"/>
      <c r="N901" s="1"/>
      <c r="O901" s="1"/>
      <c r="P901" s="1"/>
      <c r="Q901" s="1"/>
      <c r="R901" s="1"/>
      <c r="S901" s="1"/>
      <c r="T901" s="1"/>
      <c r="U901" s="1"/>
      <c r="V901" s="1"/>
      <c r="W901" s="1"/>
      <c r="X901" s="1"/>
      <c r="Y901" s="1"/>
      <c r="Z901" s="1"/>
    </row>
    <row r="902" spans="1:26" ht="12.75" customHeight="1" x14ac:dyDescent="0.25">
      <c r="A902" s="1"/>
      <c r="B902" s="1"/>
      <c r="C902" s="3"/>
      <c r="D902" s="3"/>
      <c r="E902" s="5"/>
      <c r="F902" s="5"/>
      <c r="G902" s="3"/>
      <c r="H902" s="5"/>
      <c r="I902" s="1"/>
      <c r="J902" s="7"/>
      <c r="K902" s="1"/>
      <c r="L902" s="1"/>
      <c r="M902" s="1"/>
      <c r="N902" s="1"/>
      <c r="O902" s="1"/>
      <c r="P902" s="1"/>
      <c r="Q902" s="1"/>
      <c r="R902" s="1"/>
      <c r="S902" s="1"/>
      <c r="T902" s="1"/>
      <c r="U902" s="1"/>
      <c r="V902" s="1"/>
      <c r="W902" s="1"/>
      <c r="X902" s="1"/>
      <c r="Y902" s="1"/>
      <c r="Z902" s="1"/>
    </row>
    <row r="903" spans="1:26" ht="12.75" customHeight="1" x14ac:dyDescent="0.25">
      <c r="A903" s="1"/>
      <c r="B903" s="1"/>
      <c r="C903" s="3"/>
      <c r="D903" s="3"/>
      <c r="E903" s="5"/>
      <c r="F903" s="5"/>
      <c r="G903" s="3"/>
      <c r="H903" s="5"/>
      <c r="I903" s="1"/>
      <c r="J903" s="7"/>
      <c r="K903" s="1"/>
      <c r="L903" s="1"/>
      <c r="M903" s="1"/>
      <c r="N903" s="1"/>
      <c r="O903" s="1"/>
      <c r="P903" s="1"/>
      <c r="Q903" s="1"/>
      <c r="R903" s="1"/>
      <c r="S903" s="1"/>
      <c r="T903" s="1"/>
      <c r="U903" s="1"/>
      <c r="V903" s="1"/>
      <c r="W903" s="1"/>
      <c r="X903" s="1"/>
      <c r="Y903" s="1"/>
      <c r="Z903" s="1"/>
    </row>
    <row r="904" spans="1:26" ht="12.75" customHeight="1" x14ac:dyDescent="0.25">
      <c r="A904" s="1"/>
      <c r="B904" s="1"/>
      <c r="C904" s="3"/>
      <c r="D904" s="3"/>
      <c r="E904" s="5"/>
      <c r="F904" s="5"/>
      <c r="G904" s="3"/>
      <c r="H904" s="5"/>
      <c r="I904" s="1"/>
      <c r="J904" s="7"/>
      <c r="K904" s="1"/>
      <c r="L904" s="1"/>
      <c r="M904" s="1"/>
      <c r="N904" s="1"/>
      <c r="O904" s="1"/>
      <c r="P904" s="1"/>
      <c r="Q904" s="1"/>
      <c r="R904" s="1"/>
      <c r="S904" s="1"/>
      <c r="T904" s="1"/>
      <c r="U904" s="1"/>
      <c r="V904" s="1"/>
      <c r="W904" s="1"/>
      <c r="X904" s="1"/>
      <c r="Y904" s="1"/>
      <c r="Z904" s="1"/>
    </row>
    <row r="905" spans="1:26" ht="12.75" customHeight="1" x14ac:dyDescent="0.25">
      <c r="A905" s="1"/>
      <c r="B905" s="1"/>
      <c r="C905" s="3"/>
      <c r="D905" s="3"/>
      <c r="E905" s="5"/>
      <c r="F905" s="5"/>
      <c r="G905" s="3"/>
      <c r="H905" s="5"/>
      <c r="I905" s="1"/>
      <c r="J905" s="7"/>
      <c r="K905" s="1"/>
      <c r="L905" s="1"/>
      <c r="M905" s="1"/>
      <c r="N905" s="1"/>
      <c r="O905" s="1"/>
      <c r="P905" s="1"/>
      <c r="Q905" s="1"/>
      <c r="R905" s="1"/>
      <c r="S905" s="1"/>
      <c r="T905" s="1"/>
      <c r="U905" s="1"/>
      <c r="V905" s="1"/>
      <c r="W905" s="1"/>
      <c r="X905" s="1"/>
      <c r="Y905" s="1"/>
      <c r="Z905" s="1"/>
    </row>
    <row r="906" spans="1:26" ht="12.75" customHeight="1" x14ac:dyDescent="0.25">
      <c r="A906" s="1"/>
      <c r="B906" s="1"/>
      <c r="C906" s="3"/>
      <c r="D906" s="3"/>
      <c r="E906" s="5"/>
      <c r="F906" s="5"/>
      <c r="G906" s="3"/>
      <c r="H906" s="5"/>
      <c r="I906" s="1"/>
      <c r="J906" s="7"/>
      <c r="K906" s="1"/>
      <c r="L906" s="1"/>
      <c r="M906" s="1"/>
      <c r="N906" s="1"/>
      <c r="O906" s="1"/>
      <c r="P906" s="1"/>
      <c r="Q906" s="1"/>
      <c r="R906" s="1"/>
      <c r="S906" s="1"/>
      <c r="T906" s="1"/>
      <c r="U906" s="1"/>
      <c r="V906" s="1"/>
      <c r="W906" s="1"/>
      <c r="X906" s="1"/>
      <c r="Y906" s="1"/>
      <c r="Z906" s="1"/>
    </row>
    <row r="907" spans="1:26" ht="12.75" customHeight="1" x14ac:dyDescent="0.25">
      <c r="A907" s="1"/>
      <c r="B907" s="1"/>
      <c r="C907" s="3"/>
      <c r="D907" s="3"/>
      <c r="E907" s="5"/>
      <c r="F907" s="5"/>
      <c r="G907" s="3"/>
      <c r="H907" s="5"/>
      <c r="I907" s="1"/>
      <c r="J907" s="7"/>
      <c r="K907" s="1"/>
      <c r="L907" s="1"/>
      <c r="M907" s="1"/>
      <c r="N907" s="1"/>
      <c r="O907" s="1"/>
      <c r="P907" s="1"/>
      <c r="Q907" s="1"/>
      <c r="R907" s="1"/>
      <c r="S907" s="1"/>
      <c r="T907" s="1"/>
      <c r="U907" s="1"/>
      <c r="V907" s="1"/>
      <c r="W907" s="1"/>
      <c r="X907" s="1"/>
      <c r="Y907" s="1"/>
      <c r="Z907" s="1"/>
    </row>
    <row r="908" spans="1:26" ht="12.75" customHeight="1" x14ac:dyDescent="0.25">
      <c r="A908" s="1"/>
      <c r="B908" s="1"/>
      <c r="C908" s="3"/>
      <c r="D908" s="3"/>
      <c r="E908" s="5"/>
      <c r="F908" s="5"/>
      <c r="G908" s="3"/>
      <c r="H908" s="5"/>
      <c r="I908" s="1"/>
      <c r="J908" s="7"/>
      <c r="K908" s="1"/>
      <c r="L908" s="1"/>
      <c r="M908" s="1"/>
      <c r="N908" s="1"/>
      <c r="O908" s="1"/>
      <c r="P908" s="1"/>
      <c r="Q908" s="1"/>
      <c r="R908" s="1"/>
      <c r="S908" s="1"/>
      <c r="T908" s="1"/>
      <c r="U908" s="1"/>
      <c r="V908" s="1"/>
      <c r="W908" s="1"/>
      <c r="X908" s="1"/>
      <c r="Y908" s="1"/>
      <c r="Z908" s="1"/>
    </row>
    <row r="909" spans="1:26" ht="12.75" customHeight="1" x14ac:dyDescent="0.25">
      <c r="A909" s="1"/>
      <c r="B909" s="1"/>
      <c r="C909" s="3"/>
      <c r="D909" s="3"/>
      <c r="E909" s="5"/>
      <c r="F909" s="5"/>
      <c r="G909" s="3"/>
      <c r="H909" s="5"/>
      <c r="I909" s="1"/>
      <c r="J909" s="7"/>
      <c r="K909" s="1"/>
      <c r="L909" s="1"/>
      <c r="M909" s="1"/>
      <c r="N909" s="1"/>
      <c r="O909" s="1"/>
      <c r="P909" s="1"/>
      <c r="Q909" s="1"/>
      <c r="R909" s="1"/>
      <c r="S909" s="1"/>
      <c r="T909" s="1"/>
      <c r="U909" s="1"/>
      <c r="V909" s="1"/>
      <c r="W909" s="1"/>
      <c r="X909" s="1"/>
      <c r="Y909" s="1"/>
      <c r="Z909" s="1"/>
    </row>
    <row r="910" spans="1:26" ht="12.75" customHeight="1" x14ac:dyDescent="0.25">
      <c r="A910" s="1"/>
      <c r="B910" s="1"/>
      <c r="C910" s="3"/>
      <c r="D910" s="3"/>
      <c r="E910" s="5"/>
      <c r="F910" s="5"/>
      <c r="G910" s="3"/>
      <c r="H910" s="5"/>
      <c r="I910" s="1"/>
      <c r="J910" s="7"/>
      <c r="K910" s="1"/>
      <c r="L910" s="1"/>
      <c r="M910" s="1"/>
      <c r="N910" s="1"/>
      <c r="O910" s="1"/>
      <c r="P910" s="1"/>
      <c r="Q910" s="1"/>
      <c r="R910" s="1"/>
      <c r="S910" s="1"/>
      <c r="T910" s="1"/>
      <c r="U910" s="1"/>
      <c r="V910" s="1"/>
      <c r="W910" s="1"/>
      <c r="X910" s="1"/>
      <c r="Y910" s="1"/>
      <c r="Z910" s="1"/>
    </row>
    <row r="911" spans="1:26" ht="12.75" customHeight="1" x14ac:dyDescent="0.25">
      <c r="A911" s="1"/>
      <c r="B911" s="1"/>
      <c r="C911" s="3"/>
      <c r="D911" s="3"/>
      <c r="E911" s="5"/>
      <c r="F911" s="5"/>
      <c r="G911" s="3"/>
      <c r="H911" s="5"/>
      <c r="I911" s="1"/>
      <c r="J911" s="7"/>
      <c r="K911" s="1"/>
      <c r="L911" s="1"/>
      <c r="M911" s="1"/>
      <c r="N911" s="1"/>
      <c r="O911" s="1"/>
      <c r="P911" s="1"/>
      <c r="Q911" s="1"/>
      <c r="R911" s="1"/>
      <c r="S911" s="1"/>
      <c r="T911" s="1"/>
      <c r="U911" s="1"/>
      <c r="V911" s="1"/>
      <c r="W911" s="1"/>
      <c r="X911" s="1"/>
      <c r="Y911" s="1"/>
      <c r="Z911" s="1"/>
    </row>
    <row r="912" spans="1:26" ht="12.75" customHeight="1" x14ac:dyDescent="0.25">
      <c r="A912" s="1"/>
      <c r="B912" s="1"/>
      <c r="C912" s="3"/>
      <c r="D912" s="3"/>
      <c r="E912" s="5"/>
      <c r="F912" s="5"/>
      <c r="G912" s="3"/>
      <c r="H912" s="5"/>
      <c r="I912" s="1"/>
      <c r="J912" s="7"/>
      <c r="K912" s="1"/>
      <c r="L912" s="1"/>
      <c r="M912" s="1"/>
      <c r="N912" s="1"/>
      <c r="O912" s="1"/>
      <c r="P912" s="1"/>
      <c r="Q912" s="1"/>
      <c r="R912" s="1"/>
      <c r="S912" s="1"/>
      <c r="T912" s="1"/>
      <c r="U912" s="1"/>
      <c r="V912" s="1"/>
      <c r="W912" s="1"/>
      <c r="X912" s="1"/>
      <c r="Y912" s="1"/>
      <c r="Z912" s="1"/>
    </row>
    <row r="913" spans="1:26" ht="12.75" customHeight="1" x14ac:dyDescent="0.25">
      <c r="A913" s="1"/>
      <c r="B913" s="1"/>
      <c r="C913" s="3"/>
      <c r="D913" s="3"/>
      <c r="E913" s="5"/>
      <c r="F913" s="5"/>
      <c r="G913" s="3"/>
      <c r="H913" s="5"/>
      <c r="I913" s="1"/>
      <c r="J913" s="7"/>
      <c r="K913" s="1"/>
      <c r="L913" s="1"/>
      <c r="M913" s="1"/>
      <c r="N913" s="1"/>
      <c r="O913" s="1"/>
      <c r="P913" s="1"/>
      <c r="Q913" s="1"/>
      <c r="R913" s="1"/>
      <c r="S913" s="1"/>
      <c r="T913" s="1"/>
      <c r="U913" s="1"/>
      <c r="V913" s="1"/>
      <c r="W913" s="1"/>
      <c r="X913" s="1"/>
      <c r="Y913" s="1"/>
      <c r="Z913" s="1"/>
    </row>
    <row r="914" spans="1:26" ht="12.75" customHeight="1" x14ac:dyDescent="0.25">
      <c r="A914" s="1"/>
      <c r="B914" s="1"/>
      <c r="C914" s="3"/>
      <c r="D914" s="3"/>
      <c r="E914" s="5"/>
      <c r="F914" s="5"/>
      <c r="G914" s="3"/>
      <c r="H914" s="5"/>
      <c r="I914" s="1"/>
      <c r="J914" s="7"/>
      <c r="K914" s="1"/>
      <c r="L914" s="1"/>
      <c r="M914" s="1"/>
      <c r="N914" s="1"/>
      <c r="O914" s="1"/>
      <c r="P914" s="1"/>
      <c r="Q914" s="1"/>
      <c r="R914" s="1"/>
      <c r="S914" s="1"/>
      <c r="T914" s="1"/>
      <c r="U914" s="1"/>
      <c r="V914" s="1"/>
      <c r="W914" s="1"/>
      <c r="X914" s="1"/>
      <c r="Y914" s="1"/>
      <c r="Z914" s="1"/>
    </row>
    <row r="915" spans="1:26" ht="12.75" customHeight="1" x14ac:dyDescent="0.25">
      <c r="A915" s="1"/>
      <c r="B915" s="1"/>
      <c r="C915" s="3"/>
      <c r="D915" s="3"/>
      <c r="E915" s="5"/>
      <c r="F915" s="5"/>
      <c r="G915" s="3"/>
      <c r="H915" s="5"/>
      <c r="I915" s="1"/>
      <c r="J915" s="7"/>
      <c r="K915" s="1"/>
      <c r="L915" s="1"/>
      <c r="M915" s="1"/>
      <c r="N915" s="1"/>
      <c r="O915" s="1"/>
      <c r="P915" s="1"/>
      <c r="Q915" s="1"/>
      <c r="R915" s="1"/>
      <c r="S915" s="1"/>
      <c r="T915" s="1"/>
      <c r="U915" s="1"/>
      <c r="V915" s="1"/>
      <c r="W915" s="1"/>
      <c r="X915" s="1"/>
      <c r="Y915" s="1"/>
      <c r="Z915" s="1"/>
    </row>
    <row r="916" spans="1:26" ht="12.75" customHeight="1" x14ac:dyDescent="0.25">
      <c r="A916" s="1"/>
      <c r="B916" s="1"/>
      <c r="C916" s="3"/>
      <c r="D916" s="3"/>
      <c r="E916" s="5"/>
      <c r="F916" s="5"/>
      <c r="G916" s="3"/>
      <c r="H916" s="5"/>
      <c r="I916" s="1"/>
      <c r="J916" s="7"/>
      <c r="K916" s="1"/>
      <c r="L916" s="1"/>
      <c r="M916" s="1"/>
      <c r="N916" s="1"/>
      <c r="O916" s="1"/>
      <c r="P916" s="1"/>
      <c r="Q916" s="1"/>
      <c r="R916" s="1"/>
      <c r="S916" s="1"/>
      <c r="T916" s="1"/>
      <c r="U916" s="1"/>
      <c r="V916" s="1"/>
      <c r="W916" s="1"/>
      <c r="X916" s="1"/>
      <c r="Y916" s="1"/>
      <c r="Z916" s="1"/>
    </row>
    <row r="917" spans="1:26" ht="12.75" customHeight="1" x14ac:dyDescent="0.25">
      <c r="A917" s="1"/>
      <c r="B917" s="1"/>
      <c r="C917" s="3"/>
      <c r="D917" s="3"/>
      <c r="E917" s="5"/>
      <c r="F917" s="5"/>
      <c r="G917" s="3"/>
      <c r="H917" s="5"/>
      <c r="I917" s="1"/>
      <c r="J917" s="7"/>
      <c r="K917" s="1"/>
      <c r="L917" s="1"/>
      <c r="M917" s="1"/>
      <c r="N917" s="1"/>
      <c r="O917" s="1"/>
      <c r="P917" s="1"/>
      <c r="Q917" s="1"/>
      <c r="R917" s="1"/>
      <c r="S917" s="1"/>
      <c r="T917" s="1"/>
      <c r="U917" s="1"/>
      <c r="V917" s="1"/>
      <c r="W917" s="1"/>
      <c r="X917" s="1"/>
      <c r="Y917" s="1"/>
      <c r="Z917" s="1"/>
    </row>
    <row r="918" spans="1:26" ht="12.75" customHeight="1" x14ac:dyDescent="0.25">
      <c r="A918" s="1"/>
      <c r="B918" s="1"/>
      <c r="C918" s="3"/>
      <c r="D918" s="3"/>
      <c r="E918" s="5"/>
      <c r="F918" s="5"/>
      <c r="G918" s="3"/>
      <c r="H918" s="5"/>
      <c r="I918" s="1"/>
      <c r="J918" s="7"/>
      <c r="K918" s="1"/>
      <c r="L918" s="1"/>
      <c r="M918" s="1"/>
      <c r="N918" s="1"/>
      <c r="O918" s="1"/>
      <c r="P918" s="1"/>
      <c r="Q918" s="1"/>
      <c r="R918" s="1"/>
      <c r="S918" s="1"/>
      <c r="T918" s="1"/>
      <c r="U918" s="1"/>
      <c r="V918" s="1"/>
      <c r="W918" s="1"/>
      <c r="X918" s="1"/>
      <c r="Y918" s="1"/>
      <c r="Z918" s="1"/>
    </row>
    <row r="919" spans="1:26" ht="12.75" customHeight="1" x14ac:dyDescent="0.25">
      <c r="A919" s="1"/>
      <c r="B919" s="1"/>
      <c r="C919" s="3"/>
      <c r="D919" s="3"/>
      <c r="E919" s="5"/>
      <c r="F919" s="5"/>
      <c r="G919" s="3"/>
      <c r="H919" s="5"/>
      <c r="I919" s="1"/>
      <c r="J919" s="7"/>
      <c r="K919" s="1"/>
      <c r="L919" s="1"/>
      <c r="M919" s="1"/>
      <c r="N919" s="1"/>
      <c r="O919" s="1"/>
      <c r="P919" s="1"/>
      <c r="Q919" s="1"/>
      <c r="R919" s="1"/>
      <c r="S919" s="1"/>
      <c r="T919" s="1"/>
      <c r="U919" s="1"/>
      <c r="V919" s="1"/>
      <c r="W919" s="1"/>
      <c r="X919" s="1"/>
      <c r="Y919" s="1"/>
      <c r="Z919" s="1"/>
    </row>
    <row r="920" spans="1:26" ht="12.75" customHeight="1" x14ac:dyDescent="0.25">
      <c r="A920" s="1"/>
      <c r="B920" s="1"/>
      <c r="C920" s="3"/>
      <c r="D920" s="3"/>
      <c r="E920" s="5"/>
      <c r="F920" s="5"/>
      <c r="G920" s="3"/>
      <c r="H920" s="5"/>
      <c r="I920" s="1"/>
      <c r="J920" s="7"/>
      <c r="K920" s="1"/>
      <c r="L920" s="1"/>
      <c r="M920" s="1"/>
      <c r="N920" s="1"/>
      <c r="O920" s="1"/>
      <c r="P920" s="1"/>
      <c r="Q920" s="1"/>
      <c r="R920" s="1"/>
      <c r="S920" s="1"/>
      <c r="T920" s="1"/>
      <c r="U920" s="1"/>
      <c r="V920" s="1"/>
      <c r="W920" s="1"/>
      <c r="X920" s="1"/>
      <c r="Y920" s="1"/>
      <c r="Z920" s="1"/>
    </row>
    <row r="921" spans="1:26" ht="12.75" customHeight="1" x14ac:dyDescent="0.25">
      <c r="A921" s="1"/>
      <c r="B921" s="1"/>
      <c r="C921" s="3"/>
      <c r="D921" s="3"/>
      <c r="E921" s="5"/>
      <c r="F921" s="5"/>
      <c r="G921" s="3"/>
      <c r="H921" s="5"/>
      <c r="I921" s="1"/>
      <c r="J921" s="7"/>
      <c r="K921" s="1"/>
      <c r="L921" s="1"/>
      <c r="M921" s="1"/>
      <c r="N921" s="1"/>
      <c r="O921" s="1"/>
      <c r="P921" s="1"/>
      <c r="Q921" s="1"/>
      <c r="R921" s="1"/>
      <c r="S921" s="1"/>
      <c r="T921" s="1"/>
      <c r="U921" s="1"/>
      <c r="V921" s="1"/>
      <c r="W921" s="1"/>
      <c r="X921" s="1"/>
      <c r="Y921" s="1"/>
      <c r="Z921" s="1"/>
    </row>
    <row r="922" spans="1:26" ht="12.75" customHeight="1" x14ac:dyDescent="0.25">
      <c r="A922" s="1"/>
      <c r="B922" s="1"/>
      <c r="C922" s="3"/>
      <c r="D922" s="3"/>
      <c r="E922" s="5"/>
      <c r="F922" s="5"/>
      <c r="G922" s="3"/>
      <c r="H922" s="5"/>
      <c r="I922" s="1"/>
      <c r="J922" s="7"/>
      <c r="K922" s="1"/>
      <c r="L922" s="1"/>
      <c r="M922" s="1"/>
      <c r="N922" s="1"/>
      <c r="O922" s="1"/>
      <c r="P922" s="1"/>
      <c r="Q922" s="1"/>
      <c r="R922" s="1"/>
      <c r="S922" s="1"/>
      <c r="T922" s="1"/>
      <c r="U922" s="1"/>
      <c r="V922" s="1"/>
      <c r="W922" s="1"/>
      <c r="X922" s="1"/>
      <c r="Y922" s="1"/>
      <c r="Z922" s="1"/>
    </row>
    <row r="923" spans="1:26" ht="12.75" customHeight="1" x14ac:dyDescent="0.25">
      <c r="A923" s="1"/>
      <c r="B923" s="1"/>
      <c r="C923" s="3"/>
      <c r="D923" s="3"/>
      <c r="E923" s="5"/>
      <c r="F923" s="5"/>
      <c r="G923" s="3"/>
      <c r="H923" s="5"/>
      <c r="I923" s="1"/>
      <c r="J923" s="7"/>
      <c r="K923" s="1"/>
      <c r="L923" s="1"/>
      <c r="M923" s="1"/>
      <c r="N923" s="1"/>
      <c r="O923" s="1"/>
      <c r="P923" s="1"/>
      <c r="Q923" s="1"/>
      <c r="R923" s="1"/>
      <c r="S923" s="1"/>
      <c r="T923" s="1"/>
      <c r="U923" s="1"/>
      <c r="V923" s="1"/>
      <c r="W923" s="1"/>
      <c r="X923" s="1"/>
      <c r="Y923" s="1"/>
      <c r="Z923" s="1"/>
    </row>
    <row r="924" spans="1:26" ht="12.75" customHeight="1" x14ac:dyDescent="0.25">
      <c r="A924" s="1"/>
      <c r="B924" s="1"/>
      <c r="C924" s="3"/>
      <c r="D924" s="3"/>
      <c r="E924" s="5"/>
      <c r="F924" s="5"/>
      <c r="G924" s="3"/>
      <c r="H924" s="5"/>
      <c r="I924" s="1"/>
      <c r="J924" s="7"/>
      <c r="K924" s="1"/>
      <c r="L924" s="1"/>
      <c r="M924" s="1"/>
      <c r="N924" s="1"/>
      <c r="O924" s="1"/>
      <c r="P924" s="1"/>
      <c r="Q924" s="1"/>
      <c r="R924" s="1"/>
      <c r="S924" s="1"/>
      <c r="T924" s="1"/>
      <c r="U924" s="1"/>
      <c r="V924" s="1"/>
      <c r="W924" s="1"/>
      <c r="X924" s="1"/>
      <c r="Y924" s="1"/>
      <c r="Z924" s="1"/>
    </row>
    <row r="925" spans="1:26" ht="12.75" customHeight="1" x14ac:dyDescent="0.25">
      <c r="A925" s="1"/>
      <c r="B925" s="1"/>
      <c r="C925" s="3"/>
      <c r="D925" s="3"/>
      <c r="E925" s="5"/>
      <c r="F925" s="5"/>
      <c r="G925" s="3"/>
      <c r="H925" s="5"/>
      <c r="I925" s="1"/>
      <c r="J925" s="7"/>
      <c r="K925" s="1"/>
      <c r="L925" s="1"/>
      <c r="M925" s="1"/>
      <c r="N925" s="1"/>
      <c r="O925" s="1"/>
      <c r="P925" s="1"/>
      <c r="Q925" s="1"/>
      <c r="R925" s="1"/>
      <c r="S925" s="1"/>
      <c r="T925" s="1"/>
      <c r="U925" s="1"/>
      <c r="V925" s="1"/>
      <c r="W925" s="1"/>
      <c r="X925" s="1"/>
      <c r="Y925" s="1"/>
      <c r="Z925" s="1"/>
    </row>
    <row r="926" spans="1:26" ht="12.75" customHeight="1" x14ac:dyDescent="0.25">
      <c r="A926" s="1"/>
      <c r="B926" s="1"/>
      <c r="C926" s="3"/>
      <c r="D926" s="3"/>
      <c r="E926" s="5"/>
      <c r="F926" s="5"/>
      <c r="G926" s="3"/>
      <c r="H926" s="5"/>
      <c r="I926" s="1"/>
      <c r="J926" s="7"/>
      <c r="K926" s="1"/>
      <c r="L926" s="1"/>
      <c r="M926" s="1"/>
      <c r="N926" s="1"/>
      <c r="O926" s="1"/>
      <c r="P926" s="1"/>
      <c r="Q926" s="1"/>
      <c r="R926" s="1"/>
      <c r="S926" s="1"/>
      <c r="T926" s="1"/>
      <c r="U926" s="1"/>
      <c r="V926" s="1"/>
      <c r="W926" s="1"/>
      <c r="X926" s="1"/>
      <c r="Y926" s="1"/>
      <c r="Z926" s="1"/>
    </row>
    <row r="927" spans="1:26" ht="12.75" customHeight="1" x14ac:dyDescent="0.25">
      <c r="A927" s="1"/>
      <c r="B927" s="1"/>
      <c r="C927" s="3"/>
      <c r="D927" s="3"/>
      <c r="E927" s="5"/>
      <c r="F927" s="5"/>
      <c r="G927" s="3"/>
      <c r="H927" s="5"/>
      <c r="I927" s="1"/>
      <c r="J927" s="7"/>
      <c r="K927" s="1"/>
      <c r="L927" s="1"/>
      <c r="M927" s="1"/>
      <c r="N927" s="1"/>
      <c r="O927" s="1"/>
      <c r="P927" s="1"/>
      <c r="Q927" s="1"/>
      <c r="R927" s="1"/>
      <c r="S927" s="1"/>
      <c r="T927" s="1"/>
      <c r="U927" s="1"/>
      <c r="V927" s="1"/>
      <c r="W927" s="1"/>
      <c r="X927" s="1"/>
      <c r="Y927" s="1"/>
      <c r="Z927" s="1"/>
    </row>
    <row r="928" spans="1:26" ht="12.75" customHeight="1" x14ac:dyDescent="0.25">
      <c r="A928" s="1"/>
      <c r="B928" s="1"/>
      <c r="C928" s="3"/>
      <c r="D928" s="3"/>
      <c r="E928" s="5"/>
      <c r="F928" s="5"/>
      <c r="G928" s="3"/>
      <c r="H928" s="5"/>
      <c r="I928" s="1"/>
      <c r="J928" s="7"/>
      <c r="K928" s="1"/>
      <c r="L928" s="1"/>
      <c r="M928" s="1"/>
      <c r="N928" s="1"/>
      <c r="O928" s="1"/>
      <c r="P928" s="1"/>
      <c r="Q928" s="1"/>
      <c r="R928" s="1"/>
      <c r="S928" s="1"/>
      <c r="T928" s="1"/>
      <c r="U928" s="1"/>
      <c r="V928" s="1"/>
      <c r="W928" s="1"/>
      <c r="X928" s="1"/>
      <c r="Y928" s="1"/>
      <c r="Z928" s="1"/>
    </row>
    <row r="929" spans="1:26" ht="12.75" customHeight="1" x14ac:dyDescent="0.25">
      <c r="A929" s="1"/>
      <c r="B929" s="1"/>
      <c r="C929" s="3"/>
      <c r="D929" s="3"/>
      <c r="E929" s="5"/>
      <c r="F929" s="5"/>
      <c r="G929" s="3"/>
      <c r="H929" s="5"/>
      <c r="I929" s="1"/>
      <c r="J929" s="7"/>
      <c r="K929" s="1"/>
      <c r="L929" s="1"/>
      <c r="M929" s="1"/>
      <c r="N929" s="1"/>
      <c r="O929" s="1"/>
      <c r="P929" s="1"/>
      <c r="Q929" s="1"/>
      <c r="R929" s="1"/>
      <c r="S929" s="1"/>
      <c r="T929" s="1"/>
      <c r="U929" s="1"/>
      <c r="V929" s="1"/>
      <c r="W929" s="1"/>
      <c r="X929" s="1"/>
      <c r="Y929" s="1"/>
      <c r="Z929" s="1"/>
    </row>
    <row r="930" spans="1:26" ht="12.75" customHeight="1" x14ac:dyDescent="0.25">
      <c r="A930" s="1"/>
      <c r="B930" s="1"/>
      <c r="C930" s="3"/>
      <c r="D930" s="3"/>
      <c r="E930" s="5"/>
      <c r="F930" s="5"/>
      <c r="G930" s="3"/>
      <c r="H930" s="5"/>
      <c r="I930" s="1"/>
      <c r="J930" s="7"/>
      <c r="K930" s="1"/>
      <c r="L930" s="1"/>
      <c r="M930" s="1"/>
      <c r="N930" s="1"/>
      <c r="O930" s="1"/>
      <c r="P930" s="1"/>
      <c r="Q930" s="1"/>
      <c r="R930" s="1"/>
      <c r="S930" s="1"/>
      <c r="T930" s="1"/>
      <c r="U930" s="1"/>
      <c r="V930" s="1"/>
      <c r="W930" s="1"/>
      <c r="X930" s="1"/>
      <c r="Y930" s="1"/>
      <c r="Z930" s="1"/>
    </row>
    <row r="931" spans="1:26" ht="12.75" customHeight="1" x14ac:dyDescent="0.25">
      <c r="A931" s="1"/>
      <c r="B931" s="1"/>
      <c r="C931" s="3"/>
      <c r="D931" s="3"/>
      <c r="E931" s="5"/>
      <c r="F931" s="5"/>
      <c r="G931" s="3"/>
      <c r="H931" s="5"/>
      <c r="I931" s="1"/>
      <c r="J931" s="7"/>
      <c r="K931" s="1"/>
      <c r="L931" s="1"/>
      <c r="M931" s="1"/>
      <c r="N931" s="1"/>
      <c r="O931" s="1"/>
      <c r="P931" s="1"/>
      <c r="Q931" s="1"/>
      <c r="R931" s="1"/>
      <c r="S931" s="1"/>
      <c r="T931" s="1"/>
      <c r="U931" s="1"/>
      <c r="V931" s="1"/>
      <c r="W931" s="1"/>
      <c r="X931" s="1"/>
      <c r="Y931" s="1"/>
      <c r="Z931" s="1"/>
    </row>
    <row r="932" spans="1:26" ht="12.75" customHeight="1" x14ac:dyDescent="0.25">
      <c r="A932" s="1"/>
      <c r="B932" s="1"/>
      <c r="C932" s="3"/>
      <c r="D932" s="3"/>
      <c r="E932" s="5"/>
      <c r="F932" s="5"/>
      <c r="G932" s="3"/>
      <c r="H932" s="5"/>
      <c r="I932" s="1"/>
      <c r="J932" s="7"/>
      <c r="K932" s="1"/>
      <c r="L932" s="1"/>
      <c r="M932" s="1"/>
      <c r="N932" s="1"/>
      <c r="O932" s="1"/>
      <c r="P932" s="1"/>
      <c r="Q932" s="1"/>
      <c r="R932" s="1"/>
      <c r="S932" s="1"/>
      <c r="T932" s="1"/>
      <c r="U932" s="1"/>
      <c r="V932" s="1"/>
      <c r="W932" s="1"/>
      <c r="X932" s="1"/>
      <c r="Y932" s="1"/>
      <c r="Z932" s="1"/>
    </row>
    <row r="933" spans="1:26" ht="12.75" customHeight="1" x14ac:dyDescent="0.25">
      <c r="A933" s="1"/>
      <c r="B933" s="1"/>
      <c r="C933" s="3"/>
      <c r="D933" s="3"/>
      <c r="E933" s="5"/>
      <c r="F933" s="5"/>
      <c r="G933" s="3"/>
      <c r="H933" s="5"/>
      <c r="I933" s="1"/>
      <c r="J933" s="7"/>
      <c r="K933" s="1"/>
      <c r="L933" s="1"/>
      <c r="M933" s="1"/>
      <c r="N933" s="1"/>
      <c r="O933" s="1"/>
      <c r="P933" s="1"/>
      <c r="Q933" s="1"/>
      <c r="R933" s="1"/>
      <c r="S933" s="1"/>
      <c r="T933" s="1"/>
      <c r="U933" s="1"/>
      <c r="V933" s="1"/>
      <c r="W933" s="1"/>
      <c r="X933" s="1"/>
      <c r="Y933" s="1"/>
      <c r="Z933" s="1"/>
    </row>
    <row r="934" spans="1:26" ht="12.75" customHeight="1" x14ac:dyDescent="0.25">
      <c r="A934" s="1"/>
      <c r="B934" s="1"/>
      <c r="C934" s="3"/>
      <c r="D934" s="3"/>
      <c r="E934" s="5"/>
      <c r="F934" s="5"/>
      <c r="G934" s="3"/>
      <c r="H934" s="5"/>
      <c r="I934" s="1"/>
      <c r="J934" s="7"/>
      <c r="K934" s="1"/>
      <c r="L934" s="1"/>
      <c r="M934" s="1"/>
      <c r="N934" s="1"/>
      <c r="O934" s="1"/>
      <c r="P934" s="1"/>
      <c r="Q934" s="1"/>
      <c r="R934" s="1"/>
      <c r="S934" s="1"/>
      <c r="T934" s="1"/>
      <c r="U934" s="1"/>
      <c r="V934" s="1"/>
      <c r="W934" s="1"/>
      <c r="X934" s="1"/>
      <c r="Y934" s="1"/>
      <c r="Z934" s="1"/>
    </row>
    <row r="935" spans="1:26" ht="12.75" customHeight="1" x14ac:dyDescent="0.25">
      <c r="A935" s="1"/>
      <c r="B935" s="1"/>
      <c r="C935" s="3"/>
      <c r="D935" s="3"/>
      <c r="E935" s="5"/>
      <c r="F935" s="5"/>
      <c r="G935" s="3"/>
      <c r="H935" s="5"/>
      <c r="I935" s="1"/>
      <c r="J935" s="7"/>
      <c r="K935" s="1"/>
      <c r="L935" s="1"/>
      <c r="M935" s="1"/>
      <c r="N935" s="1"/>
      <c r="O935" s="1"/>
      <c r="P935" s="1"/>
      <c r="Q935" s="1"/>
      <c r="R935" s="1"/>
      <c r="S935" s="1"/>
      <c r="T935" s="1"/>
      <c r="U935" s="1"/>
      <c r="V935" s="1"/>
      <c r="W935" s="1"/>
      <c r="X935" s="1"/>
      <c r="Y935" s="1"/>
      <c r="Z935" s="1"/>
    </row>
    <row r="936" spans="1:26" ht="12.75" customHeight="1" x14ac:dyDescent="0.25">
      <c r="A936" s="1"/>
      <c r="B936" s="1"/>
      <c r="C936" s="3"/>
      <c r="D936" s="3"/>
      <c r="E936" s="5"/>
      <c r="F936" s="5"/>
      <c r="G936" s="3"/>
      <c r="H936" s="5"/>
      <c r="I936" s="1"/>
      <c r="J936" s="7"/>
      <c r="K936" s="1"/>
      <c r="L936" s="1"/>
      <c r="M936" s="1"/>
      <c r="N936" s="1"/>
      <c r="O936" s="1"/>
      <c r="P936" s="1"/>
      <c r="Q936" s="1"/>
      <c r="R936" s="1"/>
      <c r="S936" s="1"/>
      <c r="T936" s="1"/>
      <c r="U936" s="1"/>
      <c r="V936" s="1"/>
      <c r="W936" s="1"/>
      <c r="X936" s="1"/>
      <c r="Y936" s="1"/>
      <c r="Z936" s="1"/>
    </row>
    <row r="937" spans="1:26" ht="12.75" customHeight="1" x14ac:dyDescent="0.25">
      <c r="A937" s="1"/>
      <c r="B937" s="1"/>
      <c r="C937" s="3"/>
      <c r="D937" s="3"/>
      <c r="E937" s="5"/>
      <c r="F937" s="5"/>
      <c r="G937" s="3"/>
      <c r="H937" s="5"/>
      <c r="I937" s="1"/>
      <c r="J937" s="7"/>
      <c r="K937" s="1"/>
      <c r="L937" s="1"/>
      <c r="M937" s="1"/>
      <c r="N937" s="1"/>
      <c r="O937" s="1"/>
      <c r="P937" s="1"/>
      <c r="Q937" s="1"/>
      <c r="R937" s="1"/>
      <c r="S937" s="1"/>
      <c r="T937" s="1"/>
      <c r="U937" s="1"/>
      <c r="V937" s="1"/>
      <c r="W937" s="1"/>
      <c r="X937" s="1"/>
      <c r="Y937" s="1"/>
      <c r="Z937" s="1"/>
    </row>
    <row r="938" spans="1:26" ht="12.75" customHeight="1" x14ac:dyDescent="0.25">
      <c r="A938" s="1"/>
      <c r="B938" s="1"/>
      <c r="C938" s="3"/>
      <c r="D938" s="3"/>
      <c r="E938" s="5"/>
      <c r="F938" s="5"/>
      <c r="G938" s="3"/>
      <c r="H938" s="5"/>
      <c r="I938" s="1"/>
      <c r="J938" s="7"/>
      <c r="K938" s="1"/>
      <c r="L938" s="1"/>
      <c r="M938" s="1"/>
      <c r="N938" s="1"/>
      <c r="O938" s="1"/>
      <c r="P938" s="1"/>
      <c r="Q938" s="1"/>
      <c r="R938" s="1"/>
      <c r="S938" s="1"/>
      <c r="T938" s="1"/>
      <c r="U938" s="1"/>
      <c r="V938" s="1"/>
      <c r="W938" s="1"/>
      <c r="X938" s="1"/>
      <c r="Y938" s="1"/>
      <c r="Z938" s="1"/>
    </row>
    <row r="939" spans="1:26" ht="12.75" customHeight="1" x14ac:dyDescent="0.25">
      <c r="A939" s="1"/>
      <c r="B939" s="1"/>
      <c r="C939" s="3"/>
      <c r="D939" s="3"/>
      <c r="E939" s="5"/>
      <c r="F939" s="5"/>
      <c r="G939" s="3"/>
      <c r="H939" s="5"/>
      <c r="I939" s="1"/>
      <c r="J939" s="7"/>
      <c r="K939" s="1"/>
      <c r="L939" s="1"/>
      <c r="M939" s="1"/>
      <c r="N939" s="1"/>
      <c r="O939" s="1"/>
      <c r="P939" s="1"/>
      <c r="Q939" s="1"/>
      <c r="R939" s="1"/>
      <c r="S939" s="1"/>
      <c r="T939" s="1"/>
      <c r="U939" s="1"/>
      <c r="V939" s="1"/>
      <c r="W939" s="1"/>
      <c r="X939" s="1"/>
      <c r="Y939" s="1"/>
      <c r="Z939" s="1"/>
    </row>
    <row r="940" spans="1:26" ht="12.75" customHeight="1" x14ac:dyDescent="0.25">
      <c r="A940" s="1"/>
      <c r="B940" s="1"/>
      <c r="C940" s="3"/>
      <c r="D940" s="3"/>
      <c r="E940" s="5"/>
      <c r="F940" s="5"/>
      <c r="G940" s="3"/>
      <c r="H940" s="5"/>
      <c r="I940" s="1"/>
      <c r="J940" s="7"/>
      <c r="K940" s="1"/>
      <c r="L940" s="1"/>
      <c r="M940" s="1"/>
      <c r="N940" s="1"/>
      <c r="O940" s="1"/>
      <c r="P940" s="1"/>
      <c r="Q940" s="1"/>
      <c r="R940" s="1"/>
      <c r="S940" s="1"/>
      <c r="T940" s="1"/>
      <c r="U940" s="1"/>
      <c r="V940" s="1"/>
      <c r="W940" s="1"/>
      <c r="X940" s="1"/>
      <c r="Y940" s="1"/>
      <c r="Z940" s="1"/>
    </row>
    <row r="941" spans="1:26" ht="12.75" customHeight="1" x14ac:dyDescent="0.25">
      <c r="A941" s="1"/>
      <c r="B941" s="1"/>
      <c r="C941" s="3"/>
      <c r="D941" s="3"/>
      <c r="E941" s="5"/>
      <c r="F941" s="5"/>
      <c r="G941" s="3"/>
      <c r="H941" s="5"/>
      <c r="I941" s="1"/>
      <c r="J941" s="7"/>
      <c r="K941" s="1"/>
      <c r="L941" s="1"/>
      <c r="M941" s="1"/>
      <c r="N941" s="1"/>
      <c r="O941" s="1"/>
      <c r="P941" s="1"/>
      <c r="Q941" s="1"/>
      <c r="R941" s="1"/>
      <c r="S941" s="1"/>
      <c r="T941" s="1"/>
      <c r="U941" s="1"/>
      <c r="V941" s="1"/>
      <c r="W941" s="1"/>
      <c r="X941" s="1"/>
      <c r="Y941" s="1"/>
      <c r="Z941" s="1"/>
    </row>
    <row r="942" spans="1:26" ht="12.75" customHeight="1" x14ac:dyDescent="0.25">
      <c r="A942" s="1"/>
      <c r="B942" s="1"/>
      <c r="C942" s="3"/>
      <c r="D942" s="3"/>
      <c r="E942" s="5"/>
      <c r="F942" s="5"/>
      <c r="G942" s="3"/>
      <c r="H942" s="5"/>
      <c r="I942" s="1"/>
      <c r="J942" s="7"/>
      <c r="K942" s="1"/>
      <c r="L942" s="1"/>
      <c r="M942" s="1"/>
      <c r="N942" s="1"/>
      <c r="O942" s="1"/>
      <c r="P942" s="1"/>
      <c r="Q942" s="1"/>
      <c r="R942" s="1"/>
      <c r="S942" s="1"/>
      <c r="T942" s="1"/>
      <c r="U942" s="1"/>
      <c r="V942" s="1"/>
      <c r="W942" s="1"/>
      <c r="X942" s="1"/>
      <c r="Y942" s="1"/>
      <c r="Z942" s="1"/>
    </row>
    <row r="943" spans="1:26" ht="12.75" customHeight="1" x14ac:dyDescent="0.25">
      <c r="A943" s="1"/>
      <c r="B943" s="1"/>
      <c r="C943" s="3"/>
      <c r="D943" s="3"/>
      <c r="E943" s="5"/>
      <c r="F943" s="5"/>
      <c r="G943" s="3"/>
      <c r="H943" s="5"/>
      <c r="I943" s="1"/>
      <c r="J943" s="7"/>
      <c r="K943" s="1"/>
      <c r="L943" s="1"/>
      <c r="M943" s="1"/>
      <c r="N943" s="1"/>
      <c r="O943" s="1"/>
      <c r="P943" s="1"/>
      <c r="Q943" s="1"/>
      <c r="R943" s="1"/>
      <c r="S943" s="1"/>
      <c r="T943" s="1"/>
      <c r="U943" s="1"/>
      <c r="V943" s="1"/>
      <c r="W943" s="1"/>
      <c r="X943" s="1"/>
      <c r="Y943" s="1"/>
      <c r="Z943" s="1"/>
    </row>
    <row r="944" spans="1:26" ht="12.75" customHeight="1" x14ac:dyDescent="0.25">
      <c r="A944" s="1"/>
      <c r="B944" s="1"/>
      <c r="C944" s="3"/>
      <c r="D944" s="3"/>
      <c r="E944" s="5"/>
      <c r="F944" s="5"/>
      <c r="G944" s="3"/>
      <c r="H944" s="5"/>
      <c r="I944" s="1"/>
      <c r="J944" s="7"/>
      <c r="K944" s="1"/>
      <c r="L944" s="1"/>
      <c r="M944" s="1"/>
      <c r="N944" s="1"/>
      <c r="O944" s="1"/>
      <c r="P944" s="1"/>
      <c r="Q944" s="1"/>
      <c r="R944" s="1"/>
      <c r="S944" s="1"/>
      <c r="T944" s="1"/>
      <c r="U944" s="1"/>
      <c r="V944" s="1"/>
      <c r="W944" s="1"/>
      <c r="X944" s="1"/>
      <c r="Y944" s="1"/>
      <c r="Z944" s="1"/>
    </row>
    <row r="945" spans="1:26" ht="12.75" customHeight="1" x14ac:dyDescent="0.25">
      <c r="A945" s="1"/>
      <c r="B945" s="1"/>
      <c r="C945" s="3"/>
      <c r="D945" s="3"/>
      <c r="E945" s="5"/>
      <c r="F945" s="5"/>
      <c r="G945" s="3"/>
      <c r="H945" s="5"/>
      <c r="I945" s="1"/>
      <c r="J945" s="7"/>
      <c r="K945" s="1"/>
      <c r="L945" s="1"/>
      <c r="M945" s="1"/>
      <c r="N945" s="1"/>
      <c r="O945" s="1"/>
      <c r="P945" s="1"/>
      <c r="Q945" s="1"/>
      <c r="R945" s="1"/>
      <c r="S945" s="1"/>
      <c r="T945" s="1"/>
      <c r="U945" s="1"/>
      <c r="V945" s="1"/>
      <c r="W945" s="1"/>
      <c r="X945" s="1"/>
      <c r="Y945" s="1"/>
      <c r="Z945" s="1"/>
    </row>
    <row r="946" spans="1:26" ht="12.75" customHeight="1" x14ac:dyDescent="0.25">
      <c r="A946" s="1"/>
      <c r="B946" s="1"/>
      <c r="C946" s="3"/>
      <c r="D946" s="3"/>
      <c r="E946" s="5"/>
      <c r="F946" s="5"/>
      <c r="G946" s="3"/>
      <c r="H946" s="5"/>
      <c r="I946" s="1"/>
      <c r="J946" s="7"/>
      <c r="K946" s="1"/>
      <c r="L946" s="1"/>
      <c r="M946" s="1"/>
      <c r="N946" s="1"/>
      <c r="O946" s="1"/>
      <c r="P946" s="1"/>
      <c r="Q946" s="1"/>
      <c r="R946" s="1"/>
      <c r="S946" s="1"/>
      <c r="T946" s="1"/>
      <c r="U946" s="1"/>
      <c r="V946" s="1"/>
      <c r="W946" s="1"/>
      <c r="X946" s="1"/>
      <c r="Y946" s="1"/>
      <c r="Z946" s="1"/>
    </row>
    <row r="947" spans="1:26" ht="12.75" customHeight="1" x14ac:dyDescent="0.25">
      <c r="A947" s="1"/>
      <c r="B947" s="1"/>
      <c r="C947" s="3"/>
      <c r="D947" s="3"/>
      <c r="E947" s="5"/>
      <c r="F947" s="5"/>
      <c r="G947" s="3"/>
      <c r="H947" s="5"/>
      <c r="I947" s="1"/>
      <c r="J947" s="7"/>
      <c r="K947" s="1"/>
      <c r="L947" s="1"/>
      <c r="M947" s="1"/>
      <c r="N947" s="1"/>
      <c r="O947" s="1"/>
      <c r="P947" s="1"/>
      <c r="Q947" s="1"/>
      <c r="R947" s="1"/>
      <c r="S947" s="1"/>
      <c r="T947" s="1"/>
      <c r="U947" s="1"/>
      <c r="V947" s="1"/>
      <c r="W947" s="1"/>
      <c r="X947" s="1"/>
      <c r="Y947" s="1"/>
      <c r="Z947" s="1"/>
    </row>
    <row r="948" spans="1:26" ht="12.75" customHeight="1" x14ac:dyDescent="0.25">
      <c r="A948" s="1"/>
      <c r="B948" s="1"/>
      <c r="C948" s="3"/>
      <c r="D948" s="3"/>
      <c r="E948" s="5"/>
      <c r="F948" s="5"/>
      <c r="G948" s="3"/>
      <c r="H948" s="5"/>
      <c r="I948" s="1"/>
      <c r="J948" s="7"/>
      <c r="K948" s="1"/>
      <c r="L948" s="1"/>
      <c r="M948" s="1"/>
      <c r="N948" s="1"/>
      <c r="O948" s="1"/>
      <c r="P948" s="1"/>
      <c r="Q948" s="1"/>
      <c r="R948" s="1"/>
      <c r="S948" s="1"/>
      <c r="T948" s="1"/>
      <c r="U948" s="1"/>
      <c r="V948" s="1"/>
      <c r="W948" s="1"/>
      <c r="X948" s="1"/>
      <c r="Y948" s="1"/>
      <c r="Z948" s="1"/>
    </row>
    <row r="949" spans="1:26" ht="12.75" customHeight="1" x14ac:dyDescent="0.25">
      <c r="A949" s="1"/>
      <c r="B949" s="1"/>
      <c r="C949" s="3"/>
      <c r="D949" s="3"/>
      <c r="E949" s="5"/>
      <c r="F949" s="5"/>
      <c r="G949" s="3"/>
      <c r="H949" s="5"/>
      <c r="I949" s="1"/>
      <c r="J949" s="7"/>
      <c r="K949" s="1"/>
      <c r="L949" s="1"/>
      <c r="M949" s="1"/>
      <c r="N949" s="1"/>
      <c r="O949" s="1"/>
      <c r="P949" s="1"/>
      <c r="Q949" s="1"/>
      <c r="R949" s="1"/>
      <c r="S949" s="1"/>
      <c r="T949" s="1"/>
      <c r="U949" s="1"/>
      <c r="V949" s="1"/>
      <c r="W949" s="1"/>
      <c r="X949" s="1"/>
      <c r="Y949" s="1"/>
      <c r="Z949" s="1"/>
    </row>
    <row r="950" spans="1:26" ht="12.75" customHeight="1" x14ac:dyDescent="0.25">
      <c r="A950" s="1"/>
      <c r="B950" s="1"/>
      <c r="C950" s="3"/>
      <c r="D950" s="3"/>
      <c r="E950" s="5"/>
      <c r="F950" s="5"/>
      <c r="G950" s="3"/>
      <c r="H950" s="5"/>
      <c r="I950" s="1"/>
      <c r="J950" s="7"/>
      <c r="K950" s="1"/>
      <c r="L950" s="1"/>
      <c r="M950" s="1"/>
      <c r="N950" s="1"/>
      <c r="O950" s="1"/>
      <c r="P950" s="1"/>
      <c r="Q950" s="1"/>
      <c r="R950" s="1"/>
      <c r="S950" s="1"/>
      <c r="T950" s="1"/>
      <c r="U950" s="1"/>
      <c r="V950" s="1"/>
      <c r="W950" s="1"/>
      <c r="X950" s="1"/>
      <c r="Y950" s="1"/>
      <c r="Z950" s="1"/>
    </row>
    <row r="951" spans="1:26" ht="12.75" customHeight="1" x14ac:dyDescent="0.25">
      <c r="A951" s="1"/>
      <c r="B951" s="1"/>
      <c r="C951" s="3"/>
      <c r="D951" s="3"/>
      <c r="E951" s="5"/>
      <c r="F951" s="5"/>
      <c r="G951" s="3"/>
      <c r="H951" s="5"/>
      <c r="I951" s="1"/>
      <c r="J951" s="7"/>
      <c r="K951" s="1"/>
      <c r="L951" s="1"/>
      <c r="M951" s="1"/>
      <c r="N951" s="1"/>
      <c r="O951" s="1"/>
      <c r="P951" s="1"/>
      <c r="Q951" s="1"/>
      <c r="R951" s="1"/>
      <c r="S951" s="1"/>
      <c r="T951" s="1"/>
      <c r="U951" s="1"/>
      <c r="V951" s="1"/>
      <c r="W951" s="1"/>
      <c r="X951" s="1"/>
      <c r="Y951" s="1"/>
      <c r="Z951" s="1"/>
    </row>
    <row r="952" spans="1:26" ht="12.75" customHeight="1" x14ac:dyDescent="0.25">
      <c r="A952" s="1"/>
      <c r="B952" s="1"/>
      <c r="C952" s="3"/>
      <c r="D952" s="3"/>
      <c r="E952" s="5"/>
      <c r="F952" s="5"/>
      <c r="G952" s="3"/>
      <c r="H952" s="5"/>
      <c r="I952" s="1"/>
      <c r="J952" s="7"/>
      <c r="K952" s="1"/>
      <c r="L952" s="1"/>
      <c r="M952" s="1"/>
      <c r="N952" s="1"/>
      <c r="O952" s="1"/>
      <c r="P952" s="1"/>
      <c r="Q952" s="1"/>
      <c r="R952" s="1"/>
      <c r="S952" s="1"/>
      <c r="T952" s="1"/>
      <c r="U952" s="1"/>
      <c r="V952" s="1"/>
      <c r="W952" s="1"/>
      <c r="X952" s="1"/>
      <c r="Y952" s="1"/>
      <c r="Z952" s="1"/>
    </row>
    <row r="953" spans="1:26" ht="12.75" customHeight="1" x14ac:dyDescent="0.25">
      <c r="A953" s="1"/>
      <c r="B953" s="1"/>
      <c r="C953" s="3"/>
      <c r="D953" s="3"/>
      <c r="E953" s="5"/>
      <c r="F953" s="5"/>
      <c r="G953" s="3"/>
      <c r="H953" s="5"/>
      <c r="I953" s="1"/>
      <c r="J953" s="7"/>
      <c r="K953" s="1"/>
      <c r="L953" s="1"/>
      <c r="M953" s="1"/>
      <c r="N953" s="1"/>
      <c r="O953" s="1"/>
      <c r="P953" s="1"/>
      <c r="Q953" s="1"/>
      <c r="R953" s="1"/>
      <c r="S953" s="1"/>
      <c r="T953" s="1"/>
      <c r="U953" s="1"/>
      <c r="V953" s="1"/>
      <c r="W953" s="1"/>
      <c r="X953" s="1"/>
      <c r="Y953" s="1"/>
      <c r="Z953" s="1"/>
    </row>
    <row r="954" spans="1:26" ht="12.75" customHeight="1" x14ac:dyDescent="0.25">
      <c r="A954" s="1"/>
      <c r="B954" s="1"/>
      <c r="C954" s="3"/>
      <c r="D954" s="3"/>
      <c r="E954" s="5"/>
      <c r="F954" s="5"/>
      <c r="G954" s="3"/>
      <c r="H954" s="5"/>
      <c r="I954" s="1"/>
      <c r="J954" s="7"/>
      <c r="K954" s="1"/>
      <c r="L954" s="1"/>
      <c r="M954" s="1"/>
      <c r="N954" s="1"/>
      <c r="O954" s="1"/>
      <c r="P954" s="1"/>
      <c r="Q954" s="1"/>
      <c r="R954" s="1"/>
      <c r="S954" s="1"/>
      <c r="T954" s="1"/>
      <c r="U954" s="1"/>
      <c r="V954" s="1"/>
      <c r="W954" s="1"/>
      <c r="X954" s="1"/>
      <c r="Y954" s="1"/>
      <c r="Z954" s="1"/>
    </row>
    <row r="955" spans="1:26" ht="12.75" customHeight="1" x14ac:dyDescent="0.25">
      <c r="A955" s="1"/>
      <c r="B955" s="1"/>
      <c r="C955" s="3"/>
      <c r="D955" s="3"/>
      <c r="E955" s="5"/>
      <c r="F955" s="5"/>
      <c r="G955" s="3"/>
      <c r="H955" s="5"/>
      <c r="I955" s="1"/>
      <c r="J955" s="7"/>
      <c r="K955" s="1"/>
      <c r="L955" s="1"/>
      <c r="M955" s="1"/>
      <c r="N955" s="1"/>
      <c r="O955" s="1"/>
      <c r="P955" s="1"/>
      <c r="Q955" s="1"/>
      <c r="R955" s="1"/>
      <c r="S955" s="1"/>
      <c r="T955" s="1"/>
      <c r="U955" s="1"/>
      <c r="V955" s="1"/>
      <c r="W955" s="1"/>
      <c r="X955" s="1"/>
      <c r="Y955" s="1"/>
      <c r="Z955" s="1"/>
    </row>
    <row r="956" spans="1:26" ht="12.75" customHeight="1" x14ac:dyDescent="0.25">
      <c r="A956" s="1"/>
      <c r="B956" s="1"/>
      <c r="C956" s="3"/>
      <c r="D956" s="3"/>
      <c r="E956" s="5"/>
      <c r="F956" s="5"/>
      <c r="G956" s="3"/>
      <c r="H956" s="5"/>
      <c r="I956" s="1"/>
      <c r="J956" s="7"/>
      <c r="K956" s="1"/>
      <c r="L956" s="1"/>
      <c r="M956" s="1"/>
      <c r="N956" s="1"/>
      <c r="O956" s="1"/>
      <c r="P956" s="1"/>
      <c r="Q956" s="1"/>
      <c r="R956" s="1"/>
      <c r="S956" s="1"/>
      <c r="T956" s="1"/>
      <c r="U956" s="1"/>
      <c r="V956" s="1"/>
      <c r="W956" s="1"/>
      <c r="X956" s="1"/>
      <c r="Y956" s="1"/>
      <c r="Z956" s="1"/>
    </row>
    <row r="957" spans="1:26" ht="12.75" customHeight="1" x14ac:dyDescent="0.25">
      <c r="A957" s="1"/>
      <c r="B957" s="1"/>
      <c r="C957" s="3"/>
      <c r="D957" s="3"/>
      <c r="E957" s="5"/>
      <c r="F957" s="5"/>
      <c r="G957" s="3"/>
      <c r="H957" s="5"/>
      <c r="I957" s="1"/>
      <c r="J957" s="7"/>
      <c r="K957" s="1"/>
      <c r="L957" s="1"/>
      <c r="M957" s="1"/>
      <c r="N957" s="1"/>
      <c r="O957" s="1"/>
      <c r="P957" s="1"/>
      <c r="Q957" s="1"/>
      <c r="R957" s="1"/>
      <c r="S957" s="1"/>
      <c r="T957" s="1"/>
      <c r="U957" s="1"/>
      <c r="V957" s="1"/>
      <c r="W957" s="1"/>
      <c r="X957" s="1"/>
      <c r="Y957" s="1"/>
      <c r="Z957" s="1"/>
    </row>
    <row r="958" spans="1:26" ht="12.75" customHeight="1" x14ac:dyDescent="0.25">
      <c r="A958" s="1"/>
      <c r="B958" s="1"/>
      <c r="C958" s="3"/>
      <c r="D958" s="3"/>
      <c r="E958" s="5"/>
      <c r="F958" s="5"/>
      <c r="G958" s="3"/>
      <c r="H958" s="5"/>
      <c r="I958" s="1"/>
      <c r="J958" s="7"/>
      <c r="K958" s="1"/>
      <c r="L958" s="1"/>
      <c r="M958" s="1"/>
      <c r="N958" s="1"/>
      <c r="O958" s="1"/>
      <c r="P958" s="1"/>
      <c r="Q958" s="1"/>
      <c r="R958" s="1"/>
      <c r="S958" s="1"/>
      <c r="T958" s="1"/>
      <c r="U958" s="1"/>
      <c r="V958" s="1"/>
      <c r="W958" s="1"/>
      <c r="X958" s="1"/>
      <c r="Y958" s="1"/>
      <c r="Z958" s="1"/>
    </row>
    <row r="959" spans="1:26" ht="12.75" customHeight="1" x14ac:dyDescent="0.25">
      <c r="A959" s="1"/>
      <c r="B959" s="1"/>
      <c r="C959" s="3"/>
      <c r="D959" s="3"/>
      <c r="E959" s="5"/>
      <c r="F959" s="5"/>
      <c r="G959" s="3"/>
      <c r="H959" s="5"/>
      <c r="I959" s="1"/>
      <c r="J959" s="7"/>
      <c r="K959" s="1"/>
      <c r="L959" s="1"/>
      <c r="M959" s="1"/>
      <c r="N959" s="1"/>
      <c r="O959" s="1"/>
      <c r="P959" s="1"/>
      <c r="Q959" s="1"/>
      <c r="R959" s="1"/>
      <c r="S959" s="1"/>
      <c r="T959" s="1"/>
      <c r="U959" s="1"/>
      <c r="V959" s="1"/>
      <c r="W959" s="1"/>
      <c r="X959" s="1"/>
      <c r="Y959" s="1"/>
      <c r="Z959" s="1"/>
    </row>
    <row r="960" spans="1:26" ht="12.75" customHeight="1" x14ac:dyDescent="0.25">
      <c r="A960" s="1"/>
      <c r="B960" s="1"/>
      <c r="C960" s="3"/>
      <c r="D960" s="3"/>
      <c r="E960" s="5"/>
      <c r="F960" s="5"/>
      <c r="G960" s="3"/>
      <c r="H960" s="5"/>
      <c r="I960" s="1"/>
      <c r="J960" s="7"/>
      <c r="K960" s="1"/>
      <c r="L960" s="1"/>
      <c r="M960" s="1"/>
      <c r="N960" s="1"/>
      <c r="O960" s="1"/>
      <c r="P960" s="1"/>
      <c r="Q960" s="1"/>
      <c r="R960" s="1"/>
      <c r="S960" s="1"/>
      <c r="T960" s="1"/>
      <c r="U960" s="1"/>
      <c r="V960" s="1"/>
      <c r="W960" s="1"/>
      <c r="X960" s="1"/>
      <c r="Y960" s="1"/>
      <c r="Z960" s="1"/>
    </row>
    <row r="961" spans="1:26" ht="12.75" customHeight="1" x14ac:dyDescent="0.25">
      <c r="A961" s="1"/>
      <c r="B961" s="1"/>
      <c r="C961" s="3"/>
      <c r="D961" s="3"/>
      <c r="E961" s="5"/>
      <c r="F961" s="5"/>
      <c r="G961" s="3"/>
      <c r="H961" s="5"/>
      <c r="I961" s="1"/>
      <c r="J961" s="7"/>
      <c r="K961" s="1"/>
      <c r="L961" s="1"/>
      <c r="M961" s="1"/>
      <c r="N961" s="1"/>
      <c r="O961" s="1"/>
      <c r="P961" s="1"/>
      <c r="Q961" s="1"/>
      <c r="R961" s="1"/>
      <c r="S961" s="1"/>
      <c r="T961" s="1"/>
      <c r="U961" s="1"/>
      <c r="V961" s="1"/>
      <c r="W961" s="1"/>
      <c r="X961" s="1"/>
      <c r="Y961" s="1"/>
      <c r="Z961" s="1"/>
    </row>
    <row r="962" spans="1:26" ht="12.75" customHeight="1" x14ac:dyDescent="0.25">
      <c r="A962" s="1"/>
      <c r="B962" s="1"/>
      <c r="C962" s="3"/>
      <c r="D962" s="3"/>
      <c r="E962" s="5"/>
      <c r="F962" s="5"/>
      <c r="G962" s="3"/>
      <c r="H962" s="5"/>
      <c r="I962" s="1"/>
      <c r="J962" s="7"/>
      <c r="K962" s="1"/>
      <c r="L962" s="1"/>
      <c r="M962" s="1"/>
      <c r="N962" s="1"/>
      <c r="O962" s="1"/>
      <c r="P962" s="1"/>
      <c r="Q962" s="1"/>
      <c r="R962" s="1"/>
      <c r="S962" s="1"/>
      <c r="T962" s="1"/>
      <c r="U962" s="1"/>
      <c r="V962" s="1"/>
      <c r="W962" s="1"/>
      <c r="X962" s="1"/>
      <c r="Y962" s="1"/>
      <c r="Z962" s="1"/>
    </row>
    <row r="963" spans="1:26" ht="12.75" customHeight="1" x14ac:dyDescent="0.25">
      <c r="A963" s="1"/>
      <c r="B963" s="1"/>
      <c r="C963" s="3"/>
      <c r="D963" s="3"/>
      <c r="E963" s="5"/>
      <c r="F963" s="5"/>
      <c r="G963" s="3"/>
      <c r="H963" s="5"/>
      <c r="I963" s="1"/>
      <c r="J963" s="7"/>
      <c r="K963" s="1"/>
      <c r="L963" s="1"/>
      <c r="M963" s="1"/>
      <c r="N963" s="1"/>
      <c r="O963" s="1"/>
      <c r="P963" s="1"/>
      <c r="Q963" s="1"/>
      <c r="R963" s="1"/>
      <c r="S963" s="1"/>
      <c r="T963" s="1"/>
      <c r="U963" s="1"/>
      <c r="V963" s="1"/>
      <c r="W963" s="1"/>
      <c r="X963" s="1"/>
      <c r="Y963" s="1"/>
      <c r="Z963" s="1"/>
    </row>
    <row r="964" spans="1:26" ht="12.75" customHeight="1" x14ac:dyDescent="0.25">
      <c r="A964" s="1"/>
      <c r="B964" s="1"/>
      <c r="C964" s="3"/>
      <c r="D964" s="3"/>
      <c r="E964" s="5"/>
      <c r="F964" s="5"/>
      <c r="G964" s="3"/>
      <c r="H964" s="5"/>
      <c r="I964" s="1"/>
      <c r="J964" s="7"/>
      <c r="K964" s="1"/>
      <c r="L964" s="1"/>
      <c r="M964" s="1"/>
      <c r="N964" s="1"/>
      <c r="O964" s="1"/>
      <c r="P964" s="1"/>
      <c r="Q964" s="1"/>
      <c r="R964" s="1"/>
      <c r="S964" s="1"/>
      <c r="T964" s="1"/>
      <c r="U964" s="1"/>
      <c r="V964" s="1"/>
      <c r="W964" s="1"/>
      <c r="X964" s="1"/>
      <c r="Y964" s="1"/>
      <c r="Z964" s="1"/>
    </row>
    <row r="965" spans="1:26" ht="12.75" customHeight="1" x14ac:dyDescent="0.25">
      <c r="A965" s="1"/>
      <c r="B965" s="1"/>
      <c r="C965" s="3"/>
      <c r="D965" s="3"/>
      <c r="E965" s="5"/>
      <c r="F965" s="5"/>
      <c r="G965" s="3"/>
      <c r="H965" s="5"/>
      <c r="I965" s="1"/>
      <c r="J965" s="7"/>
      <c r="K965" s="1"/>
      <c r="L965" s="1"/>
      <c r="M965" s="1"/>
      <c r="N965" s="1"/>
      <c r="O965" s="1"/>
      <c r="P965" s="1"/>
      <c r="Q965" s="1"/>
      <c r="R965" s="1"/>
      <c r="S965" s="1"/>
      <c r="T965" s="1"/>
      <c r="U965" s="1"/>
      <c r="V965" s="1"/>
      <c r="W965" s="1"/>
      <c r="X965" s="1"/>
      <c r="Y965" s="1"/>
      <c r="Z965" s="1"/>
    </row>
    <row r="966" spans="1:26" ht="12.75" customHeight="1" x14ac:dyDescent="0.25">
      <c r="A966" s="1"/>
      <c r="B966" s="1"/>
      <c r="C966" s="3"/>
      <c r="D966" s="3"/>
      <c r="E966" s="5"/>
      <c r="F966" s="5"/>
      <c r="G966" s="3"/>
      <c r="H966" s="5"/>
      <c r="I966" s="1"/>
      <c r="J966" s="7"/>
      <c r="K966" s="1"/>
      <c r="L966" s="1"/>
      <c r="M966" s="1"/>
      <c r="N966" s="1"/>
      <c r="O966" s="1"/>
      <c r="P966" s="1"/>
      <c r="Q966" s="1"/>
      <c r="R966" s="1"/>
      <c r="S966" s="1"/>
      <c r="T966" s="1"/>
      <c r="U966" s="1"/>
      <c r="V966" s="1"/>
      <c r="W966" s="1"/>
      <c r="X966" s="1"/>
      <c r="Y966" s="1"/>
      <c r="Z966" s="1"/>
    </row>
    <row r="967" spans="1:26" ht="12.75" customHeight="1" x14ac:dyDescent="0.25">
      <c r="A967" s="1"/>
      <c r="B967" s="1"/>
      <c r="C967" s="3"/>
      <c r="D967" s="3"/>
      <c r="E967" s="5"/>
      <c r="F967" s="5"/>
      <c r="G967" s="3"/>
      <c r="H967" s="5"/>
      <c r="I967" s="1"/>
      <c r="J967" s="7"/>
      <c r="K967" s="1"/>
      <c r="L967" s="1"/>
      <c r="M967" s="1"/>
      <c r="N967" s="1"/>
      <c r="O967" s="1"/>
      <c r="P967" s="1"/>
      <c r="Q967" s="1"/>
      <c r="R967" s="1"/>
      <c r="S967" s="1"/>
      <c r="T967" s="1"/>
      <c r="U967" s="1"/>
      <c r="V967" s="1"/>
      <c r="W967" s="1"/>
      <c r="X967" s="1"/>
      <c r="Y967" s="1"/>
      <c r="Z967" s="1"/>
    </row>
    <row r="968" spans="1:26" ht="12.75" customHeight="1" x14ac:dyDescent="0.25">
      <c r="A968" s="1"/>
      <c r="B968" s="1"/>
      <c r="C968" s="3"/>
      <c r="D968" s="3"/>
      <c r="E968" s="5"/>
      <c r="F968" s="5"/>
      <c r="G968" s="3"/>
      <c r="H968" s="5"/>
      <c r="I968" s="1"/>
      <c r="J968" s="7"/>
      <c r="K968" s="1"/>
      <c r="L968" s="1"/>
      <c r="M968" s="1"/>
      <c r="N968" s="1"/>
      <c r="O968" s="1"/>
      <c r="P968" s="1"/>
      <c r="Q968" s="1"/>
      <c r="R968" s="1"/>
      <c r="S968" s="1"/>
      <c r="T968" s="1"/>
      <c r="U968" s="1"/>
      <c r="V968" s="1"/>
      <c r="W968" s="1"/>
      <c r="X968" s="1"/>
      <c r="Y968" s="1"/>
      <c r="Z968" s="1"/>
    </row>
    <row r="969" spans="1:26" ht="12.75" customHeight="1" x14ac:dyDescent="0.25">
      <c r="A969" s="1"/>
      <c r="B969" s="1"/>
      <c r="C969" s="3"/>
      <c r="D969" s="3"/>
      <c r="E969" s="5"/>
      <c r="F969" s="5"/>
      <c r="G969" s="3"/>
      <c r="H969" s="5"/>
      <c r="I969" s="1"/>
      <c r="J969" s="7"/>
      <c r="K969" s="1"/>
      <c r="L969" s="1"/>
      <c r="M969" s="1"/>
      <c r="N969" s="1"/>
      <c r="O969" s="1"/>
      <c r="P969" s="1"/>
      <c r="Q969" s="1"/>
      <c r="R969" s="1"/>
      <c r="S969" s="1"/>
      <c r="T969" s="1"/>
      <c r="U969" s="1"/>
      <c r="V969" s="1"/>
      <c r="W969" s="1"/>
      <c r="X969" s="1"/>
      <c r="Y969" s="1"/>
      <c r="Z969" s="1"/>
    </row>
    <row r="970" spans="1:26" ht="12.75" customHeight="1" x14ac:dyDescent="0.25">
      <c r="A970" s="1"/>
      <c r="B970" s="1"/>
      <c r="C970" s="3"/>
      <c r="D970" s="3"/>
      <c r="E970" s="5"/>
      <c r="F970" s="5"/>
      <c r="G970" s="3"/>
      <c r="H970" s="5"/>
      <c r="I970" s="1"/>
      <c r="J970" s="7"/>
      <c r="K970" s="1"/>
      <c r="L970" s="1"/>
      <c r="M970" s="1"/>
      <c r="N970" s="1"/>
      <c r="O970" s="1"/>
      <c r="P970" s="1"/>
      <c r="Q970" s="1"/>
      <c r="R970" s="1"/>
      <c r="S970" s="1"/>
      <c r="T970" s="1"/>
      <c r="U970" s="1"/>
      <c r="V970" s="1"/>
      <c r="W970" s="1"/>
      <c r="X970" s="1"/>
      <c r="Y970" s="1"/>
      <c r="Z970" s="1"/>
    </row>
    <row r="971" spans="1:26" ht="12.75" customHeight="1" x14ac:dyDescent="0.25">
      <c r="A971" s="1"/>
      <c r="B971" s="1"/>
      <c r="C971" s="3"/>
      <c r="D971" s="3"/>
      <c r="E971" s="5"/>
      <c r="F971" s="5"/>
      <c r="G971" s="3"/>
      <c r="H971" s="5"/>
      <c r="I971" s="1"/>
      <c r="J971" s="7"/>
      <c r="K971" s="1"/>
      <c r="L971" s="1"/>
      <c r="M971" s="1"/>
      <c r="N971" s="1"/>
      <c r="O971" s="1"/>
      <c r="P971" s="1"/>
      <c r="Q971" s="1"/>
      <c r="R971" s="1"/>
      <c r="S971" s="1"/>
      <c r="T971" s="1"/>
      <c r="U971" s="1"/>
      <c r="V971" s="1"/>
      <c r="W971" s="1"/>
      <c r="X971" s="1"/>
      <c r="Y971" s="1"/>
      <c r="Z971" s="1"/>
    </row>
    <row r="972" spans="1:26" ht="12.75" customHeight="1" x14ac:dyDescent="0.25">
      <c r="A972" s="1"/>
      <c r="B972" s="1"/>
      <c r="C972" s="3"/>
      <c r="D972" s="3"/>
      <c r="E972" s="5"/>
      <c r="F972" s="5"/>
      <c r="G972" s="3"/>
      <c r="H972" s="5"/>
      <c r="I972" s="1"/>
      <c r="J972" s="7"/>
      <c r="K972" s="1"/>
      <c r="L972" s="1"/>
      <c r="M972" s="1"/>
      <c r="N972" s="1"/>
      <c r="O972" s="1"/>
      <c r="P972" s="1"/>
      <c r="Q972" s="1"/>
      <c r="R972" s="1"/>
      <c r="S972" s="1"/>
      <c r="T972" s="1"/>
      <c r="U972" s="1"/>
      <c r="V972" s="1"/>
      <c r="W972" s="1"/>
      <c r="X972" s="1"/>
      <c r="Y972" s="1"/>
      <c r="Z972" s="1"/>
    </row>
    <row r="973" spans="1:26" ht="12.75" customHeight="1" x14ac:dyDescent="0.25">
      <c r="A973" s="1"/>
      <c r="B973" s="1"/>
      <c r="C973" s="3"/>
      <c r="D973" s="3"/>
      <c r="E973" s="5"/>
      <c r="F973" s="5"/>
      <c r="G973" s="3"/>
      <c r="H973" s="5"/>
      <c r="I973" s="1"/>
      <c r="J973" s="7"/>
      <c r="K973" s="1"/>
      <c r="L973" s="1"/>
      <c r="M973" s="1"/>
      <c r="N973" s="1"/>
      <c r="O973" s="1"/>
      <c r="P973" s="1"/>
      <c r="Q973" s="1"/>
      <c r="R973" s="1"/>
      <c r="S973" s="1"/>
      <c r="T973" s="1"/>
      <c r="U973" s="1"/>
      <c r="V973" s="1"/>
      <c r="W973" s="1"/>
      <c r="X973" s="1"/>
      <c r="Y973" s="1"/>
      <c r="Z973" s="1"/>
    </row>
    <row r="974" spans="1:26" ht="12.75" customHeight="1" x14ac:dyDescent="0.25">
      <c r="A974" s="1"/>
      <c r="B974" s="1"/>
      <c r="C974" s="3"/>
      <c r="D974" s="3"/>
      <c r="E974" s="5"/>
      <c r="F974" s="5"/>
      <c r="G974" s="3"/>
      <c r="H974" s="5"/>
      <c r="I974" s="1"/>
      <c r="J974" s="7"/>
      <c r="K974" s="1"/>
      <c r="L974" s="1"/>
      <c r="M974" s="1"/>
      <c r="N974" s="1"/>
      <c r="O974" s="1"/>
      <c r="P974" s="1"/>
      <c r="Q974" s="1"/>
      <c r="R974" s="1"/>
      <c r="S974" s="1"/>
      <c r="T974" s="1"/>
      <c r="U974" s="1"/>
      <c r="V974" s="1"/>
      <c r="W974" s="1"/>
      <c r="X974" s="1"/>
      <c r="Y974" s="1"/>
      <c r="Z974" s="1"/>
    </row>
    <row r="975" spans="1:26" ht="12.75" customHeight="1" x14ac:dyDescent="0.25">
      <c r="A975" s="1"/>
      <c r="B975" s="1"/>
      <c r="C975" s="3"/>
      <c r="D975" s="3"/>
      <c r="E975" s="5"/>
      <c r="F975" s="5"/>
      <c r="G975" s="3"/>
      <c r="H975" s="5"/>
      <c r="I975" s="1"/>
      <c r="J975" s="7"/>
      <c r="K975" s="1"/>
      <c r="L975" s="1"/>
      <c r="M975" s="1"/>
      <c r="N975" s="1"/>
      <c r="O975" s="1"/>
      <c r="P975" s="1"/>
      <c r="Q975" s="1"/>
      <c r="R975" s="1"/>
      <c r="S975" s="1"/>
      <c r="T975" s="1"/>
      <c r="U975" s="1"/>
      <c r="V975" s="1"/>
      <c r="W975" s="1"/>
      <c r="X975" s="1"/>
      <c r="Y975" s="1"/>
      <c r="Z975" s="1"/>
    </row>
    <row r="976" spans="1:26" ht="12.75" customHeight="1" x14ac:dyDescent="0.25">
      <c r="A976" s="1"/>
      <c r="B976" s="1"/>
      <c r="C976" s="3"/>
      <c r="D976" s="3"/>
      <c r="E976" s="5"/>
      <c r="F976" s="5"/>
      <c r="G976" s="3"/>
      <c r="H976" s="5"/>
      <c r="I976" s="1"/>
      <c r="J976" s="7"/>
      <c r="K976" s="1"/>
      <c r="L976" s="1"/>
      <c r="M976" s="1"/>
      <c r="N976" s="1"/>
      <c r="O976" s="1"/>
      <c r="P976" s="1"/>
      <c r="Q976" s="1"/>
      <c r="R976" s="1"/>
      <c r="S976" s="1"/>
      <c r="T976" s="1"/>
      <c r="U976" s="1"/>
      <c r="V976" s="1"/>
      <c r="W976" s="1"/>
      <c r="X976" s="1"/>
      <c r="Y976" s="1"/>
      <c r="Z976" s="1"/>
    </row>
    <row r="977" spans="1:26" ht="12.75" customHeight="1" x14ac:dyDescent="0.25">
      <c r="A977" s="1"/>
      <c r="B977" s="1"/>
      <c r="C977" s="3"/>
      <c r="D977" s="3"/>
      <c r="E977" s="5"/>
      <c r="F977" s="5"/>
      <c r="G977" s="3"/>
      <c r="H977" s="5"/>
      <c r="I977" s="1"/>
      <c r="J977" s="7"/>
      <c r="K977" s="1"/>
      <c r="L977" s="1"/>
      <c r="M977" s="1"/>
      <c r="N977" s="1"/>
      <c r="O977" s="1"/>
      <c r="P977" s="1"/>
      <c r="Q977" s="1"/>
      <c r="R977" s="1"/>
      <c r="S977" s="1"/>
      <c r="T977" s="1"/>
      <c r="U977" s="1"/>
      <c r="V977" s="1"/>
      <c r="W977" s="1"/>
      <c r="X977" s="1"/>
      <c r="Y977" s="1"/>
      <c r="Z977" s="1"/>
    </row>
    <row r="978" spans="1:26" ht="12.75" customHeight="1" x14ac:dyDescent="0.25">
      <c r="A978" s="1"/>
      <c r="B978" s="1"/>
      <c r="C978" s="3"/>
      <c r="D978" s="3"/>
      <c r="E978" s="5"/>
      <c r="F978" s="5"/>
      <c r="G978" s="3"/>
      <c r="H978" s="5"/>
      <c r="I978" s="1"/>
      <c r="J978" s="7"/>
      <c r="K978" s="1"/>
      <c r="L978" s="1"/>
      <c r="M978" s="1"/>
      <c r="N978" s="1"/>
      <c r="O978" s="1"/>
      <c r="P978" s="1"/>
      <c r="Q978" s="1"/>
      <c r="R978" s="1"/>
      <c r="S978" s="1"/>
      <c r="T978" s="1"/>
      <c r="U978" s="1"/>
      <c r="V978" s="1"/>
      <c r="W978" s="1"/>
      <c r="X978" s="1"/>
      <c r="Y978" s="1"/>
      <c r="Z978" s="1"/>
    </row>
    <row r="979" spans="1:26" ht="12.75" customHeight="1" x14ac:dyDescent="0.25">
      <c r="A979" s="1"/>
      <c r="B979" s="1"/>
      <c r="C979" s="3"/>
      <c r="D979" s="3"/>
      <c r="E979" s="5"/>
      <c r="F979" s="5"/>
      <c r="G979" s="3"/>
      <c r="H979" s="5"/>
      <c r="I979" s="1"/>
      <c r="J979" s="7"/>
      <c r="K979" s="1"/>
      <c r="L979" s="1"/>
      <c r="M979" s="1"/>
      <c r="N979" s="1"/>
      <c r="O979" s="1"/>
      <c r="P979" s="1"/>
      <c r="Q979" s="1"/>
      <c r="R979" s="1"/>
      <c r="S979" s="1"/>
      <c r="T979" s="1"/>
      <c r="U979" s="1"/>
      <c r="V979" s="1"/>
      <c r="W979" s="1"/>
      <c r="X979" s="1"/>
      <c r="Y979" s="1"/>
      <c r="Z979" s="1"/>
    </row>
    <row r="980" spans="1:26" ht="12.75" customHeight="1" x14ac:dyDescent="0.25">
      <c r="A980" s="1"/>
      <c r="B980" s="1"/>
      <c r="C980" s="3"/>
      <c r="D980" s="3"/>
      <c r="E980" s="5"/>
      <c r="F980" s="5"/>
      <c r="G980" s="3"/>
      <c r="H980" s="5"/>
      <c r="I980" s="1"/>
      <c r="J980" s="7"/>
      <c r="K980" s="1"/>
      <c r="L980" s="1"/>
      <c r="M980" s="1"/>
      <c r="N980" s="1"/>
      <c r="O980" s="1"/>
      <c r="P980" s="1"/>
      <c r="Q980" s="1"/>
      <c r="R980" s="1"/>
      <c r="S980" s="1"/>
      <c r="T980" s="1"/>
      <c r="U980" s="1"/>
      <c r="V980" s="1"/>
      <c r="W980" s="1"/>
      <c r="X980" s="1"/>
      <c r="Y980" s="1"/>
      <c r="Z980" s="1"/>
    </row>
    <row r="981" spans="1:26" ht="12.75" customHeight="1" x14ac:dyDescent="0.25">
      <c r="A981" s="1"/>
      <c r="B981" s="1"/>
      <c r="C981" s="3"/>
      <c r="D981" s="3"/>
      <c r="E981" s="5"/>
      <c r="F981" s="5"/>
      <c r="G981" s="3"/>
      <c r="H981" s="5"/>
      <c r="I981" s="1"/>
      <c r="J981" s="7"/>
      <c r="K981" s="1"/>
      <c r="L981" s="1"/>
      <c r="M981" s="1"/>
      <c r="N981" s="1"/>
      <c r="O981" s="1"/>
      <c r="P981" s="1"/>
      <c r="Q981" s="1"/>
      <c r="R981" s="1"/>
      <c r="S981" s="1"/>
      <c r="T981" s="1"/>
      <c r="U981" s="1"/>
      <c r="V981" s="1"/>
      <c r="W981" s="1"/>
      <c r="X981" s="1"/>
      <c r="Y981" s="1"/>
      <c r="Z981" s="1"/>
    </row>
    <row r="982" spans="1:26" ht="12.75" customHeight="1" x14ac:dyDescent="0.25">
      <c r="A982" s="1"/>
      <c r="B982" s="1"/>
      <c r="C982" s="3"/>
      <c r="D982" s="3"/>
      <c r="E982" s="5"/>
      <c r="F982" s="5"/>
      <c r="G982" s="3"/>
      <c r="H982" s="5"/>
      <c r="I982" s="1"/>
      <c r="J982" s="7"/>
      <c r="K982" s="1"/>
      <c r="L982" s="1"/>
      <c r="M982" s="1"/>
      <c r="N982" s="1"/>
      <c r="O982" s="1"/>
      <c r="P982" s="1"/>
      <c r="Q982" s="1"/>
      <c r="R982" s="1"/>
      <c r="S982" s="1"/>
      <c r="T982" s="1"/>
      <c r="U982" s="1"/>
      <c r="V982" s="1"/>
      <c r="W982" s="1"/>
      <c r="X982" s="1"/>
      <c r="Y982" s="1"/>
      <c r="Z982" s="1"/>
    </row>
    <row r="983" spans="1:26" ht="12.75" customHeight="1" x14ac:dyDescent="0.25">
      <c r="A983" s="1"/>
      <c r="B983" s="1"/>
      <c r="C983" s="3"/>
      <c r="D983" s="3"/>
      <c r="E983" s="5"/>
      <c r="F983" s="5"/>
      <c r="G983" s="3"/>
      <c r="H983" s="5"/>
      <c r="I983" s="1"/>
      <c r="J983" s="7"/>
      <c r="K983" s="1"/>
      <c r="L983" s="1"/>
      <c r="M983" s="1"/>
      <c r="N983" s="1"/>
      <c r="O983" s="1"/>
      <c r="P983" s="1"/>
      <c r="Q983" s="1"/>
      <c r="R983" s="1"/>
      <c r="S983" s="1"/>
      <c r="T983" s="1"/>
      <c r="U983" s="1"/>
      <c r="V983" s="1"/>
      <c r="W983" s="1"/>
      <c r="X983" s="1"/>
      <c r="Y983" s="1"/>
      <c r="Z983" s="1"/>
    </row>
    <row r="984" spans="1:26" ht="12.75" customHeight="1" x14ac:dyDescent="0.25">
      <c r="A984" s="1"/>
      <c r="B984" s="1"/>
      <c r="C984" s="3"/>
      <c r="D984" s="3"/>
      <c r="E984" s="5"/>
      <c r="F984" s="5"/>
      <c r="G984" s="3"/>
      <c r="H984" s="5"/>
      <c r="I984" s="1"/>
      <c r="J984" s="7"/>
      <c r="K984" s="1"/>
      <c r="L984" s="1"/>
      <c r="M984" s="1"/>
      <c r="N984" s="1"/>
      <c r="O984" s="1"/>
      <c r="P984" s="1"/>
      <c r="Q984" s="1"/>
      <c r="R984" s="1"/>
      <c r="S984" s="1"/>
      <c r="T984" s="1"/>
      <c r="U984" s="1"/>
      <c r="V984" s="1"/>
      <c r="W984" s="1"/>
      <c r="X984" s="1"/>
      <c r="Y984" s="1"/>
      <c r="Z984" s="1"/>
    </row>
    <row r="985" spans="1:26" ht="12.75" customHeight="1" x14ac:dyDescent="0.25">
      <c r="A985" s="1"/>
      <c r="B985" s="1"/>
      <c r="C985" s="3"/>
      <c r="D985" s="3"/>
      <c r="E985" s="5"/>
      <c r="F985" s="5"/>
      <c r="G985" s="3"/>
      <c r="H985" s="5"/>
      <c r="I985" s="1"/>
      <c r="J985" s="7"/>
      <c r="K985" s="1"/>
      <c r="L985" s="1"/>
      <c r="M985" s="1"/>
      <c r="N985" s="1"/>
      <c r="O985" s="1"/>
      <c r="P985" s="1"/>
      <c r="Q985" s="1"/>
      <c r="R985" s="1"/>
      <c r="S985" s="1"/>
      <c r="T985" s="1"/>
      <c r="U985" s="1"/>
      <c r="V985" s="1"/>
      <c r="W985" s="1"/>
      <c r="X985" s="1"/>
      <c r="Y985" s="1"/>
      <c r="Z985" s="1"/>
    </row>
    <row r="986" spans="1:26" ht="12.75" customHeight="1" x14ac:dyDescent="0.25">
      <c r="A986" s="1"/>
      <c r="B986" s="1"/>
      <c r="C986" s="3"/>
      <c r="D986" s="3"/>
      <c r="E986" s="5"/>
      <c r="F986" s="5"/>
      <c r="G986" s="3"/>
      <c r="H986" s="5"/>
      <c r="I986" s="1"/>
      <c r="J986" s="7"/>
      <c r="K986" s="1"/>
      <c r="L986" s="1"/>
      <c r="M986" s="1"/>
      <c r="N986" s="1"/>
      <c r="O986" s="1"/>
      <c r="P986" s="1"/>
      <c r="Q986" s="1"/>
      <c r="R986" s="1"/>
      <c r="S986" s="1"/>
      <c r="T986" s="1"/>
      <c r="U986" s="1"/>
      <c r="V986" s="1"/>
      <c r="W986" s="1"/>
      <c r="X986" s="1"/>
      <c r="Y986" s="1"/>
      <c r="Z986" s="1"/>
    </row>
    <row r="987" spans="1:26" ht="12.75" customHeight="1" x14ac:dyDescent="0.25">
      <c r="A987" s="1"/>
      <c r="B987" s="1"/>
      <c r="C987" s="3"/>
      <c r="D987" s="3"/>
      <c r="E987" s="5"/>
      <c r="F987" s="5"/>
      <c r="G987" s="3"/>
      <c r="H987" s="5"/>
      <c r="I987" s="1"/>
      <c r="J987" s="7"/>
      <c r="K987" s="1"/>
      <c r="L987" s="1"/>
      <c r="M987" s="1"/>
      <c r="N987" s="1"/>
      <c r="O987" s="1"/>
      <c r="P987" s="1"/>
      <c r="Q987" s="1"/>
      <c r="R987" s="1"/>
      <c r="S987" s="1"/>
      <c r="T987" s="1"/>
      <c r="U987" s="1"/>
      <c r="V987" s="1"/>
      <c r="W987" s="1"/>
      <c r="X987" s="1"/>
      <c r="Y987" s="1"/>
      <c r="Z987" s="1"/>
    </row>
    <row r="988" spans="1:26" ht="12.75" customHeight="1" x14ac:dyDescent="0.25">
      <c r="A988" s="1"/>
      <c r="B988" s="1"/>
      <c r="C988" s="3"/>
      <c r="D988" s="3"/>
      <c r="E988" s="5"/>
      <c r="F988" s="5"/>
      <c r="G988" s="3"/>
      <c r="H988" s="5"/>
      <c r="I988" s="1"/>
      <c r="J988" s="7"/>
      <c r="K988" s="1"/>
      <c r="L988" s="1"/>
      <c r="M988" s="1"/>
      <c r="N988" s="1"/>
      <c r="O988" s="1"/>
      <c r="P988" s="1"/>
      <c r="Q988" s="1"/>
      <c r="R988" s="1"/>
      <c r="S988" s="1"/>
      <c r="T988" s="1"/>
      <c r="U988" s="1"/>
      <c r="V988" s="1"/>
      <c r="W988" s="1"/>
      <c r="X988" s="1"/>
      <c r="Y988" s="1"/>
      <c r="Z988" s="1"/>
    </row>
    <row r="989" spans="1:26" ht="12.75" customHeight="1" x14ac:dyDescent="0.25">
      <c r="A989" s="1"/>
      <c r="B989" s="1"/>
      <c r="C989" s="3"/>
      <c r="D989" s="3"/>
      <c r="E989" s="5"/>
      <c r="F989" s="5"/>
      <c r="G989" s="3"/>
      <c r="H989" s="5"/>
      <c r="I989" s="1"/>
      <c r="J989" s="7"/>
      <c r="K989" s="1"/>
      <c r="L989" s="1"/>
      <c r="M989" s="1"/>
      <c r="N989" s="1"/>
      <c r="O989" s="1"/>
      <c r="P989" s="1"/>
      <c r="Q989" s="1"/>
      <c r="R989" s="1"/>
      <c r="S989" s="1"/>
      <c r="T989" s="1"/>
      <c r="U989" s="1"/>
      <c r="V989" s="1"/>
      <c r="W989" s="1"/>
      <c r="X989" s="1"/>
      <c r="Y989" s="1"/>
      <c r="Z989" s="1"/>
    </row>
    <row r="990" spans="1:26" ht="12.75" customHeight="1" x14ac:dyDescent="0.25">
      <c r="A990" s="1"/>
      <c r="B990" s="1"/>
      <c r="C990" s="3"/>
      <c r="D990" s="3"/>
      <c r="E990" s="5"/>
      <c r="F990" s="5"/>
      <c r="G990" s="3"/>
      <c r="H990" s="5"/>
      <c r="I990" s="1"/>
      <c r="J990" s="7"/>
      <c r="K990" s="1"/>
      <c r="L990" s="1"/>
      <c r="M990" s="1"/>
      <c r="N990" s="1"/>
      <c r="O990" s="1"/>
      <c r="P990" s="1"/>
      <c r="Q990" s="1"/>
      <c r="R990" s="1"/>
      <c r="S990" s="1"/>
      <c r="T990" s="1"/>
      <c r="U990" s="1"/>
      <c r="V990" s="1"/>
      <c r="W990" s="1"/>
      <c r="X990" s="1"/>
      <c r="Y990" s="1"/>
      <c r="Z990" s="1"/>
    </row>
    <row r="991" spans="1:26" ht="12.75" customHeight="1" x14ac:dyDescent="0.25">
      <c r="A991" s="1"/>
      <c r="B991" s="1"/>
      <c r="C991" s="3"/>
      <c r="D991" s="3"/>
      <c r="E991" s="5"/>
      <c r="F991" s="5"/>
      <c r="G991" s="3"/>
      <c r="H991" s="5"/>
      <c r="I991" s="1"/>
      <c r="J991" s="7"/>
      <c r="K991" s="1"/>
      <c r="L991" s="1"/>
      <c r="M991" s="1"/>
      <c r="N991" s="1"/>
      <c r="O991" s="1"/>
      <c r="P991" s="1"/>
      <c r="Q991" s="1"/>
      <c r="R991" s="1"/>
      <c r="S991" s="1"/>
      <c r="T991" s="1"/>
      <c r="U991" s="1"/>
      <c r="V991" s="1"/>
      <c r="W991" s="1"/>
      <c r="X991" s="1"/>
      <c r="Y991" s="1"/>
      <c r="Z991" s="1"/>
    </row>
    <row r="992" spans="1:26" ht="12.75" customHeight="1" x14ac:dyDescent="0.25">
      <c r="A992" s="1"/>
      <c r="B992" s="1"/>
      <c r="C992" s="3"/>
      <c r="D992" s="3"/>
      <c r="E992" s="5"/>
      <c r="F992" s="5"/>
      <c r="G992" s="3"/>
      <c r="H992" s="5"/>
      <c r="I992" s="1"/>
      <c r="J992" s="7"/>
      <c r="K992" s="1"/>
      <c r="L992" s="1"/>
      <c r="M992" s="1"/>
      <c r="N992" s="1"/>
      <c r="O992" s="1"/>
      <c r="P992" s="1"/>
      <c r="Q992" s="1"/>
      <c r="R992" s="1"/>
      <c r="S992" s="1"/>
      <c r="T992" s="1"/>
      <c r="U992" s="1"/>
      <c r="V992" s="1"/>
      <c r="W992" s="1"/>
      <c r="X992" s="1"/>
      <c r="Y992" s="1"/>
      <c r="Z992" s="1"/>
    </row>
    <row r="993" spans="1:26" ht="12.75" customHeight="1" x14ac:dyDescent="0.25">
      <c r="A993" s="1"/>
      <c r="B993" s="1"/>
      <c r="C993" s="3"/>
      <c r="D993" s="3"/>
      <c r="E993" s="5"/>
      <c r="F993" s="5"/>
      <c r="G993" s="3"/>
      <c r="H993" s="5"/>
      <c r="I993" s="1"/>
      <c r="J993" s="7"/>
      <c r="K993" s="1"/>
      <c r="L993" s="1"/>
      <c r="M993" s="1"/>
      <c r="N993" s="1"/>
      <c r="O993" s="1"/>
      <c r="P993" s="1"/>
      <c r="Q993" s="1"/>
      <c r="R993" s="1"/>
      <c r="S993" s="1"/>
      <c r="T993" s="1"/>
      <c r="U993" s="1"/>
      <c r="V993" s="1"/>
      <c r="W993" s="1"/>
      <c r="X993" s="1"/>
      <c r="Y993" s="1"/>
      <c r="Z993" s="1"/>
    </row>
    <row r="994" spans="1:26" ht="12.75" customHeight="1" x14ac:dyDescent="0.25">
      <c r="A994" s="1"/>
      <c r="B994" s="1"/>
      <c r="C994" s="3"/>
      <c r="D994" s="3"/>
      <c r="E994" s="5"/>
      <c r="F994" s="5"/>
      <c r="G994" s="3"/>
      <c r="H994" s="5"/>
      <c r="I994" s="1"/>
      <c r="J994" s="7"/>
      <c r="K994" s="1"/>
      <c r="L994" s="1"/>
      <c r="M994" s="1"/>
      <c r="N994" s="1"/>
      <c r="O994" s="1"/>
      <c r="P994" s="1"/>
      <c r="Q994" s="1"/>
      <c r="R994" s="1"/>
      <c r="S994" s="1"/>
      <c r="T994" s="1"/>
      <c r="U994" s="1"/>
      <c r="V994" s="1"/>
      <c r="W994" s="1"/>
      <c r="X994" s="1"/>
      <c r="Y994" s="1"/>
      <c r="Z994" s="1"/>
    </row>
    <row r="995" spans="1:26" ht="12.75" customHeight="1" x14ac:dyDescent="0.25">
      <c r="A995" s="1"/>
      <c r="B995" s="1"/>
      <c r="C995" s="3"/>
      <c r="D995" s="3"/>
      <c r="E995" s="5"/>
      <c r="F995" s="5"/>
      <c r="G995" s="3"/>
      <c r="H995" s="5"/>
      <c r="I995" s="1"/>
      <c r="J995" s="7"/>
      <c r="K995" s="1"/>
      <c r="L995" s="1"/>
      <c r="M995" s="1"/>
      <c r="N995" s="1"/>
      <c r="O995" s="1"/>
      <c r="P995" s="1"/>
      <c r="Q995" s="1"/>
      <c r="R995" s="1"/>
      <c r="S995" s="1"/>
      <c r="T995" s="1"/>
      <c r="U995" s="1"/>
      <c r="V995" s="1"/>
      <c r="W995" s="1"/>
      <c r="X995" s="1"/>
      <c r="Y995" s="1"/>
      <c r="Z995" s="1"/>
    </row>
    <row r="996" spans="1:26" ht="12.75" customHeight="1" x14ac:dyDescent="0.25">
      <c r="A996" s="1"/>
      <c r="B996" s="1"/>
      <c r="C996" s="3"/>
      <c r="D996" s="3"/>
      <c r="E996" s="5"/>
      <c r="F996" s="5"/>
      <c r="G996" s="3"/>
      <c r="H996" s="5"/>
      <c r="I996" s="1"/>
      <c r="J996" s="7"/>
      <c r="K996" s="1"/>
      <c r="L996" s="1"/>
      <c r="M996" s="1"/>
      <c r="N996" s="1"/>
      <c r="O996" s="1"/>
      <c r="P996" s="1"/>
      <c r="Q996" s="1"/>
      <c r="R996" s="1"/>
      <c r="S996" s="1"/>
      <c r="T996" s="1"/>
      <c r="U996" s="1"/>
      <c r="V996" s="1"/>
      <c r="W996" s="1"/>
      <c r="X996" s="1"/>
      <c r="Y996" s="1"/>
      <c r="Z996" s="1"/>
    </row>
    <row r="997" spans="1:26" ht="12.75" customHeight="1" x14ac:dyDescent="0.25">
      <c r="A997" s="1"/>
      <c r="B997" s="1"/>
      <c r="C997" s="3"/>
      <c r="D997" s="3"/>
      <c r="E997" s="5"/>
      <c r="F997" s="5"/>
      <c r="G997" s="3"/>
      <c r="H997" s="5"/>
      <c r="I997" s="1"/>
      <c r="J997" s="7"/>
      <c r="K997" s="1"/>
      <c r="L997" s="1"/>
      <c r="M997" s="1"/>
      <c r="N997" s="1"/>
      <c r="O997" s="1"/>
      <c r="P997" s="1"/>
      <c r="Q997" s="1"/>
      <c r="R997" s="1"/>
      <c r="S997" s="1"/>
      <c r="T997" s="1"/>
      <c r="U997" s="1"/>
      <c r="V997" s="1"/>
      <c r="W997" s="1"/>
      <c r="X997" s="1"/>
      <c r="Y997" s="1"/>
      <c r="Z997" s="1"/>
    </row>
    <row r="998" spans="1:26" ht="12.75" customHeight="1" x14ac:dyDescent="0.25">
      <c r="A998" s="1"/>
      <c r="B998" s="1"/>
      <c r="C998" s="3"/>
      <c r="D998" s="3"/>
      <c r="E998" s="5"/>
      <c r="F998" s="5"/>
      <c r="G998" s="3"/>
      <c r="H998" s="5"/>
      <c r="I998" s="1"/>
      <c r="J998" s="7"/>
      <c r="K998" s="1"/>
      <c r="L998" s="1"/>
      <c r="M998" s="1"/>
      <c r="N998" s="1"/>
      <c r="O998" s="1"/>
      <c r="P998" s="1"/>
      <c r="Q998" s="1"/>
      <c r="R998" s="1"/>
      <c r="S998" s="1"/>
      <c r="T998" s="1"/>
      <c r="U998" s="1"/>
      <c r="V998" s="1"/>
      <c r="W998" s="1"/>
      <c r="X998" s="1"/>
      <c r="Y998" s="1"/>
      <c r="Z998" s="1"/>
    </row>
    <row r="999" spans="1:26" ht="12.75" customHeight="1" x14ac:dyDescent="0.25">
      <c r="A999" s="1"/>
      <c r="B999" s="1"/>
      <c r="C999" s="3"/>
      <c r="D999" s="3"/>
      <c r="E999" s="5"/>
      <c r="F999" s="5"/>
      <c r="G999" s="3"/>
      <c r="H999" s="5"/>
      <c r="I999" s="1"/>
      <c r="J999" s="7"/>
      <c r="K999" s="1"/>
      <c r="L999" s="1"/>
      <c r="M999" s="1"/>
      <c r="N999" s="1"/>
      <c r="O999" s="1"/>
      <c r="P999" s="1"/>
      <c r="Q999" s="1"/>
      <c r="R999" s="1"/>
      <c r="S999" s="1"/>
      <c r="T999" s="1"/>
      <c r="U999" s="1"/>
      <c r="V999" s="1"/>
      <c r="W999" s="1"/>
      <c r="X999" s="1"/>
      <c r="Y999" s="1"/>
      <c r="Z999" s="1"/>
    </row>
    <row r="1000" spans="1:26" ht="12.75" customHeight="1" x14ac:dyDescent="0.25">
      <c r="A1000" s="1"/>
      <c r="B1000" s="1"/>
      <c r="C1000" s="3"/>
      <c r="D1000" s="3"/>
      <c r="E1000" s="5"/>
      <c r="F1000" s="5"/>
      <c r="G1000" s="3"/>
      <c r="H1000" s="5"/>
      <c r="I1000" s="1"/>
      <c r="J1000" s="7"/>
      <c r="K1000" s="1"/>
      <c r="L1000" s="1"/>
      <c r="M1000" s="1"/>
      <c r="N1000" s="1"/>
      <c r="O1000" s="1"/>
      <c r="P1000" s="1"/>
      <c r="Q1000" s="1"/>
      <c r="R1000" s="1"/>
      <c r="S1000" s="1"/>
      <c r="T1000" s="1"/>
      <c r="U1000" s="1"/>
      <c r="V1000" s="1"/>
      <c r="W1000" s="1"/>
      <c r="X1000" s="1"/>
      <c r="Y1000" s="1"/>
      <c r="Z1000" s="1"/>
    </row>
  </sheetData>
  <mergeCells count="15">
    <mergeCell ref="A100:A101"/>
    <mergeCell ref="A2:J2"/>
    <mergeCell ref="A3:J3"/>
    <mergeCell ref="A4:J4"/>
    <mergeCell ref="A5:J5"/>
    <mergeCell ref="A6:J6"/>
    <mergeCell ref="A103:A104"/>
    <mergeCell ref="A106:A107"/>
    <mergeCell ref="G116:J116"/>
    <mergeCell ref="H113:J113"/>
    <mergeCell ref="G114:J114"/>
    <mergeCell ref="G115:J115"/>
    <mergeCell ref="C114:E114"/>
    <mergeCell ref="C115:E115"/>
    <mergeCell ref="C116:E116"/>
  </mergeCells>
  <dataValidations count="1">
    <dataValidation type="decimal" operator="equal" allowBlank="1" showErrorMessage="1" sqref="D9:J75 E76:F76 H76 J76 D77:J109" xr:uid="{00000000-0002-0000-0200-000000000000}">
      <formula1>1</formula1>
    </dataValidation>
  </dataValidations>
  <pageMargins left="0.70866141732283472" right="0.70866141732283472" top="0.74803149606299213" bottom="0.74803149606299213" header="0" footer="0"/>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1000"/>
  <sheetViews>
    <sheetView showGridLines="0" view="pageBreakPreview" zoomScaleNormal="100" zoomScaleSheetLayoutView="100" workbookViewId="0">
      <selection activeCell="O31" sqref="O31"/>
    </sheetView>
  </sheetViews>
  <sheetFormatPr baseColWidth="10" defaultColWidth="14.42578125" defaultRowHeight="15" customHeight="1" x14ac:dyDescent="0.25"/>
  <cols>
    <col min="1" max="1" width="4.7109375" customWidth="1"/>
    <col min="2" max="2" width="33.5703125" bestFit="1" customWidth="1"/>
    <col min="3" max="3" width="3.42578125" customWidth="1"/>
    <col min="4" max="4" width="11.7109375" customWidth="1"/>
    <col min="5" max="5" width="9.28515625" customWidth="1"/>
    <col min="6" max="6" width="3" customWidth="1"/>
    <col min="7" max="7" width="11.7109375" customWidth="1"/>
    <col min="8" max="8" width="9.28515625" customWidth="1"/>
    <col min="9" max="9" width="2.7109375" customWidth="1"/>
    <col min="10" max="10" width="31.28515625" bestFit="1" customWidth="1"/>
    <col min="11" max="11" width="5.28515625" customWidth="1"/>
    <col min="12" max="12" width="15.140625" bestFit="1" customWidth="1"/>
    <col min="13" max="13" width="11.5703125" customWidth="1"/>
    <col min="14" max="14" width="3" customWidth="1"/>
    <col min="15" max="15" width="14.42578125" customWidth="1"/>
    <col min="16" max="16" width="11.5703125" customWidth="1"/>
    <col min="17" max="18" width="11.42578125" customWidth="1"/>
    <col min="19" max="19" width="12.85546875" customWidth="1"/>
    <col min="20" max="36" width="11.42578125" customWidth="1"/>
  </cols>
  <sheetData>
    <row r="1" spans="1:36" ht="12.75" customHeight="1" x14ac:dyDescent="0.25">
      <c r="A1" s="143"/>
      <c r="B1" s="145"/>
      <c r="C1" s="146"/>
      <c r="D1" s="114"/>
      <c r="E1" s="148"/>
      <c r="F1" s="148"/>
      <c r="G1" s="114"/>
      <c r="H1" s="149"/>
      <c r="I1" s="143"/>
      <c r="J1" s="143"/>
      <c r="K1" s="143"/>
      <c r="L1" s="143"/>
      <c r="M1" s="150"/>
      <c r="N1" s="143"/>
      <c r="O1" s="1"/>
      <c r="P1" s="151"/>
      <c r="Q1" s="143"/>
      <c r="R1" s="143"/>
      <c r="S1" s="143"/>
      <c r="T1" s="143"/>
      <c r="U1" s="143"/>
      <c r="V1" s="143"/>
      <c r="W1" s="143"/>
      <c r="X1" s="143"/>
      <c r="Y1" s="143"/>
      <c r="Z1" s="143"/>
      <c r="AA1" s="143"/>
      <c r="AB1" s="143"/>
      <c r="AC1" s="143"/>
      <c r="AD1" s="143"/>
      <c r="AE1" s="143"/>
      <c r="AF1" s="143"/>
      <c r="AG1" s="143"/>
      <c r="AH1" s="143"/>
      <c r="AI1" s="143"/>
      <c r="AJ1" s="143"/>
    </row>
    <row r="2" spans="1:36" ht="12.75" customHeight="1" x14ac:dyDescent="0.25">
      <c r="A2" s="143"/>
      <c r="B2" s="405" t="str">
        <f>+DATOS!H6</f>
        <v>GRUPO DE LOLITA S.A.S</v>
      </c>
      <c r="C2" s="400"/>
      <c r="D2" s="400"/>
      <c r="E2" s="400"/>
      <c r="F2" s="400"/>
      <c r="G2" s="400"/>
      <c r="H2" s="400"/>
      <c r="I2" s="400"/>
      <c r="J2" s="400"/>
      <c r="K2" s="400"/>
      <c r="L2" s="400"/>
      <c r="M2" s="400"/>
      <c r="N2" s="400"/>
      <c r="O2" s="400"/>
      <c r="P2" s="151"/>
      <c r="Q2" s="143"/>
      <c r="R2" s="143"/>
      <c r="S2" s="143"/>
      <c r="T2" s="143"/>
      <c r="U2" s="143"/>
      <c r="V2" s="143"/>
      <c r="W2" s="143"/>
      <c r="X2" s="143"/>
      <c r="Y2" s="143"/>
      <c r="Z2" s="143"/>
      <c r="AA2" s="143"/>
      <c r="AB2" s="143"/>
      <c r="AC2" s="143"/>
      <c r="AD2" s="143"/>
      <c r="AE2" s="143"/>
      <c r="AF2" s="143"/>
      <c r="AG2" s="143"/>
      <c r="AH2" s="143"/>
      <c r="AI2" s="143"/>
      <c r="AJ2" s="143"/>
    </row>
    <row r="3" spans="1:36" ht="12.75" customHeight="1" x14ac:dyDescent="0.25">
      <c r="A3" s="143"/>
      <c r="B3" s="405" t="str">
        <f>+DATOS!H7</f>
        <v>NIT: 900.307.969-5</v>
      </c>
      <c r="C3" s="400"/>
      <c r="D3" s="400"/>
      <c r="E3" s="400"/>
      <c r="F3" s="400"/>
      <c r="G3" s="400"/>
      <c r="H3" s="400"/>
      <c r="I3" s="400"/>
      <c r="J3" s="400"/>
      <c r="K3" s="400"/>
      <c r="L3" s="400"/>
      <c r="M3" s="400"/>
      <c r="N3" s="400"/>
      <c r="O3" s="400"/>
      <c r="P3" s="151"/>
      <c r="Q3" s="143"/>
      <c r="R3" s="143"/>
      <c r="S3" s="143"/>
      <c r="T3" s="143"/>
      <c r="U3" s="143"/>
      <c r="V3" s="143"/>
      <c r="W3" s="143"/>
      <c r="X3" s="143"/>
      <c r="Y3" s="143"/>
      <c r="Z3" s="143"/>
      <c r="AA3" s="143"/>
      <c r="AB3" s="143"/>
      <c r="AC3" s="143"/>
      <c r="AD3" s="143"/>
      <c r="AE3" s="143"/>
      <c r="AF3" s="143"/>
      <c r="AG3" s="143"/>
      <c r="AH3" s="143"/>
      <c r="AI3" s="143"/>
      <c r="AJ3" s="143"/>
    </row>
    <row r="4" spans="1:36" ht="12.75" customHeight="1" x14ac:dyDescent="0.25">
      <c r="A4" s="143"/>
      <c r="B4" s="405" t="s">
        <v>221</v>
      </c>
      <c r="C4" s="400"/>
      <c r="D4" s="400"/>
      <c r="E4" s="400"/>
      <c r="F4" s="400"/>
      <c r="G4" s="400"/>
      <c r="H4" s="400"/>
      <c r="I4" s="400"/>
      <c r="J4" s="400"/>
      <c r="K4" s="400"/>
      <c r="L4" s="400"/>
      <c r="M4" s="400"/>
      <c r="N4" s="400"/>
      <c r="O4" s="400"/>
      <c r="P4" s="151"/>
      <c r="Q4" s="143"/>
      <c r="R4" s="143"/>
      <c r="S4" s="143"/>
      <c r="T4" s="143"/>
      <c r="U4" s="143"/>
      <c r="V4" s="143"/>
      <c r="W4" s="143"/>
      <c r="X4" s="143"/>
      <c r="Y4" s="143"/>
      <c r="Z4" s="143"/>
      <c r="AA4" s="143"/>
      <c r="AB4" s="143"/>
      <c r="AC4" s="143"/>
      <c r="AD4" s="143"/>
      <c r="AE4" s="143"/>
      <c r="AF4" s="143"/>
      <c r="AG4" s="143"/>
      <c r="AH4" s="143"/>
      <c r="AI4" s="143"/>
      <c r="AJ4" s="143"/>
    </row>
    <row r="5" spans="1:36" ht="12.75" customHeight="1" x14ac:dyDescent="0.25">
      <c r="A5" s="143"/>
      <c r="B5" s="405" t="str">
        <f>+DATOS!H8</f>
        <v>A 30 de Junio de 2026 y 2025</v>
      </c>
      <c r="C5" s="400"/>
      <c r="D5" s="400"/>
      <c r="E5" s="400"/>
      <c r="F5" s="400"/>
      <c r="G5" s="400"/>
      <c r="H5" s="400"/>
      <c r="I5" s="400"/>
      <c r="J5" s="400"/>
      <c r="K5" s="400"/>
      <c r="L5" s="400"/>
      <c r="M5" s="400"/>
      <c r="N5" s="400"/>
      <c r="O5" s="400"/>
      <c r="P5" s="151"/>
      <c r="Q5" s="143"/>
      <c r="R5" s="143"/>
      <c r="S5" s="143"/>
      <c r="T5" s="143"/>
      <c r="U5" s="143"/>
      <c r="V5" s="143"/>
      <c r="W5" s="143"/>
      <c r="X5" s="143"/>
      <c r="Y5" s="143"/>
      <c r="Z5" s="143"/>
      <c r="AA5" s="143"/>
      <c r="AB5" s="143"/>
      <c r="AC5" s="143"/>
      <c r="AD5" s="143"/>
      <c r="AE5" s="143"/>
      <c r="AF5" s="143"/>
      <c r="AG5" s="143"/>
      <c r="AH5" s="143"/>
      <c r="AI5" s="143"/>
      <c r="AJ5" s="143"/>
    </row>
    <row r="6" spans="1:36" ht="12.75" customHeight="1" x14ac:dyDescent="0.25">
      <c r="A6" s="143"/>
      <c r="B6" s="405" t="s">
        <v>222</v>
      </c>
      <c r="C6" s="400"/>
      <c r="D6" s="400"/>
      <c r="E6" s="400"/>
      <c r="F6" s="400"/>
      <c r="G6" s="400"/>
      <c r="H6" s="400"/>
      <c r="I6" s="400"/>
      <c r="J6" s="400"/>
      <c r="K6" s="400"/>
      <c r="L6" s="400"/>
      <c r="M6" s="400"/>
      <c r="N6" s="400"/>
      <c r="O6" s="400"/>
      <c r="P6" s="151"/>
      <c r="Q6" s="143"/>
      <c r="R6" s="143"/>
      <c r="S6" s="143"/>
      <c r="T6" s="143"/>
      <c r="U6" s="143"/>
      <c r="V6" s="143"/>
      <c r="W6" s="143"/>
      <c r="X6" s="143"/>
      <c r="Y6" s="143"/>
      <c r="Z6" s="143"/>
      <c r="AA6" s="143"/>
      <c r="AB6" s="143"/>
      <c r="AC6" s="143"/>
      <c r="AD6" s="143"/>
      <c r="AE6" s="143"/>
      <c r="AF6" s="143"/>
      <c r="AG6" s="143"/>
      <c r="AH6" s="143"/>
      <c r="AI6" s="143"/>
      <c r="AJ6" s="143"/>
    </row>
    <row r="7" spans="1:36" ht="12.75" customHeight="1" x14ac:dyDescent="0.25">
      <c r="A7" s="143"/>
      <c r="B7" s="14"/>
      <c r="C7" s="14"/>
      <c r="D7" s="14"/>
      <c r="E7" s="14"/>
      <c r="F7" s="14"/>
      <c r="G7" s="14"/>
      <c r="H7" s="14"/>
      <c r="I7" s="14"/>
      <c r="J7" s="14"/>
      <c r="K7" s="14"/>
      <c r="L7" s="14"/>
      <c r="M7" s="14"/>
      <c r="N7" s="14"/>
      <c r="O7" s="14"/>
      <c r="P7" s="151"/>
      <c r="Q7" s="143"/>
      <c r="R7" s="143"/>
      <c r="S7" s="143"/>
      <c r="T7" s="143"/>
      <c r="U7" s="143"/>
      <c r="V7" s="143"/>
      <c r="W7" s="143"/>
      <c r="X7" s="143"/>
      <c r="Y7" s="143"/>
      <c r="Z7" s="143"/>
      <c r="AA7" s="143"/>
      <c r="AB7" s="143"/>
      <c r="AC7" s="143"/>
      <c r="AD7" s="143"/>
      <c r="AE7" s="143"/>
      <c r="AF7" s="143"/>
      <c r="AG7" s="143"/>
      <c r="AH7" s="143"/>
      <c r="AI7" s="143"/>
      <c r="AJ7" s="143"/>
    </row>
    <row r="8" spans="1:36" ht="12.75" customHeight="1" x14ac:dyDescent="0.25">
      <c r="A8" s="143"/>
      <c r="B8" s="417"/>
      <c r="C8" s="400"/>
      <c r="D8" s="400"/>
      <c r="E8" s="400"/>
      <c r="F8" s="400"/>
      <c r="G8" s="400"/>
      <c r="H8" s="400"/>
      <c r="I8" s="400"/>
      <c r="J8" s="400"/>
      <c r="K8" s="400"/>
      <c r="L8" s="400"/>
      <c r="M8" s="400"/>
      <c r="N8" s="400"/>
      <c r="O8" s="400"/>
      <c r="P8" s="151"/>
      <c r="Q8" s="143"/>
      <c r="R8" s="143"/>
      <c r="S8" s="143"/>
      <c r="T8" s="143"/>
      <c r="U8" s="143"/>
      <c r="V8" s="143"/>
      <c r="W8" s="143"/>
      <c r="X8" s="143"/>
      <c r="Y8" s="143"/>
      <c r="Z8" s="143"/>
      <c r="AA8" s="143"/>
      <c r="AB8" s="143"/>
      <c r="AC8" s="143"/>
      <c r="AD8" s="143"/>
      <c r="AE8" s="143"/>
      <c r="AF8" s="143"/>
      <c r="AG8" s="143"/>
      <c r="AH8" s="143"/>
      <c r="AI8" s="143"/>
      <c r="AJ8" s="143"/>
    </row>
    <row r="9" spans="1:36" ht="15.75" x14ac:dyDescent="0.25">
      <c r="A9" s="143"/>
      <c r="B9" s="154" t="s">
        <v>224</v>
      </c>
      <c r="C9" s="143"/>
      <c r="D9" s="416" t="str">
        <f>+DATOS!H10</f>
        <v>2026-06</v>
      </c>
      <c r="E9" s="409"/>
      <c r="F9" s="143"/>
      <c r="G9" s="416" t="str">
        <f>+DATOS!H11</f>
        <v>2025-06</v>
      </c>
      <c r="H9" s="409"/>
      <c r="I9" s="143"/>
      <c r="J9" s="154" t="s">
        <v>226</v>
      </c>
      <c r="K9" s="143"/>
      <c r="L9" s="416" t="str">
        <f>+D9</f>
        <v>2026-06</v>
      </c>
      <c r="M9" s="409"/>
      <c r="N9" s="143"/>
      <c r="O9" s="416" t="str">
        <f>+G9</f>
        <v>2025-06</v>
      </c>
      <c r="P9" s="409"/>
      <c r="Q9" s="143"/>
      <c r="R9" s="143"/>
      <c r="S9" s="143"/>
      <c r="T9" s="143"/>
      <c r="U9" s="143"/>
      <c r="V9" s="143"/>
      <c r="W9" s="143"/>
      <c r="X9" s="143"/>
      <c r="Y9" s="143"/>
      <c r="Z9" s="143"/>
      <c r="AA9" s="143"/>
      <c r="AB9" s="143"/>
      <c r="AC9" s="143"/>
      <c r="AD9" s="143"/>
      <c r="AE9" s="143"/>
      <c r="AF9" s="143"/>
      <c r="AG9" s="143"/>
      <c r="AH9" s="143"/>
      <c r="AI9" s="143"/>
      <c r="AJ9" s="143"/>
    </row>
    <row r="10" spans="1:36" x14ac:dyDescent="0.25">
      <c r="A10" s="143"/>
      <c r="B10" s="157"/>
      <c r="C10" s="143"/>
      <c r="D10" s="158"/>
      <c r="E10" s="160"/>
      <c r="F10" s="143"/>
      <c r="G10" s="158"/>
      <c r="H10" s="161"/>
      <c r="I10" s="143"/>
      <c r="J10" s="157">
        <f>IFERROR(I10/G10,100%)*OR(IF(D10-G10=0,(0%),+I10/I10))</f>
        <v>0</v>
      </c>
      <c r="K10" s="143"/>
      <c r="L10" s="158"/>
      <c r="M10" s="161"/>
      <c r="N10" s="143"/>
      <c r="O10" s="158"/>
      <c r="P10" s="151"/>
      <c r="Q10" s="143"/>
      <c r="R10" s="143"/>
      <c r="S10" s="143"/>
      <c r="T10" s="143"/>
      <c r="U10" s="143"/>
      <c r="V10" s="143"/>
      <c r="W10" s="143"/>
      <c r="X10" s="143"/>
      <c r="Y10" s="143"/>
      <c r="Z10" s="143"/>
      <c r="AA10" s="143"/>
      <c r="AB10" s="143"/>
      <c r="AC10" s="143"/>
      <c r="AD10" s="143"/>
      <c r="AE10" s="143"/>
      <c r="AF10" s="143"/>
      <c r="AG10" s="143"/>
      <c r="AH10" s="143"/>
      <c r="AI10" s="143"/>
      <c r="AJ10" s="143"/>
    </row>
    <row r="11" spans="1:36" x14ac:dyDescent="0.25">
      <c r="A11" s="143"/>
      <c r="B11" s="162" t="s">
        <v>228</v>
      </c>
      <c r="C11" s="143"/>
      <c r="D11" s="158"/>
      <c r="E11" s="160"/>
      <c r="F11" s="143"/>
      <c r="G11" s="158"/>
      <c r="H11" s="161"/>
      <c r="I11" s="143"/>
      <c r="J11" s="162" t="s">
        <v>229</v>
      </c>
      <c r="K11" s="143"/>
      <c r="L11" s="14"/>
      <c r="M11" s="164"/>
      <c r="N11" s="143"/>
      <c r="O11" s="14"/>
      <c r="P11" s="151"/>
      <c r="Q11" s="143"/>
      <c r="R11" s="143"/>
      <c r="S11" s="143"/>
      <c r="T11" s="143"/>
      <c r="U11" s="143"/>
      <c r="V11" s="143"/>
      <c r="W11" s="143"/>
      <c r="X11" s="143"/>
      <c r="Y11" s="143"/>
      <c r="Z11" s="143"/>
      <c r="AA11" s="143"/>
      <c r="AB11" s="143"/>
      <c r="AC11" s="143"/>
      <c r="AD11" s="143"/>
      <c r="AE11" s="143"/>
      <c r="AF11" s="143"/>
      <c r="AG11" s="143"/>
      <c r="AH11" s="143"/>
      <c r="AI11" s="143"/>
      <c r="AJ11" s="143"/>
    </row>
    <row r="12" spans="1:36" x14ac:dyDescent="0.25">
      <c r="A12" s="143"/>
      <c r="B12" s="157" t="s">
        <v>230</v>
      </c>
      <c r="C12" s="166"/>
      <c r="D12" s="167">
        <f>SUM(D13:D16)</f>
        <v>139451.12803999989</v>
      </c>
      <c r="E12" s="160">
        <f>+D12/$D$71</f>
        <v>5.9244263370783375E-2</v>
      </c>
      <c r="F12" s="143"/>
      <c r="G12" s="167">
        <f>SUM(G13:G16)</f>
        <v>316343.35664000025</v>
      </c>
      <c r="H12" s="160">
        <f>+G12/$G$71</f>
        <v>0.10733027790699763</v>
      </c>
      <c r="I12" s="143"/>
      <c r="J12" s="157" t="s">
        <v>240</v>
      </c>
      <c r="K12" s="143"/>
      <c r="L12" s="116">
        <f>+L13</f>
        <v>0</v>
      </c>
      <c r="M12" s="170">
        <f>+L12/$L$71</f>
        <v>0</v>
      </c>
      <c r="N12" s="166"/>
      <c r="O12" s="116">
        <f>+O13</f>
        <v>0</v>
      </c>
      <c r="P12" s="170">
        <f>+O12/$O$71</f>
        <v>0</v>
      </c>
      <c r="Q12" s="143"/>
      <c r="R12" s="143"/>
      <c r="S12" s="143"/>
      <c r="T12" s="143"/>
      <c r="U12" s="143"/>
      <c r="V12" s="143"/>
      <c r="W12" s="143"/>
      <c r="X12" s="143"/>
      <c r="Y12" s="143"/>
      <c r="Z12" s="143"/>
      <c r="AA12" s="143"/>
      <c r="AB12" s="143"/>
      <c r="AC12" s="143"/>
      <c r="AD12" s="143"/>
      <c r="AE12" s="143"/>
      <c r="AF12" s="143"/>
      <c r="AG12" s="143"/>
      <c r="AH12" s="143"/>
      <c r="AI12" s="143"/>
      <c r="AJ12" s="143"/>
    </row>
    <row r="13" spans="1:36" x14ac:dyDescent="0.25">
      <c r="A13" s="143"/>
      <c r="B13" s="143" t="s">
        <v>241</v>
      </c>
      <c r="C13" s="166"/>
      <c r="D13" s="171">
        <f>+DATOS!C6</f>
        <v>65577.05640999999</v>
      </c>
      <c r="E13" s="172">
        <f>+D13/$D$71</f>
        <v>2.7859684289684435E-2</v>
      </c>
      <c r="F13" s="166"/>
      <c r="G13" s="171">
        <f>+DATOS!E6</f>
        <v>214238.89168999999</v>
      </c>
      <c r="H13" s="172">
        <f>+G13/$G$71</f>
        <v>7.2687854196800711E-2</v>
      </c>
      <c r="I13" s="166"/>
      <c r="J13" s="143" t="s">
        <v>243</v>
      </c>
      <c r="K13" s="166"/>
      <c r="L13" s="175">
        <f>+DATOS!C47</f>
        <v>0</v>
      </c>
      <c r="M13" s="177">
        <f>+L13/$L$71</f>
        <v>0</v>
      </c>
      <c r="N13" s="143"/>
      <c r="O13" s="175">
        <f>+DATOS!E47</f>
        <v>0</v>
      </c>
      <c r="P13" s="177">
        <f>+O13/$O$71</f>
        <v>0</v>
      </c>
      <c r="Q13" s="166"/>
      <c r="R13" s="178"/>
      <c r="S13" s="143"/>
      <c r="T13" s="143"/>
      <c r="U13" s="143"/>
      <c r="V13" s="143"/>
      <c r="W13" s="143"/>
      <c r="X13" s="143"/>
      <c r="Y13" s="143"/>
      <c r="Z13" s="143"/>
      <c r="AA13" s="143"/>
      <c r="AB13" s="143"/>
      <c r="AC13" s="143"/>
      <c r="AD13" s="143"/>
      <c r="AE13" s="143"/>
      <c r="AF13" s="143"/>
      <c r="AG13" s="143"/>
      <c r="AH13" s="143"/>
      <c r="AI13" s="143"/>
      <c r="AJ13" s="143"/>
    </row>
    <row r="14" spans="1:36" x14ac:dyDescent="0.25">
      <c r="A14" s="143"/>
      <c r="B14" s="143" t="s">
        <v>245</v>
      </c>
      <c r="C14" s="166"/>
      <c r="D14" s="171">
        <f>+DATOS!C7</f>
        <v>40333.952459999899</v>
      </c>
      <c r="E14" s="172">
        <f>+D14/$D$71</f>
        <v>1.7135431859966559E-2</v>
      </c>
      <c r="F14" s="166"/>
      <c r="G14" s="171">
        <f>+DATOS!E7</f>
        <v>81215.598660000207</v>
      </c>
      <c r="H14" s="172">
        <f>+G14/$G$71</f>
        <v>2.7555163058097215E-2</v>
      </c>
      <c r="I14" s="166"/>
      <c r="J14" s="162"/>
      <c r="K14" s="143"/>
      <c r="L14" s="14"/>
      <c r="M14" s="164"/>
      <c r="N14" s="143"/>
      <c r="O14" s="14"/>
      <c r="P14" s="151"/>
      <c r="Q14" s="143"/>
      <c r="R14" s="143"/>
      <c r="S14" s="143"/>
      <c r="T14" s="143"/>
      <c r="U14" s="143"/>
      <c r="V14" s="143"/>
      <c r="W14" s="143"/>
      <c r="X14" s="143"/>
      <c r="Y14" s="143"/>
      <c r="Z14" s="143"/>
      <c r="AA14" s="143"/>
      <c r="AB14" s="143"/>
      <c r="AC14" s="143"/>
      <c r="AD14" s="143"/>
      <c r="AE14" s="143"/>
      <c r="AF14" s="143"/>
      <c r="AG14" s="143"/>
      <c r="AH14" s="143"/>
      <c r="AI14" s="143"/>
      <c r="AJ14" s="143"/>
    </row>
    <row r="15" spans="1:36" x14ac:dyDescent="0.25">
      <c r="A15" s="143"/>
      <c r="B15" s="143" t="s">
        <v>246</v>
      </c>
      <c r="C15" s="166"/>
      <c r="D15" s="171">
        <f>+DATOS!C8</f>
        <v>0</v>
      </c>
      <c r="E15" s="172">
        <f>+D15/$D$71</f>
        <v>0</v>
      </c>
      <c r="F15" s="166"/>
      <c r="G15" s="171">
        <f>+DATOS!E8</f>
        <v>18936.424070000001</v>
      </c>
      <c r="H15" s="172">
        <f>+G15/$G$71</f>
        <v>6.4248280083554774E-3</v>
      </c>
      <c r="I15" s="166"/>
      <c r="J15" s="157" t="s">
        <v>247</v>
      </c>
      <c r="K15" s="166"/>
      <c r="L15" s="116">
        <f>SUM(L16:L17)</f>
        <v>134879.89074</v>
      </c>
      <c r="M15" s="170">
        <f>+L15/$L$71</f>
        <v>6.2993439463560397E-2</v>
      </c>
      <c r="N15" s="143"/>
      <c r="O15" s="116">
        <f>SUM(O16:O17)</f>
        <v>204376.71504000001</v>
      </c>
      <c r="P15" s="170">
        <f>+O15/$O$71</f>
        <v>6.9341774261542838E-2</v>
      </c>
      <c r="Q15" s="143"/>
      <c r="R15" s="143"/>
      <c r="S15" s="143"/>
      <c r="T15" s="143"/>
      <c r="U15" s="143"/>
      <c r="V15" s="143"/>
      <c r="W15" s="143"/>
      <c r="X15" s="143"/>
      <c r="Y15" s="143"/>
      <c r="Z15" s="143"/>
      <c r="AA15" s="143"/>
      <c r="AB15" s="143"/>
      <c r="AC15" s="143"/>
      <c r="AD15" s="143"/>
      <c r="AE15" s="143"/>
      <c r="AF15" s="143"/>
      <c r="AG15" s="143"/>
      <c r="AH15" s="143"/>
      <c r="AI15" s="143"/>
      <c r="AJ15" s="143"/>
    </row>
    <row r="16" spans="1:36" x14ac:dyDescent="0.25">
      <c r="A16" s="143"/>
      <c r="B16" s="143" t="s">
        <v>250</v>
      </c>
      <c r="C16" s="166"/>
      <c r="D16" s="179">
        <f>+DATOS!C9</f>
        <v>33540.119170000005</v>
      </c>
      <c r="E16" s="180">
        <f>+D16/$D$71</f>
        <v>1.4249147221132383E-2</v>
      </c>
      <c r="F16" s="166"/>
      <c r="G16" s="179">
        <f>+DATOS!E9</f>
        <v>1952.4422199999999</v>
      </c>
      <c r="H16" s="180">
        <f>+G16/$G$71</f>
        <v>6.62432643744218E-4</v>
      </c>
      <c r="I16" s="166"/>
      <c r="J16" s="143" t="s">
        <v>252</v>
      </c>
      <c r="K16" s="166"/>
      <c r="L16" s="178">
        <f>+DATOS!C51</f>
        <v>113653.709</v>
      </c>
      <c r="M16" s="181">
        <f>+L16/$L$71</f>
        <v>5.3080099623608351E-2</v>
      </c>
      <c r="N16" s="166"/>
      <c r="O16" s="178">
        <f>+DATOS!E51</f>
        <v>198797.21</v>
      </c>
      <c r="P16" s="181">
        <f>+O16/$O$71</f>
        <v>6.7448736794436553E-2</v>
      </c>
      <c r="Q16" s="143"/>
      <c r="R16" s="143"/>
      <c r="S16" s="143"/>
      <c r="T16" s="143"/>
      <c r="U16" s="143"/>
      <c r="V16" s="143"/>
      <c r="W16" s="143"/>
      <c r="X16" s="143"/>
      <c r="Y16" s="143"/>
      <c r="Z16" s="143"/>
      <c r="AA16" s="143"/>
      <c r="AB16" s="143"/>
      <c r="AC16" s="143"/>
      <c r="AD16" s="143"/>
      <c r="AE16" s="143"/>
      <c r="AF16" s="143"/>
      <c r="AG16" s="143"/>
      <c r="AH16" s="143"/>
      <c r="AI16" s="143"/>
      <c r="AJ16" s="143"/>
    </row>
    <row r="17" spans="1:36" x14ac:dyDescent="0.25">
      <c r="A17" s="143"/>
      <c r="B17" s="143"/>
      <c r="C17" s="182"/>
      <c r="D17" s="171"/>
      <c r="E17" s="172"/>
      <c r="F17" s="166"/>
      <c r="G17" s="171"/>
      <c r="H17" s="172"/>
      <c r="I17" s="166"/>
      <c r="J17" s="143" t="s">
        <v>255</v>
      </c>
      <c r="K17" s="166"/>
      <c r="L17" s="175">
        <f>+DATOS!C54</f>
        <v>21226.18174</v>
      </c>
      <c r="M17" s="177">
        <f>+L17/$L$71</f>
        <v>9.9133398399520456E-3</v>
      </c>
      <c r="N17" s="184"/>
      <c r="O17" s="175">
        <f>+DATOS!E54</f>
        <v>5579.5050400000291</v>
      </c>
      <c r="P17" s="177">
        <f>+O17/$O$71</f>
        <v>1.8930374671062749E-3</v>
      </c>
      <c r="Q17" s="143"/>
      <c r="R17" s="143"/>
      <c r="S17" s="143"/>
      <c r="T17" s="143"/>
      <c r="U17" s="143"/>
      <c r="V17" s="143"/>
      <c r="W17" s="143"/>
      <c r="X17" s="143"/>
      <c r="Y17" s="143"/>
      <c r="Z17" s="143"/>
      <c r="AA17" s="143"/>
      <c r="AB17" s="143"/>
      <c r="AC17" s="143"/>
      <c r="AD17" s="143"/>
      <c r="AE17" s="143"/>
      <c r="AF17" s="143"/>
      <c r="AG17" s="143"/>
      <c r="AH17" s="143"/>
      <c r="AI17" s="143"/>
      <c r="AJ17" s="143"/>
    </row>
    <row r="18" spans="1:36" x14ac:dyDescent="0.25">
      <c r="A18" s="143"/>
      <c r="B18" s="157" t="s">
        <v>257</v>
      </c>
      <c r="C18" s="143"/>
      <c r="D18" s="185">
        <f>+D19</f>
        <v>137480.75741999998</v>
      </c>
      <c r="E18" s="160">
        <f>+D18/$D$71</f>
        <v>5.8407173290623934E-2</v>
      </c>
      <c r="F18" s="143"/>
      <c r="G18" s="185">
        <f>+G19</f>
        <v>67881.50086</v>
      </c>
      <c r="H18" s="160">
        <f>+G18/$G$71</f>
        <v>2.3031115397625038E-2</v>
      </c>
      <c r="I18" s="182"/>
      <c r="J18" s="143"/>
      <c r="K18" s="166"/>
      <c r="L18" s="178"/>
      <c r="M18" s="181"/>
      <c r="N18" s="166"/>
      <c r="O18" s="178"/>
      <c r="P18" s="181"/>
      <c r="Q18" s="143"/>
      <c r="R18" s="178"/>
      <c r="S18" s="143"/>
      <c r="T18" s="143"/>
      <c r="U18" s="143"/>
      <c r="V18" s="143"/>
      <c r="W18" s="143"/>
      <c r="X18" s="143"/>
      <c r="Y18" s="143"/>
      <c r="Z18" s="143"/>
      <c r="AA18" s="143"/>
      <c r="AB18" s="143"/>
      <c r="AC18" s="143"/>
      <c r="AD18" s="143"/>
      <c r="AE18" s="143"/>
      <c r="AF18" s="143"/>
      <c r="AG18" s="143"/>
      <c r="AH18" s="143"/>
      <c r="AI18" s="143"/>
      <c r="AJ18" s="143"/>
    </row>
    <row r="19" spans="1:36" x14ac:dyDescent="0.25">
      <c r="A19" s="143"/>
      <c r="B19" s="143" t="s">
        <v>260</v>
      </c>
      <c r="C19" s="166"/>
      <c r="D19" s="179">
        <f>+DATOS!C43</f>
        <v>137480.75741999998</v>
      </c>
      <c r="E19" s="180">
        <f>+D19/$D$71</f>
        <v>5.8407173290623934E-2</v>
      </c>
      <c r="F19" s="143"/>
      <c r="G19" s="179">
        <f>+DATOS!E43</f>
        <v>67881.50086</v>
      </c>
      <c r="H19" s="180">
        <f>+G19/$G$71</f>
        <v>2.3031115397625038E-2</v>
      </c>
      <c r="I19" s="166"/>
      <c r="J19" s="157" t="s">
        <v>261</v>
      </c>
      <c r="K19" s="166"/>
      <c r="L19" s="116">
        <f>SUM(L20:L23)</f>
        <v>177433.75195000009</v>
      </c>
      <c r="M19" s="170">
        <f>+L19/$L$71</f>
        <v>8.2867521992587304E-2</v>
      </c>
      <c r="N19" s="166"/>
      <c r="O19" s="116">
        <f>SUM(O20:O23)</f>
        <v>126229.06888000002</v>
      </c>
      <c r="P19" s="170">
        <f>+O19/$O$71</f>
        <v>4.2827518769976321E-2</v>
      </c>
      <c r="Q19" s="143"/>
      <c r="R19" s="143"/>
      <c r="S19" s="143"/>
      <c r="T19" s="143"/>
      <c r="U19" s="143"/>
      <c r="V19" s="143"/>
      <c r="W19" s="143"/>
      <c r="X19" s="143"/>
      <c r="Y19" s="143"/>
      <c r="Z19" s="143"/>
      <c r="AA19" s="143"/>
      <c r="AB19" s="143"/>
      <c r="AC19" s="143"/>
      <c r="AD19" s="143"/>
      <c r="AE19" s="143"/>
      <c r="AF19" s="143"/>
      <c r="AG19" s="143"/>
      <c r="AH19" s="143"/>
      <c r="AI19" s="143"/>
      <c r="AJ19" s="143"/>
    </row>
    <row r="20" spans="1:36" x14ac:dyDescent="0.25">
      <c r="A20" s="143"/>
      <c r="B20" s="143"/>
      <c r="C20" s="182"/>
      <c r="D20" s="171"/>
      <c r="E20" s="172"/>
      <c r="F20" s="166"/>
      <c r="G20" s="171"/>
      <c r="H20" s="172"/>
      <c r="I20" s="166"/>
      <c r="J20" s="143" t="s">
        <v>263</v>
      </c>
      <c r="K20" s="166"/>
      <c r="L20" s="178">
        <f>+DATOS!C63</f>
        <v>133798.75195000009</v>
      </c>
      <c r="M20" s="181">
        <f>+L20/$L$71</f>
        <v>6.2488511334200865E-2</v>
      </c>
      <c r="N20" s="166"/>
      <c r="O20" s="178">
        <f>+DATOS!E63</f>
        <v>73042.872880000024</v>
      </c>
      <c r="P20" s="181">
        <f>+O20/$O$71</f>
        <v>2.4782286972702534E-2</v>
      </c>
      <c r="Q20" s="178"/>
      <c r="R20" s="143"/>
      <c r="S20" s="143"/>
      <c r="T20" s="143"/>
      <c r="U20" s="143"/>
      <c r="V20" s="143"/>
      <c r="W20" s="143"/>
      <c r="X20" s="143"/>
      <c r="Y20" s="143"/>
      <c r="Z20" s="143"/>
      <c r="AA20" s="143"/>
      <c r="AB20" s="143"/>
      <c r="AC20" s="143"/>
      <c r="AD20" s="143"/>
      <c r="AE20" s="143"/>
      <c r="AF20" s="143"/>
      <c r="AG20" s="143"/>
      <c r="AH20" s="143"/>
      <c r="AI20" s="143"/>
      <c r="AJ20" s="143"/>
    </row>
    <row r="21" spans="1:36" x14ac:dyDescent="0.25">
      <c r="A21" s="143"/>
      <c r="B21" s="157" t="s">
        <v>264</v>
      </c>
      <c r="C21" s="166"/>
      <c r="D21" s="185">
        <f>+SUM(D22:D28)</f>
        <v>764459.77497000003</v>
      </c>
      <c r="E21" s="160">
        <f t="shared" ref="E21:E28" si="0">+D21/$D$71</f>
        <v>0.32477224731879989</v>
      </c>
      <c r="F21" s="166"/>
      <c r="G21" s="185">
        <f>+SUM(G22:G28)</f>
        <v>232927.86465000038</v>
      </c>
      <c r="H21" s="160">
        <f>+G21/$G$71</f>
        <v>7.9028725972641156E-2</v>
      </c>
      <c r="I21" s="166"/>
      <c r="J21" s="143" t="s">
        <v>267</v>
      </c>
      <c r="K21" s="166"/>
      <c r="L21" s="178">
        <f>+DATOS!C62</f>
        <v>9299</v>
      </c>
      <c r="M21" s="181">
        <f>+L21/$L$71</f>
        <v>4.3429453446163736E-3</v>
      </c>
      <c r="N21" s="166"/>
      <c r="O21" s="178">
        <f>+DATOS!E62</f>
        <v>26515</v>
      </c>
      <c r="P21" s="181">
        <f>+O21/$O$71</f>
        <v>8.9961184872991203E-3</v>
      </c>
      <c r="Q21" s="143"/>
      <c r="R21" s="143"/>
      <c r="S21" s="143"/>
      <c r="T21" s="143"/>
      <c r="U21" s="143"/>
      <c r="V21" s="143"/>
      <c r="W21" s="143"/>
      <c r="X21" s="143"/>
      <c r="Y21" s="143"/>
      <c r="Z21" s="143"/>
      <c r="AA21" s="143"/>
      <c r="AB21" s="143"/>
      <c r="AC21" s="143"/>
      <c r="AD21" s="143"/>
      <c r="AE21" s="143"/>
      <c r="AF21" s="143"/>
      <c r="AG21" s="143"/>
      <c r="AH21" s="143"/>
      <c r="AI21" s="143"/>
      <c r="AJ21" s="143"/>
    </row>
    <row r="22" spans="1:36" x14ac:dyDescent="0.25">
      <c r="A22" s="1"/>
      <c r="B22" s="143" t="s">
        <v>269</v>
      </c>
      <c r="C22" s="166"/>
      <c r="D22" s="171">
        <f>+DATOS!C11</f>
        <v>6216.17065</v>
      </c>
      <c r="E22" s="172">
        <f t="shared" si="0"/>
        <v>2.6408710802303379E-3</v>
      </c>
      <c r="F22" s="166"/>
      <c r="G22" s="171">
        <f>+DATOS!E11</f>
        <v>6031.8756000003705</v>
      </c>
      <c r="H22" s="172">
        <f>+G22/$G$71</f>
        <v>2.0465196150309057E-3</v>
      </c>
      <c r="I22" s="166"/>
      <c r="J22" s="143" t="s">
        <v>122</v>
      </c>
      <c r="K22" s="166"/>
      <c r="L22" s="178">
        <f>+DATOS!C64</f>
        <v>0</v>
      </c>
      <c r="M22" s="181">
        <f>+L22/$L$71</f>
        <v>0</v>
      </c>
      <c r="N22" s="166"/>
      <c r="O22" s="116">
        <f>+DATOS!E64</f>
        <v>0</v>
      </c>
      <c r="P22" s="181">
        <f>+O22/$O$71</f>
        <v>0</v>
      </c>
      <c r="Q22" s="1"/>
      <c r="R22" s="1"/>
      <c r="S22" s="1"/>
      <c r="T22" s="1"/>
      <c r="U22" s="1"/>
      <c r="V22" s="1"/>
      <c r="W22" s="1"/>
      <c r="X22" s="1"/>
      <c r="Y22" s="1"/>
      <c r="Z22" s="1"/>
      <c r="AA22" s="1"/>
      <c r="AB22" s="1"/>
      <c r="AC22" s="1"/>
      <c r="AD22" s="1"/>
      <c r="AE22" s="1"/>
      <c r="AF22" s="1"/>
      <c r="AG22" s="1"/>
      <c r="AH22" s="1"/>
      <c r="AI22" s="1"/>
      <c r="AJ22" s="1"/>
    </row>
    <row r="23" spans="1:36" x14ac:dyDescent="0.25">
      <c r="A23" s="143"/>
      <c r="B23" s="143" t="s">
        <v>272</v>
      </c>
      <c r="C23" s="143"/>
      <c r="D23" s="171">
        <f>+DATOS!C12</f>
        <v>648905.39532000001</v>
      </c>
      <c r="E23" s="172">
        <f t="shared" si="0"/>
        <v>0.27568025216714781</v>
      </c>
      <c r="F23" s="166"/>
      <c r="G23" s="171">
        <f>+DATOS!E12</f>
        <v>184646.96405000001</v>
      </c>
      <c r="H23" s="172">
        <f>+G23/$G$71</f>
        <v>6.2647783018636577E-2</v>
      </c>
      <c r="I23" s="166"/>
      <c r="J23" s="195" t="s">
        <v>274</v>
      </c>
      <c r="K23" s="143"/>
      <c r="L23" s="175">
        <f>+DATOS!C60</f>
        <v>34336</v>
      </c>
      <c r="M23" s="177">
        <f>+L23/$L$71</f>
        <v>1.6036065313770061E-2</v>
      </c>
      <c r="N23" s="166"/>
      <c r="O23" s="175">
        <f>+DATOS!E60</f>
        <v>26671.196</v>
      </c>
      <c r="P23" s="177">
        <f>+O23/$O$71</f>
        <v>9.0491133099746685E-3</v>
      </c>
      <c r="Q23" s="143"/>
      <c r="R23" s="143"/>
      <c r="S23" s="143"/>
      <c r="T23" s="143"/>
      <c r="U23" s="143"/>
      <c r="V23" s="143"/>
      <c r="W23" s="143"/>
      <c r="X23" s="143"/>
      <c r="Y23" s="143"/>
      <c r="Z23" s="143"/>
      <c r="AA23" s="143"/>
      <c r="AB23" s="143"/>
      <c r="AC23" s="143"/>
      <c r="AD23" s="143"/>
      <c r="AE23" s="143"/>
      <c r="AF23" s="143"/>
      <c r="AG23" s="143"/>
      <c r="AH23" s="143"/>
      <c r="AI23" s="143"/>
      <c r="AJ23" s="143"/>
    </row>
    <row r="24" spans="1:36" x14ac:dyDescent="0.25">
      <c r="A24" s="143"/>
      <c r="B24" s="143" t="s">
        <v>275</v>
      </c>
      <c r="C24" s="166"/>
      <c r="D24" s="171">
        <f>+DATOS!C13</f>
        <v>852.79399999999998</v>
      </c>
      <c r="E24" s="172">
        <f t="shared" si="0"/>
        <v>3.6230006201550322E-4</v>
      </c>
      <c r="F24" s="166"/>
      <c r="G24" s="171">
        <f>+DATOS!E13</f>
        <v>1997.585</v>
      </c>
      <c r="H24" s="172">
        <f>+G24/$G$71</f>
        <v>6.7774887220672475E-4</v>
      </c>
      <c r="I24" s="166"/>
      <c r="J24" s="143"/>
      <c r="K24" s="166"/>
      <c r="L24" s="178"/>
      <c r="M24" s="181"/>
      <c r="N24" s="143"/>
      <c r="O24" s="178"/>
      <c r="P24" s="181"/>
      <c r="Q24" s="143"/>
      <c r="R24" s="143"/>
      <c r="S24" s="143"/>
      <c r="T24" s="143"/>
      <c r="U24" s="143"/>
      <c r="V24" s="143"/>
      <c r="W24" s="143"/>
      <c r="X24" s="143"/>
      <c r="Y24" s="143"/>
      <c r="Z24" s="143"/>
      <c r="AA24" s="143"/>
      <c r="AB24" s="143"/>
      <c r="AC24" s="143"/>
      <c r="AD24" s="143"/>
      <c r="AE24" s="143"/>
      <c r="AF24" s="143"/>
      <c r="AG24" s="143"/>
      <c r="AH24" s="143"/>
      <c r="AI24" s="143"/>
      <c r="AJ24" s="143"/>
    </row>
    <row r="25" spans="1:36" x14ac:dyDescent="0.25">
      <c r="A25" s="143"/>
      <c r="B25" s="143" t="s">
        <v>277</v>
      </c>
      <c r="C25" s="166"/>
      <c r="D25" s="171">
        <f>+DATOS!C14</f>
        <v>108485.41499999999</v>
      </c>
      <c r="E25" s="172">
        <f t="shared" si="0"/>
        <v>4.6088824009406254E-2</v>
      </c>
      <c r="F25" s="166"/>
      <c r="G25" s="171">
        <f>+DATOS!E14</f>
        <v>40251.440000000002</v>
      </c>
      <c r="H25" s="172">
        <f>+G25/$G$71</f>
        <v>1.3656674466766945E-2</v>
      </c>
      <c r="I25" s="166"/>
      <c r="J25" s="157" t="s">
        <v>278</v>
      </c>
      <c r="K25" s="166"/>
      <c r="L25" s="200">
        <f>+SUM(L26:L31)</f>
        <v>49498.343000000008</v>
      </c>
      <c r="M25" s="170">
        <f>+L25/$L$71</f>
        <v>2.3117388783533123E-2</v>
      </c>
      <c r="N25" s="166"/>
      <c r="O25" s="200">
        <f>+SUM(O26:O31)</f>
        <v>79649.726999999999</v>
      </c>
      <c r="P25" s="170">
        <f t="shared" ref="P25:P31" si="1">+O25/$O$71</f>
        <v>2.7023887670112309E-2</v>
      </c>
      <c r="Q25" s="143"/>
      <c r="R25" s="143"/>
      <c r="S25" s="143"/>
      <c r="T25" s="143"/>
      <c r="U25" s="143"/>
      <c r="V25" s="143"/>
      <c r="W25" s="143"/>
      <c r="X25" s="143"/>
      <c r="Y25" s="143"/>
      <c r="Z25" s="143"/>
      <c r="AA25" s="143"/>
      <c r="AB25" s="143"/>
      <c r="AC25" s="143"/>
      <c r="AD25" s="143"/>
      <c r="AE25" s="143"/>
      <c r="AF25" s="143"/>
      <c r="AG25" s="143"/>
      <c r="AH25" s="143"/>
      <c r="AI25" s="143"/>
      <c r="AJ25" s="143"/>
    </row>
    <row r="26" spans="1:36" x14ac:dyDescent="0.25">
      <c r="A26" s="143"/>
      <c r="B26" s="143" t="s">
        <v>122</v>
      </c>
      <c r="C26" s="166"/>
      <c r="D26" s="171">
        <f>+DATOS!C15</f>
        <v>0</v>
      </c>
      <c r="E26" s="172">
        <f t="shared" si="0"/>
        <v>0</v>
      </c>
      <c r="F26" s="166"/>
      <c r="G26" s="171">
        <f>+DATOS!E15</f>
        <v>0</v>
      </c>
      <c r="H26" s="172"/>
      <c r="I26" s="166"/>
      <c r="J26" s="143" t="s">
        <v>281</v>
      </c>
      <c r="K26" s="166"/>
      <c r="L26" s="178">
        <f>+DATOS!C66</f>
        <v>0</v>
      </c>
      <c r="M26" s="181">
        <f>+L26/$L$71</f>
        <v>0</v>
      </c>
      <c r="N26" s="166"/>
      <c r="O26" s="178">
        <f>+DATOS!E66</f>
        <v>428.45</v>
      </c>
      <c r="P26" s="181">
        <f t="shared" si="1"/>
        <v>1.4536628194921017E-4</v>
      </c>
      <c r="Q26" s="143"/>
      <c r="R26" s="143"/>
      <c r="S26" s="143"/>
      <c r="T26" s="143"/>
      <c r="U26" s="143"/>
      <c r="V26" s="143"/>
      <c r="W26" s="143"/>
      <c r="X26" s="143"/>
      <c r="Y26" s="143"/>
      <c r="Z26" s="143"/>
      <c r="AA26" s="143"/>
      <c r="AB26" s="143"/>
      <c r="AC26" s="143"/>
      <c r="AD26" s="143"/>
      <c r="AE26" s="143"/>
      <c r="AF26" s="143"/>
      <c r="AG26" s="143"/>
      <c r="AH26" s="143"/>
      <c r="AI26" s="143"/>
      <c r="AJ26" s="143"/>
    </row>
    <row r="27" spans="1:36" x14ac:dyDescent="0.25">
      <c r="A27" s="143"/>
      <c r="B27" s="143" t="s">
        <v>283</v>
      </c>
      <c r="C27" s="166"/>
      <c r="D27" s="171">
        <f>+DATOS!C17</f>
        <v>0</v>
      </c>
      <c r="E27" s="172">
        <f t="shared" si="0"/>
        <v>0</v>
      </c>
      <c r="F27" s="166"/>
      <c r="G27" s="171">
        <f>+DATOS!E17</f>
        <v>0</v>
      </c>
      <c r="H27" s="172">
        <f>+G27/$G$71</f>
        <v>0</v>
      </c>
      <c r="I27" s="166"/>
      <c r="J27" s="143" t="s">
        <v>285</v>
      </c>
      <c r="K27" s="166"/>
      <c r="L27" s="178">
        <f>+DATOS!C68</f>
        <v>27389.114000000001</v>
      </c>
      <c r="M27" s="181">
        <f>+L27/$L$71</f>
        <v>1.2791636212438666E-2</v>
      </c>
      <c r="N27" s="166"/>
      <c r="O27" s="178">
        <f>+DATOS!E68</f>
        <v>28954.985000000001</v>
      </c>
      <c r="P27" s="181">
        <f t="shared" si="1"/>
        <v>9.8239666550242778E-3</v>
      </c>
      <c r="Q27" s="143"/>
      <c r="R27" s="143"/>
      <c r="S27" s="143"/>
      <c r="T27" s="143"/>
      <c r="U27" s="143"/>
      <c r="V27" s="143"/>
      <c r="W27" s="143"/>
      <c r="X27" s="143"/>
      <c r="Y27" s="143"/>
      <c r="Z27" s="143"/>
      <c r="AA27" s="143"/>
      <c r="AB27" s="143"/>
      <c r="AC27" s="143"/>
      <c r="AD27" s="143"/>
      <c r="AE27" s="143"/>
      <c r="AF27" s="143"/>
      <c r="AG27" s="143"/>
      <c r="AH27" s="143"/>
      <c r="AI27" s="143"/>
      <c r="AJ27" s="143"/>
    </row>
    <row r="28" spans="1:36" x14ac:dyDescent="0.25">
      <c r="A28" s="143"/>
      <c r="B28" s="143" t="s">
        <v>124</v>
      </c>
      <c r="C28" s="166"/>
      <c r="D28" s="179">
        <f>+DATOS!C16</f>
        <v>0</v>
      </c>
      <c r="E28" s="180">
        <f t="shared" si="0"/>
        <v>0</v>
      </c>
      <c r="F28" s="166"/>
      <c r="G28" s="179">
        <f>+DATOS!E16</f>
        <v>0</v>
      </c>
      <c r="H28" s="180">
        <f>+G28/$G$71</f>
        <v>0</v>
      </c>
      <c r="I28" s="166"/>
      <c r="J28" s="143" t="s">
        <v>290</v>
      </c>
      <c r="K28" s="166"/>
      <c r="L28" s="178">
        <f>+DATOS!C69</f>
        <v>1547.99</v>
      </c>
      <c r="M28" s="181">
        <f>+L28/$L$71</f>
        <v>7.2296332552023877E-4</v>
      </c>
      <c r="N28" s="166"/>
      <c r="O28" s="178">
        <f>+DATOS!E69</f>
        <v>1946.0139999999999</v>
      </c>
      <c r="P28" s="181">
        <f t="shared" si="1"/>
        <v>6.6025165083699448E-4</v>
      </c>
      <c r="Q28" s="143"/>
      <c r="R28" s="143"/>
      <c r="S28" s="143"/>
      <c r="T28" s="143"/>
      <c r="U28" s="143"/>
      <c r="V28" s="143"/>
      <c r="W28" s="143"/>
      <c r="X28" s="143"/>
      <c r="Y28" s="143"/>
      <c r="Z28" s="143"/>
      <c r="AA28" s="143"/>
      <c r="AB28" s="143"/>
      <c r="AC28" s="143"/>
      <c r="AD28" s="143"/>
      <c r="AE28" s="143"/>
      <c r="AF28" s="143"/>
      <c r="AG28" s="143"/>
      <c r="AH28" s="143"/>
      <c r="AI28" s="143"/>
      <c r="AJ28" s="143"/>
    </row>
    <row r="29" spans="1:36" x14ac:dyDescent="0.25">
      <c r="A29" s="143"/>
      <c r="B29" s="143"/>
      <c r="C29" s="166"/>
      <c r="D29" s="171"/>
      <c r="E29" s="172"/>
      <c r="F29" s="166"/>
      <c r="G29" s="171"/>
      <c r="H29" s="172"/>
      <c r="I29" s="178"/>
      <c r="J29" s="143" t="s">
        <v>291</v>
      </c>
      <c r="K29" s="166"/>
      <c r="L29" s="178">
        <f>+DATOS!C71</f>
        <v>0</v>
      </c>
      <c r="M29" s="181">
        <f t="shared" ref="M29:M31" si="2">+L29/$L$71</f>
        <v>0</v>
      </c>
      <c r="N29" s="166"/>
      <c r="O29" s="178">
        <f>+DATOS!E71</f>
        <v>-189.477</v>
      </c>
      <c r="P29" s="181">
        <f t="shared" si="1"/>
        <v>-6.4286537530378106E-5</v>
      </c>
      <c r="Q29" s="143"/>
      <c r="R29" s="143"/>
      <c r="S29" s="143"/>
      <c r="T29" s="143"/>
      <c r="U29" s="143"/>
      <c r="V29" s="143"/>
      <c r="W29" s="143"/>
      <c r="X29" s="143"/>
      <c r="Y29" s="143"/>
      <c r="Z29" s="143"/>
      <c r="AA29" s="143"/>
      <c r="AB29" s="143"/>
      <c r="AC29" s="143"/>
      <c r="AD29" s="143"/>
      <c r="AE29" s="143"/>
      <c r="AF29" s="143"/>
      <c r="AG29" s="143"/>
      <c r="AH29" s="143"/>
      <c r="AI29" s="143"/>
      <c r="AJ29" s="143"/>
    </row>
    <row r="30" spans="1:36" x14ac:dyDescent="0.25">
      <c r="A30" s="143"/>
      <c r="B30" s="157" t="s">
        <v>292</v>
      </c>
      <c r="C30" s="166"/>
      <c r="D30" s="185">
        <f>+SUM(D31:D36)</f>
        <v>9295.3250199999202</v>
      </c>
      <c r="E30" s="160">
        <f>+D30/$D$71</f>
        <v>3.949015625344725E-3</v>
      </c>
      <c r="F30" s="166"/>
      <c r="G30" s="185">
        <f>+SUM(G31:G36)</f>
        <v>81849.588000000003</v>
      </c>
      <c r="H30" s="160">
        <f>+G30/$G$71</f>
        <v>2.777026557447371E-2</v>
      </c>
      <c r="I30" s="182"/>
      <c r="J30" s="143" t="s">
        <v>293</v>
      </c>
      <c r="K30" s="166"/>
      <c r="L30" s="178">
        <f>+DATOS!C67+DATOS!C70</f>
        <v>20561.239000000001</v>
      </c>
      <c r="M30" s="181">
        <f t="shared" si="2"/>
        <v>9.6027892455742159E-3</v>
      </c>
      <c r="N30" s="166"/>
      <c r="O30" s="178">
        <f>+DATOS!E67+DATOS!E70</f>
        <v>27113.621999999999</v>
      </c>
      <c r="P30" s="181">
        <f t="shared" si="1"/>
        <v>9.199221426808981E-3</v>
      </c>
      <c r="Q30" s="143"/>
      <c r="R30" s="143"/>
      <c r="S30" s="143"/>
      <c r="T30" s="143"/>
      <c r="U30" s="143"/>
      <c r="V30" s="143"/>
      <c r="W30" s="143"/>
      <c r="X30" s="143"/>
      <c r="Y30" s="143"/>
      <c r="Z30" s="143"/>
      <c r="AA30" s="143"/>
      <c r="AB30" s="143"/>
      <c r="AC30" s="143"/>
      <c r="AD30" s="143"/>
      <c r="AE30" s="143"/>
      <c r="AF30" s="143"/>
      <c r="AG30" s="143"/>
      <c r="AH30" s="143"/>
      <c r="AI30" s="143"/>
      <c r="AJ30" s="143"/>
    </row>
    <row r="31" spans="1:36" x14ac:dyDescent="0.25">
      <c r="A31" s="143"/>
      <c r="B31" s="143" t="s">
        <v>294</v>
      </c>
      <c r="C31" s="178"/>
      <c r="D31" s="171">
        <f>+DATOS!C19</f>
        <v>0</v>
      </c>
      <c r="E31" s="172">
        <f>+D31/$D$71</f>
        <v>0</v>
      </c>
      <c r="F31" s="166"/>
      <c r="G31" s="171">
        <f>+DATOS!E19</f>
        <v>0</v>
      </c>
      <c r="H31" s="172">
        <f>+G31/$G$71</f>
        <v>0</v>
      </c>
      <c r="I31" s="182"/>
      <c r="J31" s="143" t="s">
        <v>295</v>
      </c>
      <c r="K31" s="166"/>
      <c r="L31" s="175">
        <f>+DATOS!C72</f>
        <v>0</v>
      </c>
      <c r="M31" s="177">
        <f t="shared" si="2"/>
        <v>0</v>
      </c>
      <c r="N31" s="166"/>
      <c r="O31" s="175">
        <f>+DATOS!E72</f>
        <v>21396.133000000002</v>
      </c>
      <c r="P31" s="177">
        <f t="shared" si="1"/>
        <v>7.2593681930232246E-3</v>
      </c>
      <c r="Q31" s="143"/>
      <c r="R31" s="143"/>
      <c r="S31" s="143"/>
      <c r="T31" s="143"/>
      <c r="U31" s="143"/>
      <c r="V31" s="143"/>
      <c r="W31" s="143"/>
      <c r="X31" s="143"/>
      <c r="Y31" s="143"/>
      <c r="Z31" s="143"/>
      <c r="AA31" s="143"/>
      <c r="AB31" s="143"/>
      <c r="AC31" s="143"/>
      <c r="AD31" s="143"/>
      <c r="AE31" s="143"/>
      <c r="AF31" s="143"/>
      <c r="AG31" s="143"/>
      <c r="AH31" s="143"/>
      <c r="AI31" s="143"/>
      <c r="AJ31" s="143"/>
    </row>
    <row r="32" spans="1:36" x14ac:dyDescent="0.25">
      <c r="A32" s="143"/>
      <c r="B32" s="143" t="s">
        <v>296</v>
      </c>
      <c r="C32" s="182"/>
      <c r="D32" s="171">
        <f>+DATOS!C20</f>
        <v>0</v>
      </c>
      <c r="E32" s="172">
        <f>+D32/$D$71</f>
        <v>0</v>
      </c>
      <c r="F32" s="178"/>
      <c r="G32" s="171">
        <f>+DATOS!E20</f>
        <v>0</v>
      </c>
      <c r="H32" s="172">
        <f>+G32/$G$71</f>
        <v>0</v>
      </c>
      <c r="I32" s="182"/>
      <c r="J32" s="143"/>
      <c r="K32" s="166"/>
      <c r="L32" s="178"/>
      <c r="M32" s="181"/>
      <c r="N32" s="166"/>
      <c r="O32" s="178"/>
      <c r="P32" s="181"/>
      <c r="Q32" s="143"/>
      <c r="R32" s="143"/>
      <c r="S32" s="143"/>
      <c r="T32" s="143"/>
      <c r="U32" s="143"/>
      <c r="V32" s="143"/>
      <c r="W32" s="143"/>
      <c r="X32" s="143"/>
      <c r="Y32" s="143"/>
      <c r="Z32" s="143"/>
      <c r="AA32" s="143"/>
      <c r="AB32" s="143"/>
      <c r="AC32" s="143"/>
      <c r="AD32" s="143"/>
      <c r="AE32" s="143"/>
      <c r="AF32" s="143"/>
      <c r="AG32" s="143"/>
      <c r="AH32" s="143"/>
      <c r="AI32" s="143"/>
      <c r="AJ32" s="143"/>
    </row>
    <row r="33" spans="1:36" x14ac:dyDescent="0.25">
      <c r="A33" s="143"/>
      <c r="B33" s="143" t="s">
        <v>297</v>
      </c>
      <c r="C33" s="182"/>
      <c r="D33" s="171">
        <f>+DATOS!C21</f>
        <v>0</v>
      </c>
      <c r="E33" s="172">
        <f>+D33/$D$71</f>
        <v>0</v>
      </c>
      <c r="F33" s="178"/>
      <c r="G33" s="171">
        <f>+DATOS!E21</f>
        <v>0</v>
      </c>
      <c r="H33" s="172">
        <f>+G33/$G$71</f>
        <v>0</v>
      </c>
      <c r="I33" s="182"/>
      <c r="J33" s="157" t="s">
        <v>298</v>
      </c>
      <c r="K33" s="143"/>
      <c r="L33" s="116">
        <f>+SUM(L34:L36)</f>
        <v>11007.863069999999</v>
      </c>
      <c r="M33" s="170">
        <f>+L33/$L$71</f>
        <v>5.141041797400903E-3</v>
      </c>
      <c r="N33" s="166"/>
      <c r="O33" s="116">
        <f>+SUM(O34:O36)</f>
        <v>36360.17396</v>
      </c>
      <c r="P33" s="170">
        <f>+O33/$O$71</f>
        <v>1.2336429687458723E-2</v>
      </c>
      <c r="Q33" s="143"/>
      <c r="R33" s="143"/>
      <c r="S33" s="143"/>
      <c r="T33" s="143"/>
      <c r="U33" s="143"/>
      <c r="V33" s="143"/>
      <c r="W33" s="143"/>
      <c r="X33" s="143"/>
      <c r="Y33" s="143"/>
      <c r="Z33" s="143"/>
      <c r="AA33" s="143"/>
      <c r="AB33" s="143"/>
      <c r="AC33" s="143"/>
      <c r="AD33" s="143"/>
      <c r="AE33" s="143"/>
      <c r="AF33" s="143"/>
      <c r="AG33" s="143"/>
      <c r="AH33" s="143"/>
      <c r="AI33" s="143"/>
      <c r="AJ33" s="143"/>
    </row>
    <row r="34" spans="1:36" x14ac:dyDescent="0.25">
      <c r="A34" s="143"/>
      <c r="B34" s="143" t="s">
        <v>299</v>
      </c>
      <c r="C34" s="182"/>
      <c r="D34" s="171">
        <f>+DATOS!C22</f>
        <v>9295.3250199999202</v>
      </c>
      <c r="E34" s="172">
        <f>+D34/$D$71</f>
        <v>3.949015625344725E-3</v>
      </c>
      <c r="F34" s="182"/>
      <c r="G34" s="171">
        <f>+DATOS!E22</f>
        <v>81849.588000000003</v>
      </c>
      <c r="H34" s="172">
        <f>+G34/$G$71</f>
        <v>2.777026557447371E-2</v>
      </c>
      <c r="I34" s="166"/>
      <c r="J34" s="143" t="s">
        <v>272</v>
      </c>
      <c r="K34" s="143"/>
      <c r="L34" s="178">
        <f>+DATOS!C74</f>
        <v>812.01700000000005</v>
      </c>
      <c r="M34" s="181">
        <f t="shared" ref="M34:M36" si="3">+L34/$L$71</f>
        <v>3.792392138831438E-4</v>
      </c>
      <c r="N34" s="143"/>
      <c r="O34" s="178">
        <f>+DATOS!E74</f>
        <v>3711.9330599999998</v>
      </c>
      <c r="P34" s="181">
        <f>+O34/$O$71</f>
        <v>1.2593999481305975E-3</v>
      </c>
      <c r="Q34" s="143"/>
      <c r="R34" s="143"/>
      <c r="S34" s="143"/>
      <c r="T34" s="143"/>
      <c r="U34" s="143"/>
      <c r="V34" s="143"/>
      <c r="W34" s="143"/>
      <c r="X34" s="143"/>
      <c r="Y34" s="143"/>
      <c r="Z34" s="143"/>
      <c r="AA34" s="143"/>
      <c r="AB34" s="143"/>
      <c r="AC34" s="143"/>
      <c r="AD34" s="143"/>
      <c r="AE34" s="143"/>
      <c r="AF34" s="143"/>
      <c r="AG34" s="143"/>
      <c r="AH34" s="143"/>
      <c r="AI34" s="143"/>
      <c r="AJ34" s="143"/>
    </row>
    <row r="35" spans="1:36" x14ac:dyDescent="0.25">
      <c r="A35" s="143"/>
      <c r="B35" s="143" t="s">
        <v>300</v>
      </c>
      <c r="C35" s="182"/>
      <c r="D35" s="171">
        <f>+DATOS!C23</f>
        <v>0</v>
      </c>
      <c r="E35" s="172"/>
      <c r="F35" s="182"/>
      <c r="G35" s="171">
        <f>+DATOS!E23</f>
        <v>0</v>
      </c>
      <c r="H35" s="172"/>
      <c r="I35" s="143"/>
      <c r="J35" s="143" t="s">
        <v>301</v>
      </c>
      <c r="K35" s="143"/>
      <c r="L35" s="178">
        <f>+DATOS!C75</f>
        <v>0</v>
      </c>
      <c r="M35" s="181">
        <f t="shared" si="3"/>
        <v>0</v>
      </c>
      <c r="N35" s="143"/>
      <c r="O35" s="178">
        <f>+DATOS!E75</f>
        <v>0</v>
      </c>
      <c r="P35" s="181">
        <f>+O35/$O$71</f>
        <v>0</v>
      </c>
      <c r="Q35" s="143"/>
      <c r="R35" s="143"/>
      <c r="S35" s="143"/>
      <c r="T35" s="143"/>
      <c r="U35" s="143"/>
      <c r="V35" s="143"/>
      <c r="W35" s="143"/>
      <c r="X35" s="143"/>
      <c r="Y35" s="143"/>
      <c r="Z35" s="143"/>
      <c r="AA35" s="143"/>
      <c r="AB35" s="143"/>
      <c r="AC35" s="143"/>
      <c r="AD35" s="143"/>
      <c r="AE35" s="143"/>
      <c r="AF35" s="143"/>
      <c r="AG35" s="143"/>
      <c r="AH35" s="143"/>
      <c r="AI35" s="143"/>
      <c r="AJ35" s="143"/>
    </row>
    <row r="36" spans="1:36" x14ac:dyDescent="0.25">
      <c r="A36" s="143"/>
      <c r="B36" s="143" t="s">
        <v>124</v>
      </c>
      <c r="C36" s="182"/>
      <c r="D36" s="179">
        <f>+DATOS!C24</f>
        <v>0</v>
      </c>
      <c r="E36" s="180">
        <f>+D36/$D$71</f>
        <v>0</v>
      </c>
      <c r="F36" s="182"/>
      <c r="G36" s="179">
        <f>+DATOS!E24</f>
        <v>0</v>
      </c>
      <c r="H36" s="180">
        <f>+G36/$G$71</f>
        <v>0</v>
      </c>
      <c r="I36" s="166"/>
      <c r="J36" s="143" t="s">
        <v>1428</v>
      </c>
      <c r="K36" s="143"/>
      <c r="L36" s="175">
        <f>+DATOS!C76</f>
        <v>10195.84607</v>
      </c>
      <c r="M36" s="177">
        <f t="shared" si="3"/>
        <v>4.76180258351776E-3</v>
      </c>
      <c r="N36" s="143"/>
      <c r="O36" s="175">
        <f>+DATOS!E76</f>
        <v>32648.240899999997</v>
      </c>
      <c r="P36" s="177">
        <f>+O36/$O$71</f>
        <v>1.1077029739328125E-2</v>
      </c>
      <c r="Q36" s="143"/>
      <c r="R36" s="143"/>
      <c r="S36" s="143"/>
      <c r="T36" s="143"/>
      <c r="U36" s="143"/>
      <c r="V36" s="143"/>
      <c r="W36" s="143"/>
      <c r="X36" s="143"/>
      <c r="Y36" s="143"/>
      <c r="Z36" s="143"/>
      <c r="AA36" s="143"/>
      <c r="AB36" s="143"/>
      <c r="AC36" s="143"/>
      <c r="AD36" s="143"/>
      <c r="AE36" s="143"/>
      <c r="AF36" s="143"/>
      <c r="AG36" s="143"/>
      <c r="AH36" s="143"/>
      <c r="AI36" s="143"/>
      <c r="AJ36" s="143"/>
    </row>
    <row r="37" spans="1:36" x14ac:dyDescent="0.25">
      <c r="A37" s="143"/>
      <c r="B37" s="143"/>
      <c r="C37" s="182"/>
      <c r="D37" s="171"/>
      <c r="E37" s="172"/>
      <c r="F37" s="182"/>
      <c r="G37" s="171"/>
      <c r="H37" s="172"/>
      <c r="I37" s="166"/>
      <c r="J37" s="157"/>
      <c r="K37" s="166"/>
      <c r="L37" s="157"/>
      <c r="M37" s="170"/>
      <c r="N37" s="166"/>
      <c r="O37" s="157"/>
      <c r="P37" s="170"/>
      <c r="Q37" s="143"/>
      <c r="R37" s="143"/>
      <c r="S37" s="143"/>
      <c r="T37" s="143"/>
      <c r="U37" s="143"/>
      <c r="V37" s="143"/>
      <c r="W37" s="143"/>
      <c r="X37" s="143"/>
      <c r="Y37" s="143"/>
      <c r="Z37" s="143"/>
      <c r="AA37" s="143"/>
      <c r="AB37" s="143"/>
      <c r="AC37" s="143"/>
      <c r="AD37" s="143"/>
      <c r="AE37" s="143"/>
      <c r="AF37" s="143"/>
      <c r="AG37" s="143"/>
      <c r="AH37" s="143"/>
      <c r="AI37" s="143"/>
      <c r="AJ37" s="143"/>
    </row>
    <row r="38" spans="1:36" x14ac:dyDescent="0.25">
      <c r="A38" s="143"/>
      <c r="B38" s="162" t="s">
        <v>302</v>
      </c>
      <c r="C38" s="166"/>
      <c r="D38" s="208">
        <f>+D30+D21+D12+D18</f>
        <v>1050686.9854499998</v>
      </c>
      <c r="E38" s="209">
        <f>+D38/$D$71</f>
        <v>0.44637269960555193</v>
      </c>
      <c r="F38" s="182"/>
      <c r="G38" s="208">
        <f>+G30+G21+G12+G18</f>
        <v>699002.31015000073</v>
      </c>
      <c r="H38" s="209">
        <f>+G38/$G$71</f>
        <v>0.23716038485173757</v>
      </c>
      <c r="I38" s="143"/>
      <c r="J38" s="162" t="s">
        <v>303</v>
      </c>
      <c r="K38" s="166"/>
      <c r="L38" s="210">
        <f>+L25+L19+L15+L33+L12</f>
        <v>372819.84876000014</v>
      </c>
      <c r="M38" s="211">
        <f>+L38/$L$71</f>
        <v>0.17411939203708174</v>
      </c>
      <c r="N38" s="166"/>
      <c r="O38" s="210">
        <f>+O25+O19+O15+O33+O12</f>
        <v>446615.68488000002</v>
      </c>
      <c r="P38" s="211">
        <f>+O38/$O$71</f>
        <v>0.15152961038909019</v>
      </c>
      <c r="Q38" s="143"/>
      <c r="R38" s="143"/>
      <c r="S38" s="166">
        <f>+D38/7</f>
        <v>150098.1407785714</v>
      </c>
      <c r="T38" s="143"/>
      <c r="U38" s="143"/>
      <c r="V38" s="143"/>
      <c r="W38" s="143"/>
      <c r="X38" s="143"/>
      <c r="Y38" s="143"/>
      <c r="Z38" s="143"/>
      <c r="AA38" s="143"/>
      <c r="AB38" s="143"/>
      <c r="AC38" s="143"/>
      <c r="AD38" s="143"/>
      <c r="AE38" s="143"/>
      <c r="AF38" s="143"/>
      <c r="AG38" s="143"/>
      <c r="AH38" s="143"/>
      <c r="AI38" s="143"/>
      <c r="AJ38" s="143"/>
    </row>
    <row r="39" spans="1:36" x14ac:dyDescent="0.25">
      <c r="A39" s="143"/>
      <c r="B39" s="162"/>
      <c r="C39" s="166"/>
      <c r="D39" s="212"/>
      <c r="E39" s="160"/>
      <c r="F39" s="182"/>
      <c r="G39" s="212"/>
      <c r="H39" s="160"/>
      <c r="I39" s="143"/>
      <c r="J39" s="157"/>
      <c r="K39" s="166"/>
      <c r="L39" s="182"/>
      <c r="M39" s="170"/>
      <c r="N39" s="166"/>
      <c r="O39" s="182"/>
      <c r="P39" s="170"/>
      <c r="Q39" s="178"/>
      <c r="R39" s="143"/>
      <c r="S39" s="143"/>
      <c r="T39" s="143"/>
      <c r="U39" s="143"/>
      <c r="V39" s="143"/>
      <c r="W39" s="143"/>
      <c r="X39" s="143"/>
      <c r="Y39" s="143"/>
      <c r="Z39" s="143"/>
      <c r="AA39" s="143"/>
      <c r="AB39" s="143"/>
      <c r="AC39" s="143"/>
      <c r="AD39" s="143"/>
      <c r="AE39" s="143"/>
      <c r="AF39" s="143"/>
      <c r="AG39" s="143"/>
      <c r="AH39" s="143"/>
      <c r="AI39" s="143"/>
      <c r="AJ39" s="143"/>
    </row>
    <row r="40" spans="1:36" x14ac:dyDescent="0.25">
      <c r="A40" s="143"/>
      <c r="B40" s="145"/>
      <c r="C40" s="146"/>
      <c r="D40" s="114"/>
      <c r="E40" s="148"/>
      <c r="F40" s="148"/>
      <c r="G40" s="114"/>
      <c r="H40" s="149"/>
      <c r="I40" s="143"/>
      <c r="J40" s="162" t="s">
        <v>304</v>
      </c>
      <c r="K40" s="143"/>
      <c r="L40" s="143"/>
      <c r="M40" s="150"/>
      <c r="N40" s="143"/>
      <c r="O40" s="1"/>
      <c r="P40" s="151"/>
      <c r="Q40" s="143"/>
      <c r="R40" s="143"/>
      <c r="S40" s="143"/>
      <c r="T40" s="143"/>
      <c r="U40" s="143"/>
      <c r="V40" s="143"/>
      <c r="W40" s="143"/>
      <c r="X40" s="143"/>
      <c r="Y40" s="143"/>
      <c r="Z40" s="143"/>
      <c r="AA40" s="143"/>
      <c r="AB40" s="143"/>
      <c r="AC40" s="143"/>
      <c r="AD40" s="143"/>
      <c r="AE40" s="143"/>
      <c r="AF40" s="143"/>
      <c r="AG40" s="143"/>
      <c r="AH40" s="143"/>
      <c r="AI40" s="143"/>
      <c r="AJ40" s="143"/>
    </row>
    <row r="41" spans="1:36" x14ac:dyDescent="0.25">
      <c r="A41" s="143"/>
      <c r="B41" s="145"/>
      <c r="C41" s="146"/>
      <c r="D41" s="114"/>
      <c r="E41" s="148"/>
      <c r="F41" s="148"/>
      <c r="G41" s="114"/>
      <c r="H41" s="149"/>
      <c r="I41" s="143"/>
      <c r="J41" s="157" t="s">
        <v>240</v>
      </c>
      <c r="K41" s="178"/>
      <c r="L41" s="182">
        <f>SUM(L42:L44)</f>
        <v>792798.79200000002</v>
      </c>
      <c r="M41" s="170">
        <f>+L41/$L$71</f>
        <v>0.3702636652257108</v>
      </c>
      <c r="N41" s="166"/>
      <c r="O41" s="182">
        <f>SUM(O42:O44)</f>
        <v>330619.19507000013</v>
      </c>
      <c r="P41" s="170">
        <f>+O41/$O$71</f>
        <v>0.11217384322176814</v>
      </c>
      <c r="Q41" s="143"/>
      <c r="R41" s="143"/>
      <c r="S41" s="143"/>
      <c r="T41" s="143"/>
      <c r="U41" s="143"/>
      <c r="V41" s="143"/>
      <c r="W41" s="143"/>
      <c r="X41" s="143"/>
      <c r="Y41" s="143"/>
      <c r="Z41" s="143"/>
      <c r="AA41" s="143"/>
      <c r="AB41" s="143"/>
      <c r="AC41" s="143"/>
      <c r="AD41" s="143"/>
      <c r="AE41" s="143"/>
      <c r="AF41" s="143"/>
      <c r="AG41" s="143"/>
      <c r="AH41" s="143"/>
      <c r="AI41" s="143"/>
      <c r="AJ41" s="143"/>
    </row>
    <row r="42" spans="1:36" x14ac:dyDescent="0.25">
      <c r="A42" s="143"/>
      <c r="B42" s="145"/>
      <c r="C42" s="146"/>
      <c r="D42" s="114"/>
      <c r="E42" s="148"/>
      <c r="F42" s="148"/>
      <c r="G42" s="114"/>
      <c r="H42" s="149"/>
      <c r="I42" s="143"/>
      <c r="J42" s="143" t="s">
        <v>305</v>
      </c>
      <c r="K42" s="182"/>
      <c r="L42" s="166">
        <f>+DATOS!C48</f>
        <v>54203.786999999997</v>
      </c>
      <c r="M42" s="181">
        <f>+L42/$L$71</f>
        <v>2.5314989182947358E-2</v>
      </c>
      <c r="N42" s="178"/>
      <c r="O42" s="166">
        <f>+DATOS!E48</f>
        <v>302913.66697000002</v>
      </c>
      <c r="P42" s="181">
        <f>+O42/$O$71</f>
        <v>0.10277379745368229</v>
      </c>
      <c r="Q42" s="143"/>
      <c r="R42" s="213"/>
      <c r="S42" s="143"/>
      <c r="T42" s="143"/>
      <c r="U42" s="143"/>
      <c r="V42" s="143"/>
      <c r="W42" s="143"/>
      <c r="X42" s="143"/>
      <c r="Y42" s="143"/>
      <c r="Z42" s="143"/>
      <c r="AA42" s="143"/>
      <c r="AB42" s="143"/>
      <c r="AC42" s="143"/>
      <c r="AD42" s="143"/>
      <c r="AE42" s="143"/>
      <c r="AF42" s="143"/>
      <c r="AG42" s="143"/>
      <c r="AH42" s="143"/>
      <c r="AI42" s="143"/>
      <c r="AJ42" s="143"/>
    </row>
    <row r="43" spans="1:36" x14ac:dyDescent="0.25">
      <c r="A43" s="143"/>
      <c r="B43" s="145"/>
      <c r="C43" s="146"/>
      <c r="D43" s="114"/>
      <c r="E43" s="148"/>
      <c r="F43" s="148"/>
      <c r="G43" s="114"/>
      <c r="H43" s="149"/>
      <c r="I43" s="143"/>
      <c r="J43" s="143" t="s">
        <v>314</v>
      </c>
      <c r="K43" s="182"/>
      <c r="L43" s="166">
        <f>+DATOS!C49</f>
        <v>738595.005</v>
      </c>
      <c r="M43" s="181">
        <f>+L43/$L$71</f>
        <v>0.34494867604276347</v>
      </c>
      <c r="N43" s="182"/>
      <c r="O43" s="166">
        <f>+DATOS!E49</f>
        <v>3419.9981000000002</v>
      </c>
      <c r="P43" s="181">
        <f>+O43/$O$71</f>
        <v>1.1603510516288089E-3</v>
      </c>
      <c r="Q43" s="143"/>
      <c r="R43" s="143"/>
      <c r="S43" s="215"/>
      <c r="T43" s="143"/>
      <c r="U43" s="143"/>
      <c r="V43" s="143"/>
      <c r="W43" s="143"/>
      <c r="X43" s="143"/>
      <c r="Y43" s="143"/>
      <c r="Z43" s="143"/>
      <c r="AA43" s="143"/>
      <c r="AB43" s="143"/>
      <c r="AC43" s="143"/>
      <c r="AD43" s="143"/>
      <c r="AE43" s="143"/>
      <c r="AF43" s="143"/>
      <c r="AG43" s="143"/>
      <c r="AH43" s="143"/>
      <c r="AI43" s="143"/>
      <c r="AJ43" s="143"/>
    </row>
    <row r="44" spans="1:36" x14ac:dyDescent="0.25">
      <c r="A44" s="143"/>
      <c r="B44" s="145"/>
      <c r="C44" s="146"/>
      <c r="D44" s="114"/>
      <c r="E44" s="148"/>
      <c r="F44" s="148"/>
      <c r="G44" s="114"/>
      <c r="H44" s="149"/>
      <c r="I44" s="143"/>
      <c r="J44" s="143" t="s">
        <v>316</v>
      </c>
      <c r="K44" s="182"/>
      <c r="L44" s="175">
        <f>+DATOS!C50</f>
        <v>0</v>
      </c>
      <c r="M44" s="177">
        <f>+L44/$L$71</f>
        <v>0</v>
      </c>
      <c r="N44" s="182"/>
      <c r="O44" s="175">
        <f>+DATOS!E50</f>
        <v>24285.530000000101</v>
      </c>
      <c r="P44" s="177">
        <f>+O44/$O$71</f>
        <v>8.2396947164570349E-3</v>
      </c>
      <c r="Q44" s="143"/>
      <c r="R44" s="143"/>
      <c r="S44" s="143"/>
      <c r="T44" s="143"/>
      <c r="U44" s="143"/>
      <c r="V44" s="143"/>
      <c r="W44" s="143"/>
      <c r="X44" s="143"/>
      <c r="Y44" s="143"/>
      <c r="Z44" s="143"/>
      <c r="AA44" s="143"/>
      <c r="AB44" s="143"/>
      <c r="AC44" s="143"/>
      <c r="AD44" s="143"/>
      <c r="AE44" s="143"/>
      <c r="AF44" s="143"/>
      <c r="AG44" s="143"/>
      <c r="AH44" s="143"/>
      <c r="AI44" s="143"/>
      <c r="AJ44" s="143"/>
    </row>
    <row r="45" spans="1:36" x14ac:dyDescent="0.25">
      <c r="A45" s="143"/>
      <c r="B45" s="162" t="s">
        <v>317</v>
      </c>
      <c r="C45" s="146"/>
      <c r="D45" s="114"/>
      <c r="E45" s="148"/>
      <c r="F45" s="148"/>
      <c r="G45" s="114"/>
      <c r="H45" s="149"/>
      <c r="I45" s="166"/>
      <c r="J45" s="143"/>
      <c r="K45" s="166"/>
      <c r="L45" s="178"/>
      <c r="M45" s="181"/>
      <c r="N45" s="182"/>
      <c r="O45" s="178"/>
      <c r="P45" s="181"/>
      <c r="Q45" s="143"/>
      <c r="R45" s="143"/>
      <c r="S45" s="143"/>
      <c r="T45" s="143"/>
      <c r="U45" s="143"/>
      <c r="V45" s="143"/>
      <c r="W45" s="143"/>
      <c r="X45" s="143"/>
      <c r="Y45" s="143"/>
      <c r="Z45" s="143"/>
      <c r="AA45" s="143"/>
      <c r="AB45" s="143"/>
      <c r="AC45" s="143"/>
      <c r="AD45" s="143"/>
      <c r="AE45" s="143"/>
      <c r="AF45" s="143"/>
      <c r="AG45" s="143"/>
      <c r="AH45" s="143"/>
      <c r="AI45" s="143"/>
      <c r="AJ45" s="143"/>
    </row>
    <row r="46" spans="1:36" x14ac:dyDescent="0.25">
      <c r="A46" s="143"/>
      <c r="B46" s="157"/>
      <c r="C46" s="143"/>
      <c r="D46" s="158"/>
      <c r="E46" s="160"/>
      <c r="F46" s="143"/>
      <c r="G46" s="158"/>
      <c r="H46" s="160"/>
      <c r="I46" s="143"/>
      <c r="J46" s="157" t="s">
        <v>261</v>
      </c>
      <c r="K46" s="143"/>
      <c r="L46" s="116">
        <f>+L47</f>
        <v>0</v>
      </c>
      <c r="M46" s="170">
        <f>+L46/$L$71</f>
        <v>0</v>
      </c>
      <c r="N46" s="166"/>
      <c r="O46" s="116">
        <f>+O47</f>
        <v>4118.2280000000001</v>
      </c>
      <c r="P46" s="170">
        <f>+O46/$O$71</f>
        <v>1.3972493700061428E-3</v>
      </c>
      <c r="Q46" s="143"/>
      <c r="R46" s="143"/>
      <c r="S46" s="143"/>
      <c r="T46" s="143"/>
      <c r="U46" s="143"/>
      <c r="V46" s="143"/>
      <c r="W46" s="143"/>
      <c r="X46" s="143"/>
      <c r="Y46" s="143"/>
      <c r="Z46" s="143"/>
      <c r="AA46" s="143"/>
      <c r="AB46" s="143"/>
      <c r="AC46" s="143"/>
      <c r="AD46" s="143"/>
      <c r="AE46" s="143"/>
      <c r="AF46" s="143"/>
      <c r="AG46" s="143"/>
      <c r="AH46" s="143"/>
      <c r="AI46" s="143"/>
      <c r="AJ46" s="143"/>
    </row>
    <row r="47" spans="1:36" x14ac:dyDescent="0.25">
      <c r="A47" s="143"/>
      <c r="B47" s="157" t="s">
        <v>319</v>
      </c>
      <c r="C47" s="143"/>
      <c r="D47" s="185">
        <f>+D48</f>
        <v>0</v>
      </c>
      <c r="E47" s="160">
        <f>+D47/$D$71</f>
        <v>0</v>
      </c>
      <c r="F47" s="166"/>
      <c r="G47" s="185">
        <f>+G48</f>
        <v>0</v>
      </c>
      <c r="H47" s="160">
        <f>+G47/$G$71</f>
        <v>0</v>
      </c>
      <c r="I47" s="182"/>
      <c r="J47" s="143" t="s">
        <v>320</v>
      </c>
      <c r="K47" s="166"/>
      <c r="L47" s="175">
        <f>+DATOS!C61</f>
        <v>0</v>
      </c>
      <c r="M47" s="177">
        <f>+L47/$L$71</f>
        <v>0</v>
      </c>
      <c r="N47" s="143"/>
      <c r="O47" s="175">
        <f>+DATOS!E61</f>
        <v>4118.2280000000001</v>
      </c>
      <c r="P47" s="177">
        <f>+O47/$O$71</f>
        <v>1.3972493700061428E-3</v>
      </c>
      <c r="Q47" s="143"/>
      <c r="R47" s="143"/>
      <c r="S47" s="143"/>
      <c r="T47" s="143"/>
      <c r="U47" s="143"/>
      <c r="V47" s="143"/>
      <c r="W47" s="143"/>
      <c r="X47" s="143"/>
      <c r="Y47" s="143"/>
      <c r="Z47" s="143"/>
      <c r="AA47" s="143"/>
      <c r="AB47" s="143"/>
      <c r="AC47" s="143"/>
      <c r="AD47" s="143"/>
      <c r="AE47" s="143"/>
      <c r="AF47" s="143"/>
      <c r="AG47" s="143"/>
      <c r="AH47" s="143"/>
      <c r="AI47" s="143"/>
      <c r="AJ47" s="143"/>
    </row>
    <row r="48" spans="1:36" x14ac:dyDescent="0.25">
      <c r="A48" s="143"/>
      <c r="B48" s="143" t="s">
        <v>322</v>
      </c>
      <c r="C48" s="143"/>
      <c r="D48" s="179">
        <v>0</v>
      </c>
      <c r="E48" s="180">
        <f>+D48/$D$71</f>
        <v>0</v>
      </c>
      <c r="F48" s="143"/>
      <c r="G48" s="179">
        <v>0</v>
      </c>
      <c r="H48" s="180">
        <f>+G48/$G$71</f>
        <v>0</v>
      </c>
      <c r="I48" s="166"/>
      <c r="J48" s="157"/>
      <c r="K48" s="143"/>
      <c r="L48" s="157"/>
      <c r="M48" s="170"/>
      <c r="N48" s="143"/>
      <c r="O48" s="157"/>
      <c r="P48" s="170"/>
      <c r="Q48" s="157"/>
      <c r="R48" s="157"/>
      <c r="S48" s="157"/>
      <c r="T48" s="157"/>
      <c r="U48" s="157"/>
      <c r="V48" s="157"/>
      <c r="W48" s="157"/>
      <c r="X48" s="157"/>
      <c r="Y48" s="157"/>
      <c r="Z48" s="157"/>
      <c r="AA48" s="157"/>
      <c r="AB48" s="157"/>
      <c r="AC48" s="157"/>
      <c r="AD48" s="157"/>
      <c r="AE48" s="157"/>
      <c r="AF48" s="157"/>
      <c r="AG48" s="157"/>
      <c r="AH48" s="157"/>
      <c r="AI48" s="157"/>
      <c r="AJ48" s="157"/>
    </row>
    <row r="49" spans="1:36" x14ac:dyDescent="0.25">
      <c r="A49" s="157"/>
      <c r="B49" s="145"/>
      <c r="C49" s="146"/>
      <c r="D49" s="114"/>
      <c r="E49" s="148"/>
      <c r="F49" s="148"/>
      <c r="G49" s="114"/>
      <c r="H49" s="149"/>
      <c r="I49" s="157"/>
      <c r="J49" s="162" t="s">
        <v>324</v>
      </c>
      <c r="K49" s="143"/>
      <c r="L49" s="210">
        <f>+L41+L46</f>
        <v>792798.79200000002</v>
      </c>
      <c r="M49" s="211">
        <f>+L49/$L$71</f>
        <v>0.3702636652257108</v>
      </c>
      <c r="N49" s="143"/>
      <c r="O49" s="210">
        <f>+O41+O46</f>
        <v>334737.42307000014</v>
      </c>
      <c r="P49" s="211">
        <f>+O49/$O$71</f>
        <v>0.11357109259177428</v>
      </c>
      <c r="Q49" s="178"/>
      <c r="R49" s="143"/>
      <c r="S49" s="143"/>
      <c r="T49" s="143"/>
      <c r="U49" s="143"/>
      <c r="V49" s="143"/>
      <c r="W49" s="143"/>
      <c r="X49" s="143"/>
      <c r="Y49" s="143"/>
      <c r="Z49" s="143"/>
      <c r="AA49" s="143"/>
      <c r="AB49" s="143"/>
      <c r="AC49" s="143"/>
      <c r="AD49" s="143"/>
      <c r="AE49" s="143"/>
      <c r="AF49" s="143"/>
      <c r="AG49" s="143"/>
      <c r="AH49" s="143"/>
      <c r="AI49" s="143"/>
      <c r="AJ49" s="143"/>
    </row>
    <row r="50" spans="1:36" x14ac:dyDescent="0.25">
      <c r="A50" s="143"/>
      <c r="B50" s="216" t="s">
        <v>326</v>
      </c>
      <c r="C50" s="143"/>
      <c r="D50" s="217">
        <f>+SUM(D51:D57)</f>
        <v>538379.64800000004</v>
      </c>
      <c r="E50" s="160">
        <f t="shared" ref="E50:E57" si="4">+D50/$D$71</f>
        <v>0.22872461562614746</v>
      </c>
      <c r="F50" s="143"/>
      <c r="G50" s="217">
        <f>+SUM(G51:G57)</f>
        <v>2028379.9459000002</v>
      </c>
      <c r="H50" s="160">
        <f t="shared" ref="H50:H57" si="5">+G50/$G$71</f>
        <v>0.68819710837859838</v>
      </c>
      <c r="I50" s="178"/>
      <c r="J50" s="157"/>
      <c r="K50" s="143"/>
      <c r="L50" s="157"/>
      <c r="M50" s="170"/>
      <c r="N50" s="143"/>
      <c r="O50" s="157"/>
      <c r="P50" s="170"/>
      <c r="Q50" s="143"/>
      <c r="R50" s="143"/>
      <c r="S50" s="143"/>
      <c r="T50" s="143"/>
      <c r="U50" s="143"/>
      <c r="V50" s="143"/>
      <c r="W50" s="143"/>
      <c r="X50" s="143"/>
      <c r="Y50" s="143"/>
      <c r="Z50" s="143"/>
      <c r="AA50" s="143"/>
      <c r="AB50" s="143"/>
      <c r="AC50" s="143"/>
      <c r="AD50" s="143"/>
      <c r="AE50" s="143"/>
      <c r="AF50" s="143"/>
      <c r="AG50" s="143"/>
      <c r="AH50" s="143"/>
      <c r="AI50" s="143"/>
      <c r="AJ50" s="143"/>
    </row>
    <row r="51" spans="1:36" ht="15.75" x14ac:dyDescent="0.25">
      <c r="A51" s="143"/>
      <c r="B51" s="145" t="s">
        <v>1427</v>
      </c>
      <c r="C51" s="143"/>
      <c r="D51" s="218">
        <f>+DATOS!C26</f>
        <v>0</v>
      </c>
      <c r="E51" s="172">
        <f t="shared" si="4"/>
        <v>0</v>
      </c>
      <c r="F51" s="143"/>
      <c r="G51" s="218">
        <f>+DATOS!E26</f>
        <v>355856.13361999998</v>
      </c>
      <c r="H51" s="172">
        <f t="shared" si="5"/>
        <v>0.12073633573980608</v>
      </c>
      <c r="I51" s="14"/>
      <c r="J51" s="219" t="s">
        <v>327</v>
      </c>
      <c r="K51" s="220"/>
      <c r="L51" s="221">
        <f>+L49+L38</f>
        <v>1165618.6407600001</v>
      </c>
      <c r="M51" s="222">
        <f>+L51/$L$71</f>
        <v>0.54438305726279257</v>
      </c>
      <c r="N51" s="220"/>
      <c r="O51" s="221">
        <f>+O49+O38</f>
        <v>781353.10795000009</v>
      </c>
      <c r="P51" s="222">
        <f>+O51/$O$71</f>
        <v>0.26510070298086447</v>
      </c>
      <c r="Q51" s="1"/>
      <c r="R51" s="1"/>
      <c r="S51" s="1"/>
      <c r="T51" s="1"/>
      <c r="U51" s="1"/>
      <c r="V51" s="1"/>
      <c r="W51" s="1"/>
      <c r="X51" s="1"/>
      <c r="Y51" s="1"/>
      <c r="Z51" s="1"/>
      <c r="AA51" s="1"/>
      <c r="AB51" s="1"/>
      <c r="AC51" s="1"/>
      <c r="AD51" s="1"/>
      <c r="AE51" s="1"/>
      <c r="AF51" s="1"/>
      <c r="AG51" s="1"/>
      <c r="AH51" s="1"/>
      <c r="AI51" s="1"/>
      <c r="AJ51" s="1"/>
    </row>
    <row r="52" spans="1:36" x14ac:dyDescent="0.25">
      <c r="A52" s="1"/>
      <c r="B52" s="145" t="s">
        <v>333</v>
      </c>
      <c r="C52" s="166"/>
      <c r="D52" s="218">
        <f>+DATOS!C27</f>
        <v>0</v>
      </c>
      <c r="E52" s="172">
        <f t="shared" si="4"/>
        <v>0</v>
      </c>
      <c r="F52" s="143"/>
      <c r="G52" s="218">
        <f>+DATOS!E27</f>
        <v>1286225.2250000001</v>
      </c>
      <c r="H52" s="172">
        <f t="shared" si="5"/>
        <v>0.43639579574716009</v>
      </c>
      <c r="I52" s="143"/>
      <c r="J52" s="143"/>
      <c r="K52" s="178"/>
      <c r="L52" s="143"/>
      <c r="M52" s="181"/>
      <c r="N52" s="157"/>
      <c r="O52" s="143"/>
      <c r="P52" s="181"/>
      <c r="Q52" s="143"/>
      <c r="R52" s="143"/>
      <c r="S52" s="143"/>
      <c r="T52" s="143"/>
      <c r="U52" s="143"/>
      <c r="V52" s="143"/>
      <c r="W52" s="143"/>
      <c r="X52" s="143"/>
      <c r="Y52" s="143"/>
      <c r="Z52" s="143"/>
      <c r="AA52" s="143"/>
      <c r="AB52" s="143"/>
      <c r="AC52" s="143"/>
      <c r="AD52" s="143"/>
      <c r="AE52" s="143"/>
      <c r="AF52" s="143"/>
      <c r="AG52" s="143"/>
      <c r="AH52" s="143"/>
      <c r="AI52" s="143"/>
      <c r="AJ52" s="143"/>
    </row>
    <row r="53" spans="1:36" x14ac:dyDescent="0.25">
      <c r="A53" s="143"/>
      <c r="B53" s="145" t="s">
        <v>335</v>
      </c>
      <c r="C53" s="143"/>
      <c r="D53" s="171">
        <f>+DATOS!C29</f>
        <v>534086.14500000002</v>
      </c>
      <c r="E53" s="172">
        <f t="shared" si="4"/>
        <v>0.22690056854893567</v>
      </c>
      <c r="F53" s="166"/>
      <c r="G53" s="171">
        <f>+DATOS!E29</f>
        <v>455026.462</v>
      </c>
      <c r="H53" s="172">
        <f t="shared" si="5"/>
        <v>0.15438325350096044</v>
      </c>
      <c r="I53" s="143"/>
      <c r="J53" s="223" t="s">
        <v>336</v>
      </c>
      <c r="K53" s="14"/>
      <c r="L53" s="224"/>
      <c r="M53" s="225"/>
      <c r="N53" s="178"/>
      <c r="O53" s="224"/>
      <c r="P53" s="225"/>
      <c r="Q53" s="143"/>
      <c r="R53" s="143"/>
      <c r="S53" s="143"/>
      <c r="T53" s="143"/>
      <c r="U53" s="143"/>
      <c r="V53" s="143"/>
      <c r="W53" s="143"/>
      <c r="X53" s="143"/>
      <c r="Y53" s="143"/>
      <c r="Z53" s="143"/>
      <c r="AA53" s="143"/>
      <c r="AB53" s="143"/>
      <c r="AC53" s="143"/>
      <c r="AD53" s="143"/>
      <c r="AE53" s="143"/>
      <c r="AF53" s="143"/>
      <c r="AG53" s="143"/>
      <c r="AH53" s="143"/>
      <c r="AI53" s="143"/>
      <c r="AJ53" s="143"/>
    </row>
    <row r="54" spans="1:36" x14ac:dyDescent="0.25">
      <c r="A54" s="143"/>
      <c r="B54" s="145" t="s">
        <v>337</v>
      </c>
      <c r="C54" s="182"/>
      <c r="D54" s="171">
        <f>+DATOS!C31</f>
        <v>0</v>
      </c>
      <c r="E54" s="172">
        <f t="shared" si="4"/>
        <v>0</v>
      </c>
      <c r="F54" s="143"/>
      <c r="G54" s="171">
        <f>+DATOS!E31</f>
        <v>210990.462</v>
      </c>
      <c r="H54" s="172">
        <f t="shared" si="5"/>
        <v>7.1585713582588875E-2</v>
      </c>
      <c r="I54" s="143"/>
      <c r="J54" s="157" t="s">
        <v>338</v>
      </c>
      <c r="K54" s="143"/>
      <c r="L54" s="116">
        <f>+L55</f>
        <v>500000</v>
      </c>
      <c r="M54" s="170">
        <f>+L54/$L$71</f>
        <v>0.23351679452717355</v>
      </c>
      <c r="N54" s="14"/>
      <c r="O54" s="116">
        <f>+O55</f>
        <v>1737000</v>
      </c>
      <c r="P54" s="170">
        <f>+O54/$O$71</f>
        <v>0.58933651942065135</v>
      </c>
      <c r="Q54" s="143"/>
      <c r="R54" s="143"/>
      <c r="S54" s="143"/>
      <c r="T54" s="143"/>
      <c r="U54" s="143"/>
      <c r="V54" s="143"/>
      <c r="W54" s="143"/>
      <c r="X54" s="143"/>
      <c r="Y54" s="143"/>
      <c r="Z54" s="143"/>
      <c r="AA54" s="143"/>
      <c r="AB54" s="143"/>
      <c r="AC54" s="143"/>
      <c r="AD54" s="143"/>
      <c r="AE54" s="143"/>
      <c r="AF54" s="143"/>
      <c r="AG54" s="143"/>
      <c r="AH54" s="143"/>
      <c r="AI54" s="143"/>
      <c r="AJ54" s="143"/>
    </row>
    <row r="55" spans="1:36" x14ac:dyDescent="0.25">
      <c r="A55" s="143"/>
      <c r="B55" s="145" t="s">
        <v>339</v>
      </c>
      <c r="C55" s="166"/>
      <c r="D55" s="171">
        <f>+DATOS!C33</f>
        <v>4293.5029999999997</v>
      </c>
      <c r="E55" s="172">
        <f t="shared" si="4"/>
        <v>1.8240470772117874E-3</v>
      </c>
      <c r="F55" s="182"/>
      <c r="G55" s="171">
        <f>+DATOS!E33</f>
        <v>42702.049000000006</v>
      </c>
      <c r="H55" s="172">
        <f t="shared" si="5"/>
        <v>1.4488127188913763E-2</v>
      </c>
      <c r="I55" s="166"/>
      <c r="J55" s="143" t="s">
        <v>342</v>
      </c>
      <c r="K55" s="143"/>
      <c r="L55" s="175">
        <f>+DATOS!C78</f>
        <v>500000</v>
      </c>
      <c r="M55" s="177">
        <f>+L55/$L$71</f>
        <v>0.23351679452717355</v>
      </c>
      <c r="N55" s="143"/>
      <c r="O55" s="175">
        <f>+DATOS!E78</f>
        <v>1737000</v>
      </c>
      <c r="P55" s="177">
        <f>+O55/$O$71</f>
        <v>0.58933651942065135</v>
      </c>
      <c r="Q55" s="143"/>
      <c r="R55" s="143"/>
      <c r="S55" s="143"/>
      <c r="T55" s="143"/>
      <c r="U55" s="143"/>
      <c r="V55" s="143"/>
      <c r="W55" s="143"/>
      <c r="X55" s="143"/>
      <c r="Y55" s="143"/>
      <c r="Z55" s="143"/>
      <c r="AA55" s="143"/>
      <c r="AB55" s="143"/>
      <c r="AC55" s="143"/>
      <c r="AD55" s="143"/>
      <c r="AE55" s="143"/>
      <c r="AF55" s="143"/>
      <c r="AG55" s="143"/>
      <c r="AH55" s="143"/>
      <c r="AI55" s="143"/>
      <c r="AJ55" s="143"/>
    </row>
    <row r="56" spans="1:36" x14ac:dyDescent="0.25">
      <c r="A56" s="143"/>
      <c r="B56" s="145" t="s">
        <v>343</v>
      </c>
      <c r="C56" s="157"/>
      <c r="D56" s="171">
        <f>+DATOS!C35</f>
        <v>0</v>
      </c>
      <c r="E56" s="172">
        <f t="shared" si="4"/>
        <v>0</v>
      </c>
      <c r="F56" s="166"/>
      <c r="G56" s="171">
        <f>+DATOS!E35</f>
        <v>0</v>
      </c>
      <c r="H56" s="172">
        <f t="shared" si="5"/>
        <v>0</v>
      </c>
      <c r="I56" s="166"/>
      <c r="J56" s="157"/>
      <c r="K56" s="143"/>
      <c r="L56" s="116"/>
      <c r="M56" s="170"/>
      <c r="N56" s="143"/>
      <c r="O56" s="116"/>
      <c r="P56" s="170"/>
      <c r="Q56" s="143"/>
      <c r="R56" s="143"/>
      <c r="S56" s="143"/>
      <c r="T56" s="143"/>
      <c r="U56" s="143"/>
      <c r="V56" s="143"/>
      <c r="W56" s="143"/>
      <c r="X56" s="143"/>
      <c r="Y56" s="143"/>
      <c r="Z56" s="143"/>
      <c r="AA56" s="143"/>
      <c r="AB56" s="143"/>
      <c r="AC56" s="143"/>
      <c r="AD56" s="143"/>
      <c r="AE56" s="143"/>
      <c r="AF56" s="143"/>
      <c r="AG56" s="143"/>
      <c r="AH56" s="143"/>
      <c r="AI56" s="143"/>
      <c r="AJ56" s="143"/>
    </row>
    <row r="57" spans="1:36" x14ac:dyDescent="0.25">
      <c r="A57" s="143"/>
      <c r="B57" s="145" t="s">
        <v>345</v>
      </c>
      <c r="C57" s="178"/>
      <c r="D57" s="179">
        <f>+DATOS!C30+DATOS!C32+DATOS!C34+DATOS!C36+DATOS!C28</f>
        <v>0</v>
      </c>
      <c r="E57" s="180">
        <f t="shared" si="4"/>
        <v>0</v>
      </c>
      <c r="F57" s="157"/>
      <c r="G57" s="179">
        <f>+DATOS!E30+DATOS!E32+DATOS!E34+DATOS!E36+DATOS!E28</f>
        <v>-322420.38572000002</v>
      </c>
      <c r="H57" s="180">
        <f t="shared" si="5"/>
        <v>-0.10939211738083095</v>
      </c>
      <c r="I57" s="166"/>
      <c r="J57" s="157" t="s">
        <v>349</v>
      </c>
      <c r="K57" s="166"/>
      <c r="L57" s="116">
        <f>+L58</f>
        <v>0</v>
      </c>
      <c r="M57" s="170">
        <f>+L57/$L$71</f>
        <v>0</v>
      </c>
      <c r="N57" s="143"/>
      <c r="O57" s="116">
        <f>+O58</f>
        <v>0</v>
      </c>
      <c r="P57" s="170">
        <f>+O57/$O$71</f>
        <v>0</v>
      </c>
      <c r="Q57" s="143"/>
      <c r="R57" s="143"/>
      <c r="S57" s="143"/>
      <c r="T57" s="143"/>
      <c r="U57" s="143"/>
      <c r="V57" s="143"/>
      <c r="W57" s="143"/>
      <c r="X57" s="143"/>
      <c r="Y57" s="143"/>
      <c r="Z57" s="143"/>
      <c r="AA57" s="143"/>
      <c r="AB57" s="143"/>
      <c r="AC57" s="143"/>
      <c r="AD57" s="143"/>
      <c r="AE57" s="143"/>
      <c r="AF57" s="143"/>
      <c r="AG57" s="143"/>
      <c r="AH57" s="143"/>
      <c r="AI57" s="143"/>
      <c r="AJ57" s="143"/>
    </row>
    <row r="58" spans="1:36" x14ac:dyDescent="0.25">
      <c r="A58" s="143"/>
      <c r="B58" s="145"/>
      <c r="C58" s="143"/>
      <c r="D58" s="158"/>
      <c r="E58" s="160"/>
      <c r="F58" s="14"/>
      <c r="G58" s="158"/>
      <c r="H58" s="160"/>
      <c r="I58" s="166"/>
      <c r="J58" s="143" t="s">
        <v>350</v>
      </c>
      <c r="K58" s="166"/>
      <c r="L58" s="175">
        <f>+DATOS!C79</f>
        <v>0</v>
      </c>
      <c r="M58" s="177">
        <f>+L58/$L$71</f>
        <v>0</v>
      </c>
      <c r="N58" s="166"/>
      <c r="O58" s="175">
        <f>+DATOS!E79</f>
        <v>0</v>
      </c>
      <c r="P58" s="177">
        <f>+O58/$O$71</f>
        <v>0</v>
      </c>
      <c r="Q58" s="143"/>
      <c r="R58" s="143"/>
      <c r="S58" s="178"/>
      <c r="T58" s="143"/>
      <c r="U58" s="143"/>
      <c r="V58" s="143"/>
      <c r="W58" s="143"/>
      <c r="X58" s="143"/>
      <c r="Y58" s="143"/>
      <c r="Z58" s="143"/>
      <c r="AA58" s="143"/>
      <c r="AB58" s="143"/>
      <c r="AC58" s="143"/>
      <c r="AD58" s="143"/>
      <c r="AE58" s="143"/>
      <c r="AF58" s="143"/>
      <c r="AG58" s="143"/>
      <c r="AH58" s="143"/>
      <c r="AI58" s="143"/>
      <c r="AJ58" s="143"/>
    </row>
    <row r="59" spans="1:36" x14ac:dyDescent="0.25">
      <c r="A59" s="143"/>
      <c r="B59" s="157" t="s">
        <v>351</v>
      </c>
      <c r="C59" s="143"/>
      <c r="D59" s="185">
        <f>+D60</f>
        <v>764766.80299999996</v>
      </c>
      <c r="E59" s="160">
        <f>+D59/$D$71</f>
        <v>0.32490268476830059</v>
      </c>
      <c r="F59" s="143"/>
      <c r="G59" s="185">
        <f>+G60</f>
        <v>220000</v>
      </c>
      <c r="H59" s="160">
        <f>+G59/$G$71</f>
        <v>7.464250676966408E-2</v>
      </c>
      <c r="I59" s="143"/>
      <c r="J59" s="157"/>
      <c r="K59" s="143"/>
      <c r="L59" s="116"/>
      <c r="M59" s="170"/>
      <c r="N59" s="143"/>
      <c r="O59" s="116"/>
      <c r="P59" s="170"/>
      <c r="Q59" s="178"/>
      <c r="R59" s="178"/>
      <c r="S59" s="143"/>
      <c r="T59" s="143"/>
      <c r="U59" s="143"/>
      <c r="V59" s="143"/>
      <c r="W59" s="143"/>
      <c r="X59" s="143"/>
      <c r="Y59" s="143"/>
      <c r="Z59" s="143"/>
      <c r="AA59" s="143"/>
      <c r="AB59" s="143"/>
      <c r="AC59" s="143"/>
      <c r="AD59" s="143"/>
      <c r="AE59" s="143"/>
      <c r="AF59" s="143"/>
      <c r="AG59" s="143"/>
      <c r="AH59" s="143"/>
      <c r="AI59" s="143"/>
      <c r="AJ59" s="143"/>
    </row>
    <row r="60" spans="1:36" x14ac:dyDescent="0.25">
      <c r="A60" s="143"/>
      <c r="B60" s="143" t="s">
        <v>352</v>
      </c>
      <c r="C60" s="143"/>
      <c r="D60" s="171">
        <f>+DATOS!C37</f>
        <v>764766.80299999996</v>
      </c>
      <c r="E60" s="172">
        <f>+D60/$D$71</f>
        <v>0.32490268476830059</v>
      </c>
      <c r="F60" s="143"/>
      <c r="G60" s="171">
        <f>+DATOS!E37</f>
        <v>220000</v>
      </c>
      <c r="H60" s="172">
        <f>+G60/$G$71</f>
        <v>7.464250676966408E-2</v>
      </c>
      <c r="I60" s="166"/>
      <c r="J60" s="157" t="s">
        <v>354</v>
      </c>
      <c r="K60" s="166"/>
      <c r="L60" s="116">
        <f>+L61</f>
        <v>51649.917000000001</v>
      </c>
      <c r="M60" s="170">
        <f>+L60/$L$71</f>
        <v>2.4122246110869137E-2</v>
      </c>
      <c r="N60" s="143"/>
      <c r="O60" s="116">
        <f>+O61</f>
        <v>73934.517999999996</v>
      </c>
      <c r="P60" s="170">
        <f>+O60/$O$71</f>
        <v>2.5084808004124062E-2</v>
      </c>
      <c r="Q60" s="143"/>
      <c r="R60" s="178"/>
      <c r="S60" s="178"/>
      <c r="T60" s="143"/>
      <c r="U60" s="143"/>
      <c r="V60" s="143"/>
      <c r="W60" s="143"/>
      <c r="X60" s="143"/>
      <c r="Y60" s="143"/>
      <c r="Z60" s="143"/>
      <c r="AA60" s="143"/>
      <c r="AB60" s="143"/>
      <c r="AC60" s="143"/>
      <c r="AD60" s="143"/>
      <c r="AE60" s="143"/>
      <c r="AF60" s="143"/>
      <c r="AG60" s="143"/>
      <c r="AH60" s="143"/>
      <c r="AI60" s="143"/>
      <c r="AJ60" s="143"/>
    </row>
    <row r="61" spans="1:36" x14ac:dyDescent="0.25">
      <c r="A61" s="143"/>
      <c r="B61" s="143"/>
      <c r="C61" s="166"/>
      <c r="D61" s="171"/>
      <c r="E61" s="172"/>
      <c r="F61" s="166"/>
      <c r="G61" s="171"/>
      <c r="H61" s="172"/>
      <c r="I61" s="166"/>
      <c r="J61" s="143" t="s">
        <v>355</v>
      </c>
      <c r="K61" s="166"/>
      <c r="L61" s="175">
        <f>+DATOS!C80+13610</f>
        <v>51649.917000000001</v>
      </c>
      <c r="M61" s="177">
        <f>+L61/$L$71</f>
        <v>2.4122246110869137E-2</v>
      </c>
      <c r="N61" s="166"/>
      <c r="O61" s="175">
        <f>+DATOS!E80</f>
        <v>73934.517999999996</v>
      </c>
      <c r="P61" s="177">
        <f>+O61/$O$71</f>
        <v>2.5084808004124062E-2</v>
      </c>
      <c r="Q61" s="143"/>
      <c r="R61" s="143"/>
      <c r="S61" s="143"/>
      <c r="T61" s="143"/>
      <c r="U61" s="143"/>
      <c r="V61" s="143"/>
      <c r="W61" s="143"/>
      <c r="X61" s="143"/>
      <c r="Y61" s="143"/>
      <c r="Z61" s="143"/>
      <c r="AA61" s="143"/>
      <c r="AB61" s="143"/>
      <c r="AC61" s="143"/>
      <c r="AD61" s="143"/>
      <c r="AE61" s="143"/>
      <c r="AF61" s="143"/>
      <c r="AG61" s="143"/>
      <c r="AH61" s="143"/>
      <c r="AI61" s="143"/>
      <c r="AJ61" s="143"/>
    </row>
    <row r="62" spans="1:36" x14ac:dyDescent="0.25">
      <c r="A62" s="143"/>
      <c r="B62" s="157" t="s">
        <v>358</v>
      </c>
      <c r="C62" s="166"/>
      <c r="D62" s="185">
        <f>+D63</f>
        <v>0</v>
      </c>
      <c r="E62" s="160">
        <f>+D62/$D$71</f>
        <v>0</v>
      </c>
      <c r="F62" s="166"/>
      <c r="G62" s="185">
        <f>+G63</f>
        <v>0</v>
      </c>
      <c r="H62" s="160">
        <f>+G62/$G$71</f>
        <v>0</v>
      </c>
      <c r="I62" s="166"/>
      <c r="J62" s="157"/>
      <c r="K62" s="166"/>
      <c r="L62" s="157"/>
      <c r="M62" s="170"/>
      <c r="N62" s="166"/>
      <c r="O62" s="157"/>
      <c r="P62" s="170"/>
      <c r="Q62" s="178"/>
      <c r="R62" s="143"/>
      <c r="S62" s="143"/>
      <c r="T62" s="143"/>
      <c r="U62" s="143"/>
      <c r="V62" s="143"/>
      <c r="W62" s="143"/>
      <c r="X62" s="143"/>
      <c r="Y62" s="143"/>
      <c r="Z62" s="143"/>
      <c r="AA62" s="143"/>
      <c r="AB62" s="143"/>
      <c r="AC62" s="143"/>
      <c r="AD62" s="143"/>
      <c r="AE62" s="143"/>
      <c r="AF62" s="143"/>
      <c r="AG62" s="143"/>
      <c r="AH62" s="143"/>
      <c r="AI62" s="143"/>
      <c r="AJ62" s="143"/>
    </row>
    <row r="63" spans="1:36" x14ac:dyDescent="0.25">
      <c r="A63" s="143"/>
      <c r="B63" s="143" t="s">
        <v>362</v>
      </c>
      <c r="C63" s="166"/>
      <c r="D63" s="179">
        <f>+DATOS!C40</f>
        <v>0</v>
      </c>
      <c r="E63" s="180">
        <f>+D63/$D$71</f>
        <v>0</v>
      </c>
      <c r="F63" s="166"/>
      <c r="G63" s="179">
        <f>+DATOS!E39</f>
        <v>0</v>
      </c>
      <c r="H63" s="180">
        <f>+G63/$G$71</f>
        <v>0</v>
      </c>
      <c r="I63" s="166"/>
      <c r="J63" s="157" t="s">
        <v>363</v>
      </c>
      <c r="K63" s="166"/>
      <c r="L63" s="116">
        <f>+L64</f>
        <v>56988.014119999731</v>
      </c>
      <c r="M63" s="170">
        <f>+L63/$L$71</f>
        <v>2.6615316767543282E-2</v>
      </c>
      <c r="N63" s="166"/>
      <c r="O63" s="116">
        <f>+O64</f>
        <v>32620.972100000272</v>
      </c>
      <c r="P63" s="170">
        <f>+O63/$O$71</f>
        <v>1.1067777868469969E-2</v>
      </c>
      <c r="Q63" s="143"/>
      <c r="R63" s="143"/>
      <c r="S63" s="143"/>
      <c r="T63" s="143"/>
      <c r="U63" s="143"/>
      <c r="V63" s="143"/>
      <c r="W63" s="143"/>
      <c r="X63" s="143"/>
      <c r="Y63" s="143"/>
      <c r="Z63" s="143"/>
      <c r="AA63" s="143"/>
      <c r="AB63" s="143"/>
      <c r="AC63" s="143"/>
      <c r="AD63" s="143"/>
      <c r="AE63" s="143"/>
      <c r="AF63" s="143"/>
      <c r="AG63" s="143"/>
      <c r="AH63" s="143"/>
      <c r="AI63" s="143"/>
      <c r="AJ63" s="143"/>
    </row>
    <row r="64" spans="1:36" x14ac:dyDescent="0.25">
      <c r="A64" s="143"/>
      <c r="B64" s="143"/>
      <c r="C64" s="143"/>
      <c r="D64" s="171"/>
      <c r="E64" s="172"/>
      <c r="F64" s="166"/>
      <c r="G64" s="171"/>
      <c r="H64" s="172"/>
      <c r="I64" s="166"/>
      <c r="J64" s="143" t="s">
        <v>364</v>
      </c>
      <c r="K64" s="143"/>
      <c r="L64" s="175">
        <f>+'E.R.I.ACUMULADO'!D109</f>
        <v>56988.014119999731</v>
      </c>
      <c r="M64" s="177">
        <f>+L64/$L$71</f>
        <v>2.6615316767543282E-2</v>
      </c>
      <c r="N64" s="166"/>
      <c r="O64" s="175">
        <f>+'E.R.I.ACUMULADO'!G109</f>
        <v>32620.972100000272</v>
      </c>
      <c r="P64" s="177">
        <f>+O64/$O$71</f>
        <v>1.1067777868469969E-2</v>
      </c>
      <c r="Q64" s="143"/>
      <c r="R64" s="393"/>
      <c r="S64" s="143"/>
      <c r="T64" s="143"/>
      <c r="U64" s="143"/>
      <c r="V64" s="143"/>
      <c r="W64" s="143"/>
      <c r="X64" s="143"/>
      <c r="Y64" s="143"/>
      <c r="Z64" s="143"/>
      <c r="AA64" s="143"/>
      <c r="AB64" s="143"/>
      <c r="AC64" s="143"/>
      <c r="AD64" s="143"/>
      <c r="AE64" s="143"/>
      <c r="AF64" s="143"/>
      <c r="AG64" s="143"/>
      <c r="AH64" s="143"/>
      <c r="AI64" s="143"/>
      <c r="AJ64" s="143"/>
    </row>
    <row r="65" spans="1:36" x14ac:dyDescent="0.25">
      <c r="A65" s="143"/>
      <c r="B65" s="157" t="s">
        <v>368</v>
      </c>
      <c r="C65" s="166"/>
      <c r="D65" s="185">
        <f>+D66</f>
        <v>0</v>
      </c>
      <c r="E65" s="160">
        <f>+D65/$D$71</f>
        <v>0</v>
      </c>
      <c r="F65" s="143"/>
      <c r="G65" s="185">
        <f>+G66</f>
        <v>0</v>
      </c>
      <c r="H65" s="160">
        <f>+G65/$G$71</f>
        <v>0</v>
      </c>
      <c r="I65" s="182"/>
      <c r="J65" s="157"/>
      <c r="K65" s="166"/>
      <c r="L65" s="157"/>
      <c r="M65" s="170"/>
      <c r="N65" s="143"/>
      <c r="O65" s="157"/>
      <c r="P65" s="170"/>
      <c r="Q65" s="143"/>
      <c r="R65" s="143"/>
      <c r="S65" s="143"/>
      <c r="T65" s="143"/>
      <c r="U65" s="143"/>
      <c r="V65" s="143"/>
      <c r="W65" s="143"/>
      <c r="X65" s="143"/>
      <c r="Y65" s="143"/>
      <c r="Z65" s="143"/>
      <c r="AA65" s="143"/>
      <c r="AB65" s="143"/>
      <c r="AC65" s="143"/>
      <c r="AD65" s="143"/>
      <c r="AE65" s="143"/>
      <c r="AF65" s="143"/>
      <c r="AG65" s="143"/>
      <c r="AH65" s="143"/>
      <c r="AI65" s="143"/>
      <c r="AJ65" s="143"/>
    </row>
    <row r="66" spans="1:36" x14ac:dyDescent="0.25">
      <c r="A66" s="143"/>
      <c r="B66" s="143" t="s">
        <v>370</v>
      </c>
      <c r="C66" s="166"/>
      <c r="D66" s="179">
        <f>+DATOS!C42</f>
        <v>0</v>
      </c>
      <c r="E66" s="180">
        <f>+D66/$D$71</f>
        <v>0</v>
      </c>
      <c r="F66" s="166"/>
      <c r="G66" s="179">
        <f>+DATOS!E42</f>
        <v>0</v>
      </c>
      <c r="H66" s="180">
        <f>+G66/$G$71</f>
        <v>0</v>
      </c>
      <c r="I66" s="182"/>
      <c r="J66" s="157" t="s">
        <v>372</v>
      </c>
      <c r="K66" s="166"/>
      <c r="L66" s="116">
        <f>+L67+L68</f>
        <v>366917.04697000002</v>
      </c>
      <c r="M66" s="170">
        <f>+L66/$L$71</f>
        <v>0.17136258533162158</v>
      </c>
      <c r="N66" s="166"/>
      <c r="O66" s="116">
        <f>+O67+O68</f>
        <v>322473.65768999996</v>
      </c>
      <c r="P66" s="170">
        <f>+O66/$O$71</f>
        <v>0.10941019172589013</v>
      </c>
      <c r="Q66" s="143"/>
      <c r="R66" s="143"/>
      <c r="S66" s="143"/>
      <c r="T66" s="143"/>
      <c r="U66" s="143"/>
      <c r="V66" s="143"/>
      <c r="W66" s="143"/>
      <c r="X66" s="143"/>
      <c r="Y66" s="143"/>
      <c r="Z66" s="143"/>
      <c r="AA66" s="143"/>
      <c r="AB66" s="143"/>
      <c r="AC66" s="143"/>
      <c r="AD66" s="143"/>
      <c r="AE66" s="143"/>
      <c r="AF66" s="143"/>
      <c r="AG66" s="143"/>
      <c r="AH66" s="143"/>
      <c r="AI66" s="143"/>
      <c r="AJ66" s="143"/>
    </row>
    <row r="67" spans="1:36" ht="15.75" x14ac:dyDescent="0.25">
      <c r="A67" s="143"/>
      <c r="B67" s="143"/>
      <c r="C67" s="166"/>
      <c r="D67" s="171"/>
      <c r="E67" s="172"/>
      <c r="F67" s="166"/>
      <c r="G67" s="171"/>
      <c r="H67" s="172"/>
      <c r="I67" s="226"/>
      <c r="J67" s="143" t="s">
        <v>376</v>
      </c>
      <c r="K67" s="166"/>
      <c r="L67" s="178">
        <f>+DATOS!C82+DATOS!C83-13610</f>
        <v>366917.04697000002</v>
      </c>
      <c r="M67" s="181">
        <f>+L67/$L$71</f>
        <v>0.17136258533162158</v>
      </c>
      <c r="N67" s="166"/>
      <c r="O67" s="178">
        <f>+DATOS!E82+DATOS!E83</f>
        <v>339509.75068999996</v>
      </c>
      <c r="P67" s="181">
        <f>+O67/$O$71</f>
        <v>0.11519026757686682</v>
      </c>
      <c r="Q67" s="220"/>
      <c r="R67" s="220"/>
      <c r="S67" s="220"/>
      <c r="T67" s="220"/>
      <c r="U67" s="220"/>
      <c r="V67" s="220"/>
      <c r="W67" s="220"/>
      <c r="X67" s="220"/>
      <c r="Y67" s="220"/>
      <c r="Z67" s="220"/>
      <c r="AA67" s="220"/>
      <c r="AB67" s="220"/>
      <c r="AC67" s="220"/>
      <c r="AD67" s="220"/>
      <c r="AE67" s="220"/>
      <c r="AF67" s="220"/>
      <c r="AG67" s="220"/>
      <c r="AH67" s="220"/>
      <c r="AI67" s="220"/>
      <c r="AJ67" s="220"/>
    </row>
    <row r="68" spans="1:36" ht="15.75" x14ac:dyDescent="0.25">
      <c r="A68" s="220"/>
      <c r="B68" s="145"/>
      <c r="C68" s="166"/>
      <c r="D68" s="227"/>
      <c r="E68" s="172"/>
      <c r="F68" s="166"/>
      <c r="G68" s="227"/>
      <c r="H68" s="172"/>
      <c r="I68" s="182"/>
      <c r="J68" s="143" t="s">
        <v>379</v>
      </c>
      <c r="K68" s="166"/>
      <c r="L68" s="175">
        <f>+DATOS!C84</f>
        <v>0</v>
      </c>
      <c r="M68" s="177">
        <f>+L68/$L$71</f>
        <v>0</v>
      </c>
      <c r="N68" s="166"/>
      <c r="O68" s="175">
        <f>+DATOS!E84</f>
        <v>-17036.093000000001</v>
      </c>
      <c r="P68" s="177">
        <f>+O68/$O$71</f>
        <v>-5.7800758509766971E-3</v>
      </c>
      <c r="Q68" s="143"/>
      <c r="R68" s="143"/>
      <c r="S68" s="143"/>
      <c r="T68" s="143"/>
      <c r="U68" s="143"/>
      <c r="V68" s="143"/>
      <c r="W68" s="143"/>
      <c r="X68" s="143"/>
      <c r="Y68" s="143"/>
      <c r="Z68" s="143"/>
      <c r="AA68" s="143"/>
      <c r="AB68" s="143"/>
      <c r="AC68" s="143"/>
      <c r="AD68" s="143"/>
      <c r="AE68" s="143"/>
      <c r="AF68" s="143"/>
      <c r="AG68" s="143"/>
      <c r="AH68" s="143"/>
      <c r="AI68" s="143"/>
      <c r="AJ68" s="143"/>
    </row>
    <row r="69" spans="1:36" ht="15.75" x14ac:dyDescent="0.25">
      <c r="A69" s="143"/>
      <c r="B69" s="162" t="s">
        <v>380</v>
      </c>
      <c r="C69" s="166"/>
      <c r="D69" s="208">
        <f>+D50+D59+D62+D47+D65</f>
        <v>1303146.4509999999</v>
      </c>
      <c r="E69" s="209">
        <f>+D69/$D$71</f>
        <v>0.55362730039444796</v>
      </c>
      <c r="F69" s="166"/>
      <c r="G69" s="208">
        <f>+G50+G59+G62+G47+G65</f>
        <v>2248379.9459000002</v>
      </c>
      <c r="H69" s="209">
        <f>+G69/$G$71</f>
        <v>0.76283961514826248</v>
      </c>
      <c r="I69" s="182"/>
      <c r="J69" s="219" t="s">
        <v>382</v>
      </c>
      <c r="K69" s="228"/>
      <c r="L69" s="221">
        <f>+L54+L60+L63+L66+L57</f>
        <v>975554.97808999976</v>
      </c>
      <c r="M69" s="222">
        <f>+L69/$L$71</f>
        <v>0.45561694273720754</v>
      </c>
      <c r="N69" s="228"/>
      <c r="O69" s="221">
        <f>+O54+O60+O63+O66+O57</f>
        <v>2166029.1477900003</v>
      </c>
      <c r="P69" s="222">
        <f>+O69/$O$71</f>
        <v>0.73489929701913559</v>
      </c>
      <c r="Q69" s="143"/>
      <c r="R69" s="143"/>
      <c r="S69" s="166"/>
      <c r="T69" s="143"/>
      <c r="U69" s="143"/>
      <c r="V69" s="143"/>
      <c r="W69" s="143"/>
      <c r="X69" s="143"/>
      <c r="Y69" s="143"/>
      <c r="Z69" s="143"/>
      <c r="AA69" s="143"/>
      <c r="AB69" s="143"/>
      <c r="AC69" s="143"/>
      <c r="AD69" s="143"/>
      <c r="AE69" s="143"/>
      <c r="AF69" s="143"/>
      <c r="AG69" s="143"/>
      <c r="AH69" s="143"/>
      <c r="AI69" s="143"/>
      <c r="AJ69" s="143"/>
    </row>
    <row r="70" spans="1:36" x14ac:dyDescent="0.25">
      <c r="A70" s="143"/>
      <c r="B70" s="157"/>
      <c r="C70" s="182"/>
      <c r="D70" s="167"/>
      <c r="E70" s="160"/>
      <c r="F70" s="166"/>
      <c r="G70" s="167"/>
      <c r="H70" s="160"/>
      <c r="I70" s="182"/>
      <c r="J70" s="157"/>
      <c r="K70" s="182"/>
      <c r="L70" s="182"/>
      <c r="M70" s="170"/>
      <c r="N70" s="166"/>
      <c r="O70" s="182"/>
      <c r="P70" s="170"/>
      <c r="Q70" s="143"/>
      <c r="R70" s="143"/>
      <c r="S70" s="143"/>
      <c r="T70" s="143"/>
      <c r="U70" s="143"/>
      <c r="V70" s="143"/>
      <c r="W70" s="143"/>
      <c r="X70" s="143"/>
      <c r="Y70" s="143"/>
      <c r="Z70" s="143"/>
      <c r="AA70" s="143"/>
      <c r="AB70" s="143"/>
      <c r="AC70" s="143"/>
      <c r="AD70" s="143"/>
      <c r="AE70" s="143"/>
      <c r="AF70" s="143"/>
      <c r="AG70" s="143"/>
      <c r="AH70" s="143"/>
      <c r="AI70" s="143"/>
      <c r="AJ70" s="143"/>
    </row>
    <row r="71" spans="1:36" ht="15.75" x14ac:dyDescent="0.25">
      <c r="A71" s="143"/>
      <c r="B71" s="219" t="s">
        <v>385</v>
      </c>
      <c r="C71" s="229"/>
      <c r="D71" s="230">
        <f>+D69+D38</f>
        <v>2353833.4364499999</v>
      </c>
      <c r="E71" s="231">
        <f>+D71/$D$71</f>
        <v>1</v>
      </c>
      <c r="F71" s="226"/>
      <c r="G71" s="230">
        <f>+G69+G38</f>
        <v>2947382.2560500009</v>
      </c>
      <c r="H71" s="231">
        <f>+G71/$G$71</f>
        <v>1</v>
      </c>
      <c r="I71" s="143"/>
      <c r="J71" s="219" t="s">
        <v>386</v>
      </c>
      <c r="K71" s="229"/>
      <c r="L71" s="221">
        <f>+L69+L51</f>
        <v>2141173.6188499997</v>
      </c>
      <c r="M71" s="222">
        <f>+L71/$L$71</f>
        <v>1</v>
      </c>
      <c r="N71" s="226"/>
      <c r="O71" s="221">
        <f>+O69+O51</f>
        <v>2947382.2557400004</v>
      </c>
      <c r="P71" s="222">
        <f>+O71/$O$71</f>
        <v>1</v>
      </c>
      <c r="Q71" s="143"/>
      <c r="R71" s="143"/>
      <c r="S71" s="143"/>
      <c r="T71" s="143"/>
      <c r="U71" s="143"/>
      <c r="V71" s="143"/>
      <c r="W71" s="143"/>
      <c r="X71" s="143"/>
      <c r="Y71" s="143"/>
      <c r="Z71" s="143"/>
      <c r="AA71" s="143"/>
      <c r="AB71" s="143"/>
      <c r="AC71" s="143"/>
      <c r="AD71" s="143"/>
      <c r="AE71" s="143"/>
      <c r="AF71" s="143"/>
      <c r="AG71" s="143"/>
      <c r="AH71" s="143"/>
      <c r="AI71" s="143"/>
      <c r="AJ71" s="143"/>
    </row>
    <row r="72" spans="1:36" x14ac:dyDescent="0.25">
      <c r="A72" s="143"/>
      <c r="B72" s="1"/>
      <c r="C72" s="1"/>
      <c r="D72" s="1"/>
      <c r="E72" s="1"/>
      <c r="F72" s="1"/>
      <c r="G72" s="1"/>
      <c r="H72" s="1"/>
      <c r="I72" s="143"/>
      <c r="J72" s="157"/>
      <c r="K72" s="146"/>
      <c r="L72" s="182"/>
      <c r="M72" s="232"/>
      <c r="N72" s="182"/>
      <c r="O72" s="182"/>
      <c r="P72" s="151"/>
      <c r="Q72" s="143"/>
      <c r="R72" s="143"/>
      <c r="S72" s="143"/>
      <c r="T72" s="143"/>
      <c r="U72" s="143"/>
      <c r="V72" s="143"/>
      <c r="W72" s="143"/>
      <c r="X72" s="143"/>
      <c r="Y72" s="143"/>
      <c r="Z72" s="143"/>
      <c r="AA72" s="143"/>
      <c r="AB72" s="143"/>
      <c r="AC72" s="143"/>
      <c r="AD72" s="143"/>
      <c r="AE72" s="143"/>
      <c r="AF72" s="143"/>
      <c r="AG72" s="143"/>
      <c r="AH72" s="143"/>
      <c r="AI72" s="143"/>
      <c r="AJ72" s="143"/>
    </row>
    <row r="73" spans="1:36" x14ac:dyDescent="0.25">
      <c r="A73" s="143"/>
      <c r="B73" s="1"/>
      <c r="C73" s="1"/>
      <c r="D73" s="1"/>
      <c r="E73" s="1"/>
      <c r="F73" s="1"/>
      <c r="G73" s="1"/>
      <c r="H73" s="1"/>
      <c r="I73" s="143"/>
      <c r="J73" s="157"/>
      <c r="K73" s="146"/>
      <c r="L73" s="182"/>
      <c r="M73" s="232"/>
      <c r="N73" s="182"/>
      <c r="O73" s="182"/>
      <c r="P73" s="151"/>
      <c r="Q73" s="143"/>
      <c r="R73" s="143"/>
      <c r="S73" s="143"/>
      <c r="T73" s="143"/>
      <c r="U73" s="143"/>
      <c r="V73" s="143"/>
      <c r="W73" s="143"/>
      <c r="X73" s="143"/>
      <c r="Y73" s="143"/>
      <c r="Z73" s="143"/>
      <c r="AA73" s="143"/>
      <c r="AB73" s="143"/>
      <c r="AC73" s="143"/>
      <c r="AD73" s="143"/>
      <c r="AE73" s="143"/>
      <c r="AF73" s="143"/>
      <c r="AG73" s="143"/>
      <c r="AH73" s="143"/>
      <c r="AI73" s="143"/>
      <c r="AJ73" s="143"/>
    </row>
    <row r="74" spans="1:36" x14ac:dyDescent="0.25">
      <c r="A74" s="143"/>
      <c r="B74" s="1"/>
      <c r="C74" s="1"/>
      <c r="D74" s="1"/>
      <c r="E74" s="1"/>
      <c r="F74" s="1"/>
      <c r="G74" s="1"/>
      <c r="H74" s="1"/>
      <c r="I74" s="143"/>
      <c r="J74" s="157"/>
      <c r="K74" s="146"/>
      <c r="L74" s="182"/>
      <c r="M74" s="232"/>
      <c r="N74" s="182"/>
      <c r="O74" s="182"/>
      <c r="P74" s="151"/>
      <c r="Q74" s="143"/>
      <c r="R74" s="143"/>
      <c r="S74" s="143"/>
      <c r="T74" s="143"/>
      <c r="U74" s="143"/>
      <c r="V74" s="143"/>
      <c r="W74" s="143"/>
      <c r="X74" s="143"/>
      <c r="Y74" s="143"/>
      <c r="Z74" s="143"/>
      <c r="AA74" s="143"/>
      <c r="AB74" s="143"/>
      <c r="AC74" s="143"/>
      <c r="AD74" s="143"/>
      <c r="AE74" s="143"/>
      <c r="AF74" s="143"/>
      <c r="AG74" s="143"/>
      <c r="AH74" s="143"/>
      <c r="AI74" s="143"/>
      <c r="AJ74" s="143"/>
    </row>
    <row r="75" spans="1:36" x14ac:dyDescent="0.25">
      <c r="A75" s="143"/>
      <c r="B75" s="1"/>
      <c r="C75" s="1"/>
      <c r="D75" s="1"/>
      <c r="E75" s="1"/>
      <c r="F75" s="1"/>
      <c r="G75" s="387"/>
      <c r="H75" s="387"/>
      <c r="I75" s="388"/>
      <c r="J75" s="389"/>
      <c r="K75" s="146"/>
      <c r="L75" s="182"/>
      <c r="M75" s="232"/>
      <c r="N75" s="182"/>
      <c r="O75" s="182"/>
      <c r="P75" s="151"/>
      <c r="Q75" s="143"/>
      <c r="R75" s="143"/>
      <c r="S75" s="143"/>
      <c r="T75" s="143"/>
      <c r="U75" s="143"/>
      <c r="V75" s="143"/>
      <c r="W75" s="143"/>
      <c r="X75" s="143"/>
      <c r="Y75" s="143"/>
      <c r="Z75" s="143"/>
      <c r="AA75" s="143"/>
      <c r="AB75" s="143"/>
      <c r="AC75" s="143"/>
      <c r="AD75" s="143"/>
      <c r="AE75" s="143"/>
      <c r="AF75" s="143"/>
      <c r="AG75" s="143"/>
      <c r="AH75" s="143"/>
      <c r="AI75" s="143"/>
      <c r="AJ75" s="143"/>
    </row>
    <row r="76" spans="1:36" x14ac:dyDescent="0.25">
      <c r="A76" s="143"/>
      <c r="B76" s="386"/>
      <c r="C76" s="386"/>
      <c r="D76" s="386"/>
      <c r="E76" s="386"/>
      <c r="F76" s="386"/>
      <c r="G76" s="182" t="s">
        <v>387</v>
      </c>
      <c r="H76" s="232"/>
      <c r="I76" s="385"/>
      <c r="J76" s="157"/>
      <c r="K76" s="146"/>
      <c r="L76" s="233"/>
      <c r="M76" s="234"/>
      <c r="N76" s="234"/>
      <c r="O76" s="234"/>
      <c r="P76" s="235"/>
      <c r="Q76" s="143"/>
      <c r="R76" s="143"/>
      <c r="S76" s="143"/>
      <c r="T76" s="143"/>
      <c r="U76" s="143"/>
      <c r="V76" s="143"/>
      <c r="W76" s="143"/>
      <c r="X76" s="143"/>
      <c r="Y76" s="143"/>
      <c r="Z76" s="143"/>
      <c r="AA76" s="143"/>
      <c r="AB76" s="143"/>
      <c r="AC76" s="143"/>
      <c r="AD76" s="143"/>
      <c r="AE76" s="143"/>
      <c r="AF76" s="143"/>
      <c r="AG76" s="143"/>
      <c r="AH76" s="143"/>
      <c r="AI76" s="143"/>
      <c r="AJ76" s="143"/>
    </row>
    <row r="77" spans="1:36" x14ac:dyDescent="0.25">
      <c r="A77" s="143"/>
      <c r="B77" s="418" t="str">
        <f>+DATOS!H12</f>
        <v>Fernando Filevich Leiva</v>
      </c>
      <c r="C77" s="419"/>
      <c r="D77" s="419"/>
      <c r="E77" s="236"/>
      <c r="F77" s="236"/>
      <c r="G77" s="386"/>
      <c r="H77" s="14" t="str">
        <f>+'E.R.I.ACUMULADO'!C114</f>
        <v>Fabian Elver Hernandez Garcia</v>
      </c>
      <c r="I77" s="385"/>
      <c r="J77" s="157"/>
      <c r="K77" s="146"/>
      <c r="L77" s="407" t="str">
        <f>+'E.R.I.ACUMULADO'!G114</f>
        <v>Leidy Yasmin Gomez Toro</v>
      </c>
      <c r="M77" s="415"/>
      <c r="N77" s="415"/>
      <c r="O77" s="415"/>
      <c r="P77" s="157"/>
      <c r="Q77" s="143"/>
      <c r="R77" s="143"/>
      <c r="S77" s="143"/>
      <c r="T77" s="143"/>
      <c r="U77" s="143"/>
      <c r="V77" s="143"/>
      <c r="W77" s="143"/>
      <c r="X77" s="143"/>
      <c r="Y77" s="143"/>
      <c r="Z77" s="143"/>
      <c r="AA77" s="143"/>
      <c r="AB77" s="143"/>
      <c r="AC77" s="143"/>
      <c r="AD77" s="143"/>
      <c r="AE77" s="143"/>
      <c r="AF77" s="143"/>
      <c r="AG77" s="143"/>
      <c r="AH77" s="143"/>
      <c r="AI77" s="143"/>
      <c r="AJ77" s="143"/>
    </row>
    <row r="78" spans="1:36" x14ac:dyDescent="0.25">
      <c r="A78" s="143"/>
      <c r="B78" s="420" t="s">
        <v>388</v>
      </c>
      <c r="C78" s="415"/>
      <c r="D78" s="415"/>
      <c r="E78" s="237"/>
      <c r="F78" s="237"/>
      <c r="G78" s="386"/>
      <c r="H78" s="14" t="str">
        <f>+'E.R.I.ACUMULADO'!C115</f>
        <v>Revisor Fiscal</v>
      </c>
      <c r="I78" s="385"/>
      <c r="J78" s="157"/>
      <c r="K78" s="146"/>
      <c r="L78" s="407" t="str">
        <f>+'E.R.I.ACUMULADO'!G115</f>
        <v>Contador</v>
      </c>
      <c r="M78" s="415"/>
      <c r="N78" s="415"/>
      <c r="O78" s="415"/>
      <c r="P78" s="143"/>
      <c r="Q78" s="143"/>
      <c r="R78" s="143"/>
      <c r="S78" s="143"/>
      <c r="T78" s="143"/>
      <c r="U78" s="143"/>
      <c r="V78" s="143"/>
      <c r="W78" s="143"/>
      <c r="X78" s="143"/>
      <c r="Y78" s="143"/>
      <c r="Z78" s="143"/>
      <c r="AA78" s="143"/>
      <c r="AB78" s="143"/>
      <c r="AC78" s="143"/>
      <c r="AD78" s="143"/>
      <c r="AE78" s="143"/>
      <c r="AF78" s="143"/>
      <c r="AG78" s="143"/>
      <c r="AH78" s="143"/>
      <c r="AI78" s="143"/>
      <c r="AJ78" s="143"/>
    </row>
    <row r="79" spans="1:36" x14ac:dyDescent="0.25">
      <c r="A79" s="143"/>
      <c r="B79" s="420" t="str">
        <f>+DATOS!H13</f>
        <v>C.E 274.113</v>
      </c>
      <c r="C79" s="415"/>
      <c r="D79" s="415"/>
      <c r="E79" s="237"/>
      <c r="F79" s="237"/>
      <c r="G79" s="114"/>
      <c r="H79" s="14" t="str">
        <f>+'E.R.I.ACUMULADO'!C116</f>
        <v>333711-T</v>
      </c>
      <c r="I79" s="385"/>
      <c r="J79" s="157"/>
      <c r="K79" s="386"/>
      <c r="L79" s="407" t="str">
        <f>+'E.R.I.ACUMULADO'!G116</f>
        <v>TP: 318364-T</v>
      </c>
      <c r="M79" s="415"/>
      <c r="N79" s="415"/>
      <c r="O79" s="415"/>
      <c r="P79" s="143"/>
      <c r="Q79" s="143"/>
      <c r="R79" s="143"/>
      <c r="S79" s="143"/>
      <c r="T79" s="143"/>
      <c r="U79" s="143"/>
      <c r="V79" s="143"/>
      <c r="W79" s="143"/>
      <c r="X79" s="143"/>
      <c r="Y79" s="143"/>
      <c r="Z79" s="143"/>
      <c r="AA79" s="143"/>
      <c r="AB79" s="143"/>
      <c r="AC79" s="143"/>
      <c r="AD79" s="143"/>
      <c r="AE79" s="143"/>
      <c r="AF79" s="143"/>
      <c r="AG79" s="143"/>
      <c r="AH79" s="143"/>
      <c r="AI79" s="143"/>
      <c r="AJ79" s="143"/>
    </row>
    <row r="80" spans="1:36" x14ac:dyDescent="0.25">
      <c r="A80" s="143"/>
      <c r="B80" s="145"/>
      <c r="C80" s="146"/>
      <c r="D80" s="114"/>
      <c r="E80" s="148"/>
      <c r="F80" s="148"/>
      <c r="G80" s="114"/>
      <c r="H80" s="149"/>
      <c r="I80" s="143"/>
      <c r="J80" s="14"/>
      <c r="K80" s="1"/>
      <c r="L80" s="238">
        <f>+D71-L71</f>
        <v>212659.81760000018</v>
      </c>
      <c r="M80" s="150"/>
      <c r="N80" s="143"/>
      <c r="O80" s="238">
        <f>+G71-O71</f>
        <v>3.1000049784779549E-4</v>
      </c>
      <c r="P80" s="151"/>
      <c r="Q80" s="143"/>
      <c r="R80" s="143"/>
      <c r="S80" s="143"/>
      <c r="T80" s="143"/>
      <c r="U80" s="143"/>
      <c r="V80" s="143"/>
      <c r="W80" s="143"/>
      <c r="X80" s="143"/>
      <c r="Y80" s="143"/>
      <c r="Z80" s="143"/>
      <c r="AA80" s="143"/>
      <c r="AB80" s="143"/>
      <c r="AC80" s="143"/>
      <c r="AD80" s="143"/>
      <c r="AE80" s="143"/>
      <c r="AF80" s="143"/>
      <c r="AG80" s="143"/>
      <c r="AH80" s="143"/>
      <c r="AI80" s="143"/>
      <c r="AJ80" s="143"/>
    </row>
    <row r="81" spans="1:36" x14ac:dyDescent="0.25">
      <c r="A81" s="143"/>
      <c r="B81" s="145"/>
      <c r="C81" s="146"/>
      <c r="D81" s="114"/>
      <c r="E81" s="148"/>
      <c r="F81" s="148"/>
      <c r="G81" s="114"/>
      <c r="H81" s="149"/>
      <c r="I81" s="143"/>
      <c r="J81" s="112"/>
      <c r="K81" s="143"/>
      <c r="L81" s="143"/>
      <c r="M81" s="150"/>
      <c r="N81" s="143"/>
      <c r="O81" s="1"/>
      <c r="P81" s="151"/>
      <c r="Q81" s="143"/>
      <c r="R81" s="143"/>
      <c r="S81" s="143"/>
      <c r="T81" s="143"/>
      <c r="U81" s="143"/>
      <c r="V81" s="143"/>
      <c r="W81" s="143"/>
      <c r="X81" s="143"/>
      <c r="Y81" s="143"/>
      <c r="Z81" s="143"/>
      <c r="AA81" s="143"/>
      <c r="AB81" s="143"/>
      <c r="AC81" s="143"/>
      <c r="AD81" s="143"/>
      <c r="AE81" s="143"/>
      <c r="AF81" s="143"/>
      <c r="AG81" s="143"/>
      <c r="AH81" s="143"/>
      <c r="AI81" s="143"/>
      <c r="AJ81" s="143"/>
    </row>
    <row r="82" spans="1:36" x14ac:dyDescent="0.25">
      <c r="A82" s="143"/>
      <c r="B82" s="145"/>
      <c r="C82" s="146"/>
      <c r="D82" s="114"/>
      <c r="E82" s="148"/>
      <c r="F82" s="148"/>
      <c r="G82" s="114"/>
      <c r="H82" s="149"/>
      <c r="I82" s="143"/>
      <c r="J82" s="112"/>
      <c r="K82" s="143"/>
      <c r="L82" s="143"/>
      <c r="M82" s="150"/>
      <c r="N82" s="143"/>
      <c r="O82" s="1"/>
      <c r="P82" s="151"/>
      <c r="Q82" s="143"/>
      <c r="R82" s="143"/>
      <c r="S82" s="143"/>
      <c r="T82" s="143"/>
      <c r="U82" s="143"/>
      <c r="V82" s="143"/>
      <c r="W82" s="143"/>
      <c r="X82" s="143"/>
      <c r="Y82" s="143"/>
      <c r="Z82" s="143"/>
      <c r="AA82" s="143"/>
      <c r="AB82" s="143"/>
      <c r="AC82" s="143"/>
      <c r="AD82" s="143"/>
      <c r="AE82" s="143"/>
      <c r="AF82" s="143"/>
      <c r="AG82" s="143"/>
      <c r="AH82" s="143"/>
      <c r="AI82" s="143"/>
      <c r="AJ82" s="143"/>
    </row>
    <row r="83" spans="1:36" x14ac:dyDescent="0.25">
      <c r="A83" s="143"/>
      <c r="B83" s="145"/>
      <c r="C83" s="146"/>
      <c r="D83" s="114"/>
      <c r="E83" s="148"/>
      <c r="F83" s="148"/>
      <c r="G83" s="114"/>
      <c r="H83" s="149"/>
      <c r="I83" s="143"/>
      <c r="J83" s="143"/>
      <c r="K83" s="143"/>
      <c r="L83" s="143"/>
      <c r="M83" s="150"/>
      <c r="N83" s="143"/>
      <c r="O83" s="1"/>
      <c r="P83" s="151"/>
      <c r="Q83" s="143"/>
      <c r="R83" s="143"/>
      <c r="S83" s="143"/>
      <c r="T83" s="143"/>
      <c r="U83" s="143"/>
      <c r="V83" s="143"/>
      <c r="W83" s="143"/>
      <c r="X83" s="143"/>
      <c r="Y83" s="143"/>
      <c r="Z83" s="143"/>
      <c r="AA83" s="143"/>
      <c r="AB83" s="143"/>
      <c r="AC83" s="143"/>
      <c r="AD83" s="143"/>
      <c r="AE83" s="143"/>
      <c r="AF83" s="143"/>
      <c r="AG83" s="143"/>
      <c r="AH83" s="143"/>
      <c r="AI83" s="143"/>
      <c r="AJ83" s="143"/>
    </row>
    <row r="84" spans="1:36" x14ac:dyDescent="0.25">
      <c r="A84" s="143"/>
      <c r="B84" s="145"/>
      <c r="C84" s="146"/>
      <c r="D84" s="114"/>
      <c r="E84" s="148"/>
      <c r="F84" s="148"/>
      <c r="G84" s="114"/>
      <c r="H84" s="149"/>
      <c r="I84" s="143"/>
      <c r="J84" s="143"/>
      <c r="K84" s="143"/>
      <c r="L84" s="143"/>
      <c r="M84" s="150"/>
      <c r="N84" s="143"/>
      <c r="O84" s="1"/>
      <c r="P84" s="151"/>
      <c r="Q84" s="143"/>
      <c r="R84" s="143"/>
      <c r="S84" s="143"/>
      <c r="T84" s="143"/>
      <c r="U84" s="143"/>
      <c r="V84" s="143"/>
      <c r="W84" s="143"/>
      <c r="X84" s="143"/>
      <c r="Y84" s="143"/>
      <c r="Z84" s="143"/>
      <c r="AA84" s="143"/>
      <c r="AB84" s="143"/>
      <c r="AC84" s="143"/>
      <c r="AD84" s="143"/>
      <c r="AE84" s="143"/>
      <c r="AF84" s="143"/>
      <c r="AG84" s="143"/>
      <c r="AH84" s="143"/>
      <c r="AI84" s="143"/>
      <c r="AJ84" s="143"/>
    </row>
    <row r="85" spans="1:36" x14ac:dyDescent="0.25">
      <c r="A85" s="143"/>
      <c r="B85" s="145"/>
      <c r="C85" s="146"/>
      <c r="D85" s="114"/>
      <c r="E85" s="148"/>
      <c r="F85" s="148"/>
      <c r="G85" s="114"/>
      <c r="H85" s="149"/>
      <c r="I85" s="143"/>
      <c r="J85" s="143"/>
      <c r="K85" s="143"/>
      <c r="L85" s="143"/>
      <c r="M85" s="150"/>
      <c r="N85" s="143"/>
      <c r="O85" s="1"/>
      <c r="P85" s="151"/>
      <c r="Q85" s="143"/>
      <c r="R85" s="143"/>
      <c r="S85" s="143"/>
      <c r="T85" s="143"/>
      <c r="U85" s="143"/>
      <c r="V85" s="143"/>
      <c r="W85" s="143"/>
      <c r="X85" s="143"/>
      <c r="Y85" s="143"/>
      <c r="Z85" s="143"/>
      <c r="AA85" s="143"/>
      <c r="AB85" s="143"/>
      <c r="AC85" s="143"/>
      <c r="AD85" s="143"/>
      <c r="AE85" s="143"/>
      <c r="AF85" s="143"/>
      <c r="AG85" s="143"/>
      <c r="AH85" s="143"/>
      <c r="AI85" s="143"/>
      <c r="AJ85" s="143"/>
    </row>
    <row r="86" spans="1:36" x14ac:dyDescent="0.25">
      <c r="A86" s="143"/>
      <c r="B86" s="145"/>
      <c r="C86" s="146"/>
      <c r="D86" s="114"/>
      <c r="E86" s="148"/>
      <c r="F86" s="148"/>
      <c r="G86" s="114"/>
      <c r="H86" s="149"/>
      <c r="I86" s="143"/>
      <c r="J86" s="143"/>
      <c r="K86" s="143"/>
      <c r="L86" s="143"/>
      <c r="M86" s="150"/>
      <c r="N86" s="143"/>
      <c r="O86" s="1"/>
      <c r="P86" s="151"/>
      <c r="Q86" s="143"/>
      <c r="R86" s="143"/>
      <c r="S86" s="143"/>
      <c r="T86" s="143"/>
      <c r="U86" s="143"/>
      <c r="V86" s="143"/>
      <c r="W86" s="143"/>
      <c r="X86" s="143"/>
      <c r="Y86" s="143"/>
      <c r="Z86" s="143"/>
      <c r="AA86" s="143"/>
      <c r="AB86" s="143"/>
      <c r="AC86" s="143"/>
      <c r="AD86" s="143"/>
      <c r="AE86" s="143"/>
      <c r="AF86" s="143"/>
      <c r="AG86" s="143"/>
      <c r="AH86" s="143"/>
      <c r="AI86" s="143"/>
      <c r="AJ86" s="143"/>
    </row>
    <row r="87" spans="1:36" x14ac:dyDescent="0.25">
      <c r="A87" s="143"/>
      <c r="B87" s="145"/>
      <c r="C87" s="146"/>
      <c r="D87" s="114"/>
      <c r="E87" s="148"/>
      <c r="F87" s="148"/>
      <c r="G87" s="114"/>
      <c r="H87" s="149"/>
      <c r="I87" s="143"/>
      <c r="J87" s="143"/>
      <c r="K87" s="143"/>
      <c r="L87" s="143"/>
      <c r="M87" s="150"/>
      <c r="N87" s="143"/>
      <c r="O87" s="1"/>
      <c r="P87" s="151"/>
      <c r="Q87" s="143"/>
      <c r="R87" s="143"/>
      <c r="S87" s="143"/>
      <c r="T87" s="143"/>
      <c r="U87" s="143"/>
      <c r="V87" s="143"/>
      <c r="W87" s="143"/>
      <c r="X87" s="143"/>
      <c r="Y87" s="143"/>
      <c r="Z87" s="143"/>
      <c r="AA87" s="143"/>
      <c r="AB87" s="143"/>
      <c r="AC87" s="143"/>
      <c r="AD87" s="143"/>
      <c r="AE87" s="143"/>
      <c r="AF87" s="143"/>
      <c r="AG87" s="143"/>
      <c r="AH87" s="143"/>
      <c r="AI87" s="143"/>
      <c r="AJ87" s="143"/>
    </row>
    <row r="88" spans="1:36" x14ac:dyDescent="0.25">
      <c r="A88" s="143"/>
      <c r="B88" s="145"/>
      <c r="C88" s="146"/>
      <c r="D88" s="114"/>
      <c r="E88" s="148"/>
      <c r="F88" s="148"/>
      <c r="G88" s="114"/>
      <c r="H88" s="149"/>
      <c r="I88" s="143"/>
      <c r="J88" s="143"/>
      <c r="K88" s="143"/>
      <c r="L88" s="143"/>
      <c r="M88" s="150"/>
      <c r="N88" s="143"/>
      <c r="O88" s="1"/>
      <c r="P88" s="151"/>
      <c r="Q88" s="143"/>
      <c r="R88" s="143"/>
      <c r="S88" s="143"/>
      <c r="T88" s="143"/>
      <c r="U88" s="143"/>
      <c r="V88" s="143"/>
      <c r="W88" s="143"/>
      <c r="X88" s="143"/>
      <c r="Y88" s="143"/>
      <c r="Z88" s="143"/>
      <c r="AA88" s="143"/>
      <c r="AB88" s="143"/>
      <c r="AC88" s="143"/>
      <c r="AD88" s="143"/>
      <c r="AE88" s="143"/>
      <c r="AF88" s="143"/>
      <c r="AG88" s="143"/>
      <c r="AH88" s="143"/>
      <c r="AI88" s="143"/>
      <c r="AJ88" s="143"/>
    </row>
    <row r="89" spans="1:36" x14ac:dyDescent="0.25">
      <c r="A89" s="143"/>
      <c r="B89" s="145"/>
      <c r="C89" s="146"/>
      <c r="D89" s="114"/>
      <c r="E89" s="148"/>
      <c r="F89" s="148"/>
      <c r="G89" s="114"/>
      <c r="H89" s="149"/>
      <c r="I89" s="143"/>
      <c r="J89" s="143"/>
      <c r="K89" s="143"/>
      <c r="L89" s="143"/>
      <c r="M89" s="150"/>
      <c r="N89" s="143"/>
      <c r="O89" s="1"/>
      <c r="P89" s="151"/>
      <c r="Q89" s="143"/>
      <c r="R89" s="143"/>
      <c r="S89" s="143"/>
      <c r="T89" s="143"/>
      <c r="U89" s="143"/>
      <c r="V89" s="143"/>
      <c r="W89" s="143"/>
      <c r="X89" s="143"/>
      <c r="Y89" s="143"/>
      <c r="Z89" s="143"/>
      <c r="AA89" s="143"/>
      <c r="AB89" s="143"/>
      <c r="AC89" s="143"/>
      <c r="AD89" s="143"/>
      <c r="AE89" s="143"/>
      <c r="AF89" s="143"/>
      <c r="AG89" s="143"/>
      <c r="AH89" s="143"/>
      <c r="AI89" s="143"/>
      <c r="AJ89" s="143"/>
    </row>
    <row r="90" spans="1:36" x14ac:dyDescent="0.25">
      <c r="A90" s="143"/>
      <c r="B90" s="145"/>
      <c r="C90" s="146"/>
      <c r="D90" s="114"/>
      <c r="E90" s="148"/>
      <c r="F90" s="148"/>
      <c r="G90" s="114"/>
      <c r="H90" s="149"/>
      <c r="I90" s="143"/>
      <c r="J90" s="143"/>
      <c r="K90" s="143"/>
      <c r="L90" s="143"/>
      <c r="M90" s="150"/>
      <c r="N90" s="143"/>
      <c r="O90" s="1"/>
      <c r="P90" s="151"/>
      <c r="Q90" s="143"/>
      <c r="R90" s="143"/>
      <c r="S90" s="143"/>
      <c r="T90" s="143"/>
      <c r="U90" s="143"/>
      <c r="V90" s="143"/>
      <c r="W90" s="143"/>
      <c r="X90" s="143"/>
      <c r="Y90" s="143"/>
      <c r="Z90" s="143"/>
      <c r="AA90" s="143"/>
      <c r="AB90" s="143"/>
      <c r="AC90" s="143"/>
      <c r="AD90" s="143"/>
      <c r="AE90" s="143"/>
      <c r="AF90" s="143"/>
      <c r="AG90" s="143"/>
      <c r="AH90" s="143"/>
      <c r="AI90" s="143"/>
      <c r="AJ90" s="143"/>
    </row>
    <row r="91" spans="1:36" x14ac:dyDescent="0.25">
      <c r="A91" s="143"/>
      <c r="B91" s="145"/>
      <c r="C91" s="146"/>
      <c r="D91" s="114"/>
      <c r="E91" s="148"/>
      <c r="F91" s="148"/>
      <c r="G91" s="114"/>
      <c r="H91" s="149"/>
      <c r="I91" s="143"/>
      <c r="J91" s="143"/>
      <c r="K91" s="143"/>
      <c r="L91" s="143"/>
      <c r="M91" s="150"/>
      <c r="N91" s="143"/>
      <c r="O91" s="1"/>
      <c r="P91" s="151"/>
      <c r="Q91" s="143"/>
      <c r="R91" s="143"/>
      <c r="S91" s="143"/>
      <c r="T91" s="143"/>
      <c r="U91" s="143"/>
      <c r="V91" s="143"/>
      <c r="W91" s="143"/>
      <c r="X91" s="143"/>
      <c r="Y91" s="143"/>
      <c r="Z91" s="143"/>
      <c r="AA91" s="143"/>
      <c r="AB91" s="143"/>
      <c r="AC91" s="143"/>
      <c r="AD91" s="143"/>
      <c r="AE91" s="143"/>
      <c r="AF91" s="143"/>
      <c r="AG91" s="143"/>
      <c r="AH91" s="143"/>
      <c r="AI91" s="143"/>
      <c r="AJ91" s="143"/>
    </row>
    <row r="92" spans="1:36" x14ac:dyDescent="0.25">
      <c r="A92" s="143"/>
      <c r="B92" s="145"/>
      <c r="C92" s="146"/>
      <c r="D92" s="114"/>
      <c r="E92" s="148"/>
      <c r="F92" s="148"/>
      <c r="G92" s="114"/>
      <c r="H92" s="149"/>
      <c r="I92" s="143"/>
      <c r="J92" s="143"/>
      <c r="K92" s="143"/>
      <c r="L92" s="143"/>
      <c r="M92" s="150"/>
      <c r="N92" s="143"/>
      <c r="O92" s="1"/>
      <c r="P92" s="151"/>
      <c r="Q92" s="143"/>
      <c r="R92" s="143"/>
      <c r="S92" s="143"/>
      <c r="T92" s="143"/>
      <c r="U92" s="143"/>
      <c r="V92" s="143"/>
      <c r="W92" s="143"/>
      <c r="X92" s="143"/>
      <c r="Y92" s="143"/>
      <c r="Z92" s="143"/>
      <c r="AA92" s="143"/>
      <c r="AB92" s="143"/>
      <c r="AC92" s="143"/>
      <c r="AD92" s="143"/>
      <c r="AE92" s="143"/>
      <c r="AF92" s="143"/>
      <c r="AG92" s="143"/>
      <c r="AH92" s="143"/>
      <c r="AI92" s="143"/>
      <c r="AJ92" s="143"/>
    </row>
    <row r="93" spans="1:36" x14ac:dyDescent="0.25">
      <c r="A93" s="143"/>
      <c r="B93" s="145"/>
      <c r="C93" s="146"/>
      <c r="D93" s="114"/>
      <c r="E93" s="148"/>
      <c r="F93" s="148"/>
      <c r="G93" s="114"/>
      <c r="H93" s="149"/>
      <c r="I93" s="143"/>
      <c r="J93" s="143"/>
      <c r="K93" s="143"/>
      <c r="L93" s="143"/>
      <c r="M93" s="150"/>
      <c r="N93" s="143"/>
      <c r="O93" s="1"/>
      <c r="P93" s="151"/>
      <c r="Q93" s="143"/>
      <c r="R93" s="143"/>
      <c r="S93" s="143"/>
      <c r="T93" s="143"/>
      <c r="U93" s="143"/>
      <c r="V93" s="143"/>
      <c r="W93" s="143"/>
      <c r="X93" s="143"/>
      <c r="Y93" s="143"/>
      <c r="Z93" s="143"/>
      <c r="AA93" s="143"/>
      <c r="AB93" s="143"/>
      <c r="AC93" s="143"/>
      <c r="AD93" s="143"/>
      <c r="AE93" s="143"/>
      <c r="AF93" s="143"/>
      <c r="AG93" s="143"/>
      <c r="AH93" s="143"/>
      <c r="AI93" s="143"/>
      <c r="AJ93" s="143"/>
    </row>
    <row r="94" spans="1:36" x14ac:dyDescent="0.25">
      <c r="A94" s="143"/>
      <c r="B94" s="145"/>
      <c r="C94" s="146"/>
      <c r="D94" s="114"/>
      <c r="E94" s="148"/>
      <c r="F94" s="148"/>
      <c r="G94" s="114"/>
      <c r="H94" s="149"/>
      <c r="I94" s="143"/>
      <c r="J94" s="143"/>
      <c r="K94" s="143"/>
      <c r="L94" s="143"/>
      <c r="M94" s="150"/>
      <c r="N94" s="143"/>
      <c r="O94" s="1"/>
      <c r="P94" s="151"/>
      <c r="Q94" s="143"/>
      <c r="R94" s="143"/>
      <c r="S94" s="143"/>
      <c r="T94" s="143"/>
      <c r="U94" s="143"/>
      <c r="V94" s="143"/>
      <c r="W94" s="143"/>
      <c r="X94" s="143"/>
      <c r="Y94" s="143"/>
      <c r="Z94" s="143"/>
      <c r="AA94" s="143"/>
      <c r="AB94" s="143"/>
      <c r="AC94" s="143"/>
      <c r="AD94" s="143"/>
      <c r="AE94" s="143"/>
      <c r="AF94" s="143"/>
      <c r="AG94" s="143"/>
      <c r="AH94" s="143"/>
      <c r="AI94" s="143"/>
      <c r="AJ94" s="143"/>
    </row>
    <row r="95" spans="1:36" x14ac:dyDescent="0.25">
      <c r="A95" s="143"/>
      <c r="B95" s="145"/>
      <c r="C95" s="146"/>
      <c r="D95" s="114"/>
      <c r="E95" s="148"/>
      <c r="F95" s="148"/>
      <c r="G95" s="114"/>
      <c r="H95" s="149"/>
      <c r="I95" s="143"/>
      <c r="J95" s="143"/>
      <c r="K95" s="143"/>
      <c r="L95" s="143"/>
      <c r="M95" s="150"/>
      <c r="N95" s="143"/>
      <c r="O95" s="1"/>
      <c r="P95" s="151"/>
      <c r="Q95" s="143"/>
      <c r="R95" s="143"/>
      <c r="S95" s="143"/>
      <c r="T95" s="143"/>
      <c r="U95" s="143"/>
      <c r="V95" s="143"/>
      <c r="W95" s="143"/>
      <c r="X95" s="143"/>
      <c r="Y95" s="143"/>
      <c r="Z95" s="143"/>
      <c r="AA95" s="143"/>
      <c r="AB95" s="143"/>
      <c r="AC95" s="143"/>
      <c r="AD95" s="143"/>
      <c r="AE95" s="143"/>
      <c r="AF95" s="143"/>
      <c r="AG95" s="143"/>
      <c r="AH95" s="143"/>
      <c r="AI95" s="143"/>
      <c r="AJ95" s="143"/>
    </row>
    <row r="96" spans="1:36" x14ac:dyDescent="0.25">
      <c r="A96" s="143"/>
      <c r="B96" s="145"/>
      <c r="C96" s="146"/>
      <c r="D96" s="114"/>
      <c r="E96" s="148"/>
      <c r="F96" s="148"/>
      <c r="G96" s="114"/>
      <c r="H96" s="149"/>
      <c r="I96" s="143"/>
      <c r="J96" s="143"/>
      <c r="K96" s="143"/>
      <c r="L96" s="143"/>
      <c r="M96" s="150"/>
      <c r="N96" s="143"/>
      <c r="O96" s="1"/>
      <c r="P96" s="151"/>
      <c r="Q96" s="143"/>
      <c r="R96" s="143"/>
      <c r="S96" s="143"/>
      <c r="T96" s="143"/>
      <c r="U96" s="143"/>
      <c r="V96" s="143"/>
      <c r="W96" s="143"/>
      <c r="X96" s="143"/>
      <c r="Y96" s="143"/>
      <c r="Z96" s="143"/>
      <c r="AA96" s="143"/>
      <c r="AB96" s="143"/>
      <c r="AC96" s="143"/>
      <c r="AD96" s="143"/>
      <c r="AE96" s="143"/>
      <c r="AF96" s="143"/>
      <c r="AG96" s="143"/>
      <c r="AH96" s="143"/>
      <c r="AI96" s="143"/>
      <c r="AJ96" s="143"/>
    </row>
    <row r="97" spans="1:36" x14ac:dyDescent="0.25">
      <c r="A97" s="143"/>
      <c r="B97" s="145"/>
      <c r="C97" s="146"/>
      <c r="D97" s="114"/>
      <c r="E97" s="148"/>
      <c r="F97" s="148"/>
      <c r="G97" s="114"/>
      <c r="H97" s="149"/>
      <c r="I97" s="143"/>
      <c r="J97" s="143"/>
      <c r="K97" s="143"/>
      <c r="L97" s="143"/>
      <c r="M97" s="150"/>
      <c r="N97" s="143"/>
      <c r="O97" s="1"/>
      <c r="P97" s="151"/>
      <c r="Q97" s="143"/>
      <c r="R97" s="143"/>
      <c r="S97" s="143"/>
      <c r="T97" s="143"/>
      <c r="U97" s="143"/>
      <c r="V97" s="143"/>
      <c r="W97" s="143"/>
      <c r="X97" s="143"/>
      <c r="Y97" s="143"/>
      <c r="Z97" s="143"/>
      <c r="AA97" s="143"/>
      <c r="AB97" s="143"/>
      <c r="AC97" s="143"/>
      <c r="AD97" s="143"/>
      <c r="AE97" s="143"/>
      <c r="AF97" s="143"/>
      <c r="AG97" s="143"/>
      <c r="AH97" s="143"/>
      <c r="AI97" s="143"/>
      <c r="AJ97" s="143"/>
    </row>
    <row r="98" spans="1:36" x14ac:dyDescent="0.25">
      <c r="A98" s="143"/>
      <c r="B98" s="145"/>
      <c r="C98" s="146"/>
      <c r="D98" s="114"/>
      <c r="E98" s="148"/>
      <c r="F98" s="148"/>
      <c r="G98" s="114"/>
      <c r="H98" s="149"/>
      <c r="I98" s="143"/>
      <c r="J98" s="143"/>
      <c r="K98" s="143"/>
      <c r="L98" s="143"/>
      <c r="M98" s="150"/>
      <c r="N98" s="143"/>
      <c r="O98" s="1"/>
      <c r="P98" s="151"/>
      <c r="Q98" s="143"/>
      <c r="R98" s="143"/>
      <c r="S98" s="143"/>
      <c r="T98" s="143"/>
      <c r="U98" s="143"/>
      <c r="V98" s="143"/>
      <c r="W98" s="143"/>
      <c r="X98" s="143"/>
      <c r="Y98" s="143"/>
      <c r="Z98" s="143"/>
      <c r="AA98" s="143"/>
      <c r="AB98" s="143"/>
      <c r="AC98" s="143"/>
      <c r="AD98" s="143"/>
      <c r="AE98" s="143"/>
      <c r="AF98" s="143"/>
      <c r="AG98" s="143"/>
      <c r="AH98" s="143"/>
      <c r="AI98" s="143"/>
      <c r="AJ98" s="143"/>
    </row>
    <row r="99" spans="1:36" x14ac:dyDescent="0.25">
      <c r="A99" s="143"/>
      <c r="B99" s="145"/>
      <c r="C99" s="146"/>
      <c r="D99" s="114"/>
      <c r="E99" s="148"/>
      <c r="F99" s="148"/>
      <c r="G99" s="114"/>
      <c r="H99" s="149"/>
      <c r="I99" s="143"/>
      <c r="J99" s="143"/>
      <c r="K99" s="143"/>
      <c r="L99" s="143"/>
      <c r="M99" s="150"/>
      <c r="N99" s="143"/>
      <c r="O99" s="1"/>
      <c r="P99" s="151"/>
      <c r="Q99" s="143"/>
      <c r="R99" s="143"/>
      <c r="S99" s="143"/>
      <c r="T99" s="143"/>
      <c r="U99" s="143"/>
      <c r="V99" s="143"/>
      <c r="W99" s="143"/>
      <c r="X99" s="143"/>
      <c r="Y99" s="143"/>
      <c r="Z99" s="143"/>
      <c r="AA99" s="143"/>
      <c r="AB99" s="143"/>
      <c r="AC99" s="143"/>
      <c r="AD99" s="143"/>
      <c r="AE99" s="143"/>
      <c r="AF99" s="143"/>
      <c r="AG99" s="143"/>
      <c r="AH99" s="143"/>
      <c r="AI99" s="143"/>
      <c r="AJ99" s="143"/>
    </row>
    <row r="100" spans="1:36" x14ac:dyDescent="0.25">
      <c r="A100" s="143"/>
      <c r="B100" s="145"/>
      <c r="C100" s="146"/>
      <c r="D100" s="114"/>
      <c r="E100" s="148"/>
      <c r="F100" s="148"/>
      <c r="G100" s="114"/>
      <c r="H100" s="149"/>
      <c r="I100" s="143"/>
      <c r="J100" s="143"/>
      <c r="K100" s="143"/>
      <c r="L100" s="143"/>
      <c r="M100" s="150"/>
      <c r="N100" s="143"/>
      <c r="O100" s="1"/>
      <c r="P100" s="151"/>
      <c r="Q100" s="143"/>
      <c r="R100" s="143"/>
      <c r="S100" s="143"/>
      <c r="T100" s="143"/>
      <c r="U100" s="143"/>
      <c r="V100" s="143"/>
      <c r="W100" s="143"/>
      <c r="X100" s="143"/>
      <c r="Y100" s="143"/>
      <c r="Z100" s="143"/>
      <c r="AA100" s="143"/>
      <c r="AB100" s="143"/>
      <c r="AC100" s="143"/>
      <c r="AD100" s="143"/>
      <c r="AE100" s="143"/>
      <c r="AF100" s="143"/>
      <c r="AG100" s="143"/>
      <c r="AH100" s="143"/>
      <c r="AI100" s="143"/>
      <c r="AJ100" s="143"/>
    </row>
    <row r="101" spans="1:36" x14ac:dyDescent="0.25">
      <c r="A101" s="143"/>
      <c r="B101" s="145"/>
      <c r="C101" s="146"/>
      <c r="D101" s="114"/>
      <c r="E101" s="148"/>
      <c r="F101" s="148"/>
      <c r="G101" s="114"/>
      <c r="H101" s="149"/>
      <c r="I101" s="143"/>
      <c r="J101" s="143"/>
      <c r="K101" s="143"/>
      <c r="L101" s="143"/>
      <c r="M101" s="150"/>
      <c r="N101" s="143"/>
      <c r="O101" s="1"/>
      <c r="P101" s="151"/>
      <c r="Q101" s="143"/>
      <c r="R101" s="143"/>
      <c r="S101" s="143"/>
      <c r="T101" s="143"/>
      <c r="U101" s="143"/>
      <c r="V101" s="143"/>
      <c r="W101" s="143"/>
      <c r="X101" s="143"/>
      <c r="Y101" s="143"/>
      <c r="Z101" s="143"/>
      <c r="AA101" s="143"/>
      <c r="AB101" s="143"/>
      <c r="AC101" s="143"/>
      <c r="AD101" s="143"/>
      <c r="AE101" s="143"/>
      <c r="AF101" s="143"/>
      <c r="AG101" s="143"/>
      <c r="AH101" s="143"/>
      <c r="AI101" s="143"/>
      <c r="AJ101" s="143"/>
    </row>
    <row r="102" spans="1:36" x14ac:dyDescent="0.25">
      <c r="A102" s="143"/>
      <c r="B102" s="145"/>
      <c r="C102" s="146"/>
      <c r="D102" s="114"/>
      <c r="E102" s="148"/>
      <c r="F102" s="148"/>
      <c r="G102" s="114"/>
      <c r="H102" s="149"/>
      <c r="I102" s="143"/>
      <c r="J102" s="143"/>
      <c r="K102" s="143"/>
      <c r="L102" s="143"/>
      <c r="M102" s="150"/>
      <c r="N102" s="143"/>
      <c r="O102" s="1"/>
      <c r="P102" s="151"/>
      <c r="Q102" s="143"/>
      <c r="R102" s="143"/>
      <c r="S102" s="143"/>
      <c r="T102" s="143"/>
      <c r="U102" s="143"/>
      <c r="V102" s="143"/>
      <c r="W102" s="143"/>
      <c r="X102" s="143"/>
      <c r="Y102" s="143"/>
      <c r="Z102" s="143"/>
      <c r="AA102" s="143"/>
      <c r="AB102" s="143"/>
      <c r="AC102" s="143"/>
      <c r="AD102" s="143"/>
      <c r="AE102" s="143"/>
      <c r="AF102" s="143"/>
      <c r="AG102" s="143"/>
      <c r="AH102" s="143"/>
      <c r="AI102" s="143"/>
      <c r="AJ102" s="143"/>
    </row>
    <row r="103" spans="1:36" x14ac:dyDescent="0.25">
      <c r="A103" s="143"/>
      <c r="B103" s="145"/>
      <c r="C103" s="146"/>
      <c r="D103" s="114"/>
      <c r="E103" s="148"/>
      <c r="F103" s="148"/>
      <c r="G103" s="114"/>
      <c r="H103" s="149"/>
      <c r="I103" s="143"/>
      <c r="J103" s="143"/>
      <c r="K103" s="143"/>
      <c r="L103" s="143"/>
      <c r="M103" s="150"/>
      <c r="N103" s="143"/>
      <c r="O103" s="1"/>
      <c r="P103" s="151"/>
      <c r="Q103" s="143"/>
      <c r="R103" s="143"/>
      <c r="S103" s="143"/>
      <c r="T103" s="143"/>
      <c r="U103" s="143"/>
      <c r="V103" s="143"/>
      <c r="W103" s="143"/>
      <c r="X103" s="143"/>
      <c r="Y103" s="143"/>
      <c r="Z103" s="143"/>
      <c r="AA103" s="143"/>
      <c r="AB103" s="143"/>
      <c r="AC103" s="143"/>
      <c r="AD103" s="143"/>
      <c r="AE103" s="143"/>
      <c r="AF103" s="143"/>
      <c r="AG103" s="143"/>
      <c r="AH103" s="143"/>
      <c r="AI103" s="143"/>
      <c r="AJ103" s="143"/>
    </row>
    <row r="104" spans="1:36" x14ac:dyDescent="0.25">
      <c r="A104" s="143"/>
      <c r="B104" s="145"/>
      <c r="C104" s="146"/>
      <c r="D104" s="114"/>
      <c r="E104" s="148"/>
      <c r="F104" s="148"/>
      <c r="G104" s="114"/>
      <c r="H104" s="149"/>
      <c r="I104" s="143"/>
      <c r="J104" s="143"/>
      <c r="K104" s="143"/>
      <c r="L104" s="143"/>
      <c r="M104" s="150"/>
      <c r="N104" s="143"/>
      <c r="O104" s="1"/>
      <c r="P104" s="151"/>
      <c r="Q104" s="143"/>
      <c r="R104" s="143"/>
      <c r="S104" s="143"/>
      <c r="T104" s="143"/>
      <c r="U104" s="143"/>
      <c r="V104" s="143"/>
      <c r="W104" s="143"/>
      <c r="X104" s="143"/>
      <c r="Y104" s="143"/>
      <c r="Z104" s="143"/>
      <c r="AA104" s="143"/>
      <c r="AB104" s="143"/>
      <c r="AC104" s="143"/>
      <c r="AD104" s="143"/>
      <c r="AE104" s="143"/>
      <c r="AF104" s="143"/>
      <c r="AG104" s="143"/>
      <c r="AH104" s="143"/>
      <c r="AI104" s="143"/>
      <c r="AJ104" s="143"/>
    </row>
    <row r="105" spans="1:36" x14ac:dyDescent="0.25">
      <c r="A105" s="143"/>
      <c r="B105" s="145"/>
      <c r="C105" s="146"/>
      <c r="D105" s="114"/>
      <c r="E105" s="148"/>
      <c r="F105" s="148"/>
      <c r="G105" s="114"/>
      <c r="H105" s="149"/>
      <c r="I105" s="143"/>
      <c r="J105" s="143"/>
      <c r="K105" s="143"/>
      <c r="L105" s="143"/>
      <c r="M105" s="150"/>
      <c r="N105" s="143"/>
      <c r="O105" s="1"/>
      <c r="P105" s="151"/>
      <c r="Q105" s="143"/>
      <c r="R105" s="143"/>
      <c r="S105" s="143"/>
      <c r="T105" s="143"/>
      <c r="U105" s="143"/>
      <c r="V105" s="143"/>
      <c r="W105" s="143"/>
      <c r="X105" s="143"/>
      <c r="Y105" s="143"/>
      <c r="Z105" s="143"/>
      <c r="AA105" s="143"/>
      <c r="AB105" s="143"/>
      <c r="AC105" s="143"/>
      <c r="AD105" s="143"/>
      <c r="AE105" s="143"/>
      <c r="AF105" s="143"/>
      <c r="AG105" s="143"/>
      <c r="AH105" s="143"/>
      <c r="AI105" s="143"/>
      <c r="AJ105" s="143"/>
    </row>
    <row r="106" spans="1:36" x14ac:dyDescent="0.25">
      <c r="A106" s="143"/>
      <c r="B106" s="145"/>
      <c r="C106" s="146"/>
      <c r="D106" s="114"/>
      <c r="E106" s="148"/>
      <c r="F106" s="148"/>
      <c r="G106" s="114"/>
      <c r="H106" s="149"/>
      <c r="I106" s="143"/>
      <c r="J106" s="143"/>
      <c r="K106" s="143"/>
      <c r="L106" s="143"/>
      <c r="M106" s="150"/>
      <c r="N106" s="143"/>
      <c r="O106" s="1"/>
      <c r="P106" s="151"/>
      <c r="Q106" s="143"/>
      <c r="R106" s="143"/>
      <c r="S106" s="143"/>
      <c r="T106" s="143"/>
      <c r="U106" s="143"/>
      <c r="V106" s="143"/>
      <c r="W106" s="143"/>
      <c r="X106" s="143"/>
      <c r="Y106" s="143"/>
      <c r="Z106" s="143"/>
      <c r="AA106" s="143"/>
      <c r="AB106" s="143"/>
      <c r="AC106" s="143"/>
      <c r="AD106" s="143"/>
      <c r="AE106" s="143"/>
      <c r="AF106" s="143"/>
      <c r="AG106" s="143"/>
      <c r="AH106" s="143"/>
      <c r="AI106" s="143"/>
      <c r="AJ106" s="143"/>
    </row>
    <row r="107" spans="1:36" x14ac:dyDescent="0.25">
      <c r="A107" s="143"/>
      <c r="B107" s="145"/>
      <c r="C107" s="146"/>
      <c r="D107" s="114"/>
      <c r="E107" s="148"/>
      <c r="F107" s="148"/>
      <c r="G107" s="114"/>
      <c r="H107" s="149"/>
      <c r="I107" s="143"/>
      <c r="J107" s="143"/>
      <c r="K107" s="143"/>
      <c r="L107" s="143"/>
      <c r="M107" s="150"/>
      <c r="N107" s="143"/>
      <c r="O107" s="1"/>
      <c r="P107" s="151"/>
      <c r="Q107" s="143"/>
      <c r="R107" s="143"/>
      <c r="S107" s="143"/>
      <c r="T107" s="143"/>
      <c r="U107" s="143"/>
      <c r="V107" s="143"/>
      <c r="W107" s="143"/>
      <c r="X107" s="143"/>
      <c r="Y107" s="143"/>
      <c r="Z107" s="143"/>
      <c r="AA107" s="143"/>
      <c r="AB107" s="143"/>
      <c r="AC107" s="143"/>
      <c r="AD107" s="143"/>
      <c r="AE107" s="143"/>
      <c r="AF107" s="143"/>
      <c r="AG107" s="143"/>
      <c r="AH107" s="143"/>
      <c r="AI107" s="143"/>
      <c r="AJ107" s="143"/>
    </row>
    <row r="108" spans="1:36" x14ac:dyDescent="0.25">
      <c r="A108" s="143"/>
      <c r="B108" s="145"/>
      <c r="C108" s="146"/>
      <c r="D108" s="114"/>
      <c r="E108" s="148"/>
      <c r="F108" s="148"/>
      <c r="G108" s="114"/>
      <c r="H108" s="149"/>
      <c r="I108" s="143"/>
      <c r="J108" s="143"/>
      <c r="K108" s="143"/>
      <c r="L108" s="143"/>
      <c r="M108" s="150"/>
      <c r="N108" s="143"/>
      <c r="O108" s="1"/>
      <c r="P108" s="151"/>
      <c r="Q108" s="143"/>
      <c r="R108" s="143"/>
      <c r="S108" s="143"/>
      <c r="T108" s="143"/>
      <c r="U108" s="143"/>
      <c r="V108" s="143"/>
      <c r="W108" s="143"/>
      <c r="X108" s="143"/>
      <c r="Y108" s="143"/>
      <c r="Z108" s="143"/>
      <c r="AA108" s="143"/>
      <c r="AB108" s="143"/>
      <c r="AC108" s="143"/>
      <c r="AD108" s="143"/>
      <c r="AE108" s="143"/>
      <c r="AF108" s="143"/>
      <c r="AG108" s="143"/>
      <c r="AH108" s="143"/>
      <c r="AI108" s="143"/>
      <c r="AJ108" s="143"/>
    </row>
    <row r="109" spans="1:36" x14ac:dyDescent="0.25">
      <c r="A109" s="143"/>
      <c r="B109" s="145"/>
      <c r="C109" s="146"/>
      <c r="D109" s="114"/>
      <c r="E109" s="148"/>
      <c r="F109" s="148"/>
      <c r="G109" s="114"/>
      <c r="H109" s="149"/>
      <c r="I109" s="143"/>
      <c r="J109" s="143"/>
      <c r="K109" s="143"/>
      <c r="L109" s="143"/>
      <c r="M109" s="150"/>
      <c r="N109" s="143"/>
      <c r="O109" s="1"/>
      <c r="P109" s="151"/>
      <c r="Q109" s="143"/>
      <c r="R109" s="143"/>
      <c r="S109" s="143"/>
      <c r="T109" s="143"/>
      <c r="U109" s="143"/>
      <c r="V109" s="143"/>
      <c r="W109" s="143"/>
      <c r="X109" s="143"/>
      <c r="Y109" s="143"/>
      <c r="Z109" s="143"/>
      <c r="AA109" s="143"/>
      <c r="AB109" s="143"/>
      <c r="AC109" s="143"/>
      <c r="AD109" s="143"/>
      <c r="AE109" s="143"/>
      <c r="AF109" s="143"/>
      <c r="AG109" s="143"/>
      <c r="AH109" s="143"/>
      <c r="AI109" s="143"/>
      <c r="AJ109" s="143"/>
    </row>
    <row r="110" spans="1:36" x14ac:dyDescent="0.25">
      <c r="A110" s="143"/>
      <c r="B110" s="145"/>
      <c r="C110" s="146"/>
      <c r="D110" s="114"/>
      <c r="E110" s="148"/>
      <c r="F110" s="148"/>
      <c r="G110" s="114"/>
      <c r="H110" s="149"/>
      <c r="I110" s="143"/>
      <c r="J110" s="143"/>
      <c r="K110" s="143"/>
      <c r="L110" s="143"/>
      <c r="M110" s="150"/>
      <c r="N110" s="143"/>
      <c r="O110" s="1"/>
      <c r="P110" s="151"/>
      <c r="Q110" s="143"/>
      <c r="R110" s="143"/>
      <c r="S110" s="143"/>
      <c r="T110" s="143"/>
      <c r="U110" s="143"/>
      <c r="V110" s="143"/>
      <c r="W110" s="143"/>
      <c r="X110" s="143"/>
      <c r="Y110" s="143"/>
      <c r="Z110" s="143"/>
      <c r="AA110" s="143"/>
      <c r="AB110" s="143"/>
      <c r="AC110" s="143"/>
      <c r="AD110" s="143"/>
      <c r="AE110" s="143"/>
      <c r="AF110" s="143"/>
      <c r="AG110" s="143"/>
      <c r="AH110" s="143"/>
      <c r="AI110" s="143"/>
      <c r="AJ110" s="143"/>
    </row>
    <row r="111" spans="1:36" x14ac:dyDescent="0.25">
      <c r="A111" s="143"/>
      <c r="B111" s="145"/>
      <c r="C111" s="146"/>
      <c r="D111" s="114"/>
      <c r="E111" s="148"/>
      <c r="F111" s="148"/>
      <c r="G111" s="114"/>
      <c r="H111" s="149"/>
      <c r="I111" s="143"/>
      <c r="J111" s="143"/>
      <c r="K111" s="143"/>
      <c r="L111" s="143"/>
      <c r="M111" s="150"/>
      <c r="N111" s="143"/>
      <c r="O111" s="1"/>
      <c r="P111" s="151"/>
      <c r="Q111" s="143"/>
      <c r="R111" s="143"/>
      <c r="S111" s="143"/>
      <c r="T111" s="143"/>
      <c r="U111" s="143"/>
      <c r="V111" s="143"/>
      <c r="W111" s="143"/>
      <c r="X111" s="143"/>
      <c r="Y111" s="143"/>
      <c r="Z111" s="143"/>
      <c r="AA111" s="143"/>
      <c r="AB111" s="143"/>
      <c r="AC111" s="143"/>
      <c r="AD111" s="143"/>
      <c r="AE111" s="143"/>
      <c r="AF111" s="143"/>
      <c r="AG111" s="143"/>
      <c r="AH111" s="143"/>
      <c r="AI111" s="143"/>
      <c r="AJ111" s="143"/>
    </row>
    <row r="112" spans="1:36" x14ac:dyDescent="0.25">
      <c r="A112" s="143"/>
      <c r="B112" s="145"/>
      <c r="C112" s="146"/>
      <c r="D112" s="114"/>
      <c r="E112" s="148"/>
      <c r="F112" s="148"/>
      <c r="G112" s="114"/>
      <c r="H112" s="149"/>
      <c r="I112" s="143"/>
      <c r="J112" s="143"/>
      <c r="K112" s="143"/>
      <c r="L112" s="143"/>
      <c r="M112" s="150"/>
      <c r="N112" s="143"/>
      <c r="O112" s="1"/>
      <c r="P112" s="151"/>
      <c r="Q112" s="143"/>
      <c r="R112" s="143"/>
      <c r="S112" s="143"/>
      <c r="T112" s="143"/>
      <c r="U112" s="143"/>
      <c r="V112" s="143"/>
      <c r="W112" s="143"/>
      <c r="X112" s="143"/>
      <c r="Y112" s="143"/>
      <c r="Z112" s="143"/>
      <c r="AA112" s="143"/>
      <c r="AB112" s="143"/>
      <c r="AC112" s="143"/>
      <c r="AD112" s="143"/>
      <c r="AE112" s="143"/>
      <c r="AF112" s="143"/>
      <c r="AG112" s="143"/>
      <c r="AH112" s="143"/>
      <c r="AI112" s="143"/>
      <c r="AJ112" s="143"/>
    </row>
    <row r="113" spans="1:36" x14ac:dyDescent="0.25">
      <c r="A113" s="143"/>
      <c r="B113" s="145"/>
      <c r="C113" s="146"/>
      <c r="D113" s="114"/>
      <c r="E113" s="148"/>
      <c r="F113" s="148"/>
      <c r="G113" s="114"/>
      <c r="H113" s="149"/>
      <c r="I113" s="143"/>
      <c r="J113" s="143"/>
      <c r="K113" s="143"/>
      <c r="L113" s="143"/>
      <c r="M113" s="150"/>
      <c r="N113" s="143"/>
      <c r="O113" s="1"/>
      <c r="P113" s="151"/>
      <c r="Q113" s="143"/>
      <c r="R113" s="143"/>
      <c r="S113" s="143"/>
      <c r="T113" s="143"/>
      <c r="U113" s="143"/>
      <c r="V113" s="143"/>
      <c r="W113" s="143"/>
      <c r="X113" s="143"/>
      <c r="Y113" s="143"/>
      <c r="Z113" s="143"/>
      <c r="AA113" s="143"/>
      <c r="AB113" s="143"/>
      <c r="AC113" s="143"/>
      <c r="AD113" s="143"/>
      <c r="AE113" s="143"/>
      <c r="AF113" s="143"/>
      <c r="AG113" s="143"/>
      <c r="AH113" s="143"/>
      <c r="AI113" s="143"/>
      <c r="AJ113" s="143"/>
    </row>
    <row r="114" spans="1:36" x14ac:dyDescent="0.25">
      <c r="A114" s="143"/>
      <c r="B114" s="145"/>
      <c r="C114" s="146"/>
      <c r="D114" s="114"/>
      <c r="E114" s="148"/>
      <c r="F114" s="148"/>
      <c r="G114" s="114"/>
      <c r="H114" s="149"/>
      <c r="I114" s="143"/>
      <c r="J114" s="143"/>
      <c r="K114" s="143"/>
      <c r="L114" s="143"/>
      <c r="M114" s="150"/>
      <c r="N114" s="143"/>
      <c r="O114" s="1"/>
      <c r="P114" s="151"/>
      <c r="Q114" s="143"/>
      <c r="R114" s="143"/>
      <c r="S114" s="143"/>
      <c r="T114" s="143"/>
      <c r="U114" s="143"/>
      <c r="V114" s="143"/>
      <c r="W114" s="143"/>
      <c r="X114" s="143"/>
      <c r="Y114" s="143"/>
      <c r="Z114" s="143"/>
      <c r="AA114" s="143"/>
      <c r="AB114" s="143"/>
      <c r="AC114" s="143"/>
      <c r="AD114" s="143"/>
      <c r="AE114" s="143"/>
      <c r="AF114" s="143"/>
      <c r="AG114" s="143"/>
      <c r="AH114" s="143"/>
      <c r="AI114" s="143"/>
      <c r="AJ114" s="143"/>
    </row>
    <row r="115" spans="1:36" x14ac:dyDescent="0.25">
      <c r="A115" s="143"/>
      <c r="B115" s="145"/>
      <c r="C115" s="146"/>
      <c r="D115" s="114"/>
      <c r="E115" s="148"/>
      <c r="F115" s="148"/>
      <c r="G115" s="114"/>
      <c r="H115" s="149"/>
      <c r="I115" s="143"/>
      <c r="J115" s="143"/>
      <c r="K115" s="143"/>
      <c r="L115" s="143"/>
      <c r="M115" s="150"/>
      <c r="N115" s="143"/>
      <c r="O115" s="1"/>
      <c r="P115" s="151"/>
      <c r="Q115" s="143"/>
      <c r="R115" s="143"/>
      <c r="S115" s="143"/>
      <c r="T115" s="143"/>
      <c r="U115" s="143"/>
      <c r="V115" s="143"/>
      <c r="W115" s="143"/>
      <c r="X115" s="143"/>
      <c r="Y115" s="143"/>
      <c r="Z115" s="143"/>
      <c r="AA115" s="143"/>
      <c r="AB115" s="143"/>
      <c r="AC115" s="143"/>
      <c r="AD115" s="143"/>
      <c r="AE115" s="143"/>
      <c r="AF115" s="143"/>
      <c r="AG115" s="143"/>
      <c r="AH115" s="143"/>
      <c r="AI115" s="143"/>
      <c r="AJ115" s="143"/>
    </row>
    <row r="116" spans="1:36" x14ac:dyDescent="0.25">
      <c r="A116" s="143"/>
      <c r="B116" s="145"/>
      <c r="C116" s="146"/>
      <c r="D116" s="114"/>
      <c r="E116" s="148"/>
      <c r="F116" s="148"/>
      <c r="G116" s="114"/>
      <c r="H116" s="149"/>
      <c r="I116" s="143"/>
      <c r="J116" s="143"/>
      <c r="K116" s="143"/>
      <c r="L116" s="143"/>
      <c r="M116" s="150"/>
      <c r="N116" s="143"/>
      <c r="O116" s="1"/>
      <c r="P116" s="151"/>
      <c r="Q116" s="143"/>
      <c r="R116" s="143"/>
      <c r="S116" s="143"/>
      <c r="T116" s="143"/>
      <c r="U116" s="143"/>
      <c r="V116" s="143"/>
      <c r="W116" s="143"/>
      <c r="X116" s="143"/>
      <c r="Y116" s="143"/>
      <c r="Z116" s="143"/>
      <c r="AA116" s="143"/>
      <c r="AB116" s="143"/>
      <c r="AC116" s="143"/>
      <c r="AD116" s="143"/>
      <c r="AE116" s="143"/>
      <c r="AF116" s="143"/>
      <c r="AG116" s="143"/>
      <c r="AH116" s="143"/>
      <c r="AI116" s="143"/>
      <c r="AJ116" s="143"/>
    </row>
    <row r="117" spans="1:36" x14ac:dyDescent="0.25">
      <c r="A117" s="143"/>
      <c r="B117" s="145"/>
      <c r="C117" s="146"/>
      <c r="D117" s="114"/>
      <c r="E117" s="148"/>
      <c r="F117" s="148"/>
      <c r="G117" s="114"/>
      <c r="H117" s="149"/>
      <c r="I117" s="143"/>
      <c r="J117" s="143"/>
      <c r="K117" s="143"/>
      <c r="L117" s="143"/>
      <c r="M117" s="150"/>
      <c r="N117" s="143"/>
      <c r="O117" s="1"/>
      <c r="P117" s="151"/>
      <c r="Q117" s="143"/>
      <c r="R117" s="143"/>
      <c r="S117" s="143"/>
      <c r="T117" s="143"/>
      <c r="U117" s="143"/>
      <c r="V117" s="143"/>
      <c r="W117" s="143"/>
      <c r="X117" s="143"/>
      <c r="Y117" s="143"/>
      <c r="Z117" s="143"/>
      <c r="AA117" s="143"/>
      <c r="AB117" s="143"/>
      <c r="AC117" s="143"/>
      <c r="AD117" s="143"/>
      <c r="AE117" s="143"/>
      <c r="AF117" s="143"/>
      <c r="AG117" s="143"/>
      <c r="AH117" s="143"/>
      <c r="AI117" s="143"/>
      <c r="AJ117" s="143"/>
    </row>
    <row r="118" spans="1:36" x14ac:dyDescent="0.25">
      <c r="A118" s="143"/>
      <c r="B118" s="145"/>
      <c r="C118" s="146"/>
      <c r="D118" s="114"/>
      <c r="E118" s="148"/>
      <c r="F118" s="148"/>
      <c r="G118" s="114"/>
      <c r="H118" s="149"/>
      <c r="I118" s="143"/>
      <c r="J118" s="143"/>
      <c r="K118" s="143"/>
      <c r="L118" s="143"/>
      <c r="M118" s="150"/>
      <c r="N118" s="143"/>
      <c r="O118" s="1"/>
      <c r="P118" s="151"/>
      <c r="Q118" s="143"/>
      <c r="R118" s="143"/>
      <c r="S118" s="143"/>
      <c r="T118" s="143"/>
      <c r="U118" s="143"/>
      <c r="V118" s="143"/>
      <c r="W118" s="143"/>
      <c r="X118" s="143"/>
      <c r="Y118" s="143"/>
      <c r="Z118" s="143"/>
      <c r="AA118" s="143"/>
      <c r="AB118" s="143"/>
      <c r="AC118" s="143"/>
      <c r="AD118" s="143"/>
      <c r="AE118" s="143"/>
      <c r="AF118" s="143"/>
      <c r="AG118" s="143"/>
      <c r="AH118" s="143"/>
      <c r="AI118" s="143"/>
      <c r="AJ118" s="143"/>
    </row>
    <row r="119" spans="1:36" ht="12.75" customHeight="1" x14ac:dyDescent="0.25">
      <c r="A119" s="143"/>
      <c r="B119" s="145"/>
      <c r="C119" s="146"/>
      <c r="D119" s="114"/>
      <c r="E119" s="148"/>
      <c r="F119" s="148"/>
      <c r="G119" s="114"/>
      <c r="H119" s="149"/>
      <c r="I119" s="143"/>
      <c r="J119" s="143"/>
      <c r="K119" s="143"/>
      <c r="L119" s="143"/>
      <c r="M119" s="150"/>
      <c r="N119" s="143"/>
      <c r="O119" s="1"/>
      <c r="P119" s="151"/>
      <c r="Q119" s="143"/>
      <c r="R119" s="143"/>
      <c r="S119" s="143"/>
      <c r="T119" s="143"/>
      <c r="U119" s="143"/>
      <c r="V119" s="143"/>
      <c r="W119" s="143"/>
      <c r="X119" s="143"/>
      <c r="Y119" s="143"/>
      <c r="Z119" s="143"/>
      <c r="AA119" s="143"/>
      <c r="AB119" s="143"/>
      <c r="AC119" s="143"/>
      <c r="AD119" s="143"/>
      <c r="AE119" s="143"/>
      <c r="AF119" s="143"/>
      <c r="AG119" s="143"/>
      <c r="AH119" s="143"/>
      <c r="AI119" s="143"/>
      <c r="AJ119" s="143"/>
    </row>
    <row r="120" spans="1:36" ht="12.75" customHeight="1" x14ac:dyDescent="0.25">
      <c r="A120" s="143"/>
      <c r="B120" s="145"/>
      <c r="C120" s="146"/>
      <c r="D120" s="114"/>
      <c r="E120" s="148"/>
      <c r="F120" s="148"/>
      <c r="G120" s="114"/>
      <c r="H120" s="149"/>
      <c r="I120" s="143"/>
      <c r="J120" s="143"/>
      <c r="K120" s="143"/>
      <c r="L120" s="143"/>
      <c r="M120" s="150"/>
      <c r="N120" s="143"/>
      <c r="O120" s="1"/>
      <c r="P120" s="151"/>
      <c r="Q120" s="143"/>
      <c r="R120" s="143"/>
      <c r="S120" s="143"/>
      <c r="T120" s="143"/>
      <c r="U120" s="143"/>
      <c r="V120" s="143"/>
      <c r="W120" s="143"/>
      <c r="X120" s="143"/>
      <c r="Y120" s="143"/>
      <c r="Z120" s="143"/>
      <c r="AA120" s="143"/>
      <c r="AB120" s="143"/>
      <c r="AC120" s="143"/>
      <c r="AD120" s="143"/>
      <c r="AE120" s="143"/>
      <c r="AF120" s="143"/>
      <c r="AG120" s="143"/>
      <c r="AH120" s="143"/>
      <c r="AI120" s="143"/>
      <c r="AJ120" s="143"/>
    </row>
    <row r="121" spans="1:36" ht="12.75" customHeight="1" x14ac:dyDescent="0.25">
      <c r="A121" s="143"/>
      <c r="B121" s="145"/>
      <c r="C121" s="146"/>
      <c r="D121" s="114"/>
      <c r="E121" s="148"/>
      <c r="F121" s="148"/>
      <c r="G121" s="114"/>
      <c r="H121" s="149"/>
      <c r="I121" s="143"/>
      <c r="J121" s="143"/>
      <c r="K121" s="143"/>
      <c r="L121" s="143"/>
      <c r="M121" s="150"/>
      <c r="N121" s="143"/>
      <c r="O121" s="1"/>
      <c r="P121" s="151"/>
      <c r="Q121" s="143"/>
      <c r="R121" s="143"/>
      <c r="S121" s="143"/>
      <c r="T121" s="143"/>
      <c r="U121" s="143"/>
      <c r="V121" s="143"/>
      <c r="W121" s="143"/>
      <c r="X121" s="143"/>
      <c r="Y121" s="143"/>
      <c r="Z121" s="143"/>
      <c r="AA121" s="143"/>
      <c r="AB121" s="143"/>
      <c r="AC121" s="143"/>
      <c r="AD121" s="143"/>
      <c r="AE121" s="143"/>
      <c r="AF121" s="143"/>
      <c r="AG121" s="143"/>
      <c r="AH121" s="143"/>
      <c r="AI121" s="143"/>
      <c r="AJ121" s="143"/>
    </row>
    <row r="122" spans="1:36" ht="12.75" customHeight="1" x14ac:dyDescent="0.25">
      <c r="A122" s="143"/>
      <c r="B122" s="145"/>
      <c r="C122" s="146"/>
      <c r="D122" s="114"/>
      <c r="E122" s="148"/>
      <c r="F122" s="148"/>
      <c r="G122" s="114"/>
      <c r="H122" s="149"/>
      <c r="I122" s="143"/>
      <c r="J122" s="143"/>
      <c r="K122" s="143"/>
      <c r="L122" s="143"/>
      <c r="M122" s="150"/>
      <c r="N122" s="143"/>
      <c r="O122" s="1"/>
      <c r="P122" s="151"/>
      <c r="Q122" s="143"/>
      <c r="R122" s="143"/>
      <c r="S122" s="143"/>
      <c r="T122" s="143"/>
      <c r="U122" s="143"/>
      <c r="V122" s="143"/>
      <c r="W122" s="143"/>
      <c r="X122" s="143"/>
      <c r="Y122" s="143"/>
      <c r="Z122" s="143"/>
      <c r="AA122" s="143"/>
      <c r="AB122" s="143"/>
      <c r="AC122" s="143"/>
      <c r="AD122" s="143"/>
      <c r="AE122" s="143"/>
      <c r="AF122" s="143"/>
      <c r="AG122" s="143"/>
      <c r="AH122" s="143"/>
      <c r="AI122" s="143"/>
      <c r="AJ122" s="143"/>
    </row>
    <row r="123" spans="1:36" ht="12.75" customHeight="1" x14ac:dyDescent="0.25">
      <c r="A123" s="143"/>
      <c r="B123" s="145"/>
      <c r="C123" s="146"/>
      <c r="D123" s="114"/>
      <c r="E123" s="148"/>
      <c r="F123" s="148"/>
      <c r="G123" s="114"/>
      <c r="H123" s="149"/>
      <c r="I123" s="143"/>
      <c r="J123" s="143"/>
      <c r="K123" s="143"/>
      <c r="L123" s="143"/>
      <c r="M123" s="150"/>
      <c r="N123" s="143"/>
      <c r="O123" s="1"/>
      <c r="P123" s="151"/>
      <c r="Q123" s="143"/>
      <c r="R123" s="143"/>
      <c r="S123" s="143"/>
      <c r="T123" s="143"/>
      <c r="U123" s="143"/>
      <c r="V123" s="143"/>
      <c r="W123" s="143"/>
      <c r="X123" s="143"/>
      <c r="Y123" s="143"/>
      <c r="Z123" s="143"/>
      <c r="AA123" s="143"/>
      <c r="AB123" s="143"/>
      <c r="AC123" s="143"/>
      <c r="AD123" s="143"/>
      <c r="AE123" s="143"/>
      <c r="AF123" s="143"/>
      <c r="AG123" s="143"/>
      <c r="AH123" s="143"/>
      <c r="AI123" s="143"/>
      <c r="AJ123" s="143"/>
    </row>
    <row r="124" spans="1:36" ht="12.75" customHeight="1" x14ac:dyDescent="0.25">
      <c r="A124" s="143"/>
      <c r="B124" s="145"/>
      <c r="C124" s="146"/>
      <c r="D124" s="114"/>
      <c r="E124" s="148"/>
      <c r="F124" s="148"/>
      <c r="G124" s="114"/>
      <c r="H124" s="149"/>
      <c r="I124" s="143"/>
      <c r="J124" s="143"/>
      <c r="K124" s="143"/>
      <c r="L124" s="143"/>
      <c r="M124" s="150"/>
      <c r="N124" s="143"/>
      <c r="O124" s="1"/>
      <c r="P124" s="151"/>
      <c r="Q124" s="143"/>
      <c r="R124" s="143"/>
      <c r="S124" s="143"/>
      <c r="T124" s="143"/>
      <c r="U124" s="143"/>
      <c r="V124" s="143"/>
      <c r="W124" s="143"/>
      <c r="X124" s="143"/>
      <c r="Y124" s="143"/>
      <c r="Z124" s="143"/>
      <c r="AA124" s="143"/>
      <c r="AB124" s="143"/>
      <c r="AC124" s="143"/>
      <c r="AD124" s="143"/>
      <c r="AE124" s="143"/>
      <c r="AF124" s="143"/>
      <c r="AG124" s="143"/>
      <c r="AH124" s="143"/>
      <c r="AI124" s="143"/>
      <c r="AJ124" s="143"/>
    </row>
    <row r="125" spans="1:36" ht="12.75" customHeight="1" x14ac:dyDescent="0.25">
      <c r="A125" s="143"/>
      <c r="B125" s="145"/>
      <c r="C125" s="146"/>
      <c r="D125" s="114"/>
      <c r="E125" s="148"/>
      <c r="F125" s="148"/>
      <c r="G125" s="114"/>
      <c r="H125" s="149"/>
      <c r="I125" s="143"/>
      <c r="J125" s="143"/>
      <c r="K125" s="143"/>
      <c r="L125" s="143"/>
      <c r="M125" s="150"/>
      <c r="N125" s="143"/>
      <c r="O125" s="1"/>
      <c r="P125" s="151"/>
      <c r="Q125" s="143"/>
      <c r="R125" s="143"/>
      <c r="S125" s="143"/>
      <c r="T125" s="143"/>
      <c r="U125" s="143"/>
      <c r="V125" s="143"/>
      <c r="W125" s="143"/>
      <c r="X125" s="143"/>
      <c r="Y125" s="143"/>
      <c r="Z125" s="143"/>
      <c r="AA125" s="143"/>
      <c r="AB125" s="143"/>
      <c r="AC125" s="143"/>
      <c r="AD125" s="143"/>
      <c r="AE125" s="143"/>
      <c r="AF125" s="143"/>
      <c r="AG125" s="143"/>
      <c r="AH125" s="143"/>
      <c r="AI125" s="143"/>
      <c r="AJ125" s="143"/>
    </row>
    <row r="126" spans="1:36" ht="12.75" customHeight="1" x14ac:dyDescent="0.25">
      <c r="A126" s="143"/>
      <c r="B126" s="145"/>
      <c r="C126" s="146"/>
      <c r="D126" s="114"/>
      <c r="E126" s="148"/>
      <c r="F126" s="148"/>
      <c r="G126" s="114"/>
      <c r="H126" s="149"/>
      <c r="I126" s="143"/>
      <c r="J126" s="143"/>
      <c r="K126" s="143"/>
      <c r="L126" s="143"/>
      <c r="M126" s="150"/>
      <c r="N126" s="143"/>
      <c r="O126" s="1"/>
      <c r="P126" s="151"/>
      <c r="Q126" s="143"/>
      <c r="R126" s="143"/>
      <c r="S126" s="143"/>
      <c r="T126" s="143"/>
      <c r="U126" s="143"/>
      <c r="V126" s="143"/>
      <c r="W126" s="143"/>
      <c r="X126" s="143"/>
      <c r="Y126" s="143"/>
      <c r="Z126" s="143"/>
      <c r="AA126" s="143"/>
      <c r="AB126" s="143"/>
      <c r="AC126" s="143"/>
      <c r="AD126" s="143"/>
      <c r="AE126" s="143"/>
      <c r="AF126" s="143"/>
      <c r="AG126" s="143"/>
      <c r="AH126" s="143"/>
      <c r="AI126" s="143"/>
      <c r="AJ126" s="143"/>
    </row>
    <row r="127" spans="1:36" ht="12.75" customHeight="1" x14ac:dyDescent="0.25">
      <c r="A127" s="143"/>
      <c r="B127" s="145"/>
      <c r="C127" s="146"/>
      <c r="D127" s="114"/>
      <c r="E127" s="148"/>
      <c r="F127" s="148"/>
      <c r="G127" s="114"/>
      <c r="H127" s="149"/>
      <c r="I127" s="143"/>
      <c r="J127" s="143"/>
      <c r="K127" s="143"/>
      <c r="L127" s="143"/>
      <c r="M127" s="150"/>
      <c r="N127" s="143"/>
      <c r="O127" s="1"/>
      <c r="P127" s="151"/>
      <c r="Q127" s="143"/>
      <c r="R127" s="143"/>
      <c r="S127" s="143"/>
      <c r="T127" s="143"/>
      <c r="U127" s="143"/>
      <c r="V127" s="143"/>
      <c r="W127" s="143"/>
      <c r="X127" s="143"/>
      <c r="Y127" s="143"/>
      <c r="Z127" s="143"/>
      <c r="AA127" s="143"/>
      <c r="AB127" s="143"/>
      <c r="AC127" s="143"/>
      <c r="AD127" s="143"/>
      <c r="AE127" s="143"/>
      <c r="AF127" s="143"/>
      <c r="AG127" s="143"/>
      <c r="AH127" s="143"/>
      <c r="AI127" s="143"/>
      <c r="AJ127" s="143"/>
    </row>
    <row r="128" spans="1:36" ht="12.75" customHeight="1" x14ac:dyDescent="0.25">
      <c r="A128" s="143"/>
      <c r="B128" s="145"/>
      <c r="C128" s="146"/>
      <c r="D128" s="114"/>
      <c r="E128" s="148"/>
      <c r="F128" s="148"/>
      <c r="G128" s="114"/>
      <c r="H128" s="149"/>
      <c r="I128" s="143"/>
      <c r="J128" s="143"/>
      <c r="K128" s="143"/>
      <c r="L128" s="143"/>
      <c r="M128" s="150"/>
      <c r="N128" s="143"/>
      <c r="O128" s="1"/>
      <c r="P128" s="151"/>
      <c r="Q128" s="143"/>
      <c r="R128" s="143"/>
      <c r="S128" s="143"/>
      <c r="T128" s="143"/>
      <c r="U128" s="143"/>
      <c r="V128" s="143"/>
      <c r="W128" s="143"/>
      <c r="X128" s="143"/>
      <c r="Y128" s="143"/>
      <c r="Z128" s="143"/>
      <c r="AA128" s="143"/>
      <c r="AB128" s="143"/>
      <c r="AC128" s="143"/>
      <c r="AD128" s="143"/>
      <c r="AE128" s="143"/>
      <c r="AF128" s="143"/>
      <c r="AG128" s="143"/>
      <c r="AH128" s="143"/>
      <c r="AI128" s="143"/>
      <c r="AJ128" s="143"/>
    </row>
    <row r="129" spans="1:36" ht="12.75" customHeight="1" x14ac:dyDescent="0.25">
      <c r="A129" s="143"/>
      <c r="B129" s="145"/>
      <c r="C129" s="146"/>
      <c r="D129" s="114"/>
      <c r="E129" s="148"/>
      <c r="F129" s="148"/>
      <c r="G129" s="114"/>
      <c r="H129" s="149"/>
      <c r="I129" s="143"/>
      <c r="J129" s="143"/>
      <c r="K129" s="143"/>
      <c r="L129" s="143"/>
      <c r="M129" s="150"/>
      <c r="N129" s="143"/>
      <c r="O129" s="1"/>
      <c r="P129" s="151"/>
      <c r="Q129" s="143"/>
      <c r="R129" s="143"/>
      <c r="S129" s="143"/>
      <c r="T129" s="143"/>
      <c r="U129" s="143"/>
      <c r="V129" s="143"/>
      <c r="W129" s="143"/>
      <c r="X129" s="143"/>
      <c r="Y129" s="143"/>
      <c r="Z129" s="143"/>
      <c r="AA129" s="143"/>
      <c r="AB129" s="143"/>
      <c r="AC129" s="143"/>
      <c r="AD129" s="143"/>
      <c r="AE129" s="143"/>
      <c r="AF129" s="143"/>
      <c r="AG129" s="143"/>
      <c r="AH129" s="143"/>
      <c r="AI129" s="143"/>
      <c r="AJ129" s="143"/>
    </row>
    <row r="130" spans="1:36" ht="12.75" customHeight="1" x14ac:dyDescent="0.25">
      <c r="A130" s="143"/>
      <c r="B130" s="145"/>
      <c r="C130" s="146"/>
      <c r="D130" s="114"/>
      <c r="E130" s="148"/>
      <c r="F130" s="148"/>
      <c r="G130" s="114"/>
      <c r="H130" s="149"/>
      <c r="I130" s="143"/>
      <c r="J130" s="143"/>
      <c r="K130" s="143"/>
      <c r="L130" s="143"/>
      <c r="M130" s="150"/>
      <c r="N130" s="143"/>
      <c r="O130" s="1"/>
      <c r="P130" s="151"/>
      <c r="Q130" s="143"/>
      <c r="R130" s="143"/>
      <c r="S130" s="143"/>
      <c r="T130" s="143"/>
      <c r="U130" s="143"/>
      <c r="V130" s="143"/>
      <c r="W130" s="143"/>
      <c r="X130" s="143"/>
      <c r="Y130" s="143"/>
      <c r="Z130" s="143"/>
      <c r="AA130" s="143"/>
      <c r="AB130" s="143"/>
      <c r="AC130" s="143"/>
      <c r="AD130" s="143"/>
      <c r="AE130" s="143"/>
      <c r="AF130" s="143"/>
      <c r="AG130" s="143"/>
      <c r="AH130" s="143"/>
      <c r="AI130" s="143"/>
      <c r="AJ130" s="143"/>
    </row>
    <row r="131" spans="1:36" ht="12.75" customHeight="1" x14ac:dyDescent="0.25">
      <c r="A131" s="143"/>
      <c r="B131" s="145"/>
      <c r="C131" s="146"/>
      <c r="D131" s="114"/>
      <c r="E131" s="148"/>
      <c r="F131" s="148"/>
      <c r="G131" s="114"/>
      <c r="H131" s="149"/>
      <c r="I131" s="143"/>
      <c r="J131" s="143"/>
      <c r="K131" s="143"/>
      <c r="L131" s="143"/>
      <c r="M131" s="150"/>
      <c r="N131" s="143"/>
      <c r="O131" s="1"/>
      <c r="P131" s="151"/>
      <c r="Q131" s="143"/>
      <c r="R131" s="143"/>
      <c r="S131" s="143"/>
      <c r="T131" s="143"/>
      <c r="U131" s="143"/>
      <c r="V131" s="143"/>
      <c r="W131" s="143"/>
      <c r="X131" s="143"/>
      <c r="Y131" s="143"/>
      <c r="Z131" s="143"/>
      <c r="AA131" s="143"/>
      <c r="AB131" s="143"/>
      <c r="AC131" s="143"/>
      <c r="AD131" s="143"/>
      <c r="AE131" s="143"/>
      <c r="AF131" s="143"/>
      <c r="AG131" s="143"/>
      <c r="AH131" s="143"/>
      <c r="AI131" s="143"/>
      <c r="AJ131" s="143"/>
    </row>
    <row r="132" spans="1:36" ht="12.75" customHeight="1" x14ac:dyDescent="0.25">
      <c r="A132" s="143"/>
      <c r="B132" s="145"/>
      <c r="C132" s="146"/>
      <c r="D132" s="114"/>
      <c r="E132" s="148"/>
      <c r="F132" s="148"/>
      <c r="G132" s="114"/>
      <c r="H132" s="149"/>
      <c r="I132" s="143"/>
      <c r="J132" s="143"/>
      <c r="K132" s="143"/>
      <c r="L132" s="143"/>
      <c r="M132" s="150"/>
      <c r="N132" s="143"/>
      <c r="O132" s="1"/>
      <c r="P132" s="151"/>
      <c r="Q132" s="143"/>
      <c r="R132" s="143"/>
      <c r="S132" s="143"/>
      <c r="T132" s="143"/>
      <c r="U132" s="143"/>
      <c r="V132" s="143"/>
      <c r="W132" s="143"/>
      <c r="X132" s="143"/>
      <c r="Y132" s="143"/>
      <c r="Z132" s="143"/>
      <c r="AA132" s="143"/>
      <c r="AB132" s="143"/>
      <c r="AC132" s="143"/>
      <c r="AD132" s="143"/>
      <c r="AE132" s="143"/>
      <c r="AF132" s="143"/>
      <c r="AG132" s="143"/>
      <c r="AH132" s="143"/>
      <c r="AI132" s="143"/>
      <c r="AJ132" s="143"/>
    </row>
    <row r="133" spans="1:36" ht="12.75" customHeight="1" x14ac:dyDescent="0.25">
      <c r="A133" s="143"/>
      <c r="B133" s="145"/>
      <c r="C133" s="146"/>
      <c r="D133" s="114"/>
      <c r="E133" s="148"/>
      <c r="F133" s="148"/>
      <c r="G133" s="114"/>
      <c r="H133" s="149"/>
      <c r="I133" s="143"/>
      <c r="J133" s="143"/>
      <c r="K133" s="143"/>
      <c r="L133" s="143"/>
      <c r="M133" s="150"/>
      <c r="N133" s="143"/>
      <c r="O133" s="1"/>
      <c r="P133" s="151"/>
      <c r="Q133" s="143"/>
      <c r="R133" s="143"/>
      <c r="S133" s="143"/>
      <c r="T133" s="143"/>
      <c r="U133" s="143"/>
      <c r="V133" s="143"/>
      <c r="W133" s="143"/>
      <c r="X133" s="143"/>
      <c r="Y133" s="143"/>
      <c r="Z133" s="143"/>
      <c r="AA133" s="143"/>
      <c r="AB133" s="143"/>
      <c r="AC133" s="143"/>
      <c r="AD133" s="143"/>
      <c r="AE133" s="143"/>
      <c r="AF133" s="143"/>
      <c r="AG133" s="143"/>
      <c r="AH133" s="143"/>
      <c r="AI133" s="143"/>
      <c r="AJ133" s="143"/>
    </row>
    <row r="134" spans="1:36" ht="12.75" customHeight="1" x14ac:dyDescent="0.25">
      <c r="A134" s="143"/>
      <c r="B134" s="145"/>
      <c r="C134" s="146"/>
      <c r="D134" s="114"/>
      <c r="E134" s="148"/>
      <c r="F134" s="148"/>
      <c r="G134" s="114"/>
      <c r="H134" s="149"/>
      <c r="I134" s="143"/>
      <c r="J134" s="143"/>
      <c r="K134" s="143"/>
      <c r="L134" s="143"/>
      <c r="M134" s="150"/>
      <c r="N134" s="143"/>
      <c r="O134" s="1"/>
      <c r="P134" s="151"/>
      <c r="Q134" s="143"/>
      <c r="R134" s="143"/>
      <c r="S134" s="143"/>
      <c r="T134" s="143"/>
      <c r="U134" s="143"/>
      <c r="V134" s="143"/>
      <c r="W134" s="143"/>
      <c r="X134" s="143"/>
      <c r="Y134" s="143"/>
      <c r="Z134" s="143"/>
      <c r="AA134" s="143"/>
      <c r="AB134" s="143"/>
      <c r="AC134" s="143"/>
      <c r="AD134" s="143"/>
      <c r="AE134" s="143"/>
      <c r="AF134" s="143"/>
      <c r="AG134" s="143"/>
      <c r="AH134" s="143"/>
      <c r="AI134" s="143"/>
      <c r="AJ134" s="143"/>
    </row>
    <row r="135" spans="1:36" ht="12.75" customHeight="1" x14ac:dyDescent="0.25">
      <c r="A135" s="143"/>
      <c r="B135" s="145"/>
      <c r="C135" s="146"/>
      <c r="D135" s="114"/>
      <c r="E135" s="148"/>
      <c r="F135" s="148"/>
      <c r="G135" s="114"/>
      <c r="H135" s="149"/>
      <c r="I135" s="143"/>
      <c r="J135" s="143"/>
      <c r="K135" s="143"/>
      <c r="L135" s="143"/>
      <c r="M135" s="150"/>
      <c r="N135" s="143"/>
      <c r="O135" s="1"/>
      <c r="P135" s="151"/>
      <c r="Q135" s="143"/>
      <c r="R135" s="143"/>
      <c r="S135" s="143"/>
      <c r="T135" s="143"/>
      <c r="U135" s="143"/>
      <c r="V135" s="143"/>
      <c r="W135" s="143"/>
      <c r="X135" s="143"/>
      <c r="Y135" s="143"/>
      <c r="Z135" s="143"/>
      <c r="AA135" s="143"/>
      <c r="AB135" s="143"/>
      <c r="AC135" s="143"/>
      <c r="AD135" s="143"/>
      <c r="AE135" s="143"/>
      <c r="AF135" s="143"/>
      <c r="AG135" s="143"/>
      <c r="AH135" s="143"/>
      <c r="AI135" s="143"/>
      <c r="AJ135" s="143"/>
    </row>
    <row r="136" spans="1:36" ht="12.75" customHeight="1" x14ac:dyDescent="0.25">
      <c r="A136" s="143"/>
      <c r="B136" s="145"/>
      <c r="C136" s="146"/>
      <c r="D136" s="114"/>
      <c r="E136" s="148"/>
      <c r="F136" s="148"/>
      <c r="G136" s="114"/>
      <c r="H136" s="149"/>
      <c r="I136" s="143"/>
      <c r="J136" s="143"/>
      <c r="K136" s="143"/>
      <c r="L136" s="143"/>
      <c r="M136" s="150"/>
      <c r="N136" s="143"/>
      <c r="O136" s="1"/>
      <c r="P136" s="151"/>
      <c r="Q136" s="143"/>
      <c r="R136" s="143"/>
      <c r="S136" s="143"/>
      <c r="T136" s="143"/>
      <c r="U136" s="143"/>
      <c r="V136" s="143"/>
      <c r="W136" s="143"/>
      <c r="X136" s="143"/>
      <c r="Y136" s="143"/>
      <c r="Z136" s="143"/>
      <c r="AA136" s="143"/>
      <c r="AB136" s="143"/>
      <c r="AC136" s="143"/>
      <c r="AD136" s="143"/>
      <c r="AE136" s="143"/>
      <c r="AF136" s="143"/>
      <c r="AG136" s="143"/>
      <c r="AH136" s="143"/>
      <c r="AI136" s="143"/>
      <c r="AJ136" s="143"/>
    </row>
    <row r="137" spans="1:36" ht="12.75" customHeight="1" x14ac:dyDescent="0.25">
      <c r="A137" s="143"/>
      <c r="B137" s="145"/>
      <c r="C137" s="146"/>
      <c r="D137" s="114"/>
      <c r="E137" s="148"/>
      <c r="F137" s="148"/>
      <c r="G137" s="114"/>
      <c r="H137" s="149"/>
      <c r="I137" s="143"/>
      <c r="J137" s="143"/>
      <c r="K137" s="143"/>
      <c r="L137" s="143"/>
      <c r="M137" s="150"/>
      <c r="N137" s="143"/>
      <c r="O137" s="1"/>
      <c r="P137" s="151"/>
      <c r="Q137" s="143"/>
      <c r="R137" s="143"/>
      <c r="S137" s="143"/>
      <c r="T137" s="143"/>
      <c r="U137" s="143"/>
      <c r="V137" s="143"/>
      <c r="W137" s="143"/>
      <c r="X137" s="143"/>
      <c r="Y137" s="143"/>
      <c r="Z137" s="143"/>
      <c r="AA137" s="143"/>
      <c r="AB137" s="143"/>
      <c r="AC137" s="143"/>
      <c r="AD137" s="143"/>
      <c r="AE137" s="143"/>
      <c r="AF137" s="143"/>
      <c r="AG137" s="143"/>
      <c r="AH137" s="143"/>
      <c r="AI137" s="143"/>
      <c r="AJ137" s="143"/>
    </row>
    <row r="138" spans="1:36" ht="12.75" customHeight="1" x14ac:dyDescent="0.25">
      <c r="A138" s="143"/>
      <c r="B138" s="145"/>
      <c r="C138" s="146"/>
      <c r="D138" s="114"/>
      <c r="E138" s="148"/>
      <c r="F138" s="148"/>
      <c r="G138" s="114"/>
      <c r="H138" s="149"/>
      <c r="I138" s="143"/>
      <c r="J138" s="143"/>
      <c r="K138" s="143"/>
      <c r="L138" s="143"/>
      <c r="M138" s="150"/>
      <c r="N138" s="143"/>
      <c r="O138" s="1"/>
      <c r="P138" s="151"/>
      <c r="Q138" s="143"/>
      <c r="R138" s="143"/>
      <c r="S138" s="143"/>
      <c r="T138" s="143"/>
      <c r="U138" s="143"/>
      <c r="V138" s="143"/>
      <c r="W138" s="143"/>
      <c r="X138" s="143"/>
      <c r="Y138" s="143"/>
      <c r="Z138" s="143"/>
      <c r="AA138" s="143"/>
      <c r="AB138" s="143"/>
      <c r="AC138" s="143"/>
      <c r="AD138" s="143"/>
      <c r="AE138" s="143"/>
      <c r="AF138" s="143"/>
      <c r="AG138" s="143"/>
      <c r="AH138" s="143"/>
      <c r="AI138" s="143"/>
      <c r="AJ138" s="143"/>
    </row>
    <row r="139" spans="1:36" ht="12.75" customHeight="1" x14ac:dyDescent="0.25">
      <c r="A139" s="143"/>
      <c r="B139" s="145"/>
      <c r="C139" s="146"/>
      <c r="D139" s="114"/>
      <c r="E139" s="148"/>
      <c r="F139" s="148"/>
      <c r="G139" s="114"/>
      <c r="H139" s="149"/>
      <c r="I139" s="143"/>
      <c r="J139" s="143"/>
      <c r="K139" s="143"/>
      <c r="L139" s="143"/>
      <c r="M139" s="150"/>
      <c r="N139" s="143"/>
      <c r="O139" s="1"/>
      <c r="P139" s="151"/>
      <c r="Q139" s="143"/>
      <c r="R139" s="143"/>
      <c r="S139" s="143"/>
      <c r="T139" s="143"/>
      <c r="U139" s="143"/>
      <c r="V139" s="143"/>
      <c r="W139" s="143"/>
      <c r="X139" s="143"/>
      <c r="Y139" s="143"/>
      <c r="Z139" s="143"/>
      <c r="AA139" s="143"/>
      <c r="AB139" s="143"/>
      <c r="AC139" s="143"/>
      <c r="AD139" s="143"/>
      <c r="AE139" s="143"/>
      <c r="AF139" s="143"/>
      <c r="AG139" s="143"/>
      <c r="AH139" s="143"/>
      <c r="AI139" s="143"/>
      <c r="AJ139" s="143"/>
    </row>
    <row r="140" spans="1:36" ht="12.75" customHeight="1" x14ac:dyDescent="0.25">
      <c r="A140" s="143"/>
      <c r="B140" s="145"/>
      <c r="C140" s="146"/>
      <c r="D140" s="114"/>
      <c r="E140" s="148"/>
      <c r="F140" s="148"/>
      <c r="G140" s="114"/>
      <c r="H140" s="149"/>
      <c r="I140" s="143"/>
      <c r="J140" s="143"/>
      <c r="K140" s="143"/>
      <c r="L140" s="143"/>
      <c r="M140" s="150"/>
      <c r="N140" s="143"/>
      <c r="O140" s="1"/>
      <c r="P140" s="151"/>
      <c r="Q140" s="143"/>
      <c r="R140" s="143"/>
      <c r="S140" s="143"/>
      <c r="T140" s="143"/>
      <c r="U140" s="143"/>
      <c r="V140" s="143"/>
      <c r="W140" s="143"/>
      <c r="X140" s="143"/>
      <c r="Y140" s="143"/>
      <c r="Z140" s="143"/>
      <c r="AA140" s="143"/>
      <c r="AB140" s="143"/>
      <c r="AC140" s="143"/>
      <c r="AD140" s="143"/>
      <c r="AE140" s="143"/>
      <c r="AF140" s="143"/>
      <c r="AG140" s="143"/>
      <c r="AH140" s="143"/>
      <c r="AI140" s="143"/>
      <c r="AJ140" s="143"/>
    </row>
    <row r="141" spans="1:36" ht="12.75" customHeight="1" x14ac:dyDescent="0.25">
      <c r="A141" s="143"/>
      <c r="B141" s="145"/>
      <c r="C141" s="146"/>
      <c r="D141" s="114"/>
      <c r="E141" s="148"/>
      <c r="F141" s="148"/>
      <c r="G141" s="114"/>
      <c r="H141" s="149"/>
      <c r="I141" s="143"/>
      <c r="J141" s="143"/>
      <c r="K141" s="143"/>
      <c r="L141" s="143"/>
      <c r="M141" s="150"/>
      <c r="N141" s="143"/>
      <c r="O141" s="1"/>
      <c r="P141" s="151"/>
      <c r="Q141" s="143"/>
      <c r="R141" s="143"/>
      <c r="S141" s="143"/>
      <c r="T141" s="143"/>
      <c r="U141" s="143"/>
      <c r="V141" s="143"/>
      <c r="W141" s="143"/>
      <c r="X141" s="143"/>
      <c r="Y141" s="143"/>
      <c r="Z141" s="143"/>
      <c r="AA141" s="143"/>
      <c r="AB141" s="143"/>
      <c r="AC141" s="143"/>
      <c r="AD141" s="143"/>
      <c r="AE141" s="143"/>
      <c r="AF141" s="143"/>
      <c r="AG141" s="143"/>
      <c r="AH141" s="143"/>
      <c r="AI141" s="143"/>
      <c r="AJ141" s="143"/>
    </row>
    <row r="142" spans="1:36" ht="12.75" customHeight="1" x14ac:dyDescent="0.25">
      <c r="A142" s="143"/>
      <c r="B142" s="145"/>
      <c r="C142" s="146"/>
      <c r="D142" s="114"/>
      <c r="E142" s="148"/>
      <c r="F142" s="148"/>
      <c r="G142" s="114"/>
      <c r="H142" s="149"/>
      <c r="I142" s="143"/>
      <c r="J142" s="143"/>
      <c r="K142" s="143"/>
      <c r="L142" s="143"/>
      <c r="M142" s="150"/>
      <c r="N142" s="143"/>
      <c r="O142" s="1"/>
      <c r="P142" s="151"/>
      <c r="Q142" s="143"/>
      <c r="R142" s="143"/>
      <c r="S142" s="143"/>
      <c r="T142" s="143"/>
      <c r="U142" s="143"/>
      <c r="V142" s="143"/>
      <c r="W142" s="143"/>
      <c r="X142" s="143"/>
      <c r="Y142" s="143"/>
      <c r="Z142" s="143"/>
      <c r="AA142" s="143"/>
      <c r="AB142" s="143"/>
      <c r="AC142" s="143"/>
      <c r="AD142" s="143"/>
      <c r="AE142" s="143"/>
      <c r="AF142" s="143"/>
      <c r="AG142" s="143"/>
      <c r="AH142" s="143"/>
      <c r="AI142" s="143"/>
      <c r="AJ142" s="143"/>
    </row>
    <row r="143" spans="1:36" ht="12.75" customHeight="1" x14ac:dyDescent="0.25">
      <c r="A143" s="143"/>
      <c r="B143" s="145"/>
      <c r="C143" s="146"/>
      <c r="D143" s="114"/>
      <c r="E143" s="148"/>
      <c r="F143" s="148"/>
      <c r="G143" s="114"/>
      <c r="H143" s="149"/>
      <c r="I143" s="143"/>
      <c r="J143" s="143"/>
      <c r="K143" s="143"/>
      <c r="L143" s="143"/>
      <c r="M143" s="150"/>
      <c r="N143" s="143"/>
      <c r="O143" s="1"/>
      <c r="P143" s="151"/>
      <c r="Q143" s="143"/>
      <c r="R143" s="143"/>
      <c r="S143" s="143"/>
      <c r="T143" s="143"/>
      <c r="U143" s="143"/>
      <c r="V143" s="143"/>
      <c r="W143" s="143"/>
      <c r="X143" s="143"/>
      <c r="Y143" s="143"/>
      <c r="Z143" s="143"/>
      <c r="AA143" s="143"/>
      <c r="AB143" s="143"/>
      <c r="AC143" s="143"/>
      <c r="AD143" s="143"/>
      <c r="AE143" s="143"/>
      <c r="AF143" s="143"/>
      <c r="AG143" s="143"/>
      <c r="AH143" s="143"/>
      <c r="AI143" s="143"/>
      <c r="AJ143" s="143"/>
    </row>
    <row r="144" spans="1:36" ht="12.75" customHeight="1" x14ac:dyDescent="0.25">
      <c r="A144" s="143"/>
      <c r="B144" s="145"/>
      <c r="C144" s="146"/>
      <c r="D144" s="114"/>
      <c r="E144" s="148"/>
      <c r="F144" s="148"/>
      <c r="G144" s="114"/>
      <c r="H144" s="149"/>
      <c r="I144" s="143"/>
      <c r="J144" s="143"/>
      <c r="K144" s="143"/>
      <c r="L144" s="143"/>
      <c r="M144" s="150"/>
      <c r="N144" s="143"/>
      <c r="O144" s="1"/>
      <c r="P144" s="151"/>
      <c r="Q144" s="143"/>
      <c r="R144" s="143"/>
      <c r="S144" s="143"/>
      <c r="T144" s="143"/>
      <c r="U144" s="143"/>
      <c r="V144" s="143"/>
      <c r="W144" s="143"/>
      <c r="X144" s="143"/>
      <c r="Y144" s="143"/>
      <c r="Z144" s="143"/>
      <c r="AA144" s="143"/>
      <c r="AB144" s="143"/>
      <c r="AC144" s="143"/>
      <c r="AD144" s="143"/>
      <c r="AE144" s="143"/>
      <c r="AF144" s="143"/>
      <c r="AG144" s="143"/>
      <c r="AH144" s="143"/>
      <c r="AI144" s="143"/>
      <c r="AJ144" s="143"/>
    </row>
    <row r="145" spans="1:36" ht="12.75" customHeight="1" x14ac:dyDescent="0.25">
      <c r="A145" s="143"/>
      <c r="B145" s="145"/>
      <c r="C145" s="146"/>
      <c r="D145" s="114"/>
      <c r="E145" s="148"/>
      <c r="F145" s="148"/>
      <c r="G145" s="114"/>
      <c r="H145" s="149"/>
      <c r="I145" s="143"/>
      <c r="J145" s="143"/>
      <c r="K145" s="143"/>
      <c r="L145" s="143"/>
      <c r="M145" s="150"/>
      <c r="N145" s="143"/>
      <c r="O145" s="1"/>
      <c r="P145" s="151"/>
      <c r="Q145" s="143"/>
      <c r="R145" s="143"/>
      <c r="S145" s="143"/>
      <c r="T145" s="143"/>
      <c r="U145" s="143"/>
      <c r="V145" s="143"/>
      <c r="W145" s="143"/>
      <c r="X145" s="143"/>
      <c r="Y145" s="143"/>
      <c r="Z145" s="143"/>
      <c r="AA145" s="143"/>
      <c r="AB145" s="143"/>
      <c r="AC145" s="143"/>
      <c r="AD145" s="143"/>
      <c r="AE145" s="143"/>
      <c r="AF145" s="143"/>
      <c r="AG145" s="143"/>
      <c r="AH145" s="143"/>
      <c r="AI145" s="143"/>
      <c r="AJ145" s="143"/>
    </row>
    <row r="146" spans="1:36" ht="12.75" customHeight="1" x14ac:dyDescent="0.25">
      <c r="A146" s="143"/>
      <c r="B146" s="145"/>
      <c r="C146" s="146"/>
      <c r="D146" s="114"/>
      <c r="E146" s="148"/>
      <c r="F146" s="148"/>
      <c r="G146" s="114"/>
      <c r="H146" s="149"/>
      <c r="I146" s="143"/>
      <c r="J146" s="143"/>
      <c r="K146" s="143"/>
      <c r="L146" s="143"/>
      <c r="M146" s="150"/>
      <c r="N146" s="143"/>
      <c r="O146" s="1"/>
      <c r="P146" s="151"/>
      <c r="Q146" s="143"/>
      <c r="R146" s="143"/>
      <c r="S146" s="143"/>
      <c r="T146" s="143"/>
      <c r="U146" s="143"/>
      <c r="V146" s="143"/>
      <c r="W146" s="143"/>
      <c r="X146" s="143"/>
      <c r="Y146" s="143"/>
      <c r="Z146" s="143"/>
      <c r="AA146" s="143"/>
      <c r="AB146" s="143"/>
      <c r="AC146" s="143"/>
      <c r="AD146" s="143"/>
      <c r="AE146" s="143"/>
      <c r="AF146" s="143"/>
      <c r="AG146" s="143"/>
      <c r="AH146" s="143"/>
      <c r="AI146" s="143"/>
      <c r="AJ146" s="143"/>
    </row>
    <row r="147" spans="1:36" ht="12.75" customHeight="1" x14ac:dyDescent="0.25">
      <c r="A147" s="143"/>
      <c r="B147" s="145"/>
      <c r="C147" s="146"/>
      <c r="D147" s="114"/>
      <c r="E147" s="148"/>
      <c r="F147" s="148"/>
      <c r="G147" s="114"/>
      <c r="H147" s="149"/>
      <c r="I147" s="143"/>
      <c r="J147" s="143"/>
      <c r="K147" s="143"/>
      <c r="L147" s="143"/>
      <c r="M147" s="150"/>
      <c r="N147" s="143"/>
      <c r="O147" s="1"/>
      <c r="P147" s="151"/>
      <c r="Q147" s="143"/>
      <c r="R147" s="143"/>
      <c r="S147" s="143"/>
      <c r="T147" s="143"/>
      <c r="U147" s="143"/>
      <c r="V147" s="143"/>
      <c r="W147" s="143"/>
      <c r="X147" s="143"/>
      <c r="Y147" s="143"/>
      <c r="Z147" s="143"/>
      <c r="AA147" s="143"/>
      <c r="AB147" s="143"/>
      <c r="AC147" s="143"/>
      <c r="AD147" s="143"/>
      <c r="AE147" s="143"/>
      <c r="AF147" s="143"/>
      <c r="AG147" s="143"/>
      <c r="AH147" s="143"/>
      <c r="AI147" s="143"/>
      <c r="AJ147" s="143"/>
    </row>
    <row r="148" spans="1:36" ht="12.75" customHeight="1" x14ac:dyDescent="0.25">
      <c r="A148" s="143"/>
      <c r="B148" s="145"/>
      <c r="C148" s="146"/>
      <c r="D148" s="114"/>
      <c r="E148" s="148"/>
      <c r="F148" s="148"/>
      <c r="G148" s="114"/>
      <c r="H148" s="149"/>
      <c r="I148" s="143"/>
      <c r="J148" s="143"/>
      <c r="K148" s="143"/>
      <c r="L148" s="143"/>
      <c r="M148" s="150"/>
      <c r="N148" s="143"/>
      <c r="O148" s="1"/>
      <c r="P148" s="151"/>
      <c r="Q148" s="143"/>
      <c r="R148" s="143"/>
      <c r="S148" s="143"/>
      <c r="T148" s="143"/>
      <c r="U148" s="143"/>
      <c r="V148" s="143"/>
      <c r="W148" s="143"/>
      <c r="X148" s="143"/>
      <c r="Y148" s="143"/>
      <c r="Z148" s="143"/>
      <c r="AA148" s="143"/>
      <c r="AB148" s="143"/>
      <c r="AC148" s="143"/>
      <c r="AD148" s="143"/>
      <c r="AE148" s="143"/>
      <c r="AF148" s="143"/>
      <c r="AG148" s="143"/>
      <c r="AH148" s="143"/>
      <c r="AI148" s="143"/>
      <c r="AJ148" s="143"/>
    </row>
    <row r="149" spans="1:36" ht="12.75" customHeight="1" x14ac:dyDescent="0.25">
      <c r="A149" s="143"/>
      <c r="B149" s="145"/>
      <c r="C149" s="146"/>
      <c r="D149" s="114"/>
      <c r="E149" s="148"/>
      <c r="F149" s="148"/>
      <c r="G149" s="114"/>
      <c r="H149" s="149"/>
      <c r="I149" s="143"/>
      <c r="J149" s="143"/>
      <c r="K149" s="143"/>
      <c r="L149" s="143"/>
      <c r="M149" s="150"/>
      <c r="N149" s="143"/>
      <c r="O149" s="1"/>
      <c r="P149" s="151"/>
      <c r="Q149" s="143"/>
      <c r="R149" s="143"/>
      <c r="S149" s="143"/>
      <c r="T149" s="143"/>
      <c r="U149" s="143"/>
      <c r="V149" s="143"/>
      <c r="W149" s="143"/>
      <c r="X149" s="143"/>
      <c r="Y149" s="143"/>
      <c r="Z149" s="143"/>
      <c r="AA149" s="143"/>
      <c r="AB149" s="143"/>
      <c r="AC149" s="143"/>
      <c r="AD149" s="143"/>
      <c r="AE149" s="143"/>
      <c r="AF149" s="143"/>
      <c r="AG149" s="143"/>
      <c r="AH149" s="143"/>
      <c r="AI149" s="143"/>
      <c r="AJ149" s="143"/>
    </row>
    <row r="150" spans="1:36" ht="12.75" customHeight="1" x14ac:dyDescent="0.25">
      <c r="A150" s="143"/>
      <c r="B150" s="145"/>
      <c r="C150" s="146"/>
      <c r="D150" s="114"/>
      <c r="E150" s="148"/>
      <c r="F150" s="148"/>
      <c r="G150" s="114"/>
      <c r="H150" s="149"/>
      <c r="I150" s="143"/>
      <c r="J150" s="143"/>
      <c r="K150" s="143"/>
      <c r="L150" s="143"/>
      <c r="M150" s="150"/>
      <c r="N150" s="143"/>
      <c r="O150" s="1"/>
      <c r="P150" s="151"/>
      <c r="Q150" s="143"/>
      <c r="R150" s="143"/>
      <c r="S150" s="143"/>
      <c r="T150" s="143"/>
      <c r="U150" s="143"/>
      <c r="V150" s="143"/>
      <c r="W150" s="143"/>
      <c r="X150" s="143"/>
      <c r="Y150" s="143"/>
      <c r="Z150" s="143"/>
      <c r="AA150" s="143"/>
      <c r="AB150" s="143"/>
      <c r="AC150" s="143"/>
      <c r="AD150" s="143"/>
      <c r="AE150" s="143"/>
      <c r="AF150" s="143"/>
      <c r="AG150" s="143"/>
      <c r="AH150" s="143"/>
      <c r="AI150" s="143"/>
      <c r="AJ150" s="143"/>
    </row>
    <row r="151" spans="1:36" ht="12.75" customHeight="1" x14ac:dyDescent="0.25">
      <c r="A151" s="143"/>
      <c r="B151" s="145"/>
      <c r="C151" s="146"/>
      <c r="D151" s="114"/>
      <c r="E151" s="148"/>
      <c r="F151" s="148"/>
      <c r="G151" s="114"/>
      <c r="H151" s="149"/>
      <c r="I151" s="143"/>
      <c r="J151" s="143"/>
      <c r="K151" s="143"/>
      <c r="L151" s="143"/>
      <c r="M151" s="150"/>
      <c r="N151" s="143"/>
      <c r="O151" s="1"/>
      <c r="P151" s="151"/>
      <c r="Q151" s="143"/>
      <c r="R151" s="143"/>
      <c r="S151" s="143"/>
      <c r="T151" s="143"/>
      <c r="U151" s="143"/>
      <c r="V151" s="143"/>
      <c r="W151" s="143"/>
      <c r="X151" s="143"/>
      <c r="Y151" s="143"/>
      <c r="Z151" s="143"/>
      <c r="AA151" s="143"/>
      <c r="AB151" s="143"/>
      <c r="AC151" s="143"/>
      <c r="AD151" s="143"/>
      <c r="AE151" s="143"/>
      <c r="AF151" s="143"/>
      <c r="AG151" s="143"/>
      <c r="AH151" s="143"/>
      <c r="AI151" s="143"/>
      <c r="AJ151" s="143"/>
    </row>
    <row r="152" spans="1:36" ht="12.75" customHeight="1" x14ac:dyDescent="0.25">
      <c r="A152" s="143"/>
      <c r="B152" s="145"/>
      <c r="C152" s="146"/>
      <c r="D152" s="114"/>
      <c r="E152" s="148"/>
      <c r="F152" s="148"/>
      <c r="G152" s="114"/>
      <c r="H152" s="149"/>
      <c r="I152" s="143"/>
      <c r="J152" s="143"/>
      <c r="K152" s="143"/>
      <c r="L152" s="143"/>
      <c r="M152" s="150"/>
      <c r="N152" s="143"/>
      <c r="O152" s="1"/>
      <c r="P152" s="151"/>
      <c r="Q152" s="143"/>
      <c r="R152" s="143"/>
      <c r="S152" s="143"/>
      <c r="T152" s="143"/>
      <c r="U152" s="143"/>
      <c r="V152" s="143"/>
      <c r="W152" s="143"/>
      <c r="X152" s="143"/>
      <c r="Y152" s="143"/>
      <c r="Z152" s="143"/>
      <c r="AA152" s="143"/>
      <c r="AB152" s="143"/>
      <c r="AC152" s="143"/>
      <c r="AD152" s="143"/>
      <c r="AE152" s="143"/>
      <c r="AF152" s="143"/>
      <c r="AG152" s="143"/>
      <c r="AH152" s="143"/>
      <c r="AI152" s="143"/>
      <c r="AJ152" s="143"/>
    </row>
    <row r="153" spans="1:36" ht="12.75" customHeight="1" x14ac:dyDescent="0.25">
      <c r="A153" s="143"/>
      <c r="B153" s="145"/>
      <c r="C153" s="146"/>
      <c r="D153" s="114"/>
      <c r="E153" s="148"/>
      <c r="F153" s="148"/>
      <c r="G153" s="114"/>
      <c r="H153" s="149"/>
      <c r="I153" s="143"/>
      <c r="J153" s="143"/>
      <c r="K153" s="143"/>
      <c r="L153" s="143"/>
      <c r="M153" s="150"/>
      <c r="N153" s="143"/>
      <c r="O153" s="1"/>
      <c r="P153" s="151"/>
      <c r="Q153" s="143"/>
      <c r="R153" s="143"/>
      <c r="S153" s="143"/>
      <c r="T153" s="143"/>
      <c r="U153" s="143"/>
      <c r="V153" s="143"/>
      <c r="W153" s="143"/>
      <c r="X153" s="143"/>
      <c r="Y153" s="143"/>
      <c r="Z153" s="143"/>
      <c r="AA153" s="143"/>
      <c r="AB153" s="143"/>
      <c r="AC153" s="143"/>
      <c r="AD153" s="143"/>
      <c r="AE153" s="143"/>
      <c r="AF153" s="143"/>
      <c r="AG153" s="143"/>
      <c r="AH153" s="143"/>
      <c r="AI153" s="143"/>
      <c r="AJ153" s="143"/>
    </row>
    <row r="154" spans="1:36" ht="12.75" customHeight="1" x14ac:dyDescent="0.25">
      <c r="A154" s="143"/>
      <c r="B154" s="145"/>
      <c r="C154" s="146"/>
      <c r="D154" s="114"/>
      <c r="E154" s="148"/>
      <c r="F154" s="148"/>
      <c r="G154" s="114"/>
      <c r="H154" s="149"/>
      <c r="I154" s="143"/>
      <c r="J154" s="143"/>
      <c r="K154" s="143"/>
      <c r="L154" s="143"/>
      <c r="M154" s="150"/>
      <c r="N154" s="143"/>
      <c r="O154" s="1"/>
      <c r="P154" s="151"/>
      <c r="Q154" s="143"/>
      <c r="R154" s="143"/>
      <c r="S154" s="143"/>
      <c r="T154" s="143"/>
      <c r="U154" s="143"/>
      <c r="V154" s="143"/>
      <c r="W154" s="143"/>
      <c r="X154" s="143"/>
      <c r="Y154" s="143"/>
      <c r="Z154" s="143"/>
      <c r="AA154" s="143"/>
      <c r="AB154" s="143"/>
      <c r="AC154" s="143"/>
      <c r="AD154" s="143"/>
      <c r="AE154" s="143"/>
      <c r="AF154" s="143"/>
      <c r="AG154" s="143"/>
      <c r="AH154" s="143"/>
      <c r="AI154" s="143"/>
      <c r="AJ154" s="143"/>
    </row>
    <row r="155" spans="1:36" ht="12.75" customHeight="1" x14ac:dyDescent="0.25">
      <c r="A155" s="143"/>
      <c r="B155" s="145"/>
      <c r="C155" s="146"/>
      <c r="D155" s="114"/>
      <c r="E155" s="148"/>
      <c r="F155" s="148"/>
      <c r="G155" s="114"/>
      <c r="H155" s="149"/>
      <c r="I155" s="143"/>
      <c r="J155" s="143"/>
      <c r="K155" s="143"/>
      <c r="L155" s="143"/>
      <c r="M155" s="150"/>
      <c r="N155" s="143"/>
      <c r="O155" s="1"/>
      <c r="P155" s="151"/>
      <c r="Q155" s="143"/>
      <c r="R155" s="143"/>
      <c r="S155" s="143"/>
      <c r="T155" s="143"/>
      <c r="U155" s="143"/>
      <c r="V155" s="143"/>
      <c r="W155" s="143"/>
      <c r="X155" s="143"/>
      <c r="Y155" s="143"/>
      <c r="Z155" s="143"/>
      <c r="AA155" s="143"/>
      <c r="AB155" s="143"/>
      <c r="AC155" s="143"/>
      <c r="AD155" s="143"/>
      <c r="AE155" s="143"/>
      <c r="AF155" s="143"/>
      <c r="AG155" s="143"/>
      <c r="AH155" s="143"/>
      <c r="AI155" s="143"/>
      <c r="AJ155" s="143"/>
    </row>
    <row r="156" spans="1:36" ht="12.75" customHeight="1" x14ac:dyDescent="0.25">
      <c r="A156" s="143"/>
      <c r="B156" s="145"/>
      <c r="C156" s="146"/>
      <c r="D156" s="114"/>
      <c r="E156" s="148"/>
      <c r="F156" s="148"/>
      <c r="G156" s="114"/>
      <c r="H156" s="149"/>
      <c r="I156" s="143"/>
      <c r="J156" s="143"/>
      <c r="K156" s="143"/>
      <c r="L156" s="143"/>
      <c r="M156" s="150"/>
      <c r="N156" s="143"/>
      <c r="O156" s="1"/>
      <c r="P156" s="151"/>
      <c r="Q156" s="143"/>
      <c r="R156" s="143"/>
      <c r="S156" s="143"/>
      <c r="T156" s="143"/>
      <c r="U156" s="143"/>
      <c r="V156" s="143"/>
      <c r="W156" s="143"/>
      <c r="X156" s="143"/>
      <c r="Y156" s="143"/>
      <c r="Z156" s="143"/>
      <c r="AA156" s="143"/>
      <c r="AB156" s="143"/>
      <c r="AC156" s="143"/>
      <c r="AD156" s="143"/>
      <c r="AE156" s="143"/>
      <c r="AF156" s="143"/>
      <c r="AG156" s="143"/>
      <c r="AH156" s="143"/>
      <c r="AI156" s="143"/>
      <c r="AJ156" s="143"/>
    </row>
    <row r="157" spans="1:36" ht="12.75" customHeight="1" x14ac:dyDescent="0.25">
      <c r="A157" s="143"/>
      <c r="B157" s="145"/>
      <c r="C157" s="146"/>
      <c r="D157" s="114"/>
      <c r="E157" s="148"/>
      <c r="F157" s="148"/>
      <c r="G157" s="114"/>
      <c r="H157" s="149"/>
      <c r="I157" s="143"/>
      <c r="J157" s="143"/>
      <c r="K157" s="143"/>
      <c r="L157" s="143"/>
      <c r="M157" s="150"/>
      <c r="N157" s="143"/>
      <c r="O157" s="1"/>
      <c r="P157" s="151"/>
      <c r="Q157" s="143"/>
      <c r="R157" s="143"/>
      <c r="S157" s="143"/>
      <c r="T157" s="143"/>
      <c r="U157" s="143"/>
      <c r="V157" s="143"/>
      <c r="W157" s="143"/>
      <c r="X157" s="143"/>
      <c r="Y157" s="143"/>
      <c r="Z157" s="143"/>
      <c r="AA157" s="143"/>
      <c r="AB157" s="143"/>
      <c r="AC157" s="143"/>
      <c r="AD157" s="143"/>
      <c r="AE157" s="143"/>
      <c r="AF157" s="143"/>
      <c r="AG157" s="143"/>
      <c r="AH157" s="143"/>
      <c r="AI157" s="143"/>
      <c r="AJ157" s="143"/>
    </row>
    <row r="158" spans="1:36" ht="12.75" customHeight="1" x14ac:dyDescent="0.25">
      <c r="A158" s="143"/>
      <c r="B158" s="145"/>
      <c r="C158" s="146"/>
      <c r="D158" s="114"/>
      <c r="E158" s="148"/>
      <c r="F158" s="148"/>
      <c r="G158" s="114"/>
      <c r="H158" s="149"/>
      <c r="I158" s="143"/>
      <c r="J158" s="143"/>
      <c r="K158" s="143"/>
      <c r="L158" s="143"/>
      <c r="M158" s="150"/>
      <c r="N158" s="143"/>
      <c r="O158" s="1"/>
      <c r="P158" s="151"/>
      <c r="Q158" s="143"/>
      <c r="R158" s="143"/>
      <c r="S158" s="143"/>
      <c r="T158" s="143"/>
      <c r="U158" s="143"/>
      <c r="V158" s="143"/>
      <c r="W158" s="143"/>
      <c r="X158" s="143"/>
      <c r="Y158" s="143"/>
      <c r="Z158" s="143"/>
      <c r="AA158" s="143"/>
      <c r="AB158" s="143"/>
      <c r="AC158" s="143"/>
      <c r="AD158" s="143"/>
      <c r="AE158" s="143"/>
      <c r="AF158" s="143"/>
      <c r="AG158" s="143"/>
      <c r="AH158" s="143"/>
      <c r="AI158" s="143"/>
      <c r="AJ158" s="143"/>
    </row>
    <row r="159" spans="1:36" ht="12.75" customHeight="1" x14ac:dyDescent="0.25">
      <c r="A159" s="143"/>
      <c r="B159" s="145"/>
      <c r="C159" s="146"/>
      <c r="D159" s="114"/>
      <c r="E159" s="148"/>
      <c r="F159" s="148"/>
      <c r="G159" s="114"/>
      <c r="H159" s="149"/>
      <c r="I159" s="143"/>
      <c r="J159" s="143"/>
      <c r="K159" s="143"/>
      <c r="L159" s="143"/>
      <c r="M159" s="150"/>
      <c r="N159" s="143"/>
      <c r="O159" s="1"/>
      <c r="P159" s="151"/>
      <c r="Q159" s="143"/>
      <c r="R159" s="143"/>
      <c r="S159" s="143"/>
      <c r="T159" s="143"/>
      <c r="U159" s="143"/>
      <c r="V159" s="143"/>
      <c r="W159" s="143"/>
      <c r="X159" s="143"/>
      <c r="Y159" s="143"/>
      <c r="Z159" s="143"/>
      <c r="AA159" s="143"/>
      <c r="AB159" s="143"/>
      <c r="AC159" s="143"/>
      <c r="AD159" s="143"/>
      <c r="AE159" s="143"/>
      <c r="AF159" s="143"/>
      <c r="AG159" s="143"/>
      <c r="AH159" s="143"/>
      <c r="AI159" s="143"/>
      <c r="AJ159" s="143"/>
    </row>
    <row r="160" spans="1:36" ht="12.75" customHeight="1" x14ac:dyDescent="0.25">
      <c r="A160" s="143"/>
      <c r="B160" s="145"/>
      <c r="C160" s="146"/>
      <c r="D160" s="114"/>
      <c r="E160" s="148"/>
      <c r="F160" s="148"/>
      <c r="G160" s="114"/>
      <c r="H160" s="149"/>
      <c r="I160" s="143"/>
      <c r="J160" s="143"/>
      <c r="K160" s="143"/>
      <c r="L160" s="143"/>
      <c r="M160" s="150"/>
      <c r="N160" s="143"/>
      <c r="O160" s="1"/>
      <c r="P160" s="151"/>
      <c r="Q160" s="143"/>
      <c r="R160" s="143"/>
      <c r="S160" s="143"/>
      <c r="T160" s="143"/>
      <c r="U160" s="143"/>
      <c r="V160" s="143"/>
      <c r="W160" s="143"/>
      <c r="X160" s="143"/>
      <c r="Y160" s="143"/>
      <c r="Z160" s="143"/>
      <c r="AA160" s="143"/>
      <c r="AB160" s="143"/>
      <c r="AC160" s="143"/>
      <c r="AD160" s="143"/>
      <c r="AE160" s="143"/>
      <c r="AF160" s="143"/>
      <c r="AG160" s="143"/>
      <c r="AH160" s="143"/>
      <c r="AI160" s="143"/>
      <c r="AJ160" s="143"/>
    </row>
    <row r="161" spans="1:36" ht="12.75" customHeight="1" x14ac:dyDescent="0.25">
      <c r="A161" s="143"/>
      <c r="B161" s="145"/>
      <c r="C161" s="146"/>
      <c r="D161" s="114"/>
      <c r="E161" s="148"/>
      <c r="F161" s="148"/>
      <c r="G161" s="114"/>
      <c r="H161" s="149"/>
      <c r="I161" s="143"/>
      <c r="J161" s="143"/>
      <c r="K161" s="143"/>
      <c r="L161" s="143"/>
      <c r="M161" s="150"/>
      <c r="N161" s="143"/>
      <c r="O161" s="1"/>
      <c r="P161" s="151"/>
      <c r="Q161" s="143"/>
      <c r="R161" s="143"/>
      <c r="S161" s="143"/>
      <c r="T161" s="143"/>
      <c r="U161" s="143"/>
      <c r="V161" s="143"/>
      <c r="W161" s="143"/>
      <c r="X161" s="143"/>
      <c r="Y161" s="143"/>
      <c r="Z161" s="143"/>
      <c r="AA161" s="143"/>
      <c r="AB161" s="143"/>
      <c r="AC161" s="143"/>
      <c r="AD161" s="143"/>
      <c r="AE161" s="143"/>
      <c r="AF161" s="143"/>
      <c r="AG161" s="143"/>
      <c r="AH161" s="143"/>
      <c r="AI161" s="143"/>
      <c r="AJ161" s="143"/>
    </row>
    <row r="162" spans="1:36" ht="12.75" customHeight="1" x14ac:dyDescent="0.25">
      <c r="A162" s="143"/>
      <c r="B162" s="145"/>
      <c r="C162" s="146"/>
      <c r="D162" s="114"/>
      <c r="E162" s="148"/>
      <c r="F162" s="148"/>
      <c r="G162" s="114"/>
      <c r="H162" s="149"/>
      <c r="I162" s="143"/>
      <c r="J162" s="143"/>
      <c r="K162" s="143"/>
      <c r="L162" s="143"/>
      <c r="M162" s="150"/>
      <c r="N162" s="143"/>
      <c r="O162" s="1"/>
      <c r="P162" s="151"/>
      <c r="Q162" s="143"/>
      <c r="R162" s="143"/>
      <c r="S162" s="143"/>
      <c r="T162" s="143"/>
      <c r="U162" s="143"/>
      <c r="V162" s="143"/>
      <c r="W162" s="143"/>
      <c r="X162" s="143"/>
      <c r="Y162" s="143"/>
      <c r="Z162" s="143"/>
      <c r="AA162" s="143"/>
      <c r="AB162" s="143"/>
      <c r="AC162" s="143"/>
      <c r="AD162" s="143"/>
      <c r="AE162" s="143"/>
      <c r="AF162" s="143"/>
      <c r="AG162" s="143"/>
      <c r="AH162" s="143"/>
      <c r="AI162" s="143"/>
      <c r="AJ162" s="143"/>
    </row>
    <row r="163" spans="1:36" ht="12.75" customHeight="1" x14ac:dyDescent="0.25">
      <c r="A163" s="143"/>
      <c r="B163" s="145"/>
      <c r="C163" s="146"/>
      <c r="D163" s="114"/>
      <c r="E163" s="148"/>
      <c r="F163" s="148"/>
      <c r="G163" s="114"/>
      <c r="H163" s="149"/>
      <c r="I163" s="143"/>
      <c r="J163" s="143"/>
      <c r="K163" s="143"/>
      <c r="L163" s="143"/>
      <c r="M163" s="150"/>
      <c r="N163" s="143"/>
      <c r="O163" s="1"/>
      <c r="P163" s="151"/>
      <c r="Q163" s="143"/>
      <c r="R163" s="143"/>
      <c r="S163" s="143"/>
      <c r="T163" s="143"/>
      <c r="U163" s="143"/>
      <c r="V163" s="143"/>
      <c r="W163" s="143"/>
      <c r="X163" s="143"/>
      <c r="Y163" s="143"/>
      <c r="Z163" s="143"/>
      <c r="AA163" s="143"/>
      <c r="AB163" s="143"/>
      <c r="AC163" s="143"/>
      <c r="AD163" s="143"/>
      <c r="AE163" s="143"/>
      <c r="AF163" s="143"/>
      <c r="AG163" s="143"/>
      <c r="AH163" s="143"/>
      <c r="AI163" s="143"/>
      <c r="AJ163" s="143"/>
    </row>
    <row r="164" spans="1:36" ht="12.75" customHeight="1" x14ac:dyDescent="0.25">
      <c r="A164" s="143"/>
      <c r="B164" s="145"/>
      <c r="C164" s="146"/>
      <c r="D164" s="114"/>
      <c r="E164" s="148"/>
      <c r="F164" s="148"/>
      <c r="G164" s="114"/>
      <c r="H164" s="149"/>
      <c r="I164" s="143"/>
      <c r="J164" s="143"/>
      <c r="K164" s="143"/>
      <c r="L164" s="143"/>
      <c r="M164" s="150"/>
      <c r="N164" s="143"/>
      <c r="O164" s="1"/>
      <c r="P164" s="151"/>
      <c r="Q164" s="143"/>
      <c r="R164" s="143"/>
      <c r="S164" s="143"/>
      <c r="T164" s="143"/>
      <c r="U164" s="143"/>
      <c r="V164" s="143"/>
      <c r="W164" s="143"/>
      <c r="X164" s="143"/>
      <c r="Y164" s="143"/>
      <c r="Z164" s="143"/>
      <c r="AA164" s="143"/>
      <c r="AB164" s="143"/>
      <c r="AC164" s="143"/>
      <c r="AD164" s="143"/>
      <c r="AE164" s="143"/>
      <c r="AF164" s="143"/>
      <c r="AG164" s="143"/>
      <c r="AH164" s="143"/>
      <c r="AI164" s="143"/>
      <c r="AJ164" s="143"/>
    </row>
    <row r="165" spans="1:36" ht="12.75" customHeight="1" x14ac:dyDescent="0.25">
      <c r="A165" s="143"/>
      <c r="B165" s="145"/>
      <c r="C165" s="146"/>
      <c r="D165" s="114"/>
      <c r="E165" s="148"/>
      <c r="F165" s="148"/>
      <c r="G165" s="114"/>
      <c r="H165" s="149"/>
      <c r="I165" s="143"/>
      <c r="J165" s="143"/>
      <c r="K165" s="143"/>
      <c r="L165" s="143"/>
      <c r="M165" s="150"/>
      <c r="N165" s="143"/>
      <c r="O165" s="1"/>
      <c r="P165" s="151"/>
      <c r="Q165" s="143"/>
      <c r="R165" s="143"/>
      <c r="S165" s="143"/>
      <c r="T165" s="143"/>
      <c r="U165" s="143"/>
      <c r="V165" s="143"/>
      <c r="W165" s="143"/>
      <c r="X165" s="143"/>
      <c r="Y165" s="143"/>
      <c r="Z165" s="143"/>
      <c r="AA165" s="143"/>
      <c r="AB165" s="143"/>
      <c r="AC165" s="143"/>
      <c r="AD165" s="143"/>
      <c r="AE165" s="143"/>
      <c r="AF165" s="143"/>
      <c r="AG165" s="143"/>
      <c r="AH165" s="143"/>
      <c r="AI165" s="143"/>
      <c r="AJ165" s="143"/>
    </row>
    <row r="166" spans="1:36" ht="12.75" customHeight="1" x14ac:dyDescent="0.25">
      <c r="A166" s="143"/>
      <c r="B166" s="145"/>
      <c r="C166" s="146"/>
      <c r="D166" s="114"/>
      <c r="E166" s="148"/>
      <c r="F166" s="148"/>
      <c r="G166" s="114"/>
      <c r="H166" s="149"/>
      <c r="I166" s="143"/>
      <c r="J166" s="143"/>
      <c r="K166" s="143"/>
      <c r="L166" s="143"/>
      <c r="M166" s="150"/>
      <c r="N166" s="143"/>
      <c r="O166" s="1"/>
      <c r="P166" s="151"/>
      <c r="Q166" s="143"/>
      <c r="R166" s="143"/>
      <c r="S166" s="143"/>
      <c r="T166" s="143"/>
      <c r="U166" s="143"/>
      <c r="V166" s="143"/>
      <c r="W166" s="143"/>
      <c r="X166" s="143"/>
      <c r="Y166" s="143"/>
      <c r="Z166" s="143"/>
      <c r="AA166" s="143"/>
      <c r="AB166" s="143"/>
      <c r="AC166" s="143"/>
      <c r="AD166" s="143"/>
      <c r="AE166" s="143"/>
      <c r="AF166" s="143"/>
      <c r="AG166" s="143"/>
      <c r="AH166" s="143"/>
      <c r="AI166" s="143"/>
      <c r="AJ166" s="143"/>
    </row>
    <row r="167" spans="1:36" ht="12.75" customHeight="1" x14ac:dyDescent="0.25">
      <c r="A167" s="143"/>
      <c r="B167" s="145"/>
      <c r="C167" s="146"/>
      <c r="D167" s="114"/>
      <c r="E167" s="148"/>
      <c r="F167" s="148"/>
      <c r="G167" s="114"/>
      <c r="H167" s="149"/>
      <c r="I167" s="143"/>
      <c r="J167" s="143"/>
      <c r="K167" s="143"/>
      <c r="L167" s="143"/>
      <c r="M167" s="150"/>
      <c r="N167" s="143"/>
      <c r="O167" s="1"/>
      <c r="P167" s="151"/>
      <c r="Q167" s="143"/>
      <c r="R167" s="143"/>
      <c r="S167" s="143"/>
      <c r="T167" s="143"/>
      <c r="U167" s="143"/>
      <c r="V167" s="143"/>
      <c r="W167" s="143"/>
      <c r="X167" s="143"/>
      <c r="Y167" s="143"/>
      <c r="Z167" s="143"/>
      <c r="AA167" s="143"/>
      <c r="AB167" s="143"/>
      <c r="AC167" s="143"/>
      <c r="AD167" s="143"/>
      <c r="AE167" s="143"/>
      <c r="AF167" s="143"/>
      <c r="AG167" s="143"/>
      <c r="AH167" s="143"/>
      <c r="AI167" s="143"/>
      <c r="AJ167" s="143"/>
    </row>
    <row r="168" spans="1:36" ht="12.75" customHeight="1" x14ac:dyDescent="0.25">
      <c r="A168" s="143"/>
      <c r="B168" s="145"/>
      <c r="C168" s="146"/>
      <c r="D168" s="114"/>
      <c r="E168" s="148"/>
      <c r="F168" s="148"/>
      <c r="G168" s="114"/>
      <c r="H168" s="149"/>
      <c r="I168" s="143"/>
      <c r="J168" s="143"/>
      <c r="K168" s="143"/>
      <c r="L168" s="143"/>
      <c r="M168" s="150"/>
      <c r="N168" s="143"/>
      <c r="O168" s="1"/>
      <c r="P168" s="151"/>
      <c r="Q168" s="143"/>
      <c r="R168" s="143"/>
      <c r="S168" s="143"/>
      <c r="T168" s="143"/>
      <c r="U168" s="143"/>
      <c r="V168" s="143"/>
      <c r="W168" s="143"/>
      <c r="X168" s="143"/>
      <c r="Y168" s="143"/>
      <c r="Z168" s="143"/>
      <c r="AA168" s="143"/>
      <c r="AB168" s="143"/>
      <c r="AC168" s="143"/>
      <c r="AD168" s="143"/>
      <c r="AE168" s="143"/>
      <c r="AF168" s="143"/>
      <c r="AG168" s="143"/>
      <c r="AH168" s="143"/>
      <c r="AI168" s="143"/>
      <c r="AJ168" s="143"/>
    </row>
    <row r="169" spans="1:36" ht="12.75" customHeight="1" x14ac:dyDescent="0.25">
      <c r="A169" s="143"/>
      <c r="B169" s="145"/>
      <c r="C169" s="146"/>
      <c r="D169" s="114"/>
      <c r="E169" s="148"/>
      <c r="F169" s="148"/>
      <c r="G169" s="114"/>
      <c r="H169" s="149"/>
      <c r="I169" s="143"/>
      <c r="J169" s="143"/>
      <c r="K169" s="143"/>
      <c r="L169" s="143"/>
      <c r="M169" s="150"/>
      <c r="N169" s="143"/>
      <c r="O169" s="1"/>
      <c r="P169" s="151"/>
      <c r="Q169" s="143"/>
      <c r="R169" s="143"/>
      <c r="S169" s="143"/>
      <c r="T169" s="143"/>
      <c r="U169" s="143"/>
      <c r="V169" s="143"/>
      <c r="W169" s="143"/>
      <c r="X169" s="143"/>
      <c r="Y169" s="143"/>
      <c r="Z169" s="143"/>
      <c r="AA169" s="143"/>
      <c r="AB169" s="143"/>
      <c r="AC169" s="143"/>
      <c r="AD169" s="143"/>
      <c r="AE169" s="143"/>
      <c r="AF169" s="143"/>
      <c r="AG169" s="143"/>
      <c r="AH169" s="143"/>
      <c r="AI169" s="143"/>
      <c r="AJ169" s="143"/>
    </row>
    <row r="170" spans="1:36" ht="12.75" customHeight="1" x14ac:dyDescent="0.25">
      <c r="A170" s="143"/>
      <c r="B170" s="145"/>
      <c r="C170" s="146"/>
      <c r="D170" s="114"/>
      <c r="E170" s="148"/>
      <c r="F170" s="148"/>
      <c r="G170" s="114"/>
      <c r="H170" s="149"/>
      <c r="I170" s="143"/>
      <c r="J170" s="143"/>
      <c r="K170" s="143"/>
      <c r="L170" s="143"/>
      <c r="M170" s="150"/>
      <c r="N170" s="143"/>
      <c r="O170" s="1"/>
      <c r="P170" s="151"/>
      <c r="Q170" s="143"/>
      <c r="R170" s="143"/>
      <c r="S170" s="143"/>
      <c r="T170" s="143"/>
      <c r="U170" s="143"/>
      <c r="V170" s="143"/>
      <c r="W170" s="143"/>
      <c r="X170" s="143"/>
      <c r="Y170" s="143"/>
      <c r="Z170" s="143"/>
      <c r="AA170" s="143"/>
      <c r="AB170" s="143"/>
      <c r="AC170" s="143"/>
      <c r="AD170" s="143"/>
      <c r="AE170" s="143"/>
      <c r="AF170" s="143"/>
      <c r="AG170" s="143"/>
      <c r="AH170" s="143"/>
      <c r="AI170" s="143"/>
      <c r="AJ170" s="143"/>
    </row>
    <row r="171" spans="1:36" ht="12.75" customHeight="1" x14ac:dyDescent="0.25">
      <c r="A171" s="143"/>
      <c r="B171" s="145"/>
      <c r="C171" s="146"/>
      <c r="D171" s="114"/>
      <c r="E171" s="148"/>
      <c r="F171" s="148"/>
      <c r="G171" s="114"/>
      <c r="H171" s="149"/>
      <c r="I171" s="143"/>
      <c r="J171" s="143"/>
      <c r="K171" s="143"/>
      <c r="L171" s="143"/>
      <c r="M171" s="150"/>
      <c r="N171" s="143"/>
      <c r="O171" s="1"/>
      <c r="P171" s="151"/>
      <c r="Q171" s="143"/>
      <c r="R171" s="143"/>
      <c r="S171" s="143"/>
      <c r="T171" s="143"/>
      <c r="U171" s="143"/>
      <c r="V171" s="143"/>
      <c r="W171" s="143"/>
      <c r="X171" s="143"/>
      <c r="Y171" s="143"/>
      <c r="Z171" s="143"/>
      <c r="AA171" s="143"/>
      <c r="AB171" s="143"/>
      <c r="AC171" s="143"/>
      <c r="AD171" s="143"/>
      <c r="AE171" s="143"/>
      <c r="AF171" s="143"/>
      <c r="AG171" s="143"/>
      <c r="AH171" s="143"/>
      <c r="AI171" s="143"/>
      <c r="AJ171" s="143"/>
    </row>
    <row r="172" spans="1:36" ht="12.75" customHeight="1" x14ac:dyDescent="0.25">
      <c r="A172" s="143"/>
      <c r="B172" s="145"/>
      <c r="C172" s="146"/>
      <c r="D172" s="114"/>
      <c r="E172" s="148"/>
      <c r="F172" s="148"/>
      <c r="G172" s="114"/>
      <c r="H172" s="149"/>
      <c r="I172" s="143"/>
      <c r="J172" s="143"/>
      <c r="K172" s="143"/>
      <c r="L172" s="143"/>
      <c r="M172" s="150"/>
      <c r="N172" s="143"/>
      <c r="O172" s="1"/>
      <c r="P172" s="151"/>
      <c r="Q172" s="143"/>
      <c r="R172" s="143"/>
      <c r="S172" s="143"/>
      <c r="T172" s="143"/>
      <c r="U172" s="143"/>
      <c r="V172" s="143"/>
      <c r="W172" s="143"/>
      <c r="X172" s="143"/>
      <c r="Y172" s="143"/>
      <c r="Z172" s="143"/>
      <c r="AA172" s="143"/>
      <c r="AB172" s="143"/>
      <c r="AC172" s="143"/>
      <c r="AD172" s="143"/>
      <c r="AE172" s="143"/>
      <c r="AF172" s="143"/>
      <c r="AG172" s="143"/>
      <c r="AH172" s="143"/>
      <c r="AI172" s="143"/>
      <c r="AJ172" s="143"/>
    </row>
    <row r="173" spans="1:36" ht="12.75" customHeight="1" x14ac:dyDescent="0.25">
      <c r="A173" s="143"/>
      <c r="B173" s="145"/>
      <c r="C173" s="146"/>
      <c r="D173" s="114"/>
      <c r="E173" s="148"/>
      <c r="F173" s="148"/>
      <c r="G173" s="114"/>
      <c r="H173" s="149"/>
      <c r="I173" s="143"/>
      <c r="J173" s="143"/>
      <c r="K173" s="143"/>
      <c r="L173" s="143"/>
      <c r="M173" s="150"/>
      <c r="N173" s="143"/>
      <c r="O173" s="1"/>
      <c r="P173" s="151"/>
      <c r="Q173" s="143"/>
      <c r="R173" s="143"/>
      <c r="S173" s="143"/>
      <c r="T173" s="143"/>
      <c r="U173" s="143"/>
      <c r="V173" s="143"/>
      <c r="W173" s="143"/>
      <c r="X173" s="143"/>
      <c r="Y173" s="143"/>
      <c r="Z173" s="143"/>
      <c r="AA173" s="143"/>
      <c r="AB173" s="143"/>
      <c r="AC173" s="143"/>
      <c r="AD173" s="143"/>
      <c r="AE173" s="143"/>
      <c r="AF173" s="143"/>
      <c r="AG173" s="143"/>
      <c r="AH173" s="143"/>
      <c r="AI173" s="143"/>
      <c r="AJ173" s="143"/>
    </row>
    <row r="174" spans="1:36" ht="12.75" customHeight="1" x14ac:dyDescent="0.25">
      <c r="A174" s="143"/>
      <c r="B174" s="145"/>
      <c r="C174" s="146"/>
      <c r="D174" s="114"/>
      <c r="E174" s="148"/>
      <c r="F174" s="148"/>
      <c r="G174" s="114"/>
      <c r="H174" s="149"/>
      <c r="I174" s="143"/>
      <c r="J174" s="143"/>
      <c r="K174" s="143"/>
      <c r="L174" s="143"/>
      <c r="M174" s="150"/>
      <c r="N174" s="143"/>
      <c r="O174" s="1"/>
      <c r="P174" s="151"/>
      <c r="Q174" s="143"/>
      <c r="R174" s="143"/>
      <c r="S174" s="143"/>
      <c r="T174" s="143"/>
      <c r="U174" s="143"/>
      <c r="V174" s="143"/>
      <c r="W174" s="143"/>
      <c r="X174" s="143"/>
      <c r="Y174" s="143"/>
      <c r="Z174" s="143"/>
      <c r="AA174" s="143"/>
      <c r="AB174" s="143"/>
      <c r="AC174" s="143"/>
      <c r="AD174" s="143"/>
      <c r="AE174" s="143"/>
      <c r="AF174" s="143"/>
      <c r="AG174" s="143"/>
      <c r="AH174" s="143"/>
      <c r="AI174" s="143"/>
      <c r="AJ174" s="143"/>
    </row>
    <row r="175" spans="1:36" ht="12.75" customHeight="1" x14ac:dyDescent="0.25">
      <c r="A175" s="143"/>
      <c r="B175" s="145"/>
      <c r="C175" s="146"/>
      <c r="D175" s="114"/>
      <c r="E175" s="148"/>
      <c r="F175" s="148"/>
      <c r="G175" s="114"/>
      <c r="H175" s="149"/>
      <c r="I175" s="143"/>
      <c r="J175" s="143"/>
      <c r="K175" s="143"/>
      <c r="L175" s="143"/>
      <c r="M175" s="150"/>
      <c r="N175" s="143"/>
      <c r="O175" s="1"/>
      <c r="P175" s="151"/>
      <c r="Q175" s="143"/>
      <c r="R175" s="143"/>
      <c r="S175" s="143"/>
      <c r="T175" s="143"/>
      <c r="U175" s="143"/>
      <c r="V175" s="143"/>
      <c r="W175" s="143"/>
      <c r="X175" s="143"/>
      <c r="Y175" s="143"/>
      <c r="Z175" s="143"/>
      <c r="AA175" s="143"/>
      <c r="AB175" s="143"/>
      <c r="AC175" s="143"/>
      <c r="AD175" s="143"/>
      <c r="AE175" s="143"/>
      <c r="AF175" s="143"/>
      <c r="AG175" s="143"/>
      <c r="AH175" s="143"/>
      <c r="AI175" s="143"/>
      <c r="AJ175" s="143"/>
    </row>
    <row r="176" spans="1:36" ht="12.75" customHeight="1" x14ac:dyDescent="0.25">
      <c r="A176" s="143"/>
      <c r="B176" s="145"/>
      <c r="C176" s="146"/>
      <c r="D176" s="114"/>
      <c r="E176" s="148"/>
      <c r="F176" s="148"/>
      <c r="G176" s="114"/>
      <c r="H176" s="149"/>
      <c r="I176" s="143"/>
      <c r="J176" s="143"/>
      <c r="K176" s="143"/>
      <c r="L176" s="143"/>
      <c r="M176" s="150"/>
      <c r="N176" s="143"/>
      <c r="O176" s="1"/>
      <c r="P176" s="151"/>
      <c r="Q176" s="143"/>
      <c r="R176" s="143"/>
      <c r="S176" s="143"/>
      <c r="T176" s="143"/>
      <c r="U176" s="143"/>
      <c r="V176" s="143"/>
      <c r="W176" s="143"/>
      <c r="X176" s="143"/>
      <c r="Y176" s="143"/>
      <c r="Z176" s="143"/>
      <c r="AA176" s="143"/>
      <c r="AB176" s="143"/>
      <c r="AC176" s="143"/>
      <c r="AD176" s="143"/>
      <c r="AE176" s="143"/>
      <c r="AF176" s="143"/>
      <c r="AG176" s="143"/>
      <c r="AH176" s="143"/>
      <c r="AI176" s="143"/>
      <c r="AJ176" s="143"/>
    </row>
    <row r="177" spans="1:36" ht="12.75" customHeight="1" x14ac:dyDescent="0.25">
      <c r="A177" s="143"/>
      <c r="B177" s="145"/>
      <c r="C177" s="146"/>
      <c r="D177" s="114"/>
      <c r="E177" s="148"/>
      <c r="F177" s="148"/>
      <c r="G177" s="114"/>
      <c r="H177" s="149"/>
      <c r="I177" s="143"/>
      <c r="J177" s="143"/>
      <c r="K177" s="143"/>
      <c r="L177" s="143"/>
      <c r="M177" s="150"/>
      <c r="N177" s="143"/>
      <c r="O177" s="1"/>
      <c r="P177" s="151"/>
      <c r="Q177" s="143"/>
      <c r="R177" s="143"/>
      <c r="S177" s="143"/>
      <c r="T177" s="143"/>
      <c r="U177" s="143"/>
      <c r="V177" s="143"/>
      <c r="W177" s="143"/>
      <c r="X177" s="143"/>
      <c r="Y177" s="143"/>
      <c r="Z177" s="143"/>
      <c r="AA177" s="143"/>
      <c r="AB177" s="143"/>
      <c r="AC177" s="143"/>
      <c r="AD177" s="143"/>
      <c r="AE177" s="143"/>
      <c r="AF177" s="143"/>
      <c r="AG177" s="143"/>
      <c r="AH177" s="143"/>
      <c r="AI177" s="143"/>
      <c r="AJ177" s="143"/>
    </row>
    <row r="178" spans="1:36" ht="12.75" customHeight="1" x14ac:dyDescent="0.25">
      <c r="A178" s="143"/>
      <c r="B178" s="145"/>
      <c r="C178" s="146"/>
      <c r="D178" s="114"/>
      <c r="E178" s="148"/>
      <c r="F178" s="148"/>
      <c r="G178" s="114"/>
      <c r="H178" s="149"/>
      <c r="I178" s="143"/>
      <c r="J178" s="143"/>
      <c r="K178" s="143"/>
      <c r="L178" s="143"/>
      <c r="M178" s="150"/>
      <c r="N178" s="143"/>
      <c r="O178" s="1"/>
      <c r="P178" s="151"/>
      <c r="Q178" s="143"/>
      <c r="R178" s="143"/>
      <c r="S178" s="143"/>
      <c r="T178" s="143"/>
      <c r="U178" s="143"/>
      <c r="V178" s="143"/>
      <c r="W178" s="143"/>
      <c r="X178" s="143"/>
      <c r="Y178" s="143"/>
      <c r="Z178" s="143"/>
      <c r="AA178" s="143"/>
      <c r="AB178" s="143"/>
      <c r="AC178" s="143"/>
      <c r="AD178" s="143"/>
      <c r="AE178" s="143"/>
      <c r="AF178" s="143"/>
      <c r="AG178" s="143"/>
      <c r="AH178" s="143"/>
      <c r="AI178" s="143"/>
      <c r="AJ178" s="143"/>
    </row>
    <row r="179" spans="1:36" ht="12.75" customHeight="1" x14ac:dyDescent="0.25">
      <c r="A179" s="143"/>
      <c r="B179" s="145"/>
      <c r="C179" s="146"/>
      <c r="D179" s="114"/>
      <c r="E179" s="148"/>
      <c r="F179" s="148"/>
      <c r="G179" s="114"/>
      <c r="H179" s="149"/>
      <c r="I179" s="143"/>
      <c r="J179" s="143"/>
      <c r="K179" s="143"/>
      <c r="L179" s="143"/>
      <c r="M179" s="150"/>
      <c r="N179" s="143"/>
      <c r="O179" s="1"/>
      <c r="P179" s="151"/>
      <c r="Q179" s="143"/>
      <c r="R179" s="143"/>
      <c r="S179" s="143"/>
      <c r="T179" s="143"/>
      <c r="U179" s="143"/>
      <c r="V179" s="143"/>
      <c r="W179" s="143"/>
      <c r="X179" s="143"/>
      <c r="Y179" s="143"/>
      <c r="Z179" s="143"/>
      <c r="AA179" s="143"/>
      <c r="AB179" s="143"/>
      <c r="AC179" s="143"/>
      <c r="AD179" s="143"/>
      <c r="AE179" s="143"/>
      <c r="AF179" s="143"/>
      <c r="AG179" s="143"/>
      <c r="AH179" s="143"/>
      <c r="AI179" s="143"/>
      <c r="AJ179" s="143"/>
    </row>
    <row r="180" spans="1:36" ht="12.75" customHeight="1" x14ac:dyDescent="0.25">
      <c r="A180" s="143"/>
      <c r="B180" s="145"/>
      <c r="C180" s="146"/>
      <c r="D180" s="114"/>
      <c r="E180" s="148"/>
      <c r="F180" s="148"/>
      <c r="G180" s="114"/>
      <c r="H180" s="149"/>
      <c r="I180" s="143"/>
      <c r="J180" s="143"/>
      <c r="K180" s="143"/>
      <c r="L180" s="143"/>
      <c r="M180" s="150"/>
      <c r="N180" s="143"/>
      <c r="O180" s="1"/>
      <c r="P180" s="151"/>
      <c r="Q180" s="143"/>
      <c r="R180" s="143"/>
      <c r="S180" s="143"/>
      <c r="T180" s="143"/>
      <c r="U180" s="143"/>
      <c r="V180" s="143"/>
      <c r="W180" s="143"/>
      <c r="X180" s="143"/>
      <c r="Y180" s="143"/>
      <c r="Z180" s="143"/>
      <c r="AA180" s="143"/>
      <c r="AB180" s="143"/>
      <c r="AC180" s="143"/>
      <c r="AD180" s="143"/>
      <c r="AE180" s="143"/>
      <c r="AF180" s="143"/>
      <c r="AG180" s="143"/>
      <c r="AH180" s="143"/>
      <c r="AI180" s="143"/>
      <c r="AJ180" s="143"/>
    </row>
    <row r="181" spans="1:36" ht="12.75" customHeight="1" x14ac:dyDescent="0.25">
      <c r="A181" s="143"/>
      <c r="B181" s="145"/>
      <c r="C181" s="146"/>
      <c r="D181" s="114"/>
      <c r="E181" s="148"/>
      <c r="F181" s="148"/>
      <c r="G181" s="114"/>
      <c r="H181" s="149"/>
      <c r="I181" s="143"/>
      <c r="J181" s="143"/>
      <c r="K181" s="143"/>
      <c r="L181" s="143"/>
      <c r="M181" s="150"/>
      <c r="N181" s="143"/>
      <c r="O181" s="1"/>
      <c r="P181" s="151"/>
      <c r="Q181" s="143"/>
      <c r="R181" s="143"/>
      <c r="S181" s="143"/>
      <c r="T181" s="143"/>
      <c r="U181" s="143"/>
      <c r="V181" s="143"/>
      <c r="W181" s="143"/>
      <c r="X181" s="143"/>
      <c r="Y181" s="143"/>
      <c r="Z181" s="143"/>
      <c r="AA181" s="143"/>
      <c r="AB181" s="143"/>
      <c r="AC181" s="143"/>
      <c r="AD181" s="143"/>
      <c r="AE181" s="143"/>
      <c r="AF181" s="143"/>
      <c r="AG181" s="143"/>
      <c r="AH181" s="143"/>
      <c r="AI181" s="143"/>
      <c r="AJ181" s="143"/>
    </row>
    <row r="182" spans="1:36" ht="12.75" customHeight="1" x14ac:dyDescent="0.25">
      <c r="A182" s="143"/>
      <c r="B182" s="145"/>
      <c r="C182" s="146"/>
      <c r="D182" s="114"/>
      <c r="E182" s="148"/>
      <c r="F182" s="148"/>
      <c r="G182" s="114"/>
      <c r="H182" s="149"/>
      <c r="I182" s="143"/>
      <c r="J182" s="143"/>
      <c r="K182" s="143"/>
      <c r="L182" s="143"/>
      <c r="M182" s="150"/>
      <c r="N182" s="143"/>
      <c r="O182" s="1"/>
      <c r="P182" s="151"/>
      <c r="Q182" s="143"/>
      <c r="R182" s="143"/>
      <c r="S182" s="143"/>
      <c r="T182" s="143"/>
      <c r="U182" s="143"/>
      <c r="V182" s="143"/>
      <c r="W182" s="143"/>
      <c r="X182" s="143"/>
      <c r="Y182" s="143"/>
      <c r="Z182" s="143"/>
      <c r="AA182" s="143"/>
      <c r="AB182" s="143"/>
      <c r="AC182" s="143"/>
      <c r="AD182" s="143"/>
      <c r="AE182" s="143"/>
      <c r="AF182" s="143"/>
      <c r="AG182" s="143"/>
      <c r="AH182" s="143"/>
      <c r="AI182" s="143"/>
      <c r="AJ182" s="143"/>
    </row>
    <row r="183" spans="1:36" ht="12.75" customHeight="1" x14ac:dyDescent="0.25">
      <c r="A183" s="143"/>
      <c r="B183" s="145"/>
      <c r="C183" s="146"/>
      <c r="D183" s="114"/>
      <c r="E183" s="148"/>
      <c r="F183" s="148"/>
      <c r="G183" s="114"/>
      <c r="H183" s="149"/>
      <c r="I183" s="143"/>
      <c r="J183" s="143"/>
      <c r="K183" s="143"/>
      <c r="L183" s="143"/>
      <c r="M183" s="150"/>
      <c r="N183" s="143"/>
      <c r="O183" s="1"/>
      <c r="P183" s="151"/>
      <c r="Q183" s="143"/>
      <c r="R183" s="143"/>
      <c r="S183" s="143"/>
      <c r="T183" s="143"/>
      <c r="U183" s="143"/>
      <c r="V183" s="143"/>
      <c r="W183" s="143"/>
      <c r="X183" s="143"/>
      <c r="Y183" s="143"/>
      <c r="Z183" s="143"/>
      <c r="AA183" s="143"/>
      <c r="AB183" s="143"/>
      <c r="AC183" s="143"/>
      <c r="AD183" s="143"/>
      <c r="AE183" s="143"/>
      <c r="AF183" s="143"/>
      <c r="AG183" s="143"/>
      <c r="AH183" s="143"/>
      <c r="AI183" s="143"/>
      <c r="AJ183" s="143"/>
    </row>
    <row r="184" spans="1:36" ht="12.75" customHeight="1" x14ac:dyDescent="0.25">
      <c r="A184" s="143"/>
      <c r="B184" s="145"/>
      <c r="C184" s="146"/>
      <c r="D184" s="114"/>
      <c r="E184" s="148"/>
      <c r="F184" s="148"/>
      <c r="G184" s="114"/>
      <c r="H184" s="149"/>
      <c r="I184" s="143"/>
      <c r="J184" s="143"/>
      <c r="K184" s="143"/>
      <c r="L184" s="143"/>
      <c r="M184" s="150"/>
      <c r="N184" s="143"/>
      <c r="O184" s="1"/>
      <c r="P184" s="151"/>
      <c r="Q184" s="143"/>
      <c r="R184" s="143"/>
      <c r="S184" s="143"/>
      <c r="T184" s="143"/>
      <c r="U184" s="143"/>
      <c r="V184" s="143"/>
      <c r="W184" s="143"/>
      <c r="X184" s="143"/>
      <c r="Y184" s="143"/>
      <c r="Z184" s="143"/>
      <c r="AA184" s="143"/>
      <c r="AB184" s="143"/>
      <c r="AC184" s="143"/>
      <c r="AD184" s="143"/>
      <c r="AE184" s="143"/>
      <c r="AF184" s="143"/>
      <c r="AG184" s="143"/>
      <c r="AH184" s="143"/>
      <c r="AI184" s="143"/>
      <c r="AJ184" s="143"/>
    </row>
    <row r="185" spans="1:36" ht="12.75" customHeight="1" x14ac:dyDescent="0.25">
      <c r="A185" s="143"/>
      <c r="B185" s="145"/>
      <c r="C185" s="146"/>
      <c r="D185" s="114"/>
      <c r="E185" s="148"/>
      <c r="F185" s="148"/>
      <c r="G185" s="114"/>
      <c r="H185" s="149"/>
      <c r="I185" s="143"/>
      <c r="J185" s="143"/>
      <c r="K185" s="143"/>
      <c r="L185" s="143"/>
      <c r="M185" s="150"/>
      <c r="N185" s="143"/>
      <c r="O185" s="1"/>
      <c r="P185" s="151"/>
      <c r="Q185" s="143"/>
      <c r="R185" s="143"/>
      <c r="S185" s="143"/>
      <c r="T185" s="143"/>
      <c r="U185" s="143"/>
      <c r="V185" s="143"/>
      <c r="W185" s="143"/>
      <c r="X185" s="143"/>
      <c r="Y185" s="143"/>
      <c r="Z185" s="143"/>
      <c r="AA185" s="143"/>
      <c r="AB185" s="143"/>
      <c r="AC185" s="143"/>
      <c r="AD185" s="143"/>
      <c r="AE185" s="143"/>
      <c r="AF185" s="143"/>
      <c r="AG185" s="143"/>
      <c r="AH185" s="143"/>
      <c r="AI185" s="143"/>
      <c r="AJ185" s="143"/>
    </row>
    <row r="186" spans="1:36" ht="12.75" customHeight="1" x14ac:dyDescent="0.25">
      <c r="A186" s="143"/>
      <c r="B186" s="145"/>
      <c r="C186" s="146"/>
      <c r="D186" s="114"/>
      <c r="E186" s="148"/>
      <c r="F186" s="148"/>
      <c r="G186" s="114"/>
      <c r="H186" s="149"/>
      <c r="I186" s="143"/>
      <c r="J186" s="143"/>
      <c r="K186" s="143"/>
      <c r="L186" s="143"/>
      <c r="M186" s="150"/>
      <c r="N186" s="143"/>
      <c r="O186" s="1"/>
      <c r="P186" s="151"/>
      <c r="Q186" s="143"/>
      <c r="R186" s="143"/>
      <c r="S186" s="143"/>
      <c r="T186" s="143"/>
      <c r="U186" s="143"/>
      <c r="V186" s="143"/>
      <c r="W186" s="143"/>
      <c r="X186" s="143"/>
      <c r="Y186" s="143"/>
      <c r="Z186" s="143"/>
      <c r="AA186" s="143"/>
      <c r="AB186" s="143"/>
      <c r="AC186" s="143"/>
      <c r="AD186" s="143"/>
      <c r="AE186" s="143"/>
      <c r="AF186" s="143"/>
      <c r="AG186" s="143"/>
      <c r="AH186" s="143"/>
      <c r="AI186" s="143"/>
      <c r="AJ186" s="143"/>
    </row>
    <row r="187" spans="1:36" ht="12.75" customHeight="1" x14ac:dyDescent="0.25">
      <c r="A187" s="143"/>
      <c r="B187" s="145"/>
      <c r="C187" s="146"/>
      <c r="D187" s="114"/>
      <c r="E187" s="148"/>
      <c r="F187" s="148"/>
      <c r="G187" s="114"/>
      <c r="H187" s="149"/>
      <c r="I187" s="143"/>
      <c r="J187" s="143"/>
      <c r="K187" s="143"/>
      <c r="L187" s="143"/>
      <c r="M187" s="150"/>
      <c r="N187" s="143"/>
      <c r="O187" s="1"/>
      <c r="P187" s="151"/>
      <c r="Q187" s="143"/>
      <c r="R187" s="143"/>
      <c r="S187" s="143"/>
      <c r="T187" s="143"/>
      <c r="U187" s="143"/>
      <c r="V187" s="143"/>
      <c r="W187" s="143"/>
      <c r="X187" s="143"/>
      <c r="Y187" s="143"/>
      <c r="Z187" s="143"/>
      <c r="AA187" s="143"/>
      <c r="AB187" s="143"/>
      <c r="AC187" s="143"/>
      <c r="AD187" s="143"/>
      <c r="AE187" s="143"/>
      <c r="AF187" s="143"/>
      <c r="AG187" s="143"/>
      <c r="AH187" s="143"/>
      <c r="AI187" s="143"/>
      <c r="AJ187" s="143"/>
    </row>
    <row r="188" spans="1:36" ht="12.75" customHeight="1" x14ac:dyDescent="0.25">
      <c r="A188" s="143"/>
      <c r="B188" s="145"/>
      <c r="C188" s="146"/>
      <c r="D188" s="114"/>
      <c r="E188" s="148"/>
      <c r="F188" s="148"/>
      <c r="G188" s="114"/>
      <c r="H188" s="149"/>
      <c r="I188" s="143"/>
      <c r="J188" s="143"/>
      <c r="K188" s="143"/>
      <c r="L188" s="143"/>
      <c r="M188" s="150"/>
      <c r="N188" s="143"/>
      <c r="O188" s="1"/>
      <c r="P188" s="151"/>
      <c r="Q188" s="143"/>
      <c r="R188" s="143"/>
      <c r="S188" s="143"/>
      <c r="T188" s="143"/>
      <c r="U188" s="143"/>
      <c r="V188" s="143"/>
      <c r="W188" s="143"/>
      <c r="X188" s="143"/>
      <c r="Y188" s="143"/>
      <c r="Z188" s="143"/>
      <c r="AA188" s="143"/>
      <c r="AB188" s="143"/>
      <c r="AC188" s="143"/>
      <c r="AD188" s="143"/>
      <c r="AE188" s="143"/>
      <c r="AF188" s="143"/>
      <c r="AG188" s="143"/>
      <c r="AH188" s="143"/>
      <c r="AI188" s="143"/>
      <c r="AJ188" s="143"/>
    </row>
    <row r="189" spans="1:36" ht="12.75" customHeight="1" x14ac:dyDescent="0.25">
      <c r="A189" s="143"/>
      <c r="B189" s="145"/>
      <c r="C189" s="146"/>
      <c r="D189" s="114"/>
      <c r="E189" s="148"/>
      <c r="F189" s="148"/>
      <c r="G189" s="114"/>
      <c r="H189" s="149"/>
      <c r="I189" s="143"/>
      <c r="J189" s="143"/>
      <c r="K189" s="143"/>
      <c r="L189" s="143"/>
      <c r="M189" s="150"/>
      <c r="N189" s="143"/>
      <c r="O189" s="1"/>
      <c r="P189" s="151"/>
      <c r="Q189" s="143"/>
      <c r="R189" s="143"/>
      <c r="S189" s="143"/>
      <c r="T189" s="143"/>
      <c r="U189" s="143"/>
      <c r="V189" s="143"/>
      <c r="W189" s="143"/>
      <c r="X189" s="143"/>
      <c r="Y189" s="143"/>
      <c r="Z189" s="143"/>
      <c r="AA189" s="143"/>
      <c r="AB189" s="143"/>
      <c r="AC189" s="143"/>
      <c r="AD189" s="143"/>
      <c r="AE189" s="143"/>
      <c r="AF189" s="143"/>
      <c r="AG189" s="143"/>
      <c r="AH189" s="143"/>
      <c r="AI189" s="143"/>
      <c r="AJ189" s="143"/>
    </row>
    <row r="190" spans="1:36" ht="12.75" customHeight="1" x14ac:dyDescent="0.25">
      <c r="A190" s="143"/>
      <c r="B190" s="145"/>
      <c r="C190" s="146"/>
      <c r="D190" s="114"/>
      <c r="E190" s="148"/>
      <c r="F190" s="148"/>
      <c r="G190" s="114"/>
      <c r="H190" s="149"/>
      <c r="I190" s="143"/>
      <c r="J190" s="143"/>
      <c r="K190" s="143"/>
      <c r="L190" s="143"/>
      <c r="M190" s="150"/>
      <c r="N190" s="143"/>
      <c r="O190" s="1"/>
      <c r="P190" s="151"/>
      <c r="Q190" s="143"/>
      <c r="R190" s="143"/>
      <c r="S190" s="143"/>
      <c r="T190" s="143"/>
      <c r="U190" s="143"/>
      <c r="V190" s="143"/>
      <c r="W190" s="143"/>
      <c r="X190" s="143"/>
      <c r="Y190" s="143"/>
      <c r="Z190" s="143"/>
      <c r="AA190" s="143"/>
      <c r="AB190" s="143"/>
      <c r="AC190" s="143"/>
      <c r="AD190" s="143"/>
      <c r="AE190" s="143"/>
      <c r="AF190" s="143"/>
      <c r="AG190" s="143"/>
      <c r="AH190" s="143"/>
      <c r="AI190" s="143"/>
      <c r="AJ190" s="143"/>
    </row>
    <row r="191" spans="1:36" ht="12.75" customHeight="1" x14ac:dyDescent="0.25">
      <c r="A191" s="143"/>
      <c r="B191" s="145"/>
      <c r="C191" s="146"/>
      <c r="D191" s="114"/>
      <c r="E191" s="148"/>
      <c r="F191" s="148"/>
      <c r="G191" s="114"/>
      <c r="H191" s="149"/>
      <c r="I191" s="143"/>
      <c r="J191" s="143"/>
      <c r="K191" s="143"/>
      <c r="L191" s="143"/>
      <c r="M191" s="150"/>
      <c r="N191" s="143"/>
      <c r="O191" s="1"/>
      <c r="P191" s="151"/>
      <c r="Q191" s="143"/>
      <c r="R191" s="143"/>
      <c r="S191" s="143"/>
      <c r="T191" s="143"/>
      <c r="U191" s="143"/>
      <c r="V191" s="143"/>
      <c r="W191" s="143"/>
      <c r="X191" s="143"/>
      <c r="Y191" s="143"/>
      <c r="Z191" s="143"/>
      <c r="AA191" s="143"/>
      <c r="AB191" s="143"/>
      <c r="AC191" s="143"/>
      <c r="AD191" s="143"/>
      <c r="AE191" s="143"/>
      <c r="AF191" s="143"/>
      <c r="AG191" s="143"/>
      <c r="AH191" s="143"/>
      <c r="AI191" s="143"/>
      <c r="AJ191" s="143"/>
    </row>
    <row r="192" spans="1:36" ht="12.75" customHeight="1" x14ac:dyDescent="0.25">
      <c r="A192" s="143"/>
      <c r="B192" s="145"/>
      <c r="C192" s="146"/>
      <c r="D192" s="114"/>
      <c r="E192" s="148"/>
      <c r="F192" s="148"/>
      <c r="G192" s="114"/>
      <c r="H192" s="149"/>
      <c r="I192" s="143"/>
      <c r="J192" s="143"/>
      <c r="K192" s="143"/>
      <c r="L192" s="143"/>
      <c r="M192" s="150"/>
      <c r="N192" s="143"/>
      <c r="O192" s="1"/>
      <c r="P192" s="151"/>
      <c r="Q192" s="143"/>
      <c r="R192" s="143"/>
      <c r="S192" s="143"/>
      <c r="T192" s="143"/>
      <c r="U192" s="143"/>
      <c r="V192" s="143"/>
      <c r="W192" s="143"/>
      <c r="X192" s="143"/>
      <c r="Y192" s="143"/>
      <c r="Z192" s="143"/>
      <c r="AA192" s="143"/>
      <c r="AB192" s="143"/>
      <c r="AC192" s="143"/>
      <c r="AD192" s="143"/>
      <c r="AE192" s="143"/>
      <c r="AF192" s="143"/>
      <c r="AG192" s="143"/>
      <c r="AH192" s="143"/>
      <c r="AI192" s="143"/>
      <c r="AJ192" s="143"/>
    </row>
    <row r="193" spans="1:36" ht="12.75" customHeight="1" x14ac:dyDescent="0.25">
      <c r="A193" s="143"/>
      <c r="B193" s="145"/>
      <c r="C193" s="146"/>
      <c r="D193" s="114"/>
      <c r="E193" s="148"/>
      <c r="F193" s="148"/>
      <c r="G193" s="114"/>
      <c r="H193" s="149"/>
      <c r="I193" s="143"/>
      <c r="J193" s="143"/>
      <c r="K193" s="143"/>
      <c r="L193" s="143"/>
      <c r="M193" s="150"/>
      <c r="N193" s="143"/>
      <c r="O193" s="1"/>
      <c r="P193" s="151"/>
      <c r="Q193" s="143"/>
      <c r="R193" s="143"/>
      <c r="S193" s="143"/>
      <c r="T193" s="143"/>
      <c r="U193" s="143"/>
      <c r="V193" s="143"/>
      <c r="W193" s="143"/>
      <c r="X193" s="143"/>
      <c r="Y193" s="143"/>
      <c r="Z193" s="143"/>
      <c r="AA193" s="143"/>
      <c r="AB193" s="143"/>
      <c r="AC193" s="143"/>
      <c r="AD193" s="143"/>
      <c r="AE193" s="143"/>
      <c r="AF193" s="143"/>
      <c r="AG193" s="143"/>
      <c r="AH193" s="143"/>
      <c r="AI193" s="143"/>
      <c r="AJ193" s="143"/>
    </row>
    <row r="194" spans="1:36" ht="12.75" customHeight="1" x14ac:dyDescent="0.25">
      <c r="A194" s="143"/>
      <c r="B194" s="145"/>
      <c r="C194" s="146"/>
      <c r="D194" s="114"/>
      <c r="E194" s="148"/>
      <c r="F194" s="148"/>
      <c r="G194" s="114"/>
      <c r="H194" s="149"/>
      <c r="I194" s="143"/>
      <c r="J194" s="143"/>
      <c r="K194" s="143"/>
      <c r="L194" s="143"/>
      <c r="M194" s="150"/>
      <c r="N194" s="143"/>
      <c r="O194" s="1"/>
      <c r="P194" s="151"/>
      <c r="Q194" s="143"/>
      <c r="R194" s="143"/>
      <c r="S194" s="143"/>
      <c r="T194" s="143"/>
      <c r="U194" s="143"/>
      <c r="V194" s="143"/>
      <c r="W194" s="143"/>
      <c r="X194" s="143"/>
      <c r="Y194" s="143"/>
      <c r="Z194" s="143"/>
      <c r="AA194" s="143"/>
      <c r="AB194" s="143"/>
      <c r="AC194" s="143"/>
      <c r="AD194" s="143"/>
      <c r="AE194" s="143"/>
      <c r="AF194" s="143"/>
      <c r="AG194" s="143"/>
      <c r="AH194" s="143"/>
      <c r="AI194" s="143"/>
      <c r="AJ194" s="143"/>
    </row>
    <row r="195" spans="1:36" ht="12.75" customHeight="1" x14ac:dyDescent="0.25">
      <c r="A195" s="143"/>
      <c r="B195" s="145"/>
      <c r="C195" s="146"/>
      <c r="D195" s="114"/>
      <c r="E195" s="148"/>
      <c r="F195" s="148"/>
      <c r="G195" s="114"/>
      <c r="H195" s="149"/>
      <c r="I195" s="143"/>
      <c r="J195" s="143"/>
      <c r="K195" s="143"/>
      <c r="L195" s="143"/>
      <c r="M195" s="150"/>
      <c r="N195" s="143"/>
      <c r="O195" s="1"/>
      <c r="P195" s="151"/>
      <c r="Q195" s="143"/>
      <c r="R195" s="143"/>
      <c r="S195" s="143"/>
      <c r="T195" s="143"/>
      <c r="U195" s="143"/>
      <c r="V195" s="143"/>
      <c r="W195" s="143"/>
      <c r="X195" s="143"/>
      <c r="Y195" s="143"/>
      <c r="Z195" s="143"/>
      <c r="AA195" s="143"/>
      <c r="AB195" s="143"/>
      <c r="AC195" s="143"/>
      <c r="AD195" s="143"/>
      <c r="AE195" s="143"/>
      <c r="AF195" s="143"/>
      <c r="AG195" s="143"/>
      <c r="AH195" s="143"/>
      <c r="AI195" s="143"/>
      <c r="AJ195" s="143"/>
    </row>
    <row r="196" spans="1:36" ht="12.75" customHeight="1" x14ac:dyDescent="0.25">
      <c r="A196" s="143"/>
      <c r="B196" s="145"/>
      <c r="C196" s="146"/>
      <c r="D196" s="114"/>
      <c r="E196" s="148"/>
      <c r="F196" s="148"/>
      <c r="G196" s="114"/>
      <c r="H196" s="149"/>
      <c r="I196" s="143"/>
      <c r="J196" s="143"/>
      <c r="K196" s="143"/>
      <c r="L196" s="143"/>
      <c r="M196" s="150"/>
      <c r="N196" s="143"/>
      <c r="O196" s="1"/>
      <c r="P196" s="151"/>
      <c r="Q196" s="143"/>
      <c r="R196" s="143"/>
      <c r="S196" s="143"/>
      <c r="T196" s="143"/>
      <c r="U196" s="143"/>
      <c r="V196" s="143"/>
      <c r="W196" s="143"/>
      <c r="X196" s="143"/>
      <c r="Y196" s="143"/>
      <c r="Z196" s="143"/>
      <c r="AA196" s="143"/>
      <c r="AB196" s="143"/>
      <c r="AC196" s="143"/>
      <c r="AD196" s="143"/>
      <c r="AE196" s="143"/>
      <c r="AF196" s="143"/>
      <c r="AG196" s="143"/>
      <c r="AH196" s="143"/>
      <c r="AI196" s="143"/>
      <c r="AJ196" s="143"/>
    </row>
    <row r="197" spans="1:36" ht="12.75" customHeight="1" x14ac:dyDescent="0.25">
      <c r="A197" s="143"/>
      <c r="B197" s="145"/>
      <c r="C197" s="146"/>
      <c r="D197" s="114"/>
      <c r="E197" s="148"/>
      <c r="F197" s="148"/>
      <c r="G197" s="114"/>
      <c r="H197" s="149"/>
      <c r="I197" s="143"/>
      <c r="J197" s="143"/>
      <c r="K197" s="143"/>
      <c r="L197" s="143"/>
      <c r="M197" s="150"/>
      <c r="N197" s="143"/>
      <c r="O197" s="1"/>
      <c r="P197" s="151"/>
      <c r="Q197" s="143"/>
      <c r="R197" s="143"/>
      <c r="S197" s="143"/>
      <c r="T197" s="143"/>
      <c r="U197" s="143"/>
      <c r="V197" s="143"/>
      <c r="W197" s="143"/>
      <c r="X197" s="143"/>
      <c r="Y197" s="143"/>
      <c r="Z197" s="143"/>
      <c r="AA197" s="143"/>
      <c r="AB197" s="143"/>
      <c r="AC197" s="143"/>
      <c r="AD197" s="143"/>
      <c r="AE197" s="143"/>
      <c r="AF197" s="143"/>
      <c r="AG197" s="143"/>
      <c r="AH197" s="143"/>
      <c r="AI197" s="143"/>
      <c r="AJ197" s="143"/>
    </row>
    <row r="198" spans="1:36" ht="12.75" customHeight="1" x14ac:dyDescent="0.25">
      <c r="A198" s="143"/>
      <c r="B198" s="145"/>
      <c r="C198" s="146"/>
      <c r="D198" s="114"/>
      <c r="E198" s="148"/>
      <c r="F198" s="148"/>
      <c r="G198" s="114"/>
      <c r="H198" s="149"/>
      <c r="I198" s="143"/>
      <c r="J198" s="143"/>
      <c r="K198" s="143"/>
      <c r="L198" s="143"/>
      <c r="M198" s="150"/>
      <c r="N198" s="143"/>
      <c r="O198" s="1"/>
      <c r="P198" s="151"/>
      <c r="Q198" s="143"/>
      <c r="R198" s="143"/>
      <c r="S198" s="143"/>
      <c r="T198" s="143"/>
      <c r="U198" s="143"/>
      <c r="V198" s="143"/>
      <c r="W198" s="143"/>
      <c r="X198" s="143"/>
      <c r="Y198" s="143"/>
      <c r="Z198" s="143"/>
      <c r="AA198" s="143"/>
      <c r="AB198" s="143"/>
      <c r="AC198" s="143"/>
      <c r="AD198" s="143"/>
      <c r="AE198" s="143"/>
      <c r="AF198" s="143"/>
      <c r="AG198" s="143"/>
      <c r="AH198" s="143"/>
      <c r="AI198" s="143"/>
      <c r="AJ198" s="143"/>
    </row>
    <row r="199" spans="1:36" ht="12.75" customHeight="1" x14ac:dyDescent="0.25">
      <c r="A199" s="143"/>
      <c r="B199" s="145"/>
      <c r="C199" s="146"/>
      <c r="D199" s="114"/>
      <c r="E199" s="148"/>
      <c r="F199" s="148"/>
      <c r="G199" s="114"/>
      <c r="H199" s="149"/>
      <c r="I199" s="143"/>
      <c r="J199" s="143"/>
      <c r="K199" s="143"/>
      <c r="L199" s="143"/>
      <c r="M199" s="150"/>
      <c r="N199" s="143"/>
      <c r="O199" s="1"/>
      <c r="P199" s="151"/>
      <c r="Q199" s="143"/>
      <c r="R199" s="143"/>
      <c r="S199" s="143"/>
      <c r="T199" s="143"/>
      <c r="U199" s="143"/>
      <c r="V199" s="143"/>
      <c r="W199" s="143"/>
      <c r="X199" s="143"/>
      <c r="Y199" s="143"/>
      <c r="Z199" s="143"/>
      <c r="AA199" s="143"/>
      <c r="AB199" s="143"/>
      <c r="AC199" s="143"/>
      <c r="AD199" s="143"/>
      <c r="AE199" s="143"/>
      <c r="AF199" s="143"/>
      <c r="AG199" s="143"/>
      <c r="AH199" s="143"/>
      <c r="AI199" s="143"/>
      <c r="AJ199" s="143"/>
    </row>
    <row r="200" spans="1:36" ht="12.75" customHeight="1" x14ac:dyDescent="0.25">
      <c r="A200" s="143"/>
      <c r="B200" s="145"/>
      <c r="C200" s="146"/>
      <c r="D200" s="114"/>
      <c r="E200" s="148"/>
      <c r="F200" s="148"/>
      <c r="G200" s="114"/>
      <c r="H200" s="149"/>
      <c r="I200" s="143"/>
      <c r="J200" s="143"/>
      <c r="K200" s="143"/>
      <c r="L200" s="143"/>
      <c r="M200" s="150"/>
      <c r="N200" s="143"/>
      <c r="O200" s="1"/>
      <c r="P200" s="151"/>
      <c r="Q200" s="143"/>
      <c r="R200" s="143"/>
      <c r="S200" s="143"/>
      <c r="T200" s="143"/>
      <c r="U200" s="143"/>
      <c r="V200" s="143"/>
      <c r="W200" s="143"/>
      <c r="X200" s="143"/>
      <c r="Y200" s="143"/>
      <c r="Z200" s="143"/>
      <c r="AA200" s="143"/>
      <c r="AB200" s="143"/>
      <c r="AC200" s="143"/>
      <c r="AD200" s="143"/>
      <c r="AE200" s="143"/>
      <c r="AF200" s="143"/>
      <c r="AG200" s="143"/>
      <c r="AH200" s="143"/>
      <c r="AI200" s="143"/>
      <c r="AJ200" s="143"/>
    </row>
    <row r="201" spans="1:36" ht="12.75" customHeight="1" x14ac:dyDescent="0.25">
      <c r="A201" s="143"/>
      <c r="B201" s="145"/>
      <c r="C201" s="146"/>
      <c r="D201" s="114"/>
      <c r="E201" s="148"/>
      <c r="F201" s="148"/>
      <c r="G201" s="114"/>
      <c r="H201" s="149"/>
      <c r="I201" s="143"/>
      <c r="J201" s="143"/>
      <c r="K201" s="143"/>
      <c r="L201" s="143"/>
      <c r="M201" s="150"/>
      <c r="N201" s="143"/>
      <c r="O201" s="1"/>
      <c r="P201" s="151"/>
      <c r="Q201" s="143"/>
      <c r="R201" s="143"/>
      <c r="S201" s="143"/>
      <c r="T201" s="143"/>
      <c r="U201" s="143"/>
      <c r="V201" s="143"/>
      <c r="W201" s="143"/>
      <c r="X201" s="143"/>
      <c r="Y201" s="143"/>
      <c r="Z201" s="143"/>
      <c r="AA201" s="143"/>
      <c r="AB201" s="143"/>
      <c r="AC201" s="143"/>
      <c r="AD201" s="143"/>
      <c r="AE201" s="143"/>
      <c r="AF201" s="143"/>
      <c r="AG201" s="143"/>
      <c r="AH201" s="143"/>
      <c r="AI201" s="143"/>
      <c r="AJ201" s="143"/>
    </row>
    <row r="202" spans="1:36" ht="12.75" customHeight="1" x14ac:dyDescent="0.25">
      <c r="A202" s="143"/>
      <c r="B202" s="145"/>
      <c r="C202" s="146"/>
      <c r="D202" s="114"/>
      <c r="E202" s="148"/>
      <c r="F202" s="148"/>
      <c r="G202" s="114"/>
      <c r="H202" s="149"/>
      <c r="I202" s="143"/>
      <c r="J202" s="143"/>
      <c r="K202" s="143"/>
      <c r="L202" s="143"/>
      <c r="M202" s="150"/>
      <c r="N202" s="143"/>
      <c r="O202" s="1"/>
      <c r="P202" s="151"/>
      <c r="Q202" s="143"/>
      <c r="R202" s="143"/>
      <c r="S202" s="143"/>
      <c r="T202" s="143"/>
      <c r="U202" s="143"/>
      <c r="V202" s="143"/>
      <c r="W202" s="143"/>
      <c r="X202" s="143"/>
      <c r="Y202" s="143"/>
      <c r="Z202" s="143"/>
      <c r="AA202" s="143"/>
      <c r="AB202" s="143"/>
      <c r="AC202" s="143"/>
      <c r="AD202" s="143"/>
      <c r="AE202" s="143"/>
      <c r="AF202" s="143"/>
      <c r="AG202" s="143"/>
      <c r="AH202" s="143"/>
      <c r="AI202" s="143"/>
      <c r="AJ202" s="143"/>
    </row>
    <row r="203" spans="1:36" ht="12.75" customHeight="1" x14ac:dyDescent="0.25">
      <c r="A203" s="143"/>
      <c r="B203" s="145"/>
      <c r="C203" s="146"/>
      <c r="D203" s="114"/>
      <c r="E203" s="148"/>
      <c r="F203" s="148"/>
      <c r="G203" s="114"/>
      <c r="H203" s="149"/>
      <c r="I203" s="143"/>
      <c r="J203" s="143"/>
      <c r="K203" s="143"/>
      <c r="L203" s="143"/>
      <c r="M203" s="150"/>
      <c r="N203" s="143"/>
      <c r="O203" s="1"/>
      <c r="P203" s="151"/>
      <c r="Q203" s="143"/>
      <c r="R203" s="143"/>
      <c r="S203" s="143"/>
      <c r="T203" s="143"/>
      <c r="U203" s="143"/>
      <c r="V203" s="143"/>
      <c r="W203" s="143"/>
      <c r="X203" s="143"/>
      <c r="Y203" s="143"/>
      <c r="Z203" s="143"/>
      <c r="AA203" s="143"/>
      <c r="AB203" s="143"/>
      <c r="AC203" s="143"/>
      <c r="AD203" s="143"/>
      <c r="AE203" s="143"/>
      <c r="AF203" s="143"/>
      <c r="AG203" s="143"/>
      <c r="AH203" s="143"/>
      <c r="AI203" s="143"/>
      <c r="AJ203" s="143"/>
    </row>
    <row r="204" spans="1:36" ht="12.75" customHeight="1" x14ac:dyDescent="0.25">
      <c r="A204" s="143"/>
      <c r="B204" s="145"/>
      <c r="C204" s="146"/>
      <c r="D204" s="114"/>
      <c r="E204" s="148"/>
      <c r="F204" s="148"/>
      <c r="G204" s="114"/>
      <c r="H204" s="149"/>
      <c r="I204" s="143"/>
      <c r="J204" s="143"/>
      <c r="K204" s="143"/>
      <c r="L204" s="143"/>
      <c r="M204" s="150"/>
      <c r="N204" s="143"/>
      <c r="O204" s="1"/>
      <c r="P204" s="151"/>
      <c r="Q204" s="143"/>
      <c r="R204" s="143"/>
      <c r="S204" s="143"/>
      <c r="T204" s="143"/>
      <c r="U204" s="143"/>
      <c r="V204" s="143"/>
      <c r="W204" s="143"/>
      <c r="X204" s="143"/>
      <c r="Y204" s="143"/>
      <c r="Z204" s="143"/>
      <c r="AA204" s="143"/>
      <c r="AB204" s="143"/>
      <c r="AC204" s="143"/>
      <c r="AD204" s="143"/>
      <c r="AE204" s="143"/>
      <c r="AF204" s="143"/>
      <c r="AG204" s="143"/>
      <c r="AH204" s="143"/>
      <c r="AI204" s="143"/>
      <c r="AJ204" s="143"/>
    </row>
    <row r="205" spans="1:36" ht="12.75" customHeight="1" x14ac:dyDescent="0.25">
      <c r="A205" s="143"/>
      <c r="B205" s="145"/>
      <c r="C205" s="146"/>
      <c r="D205" s="114"/>
      <c r="E205" s="148"/>
      <c r="F205" s="148"/>
      <c r="G205" s="114"/>
      <c r="H205" s="149"/>
      <c r="I205" s="143"/>
      <c r="J205" s="143"/>
      <c r="K205" s="143"/>
      <c r="L205" s="143"/>
      <c r="M205" s="150"/>
      <c r="N205" s="143"/>
      <c r="O205" s="1"/>
      <c r="P205" s="151"/>
      <c r="Q205" s="143"/>
      <c r="R205" s="143"/>
      <c r="S205" s="143"/>
      <c r="T205" s="143"/>
      <c r="U205" s="143"/>
      <c r="V205" s="143"/>
      <c r="W205" s="143"/>
      <c r="X205" s="143"/>
      <c r="Y205" s="143"/>
      <c r="Z205" s="143"/>
      <c r="AA205" s="143"/>
      <c r="AB205" s="143"/>
      <c r="AC205" s="143"/>
      <c r="AD205" s="143"/>
      <c r="AE205" s="143"/>
      <c r="AF205" s="143"/>
      <c r="AG205" s="143"/>
      <c r="AH205" s="143"/>
      <c r="AI205" s="143"/>
      <c r="AJ205" s="143"/>
    </row>
    <row r="206" spans="1:36" ht="12.75" customHeight="1" x14ac:dyDescent="0.25">
      <c r="A206" s="143"/>
      <c r="B206" s="145"/>
      <c r="C206" s="146"/>
      <c r="D206" s="114"/>
      <c r="E206" s="148"/>
      <c r="F206" s="148"/>
      <c r="G206" s="114"/>
      <c r="H206" s="149"/>
      <c r="I206" s="143"/>
      <c r="J206" s="143"/>
      <c r="K206" s="143"/>
      <c r="L206" s="143"/>
      <c r="M206" s="150"/>
      <c r="N206" s="143"/>
      <c r="O206" s="1"/>
      <c r="P206" s="151"/>
      <c r="Q206" s="143"/>
      <c r="R206" s="143"/>
      <c r="S206" s="143"/>
      <c r="T206" s="143"/>
      <c r="U206" s="143"/>
      <c r="V206" s="143"/>
      <c r="W206" s="143"/>
      <c r="X206" s="143"/>
      <c r="Y206" s="143"/>
      <c r="Z206" s="143"/>
      <c r="AA206" s="143"/>
      <c r="AB206" s="143"/>
      <c r="AC206" s="143"/>
      <c r="AD206" s="143"/>
      <c r="AE206" s="143"/>
      <c r="AF206" s="143"/>
      <c r="AG206" s="143"/>
      <c r="AH206" s="143"/>
      <c r="AI206" s="143"/>
      <c r="AJ206" s="143"/>
    </row>
    <row r="207" spans="1:36" ht="12.75" customHeight="1" x14ac:dyDescent="0.25">
      <c r="A207" s="143"/>
      <c r="B207" s="145"/>
      <c r="C207" s="146"/>
      <c r="D207" s="114"/>
      <c r="E207" s="148"/>
      <c r="F207" s="148"/>
      <c r="G207" s="114"/>
      <c r="H207" s="149"/>
      <c r="I207" s="143"/>
      <c r="J207" s="143"/>
      <c r="K207" s="143"/>
      <c r="L207" s="143"/>
      <c r="M207" s="150"/>
      <c r="N207" s="143"/>
      <c r="O207" s="1"/>
      <c r="P207" s="151"/>
      <c r="Q207" s="143"/>
      <c r="R207" s="143"/>
      <c r="S207" s="143"/>
      <c r="T207" s="143"/>
      <c r="U207" s="143"/>
      <c r="V207" s="143"/>
      <c r="W207" s="143"/>
      <c r="X207" s="143"/>
      <c r="Y207" s="143"/>
      <c r="Z207" s="143"/>
      <c r="AA207" s="143"/>
      <c r="AB207" s="143"/>
      <c r="AC207" s="143"/>
      <c r="AD207" s="143"/>
      <c r="AE207" s="143"/>
      <c r="AF207" s="143"/>
      <c r="AG207" s="143"/>
      <c r="AH207" s="143"/>
      <c r="AI207" s="143"/>
      <c r="AJ207" s="143"/>
    </row>
    <row r="208" spans="1:36" ht="12.75" customHeight="1" x14ac:dyDescent="0.25">
      <c r="A208" s="143"/>
      <c r="B208" s="145"/>
      <c r="C208" s="146"/>
      <c r="D208" s="114"/>
      <c r="E208" s="148"/>
      <c r="F208" s="148"/>
      <c r="G208" s="114"/>
      <c r="H208" s="149"/>
      <c r="I208" s="143"/>
      <c r="J208" s="143"/>
      <c r="K208" s="143"/>
      <c r="L208" s="143"/>
      <c r="M208" s="150"/>
      <c r="N208" s="143"/>
      <c r="O208" s="1"/>
      <c r="P208" s="151"/>
      <c r="Q208" s="143"/>
      <c r="R208" s="143"/>
      <c r="S208" s="143"/>
      <c r="T208" s="143"/>
      <c r="U208" s="143"/>
      <c r="V208" s="143"/>
      <c r="W208" s="143"/>
      <c r="X208" s="143"/>
      <c r="Y208" s="143"/>
      <c r="Z208" s="143"/>
      <c r="AA208" s="143"/>
      <c r="AB208" s="143"/>
      <c r="AC208" s="143"/>
      <c r="AD208" s="143"/>
      <c r="AE208" s="143"/>
      <c r="AF208" s="143"/>
      <c r="AG208" s="143"/>
      <c r="AH208" s="143"/>
      <c r="AI208" s="143"/>
      <c r="AJ208" s="143"/>
    </row>
    <row r="209" spans="1:36" ht="12.75" customHeight="1" x14ac:dyDescent="0.25">
      <c r="A209" s="143"/>
      <c r="B209" s="145"/>
      <c r="C209" s="146"/>
      <c r="D209" s="114"/>
      <c r="E209" s="148"/>
      <c r="F209" s="148"/>
      <c r="G209" s="114"/>
      <c r="H209" s="149"/>
      <c r="I209" s="143"/>
      <c r="J209" s="143"/>
      <c r="K209" s="143"/>
      <c r="L209" s="143"/>
      <c r="M209" s="150"/>
      <c r="N209" s="143"/>
      <c r="O209" s="1"/>
      <c r="P209" s="151"/>
      <c r="Q209" s="143"/>
      <c r="R209" s="143"/>
      <c r="S209" s="143"/>
      <c r="T209" s="143"/>
      <c r="U209" s="143"/>
      <c r="V209" s="143"/>
      <c r="W209" s="143"/>
      <c r="X209" s="143"/>
      <c r="Y209" s="143"/>
      <c r="Z209" s="143"/>
      <c r="AA209" s="143"/>
      <c r="AB209" s="143"/>
      <c r="AC209" s="143"/>
      <c r="AD209" s="143"/>
      <c r="AE209" s="143"/>
      <c r="AF209" s="143"/>
      <c r="AG209" s="143"/>
      <c r="AH209" s="143"/>
      <c r="AI209" s="143"/>
      <c r="AJ209" s="143"/>
    </row>
    <row r="210" spans="1:36" ht="12.75" customHeight="1" x14ac:dyDescent="0.25">
      <c r="A210" s="143"/>
      <c r="B210" s="145"/>
      <c r="C210" s="146"/>
      <c r="D210" s="114"/>
      <c r="E210" s="148"/>
      <c r="F210" s="148"/>
      <c r="G210" s="114"/>
      <c r="H210" s="149"/>
      <c r="I210" s="143"/>
      <c r="J210" s="143"/>
      <c r="K210" s="143"/>
      <c r="L210" s="143"/>
      <c r="M210" s="150"/>
      <c r="N210" s="143"/>
      <c r="O210" s="1"/>
      <c r="P210" s="151"/>
      <c r="Q210" s="143"/>
      <c r="R210" s="143"/>
      <c r="S210" s="143"/>
      <c r="T210" s="143"/>
      <c r="U210" s="143"/>
      <c r="V210" s="143"/>
      <c r="W210" s="143"/>
      <c r="X210" s="143"/>
      <c r="Y210" s="143"/>
      <c r="Z210" s="143"/>
      <c r="AA210" s="143"/>
      <c r="AB210" s="143"/>
      <c r="AC210" s="143"/>
      <c r="AD210" s="143"/>
      <c r="AE210" s="143"/>
      <c r="AF210" s="143"/>
      <c r="AG210" s="143"/>
      <c r="AH210" s="143"/>
      <c r="AI210" s="143"/>
      <c r="AJ210" s="143"/>
    </row>
    <row r="211" spans="1:36" ht="12.75" customHeight="1" x14ac:dyDescent="0.25">
      <c r="A211" s="143"/>
      <c r="B211" s="145"/>
      <c r="C211" s="146"/>
      <c r="D211" s="114"/>
      <c r="E211" s="148"/>
      <c r="F211" s="148"/>
      <c r="G211" s="114"/>
      <c r="H211" s="149"/>
      <c r="I211" s="143"/>
      <c r="J211" s="143"/>
      <c r="K211" s="143"/>
      <c r="L211" s="143"/>
      <c r="M211" s="150"/>
      <c r="N211" s="143"/>
      <c r="O211" s="1"/>
      <c r="P211" s="151"/>
      <c r="Q211" s="143"/>
      <c r="R211" s="143"/>
      <c r="S211" s="143"/>
      <c r="T211" s="143"/>
      <c r="U211" s="143"/>
      <c r="V211" s="143"/>
      <c r="W211" s="143"/>
      <c r="X211" s="143"/>
      <c r="Y211" s="143"/>
      <c r="Z211" s="143"/>
      <c r="AA211" s="143"/>
      <c r="AB211" s="143"/>
      <c r="AC211" s="143"/>
      <c r="AD211" s="143"/>
      <c r="AE211" s="143"/>
      <c r="AF211" s="143"/>
      <c r="AG211" s="143"/>
      <c r="AH211" s="143"/>
      <c r="AI211" s="143"/>
      <c r="AJ211" s="143"/>
    </row>
    <row r="212" spans="1:36" ht="12.75" customHeight="1" x14ac:dyDescent="0.25">
      <c r="A212" s="143"/>
      <c r="B212" s="145"/>
      <c r="C212" s="146"/>
      <c r="D212" s="114"/>
      <c r="E212" s="148"/>
      <c r="F212" s="148"/>
      <c r="G212" s="114"/>
      <c r="H212" s="149"/>
      <c r="I212" s="143"/>
      <c r="J212" s="143"/>
      <c r="K212" s="143"/>
      <c r="L212" s="143"/>
      <c r="M212" s="150"/>
      <c r="N212" s="143"/>
      <c r="O212" s="1"/>
      <c r="P212" s="151"/>
      <c r="Q212" s="143"/>
      <c r="R212" s="143"/>
      <c r="S212" s="143"/>
      <c r="T212" s="143"/>
      <c r="U212" s="143"/>
      <c r="V212" s="143"/>
      <c r="W212" s="143"/>
      <c r="X212" s="143"/>
      <c r="Y212" s="143"/>
      <c r="Z212" s="143"/>
      <c r="AA212" s="143"/>
      <c r="AB212" s="143"/>
      <c r="AC212" s="143"/>
      <c r="AD212" s="143"/>
      <c r="AE212" s="143"/>
      <c r="AF212" s="143"/>
      <c r="AG212" s="143"/>
      <c r="AH212" s="143"/>
      <c r="AI212" s="143"/>
      <c r="AJ212" s="143"/>
    </row>
    <row r="213" spans="1:36" ht="12.75" customHeight="1" x14ac:dyDescent="0.25">
      <c r="A213" s="143"/>
      <c r="B213" s="145"/>
      <c r="C213" s="146"/>
      <c r="D213" s="114"/>
      <c r="E213" s="148"/>
      <c r="F213" s="148"/>
      <c r="G213" s="114"/>
      <c r="H213" s="149"/>
      <c r="I213" s="143"/>
      <c r="J213" s="143"/>
      <c r="K213" s="143"/>
      <c r="L213" s="143"/>
      <c r="M213" s="150"/>
      <c r="N213" s="143"/>
      <c r="O213" s="1"/>
      <c r="P213" s="151"/>
      <c r="Q213" s="143"/>
      <c r="R213" s="143"/>
      <c r="S213" s="143"/>
      <c r="T213" s="143"/>
      <c r="U213" s="143"/>
      <c r="V213" s="143"/>
      <c r="W213" s="143"/>
      <c r="X213" s="143"/>
      <c r="Y213" s="143"/>
      <c r="Z213" s="143"/>
      <c r="AA213" s="143"/>
      <c r="AB213" s="143"/>
      <c r="AC213" s="143"/>
      <c r="AD213" s="143"/>
      <c r="AE213" s="143"/>
      <c r="AF213" s="143"/>
      <c r="AG213" s="143"/>
      <c r="AH213" s="143"/>
      <c r="AI213" s="143"/>
      <c r="AJ213" s="143"/>
    </row>
    <row r="214" spans="1:36" ht="12.75" customHeight="1" x14ac:dyDescent="0.25">
      <c r="A214" s="143"/>
      <c r="B214" s="145"/>
      <c r="C214" s="146"/>
      <c r="D214" s="114"/>
      <c r="E214" s="148"/>
      <c r="F214" s="148"/>
      <c r="G214" s="114"/>
      <c r="H214" s="149"/>
      <c r="I214" s="143"/>
      <c r="J214" s="143"/>
      <c r="K214" s="143"/>
      <c r="L214" s="143"/>
      <c r="M214" s="150"/>
      <c r="N214" s="143"/>
      <c r="O214" s="1"/>
      <c r="P214" s="151"/>
      <c r="Q214" s="143"/>
      <c r="R214" s="143"/>
      <c r="S214" s="143"/>
      <c r="T214" s="143"/>
      <c r="U214" s="143"/>
      <c r="V214" s="143"/>
      <c r="W214" s="143"/>
      <c r="X214" s="143"/>
      <c r="Y214" s="143"/>
      <c r="Z214" s="143"/>
      <c r="AA214" s="143"/>
      <c r="AB214" s="143"/>
      <c r="AC214" s="143"/>
      <c r="AD214" s="143"/>
      <c r="AE214" s="143"/>
      <c r="AF214" s="143"/>
      <c r="AG214" s="143"/>
      <c r="AH214" s="143"/>
      <c r="AI214" s="143"/>
      <c r="AJ214" s="143"/>
    </row>
    <row r="215" spans="1:36" ht="12.75" customHeight="1" x14ac:dyDescent="0.25">
      <c r="A215" s="143"/>
      <c r="B215" s="145"/>
      <c r="C215" s="146"/>
      <c r="D215" s="114"/>
      <c r="E215" s="148"/>
      <c r="F215" s="148"/>
      <c r="G215" s="114"/>
      <c r="H215" s="149"/>
      <c r="I215" s="143"/>
      <c r="J215" s="143"/>
      <c r="K215" s="143"/>
      <c r="L215" s="143"/>
      <c r="M215" s="150"/>
      <c r="N215" s="143"/>
      <c r="O215" s="1"/>
      <c r="P215" s="151"/>
      <c r="Q215" s="143"/>
      <c r="R215" s="143"/>
      <c r="S215" s="143"/>
      <c r="T215" s="143"/>
      <c r="U215" s="143"/>
      <c r="V215" s="143"/>
      <c r="W215" s="143"/>
      <c r="X215" s="143"/>
      <c r="Y215" s="143"/>
      <c r="Z215" s="143"/>
      <c r="AA215" s="143"/>
      <c r="AB215" s="143"/>
      <c r="AC215" s="143"/>
      <c r="AD215" s="143"/>
      <c r="AE215" s="143"/>
      <c r="AF215" s="143"/>
      <c r="AG215" s="143"/>
      <c r="AH215" s="143"/>
      <c r="AI215" s="143"/>
      <c r="AJ215" s="143"/>
    </row>
    <row r="216" spans="1:36" ht="12.75" customHeight="1" x14ac:dyDescent="0.25">
      <c r="A216" s="143"/>
      <c r="B216" s="145"/>
      <c r="C216" s="146"/>
      <c r="D216" s="114"/>
      <c r="E216" s="148"/>
      <c r="F216" s="148"/>
      <c r="G216" s="114"/>
      <c r="H216" s="149"/>
      <c r="I216" s="143"/>
      <c r="J216" s="143"/>
      <c r="K216" s="143"/>
      <c r="L216" s="143"/>
      <c r="M216" s="150"/>
      <c r="N216" s="143"/>
      <c r="O216" s="1"/>
      <c r="P216" s="151"/>
      <c r="Q216" s="143"/>
      <c r="R216" s="143"/>
      <c r="S216" s="143"/>
      <c r="T216" s="143"/>
      <c r="U216" s="143"/>
      <c r="V216" s="143"/>
      <c r="W216" s="143"/>
      <c r="X216" s="143"/>
      <c r="Y216" s="143"/>
      <c r="Z216" s="143"/>
      <c r="AA216" s="143"/>
      <c r="AB216" s="143"/>
      <c r="AC216" s="143"/>
      <c r="AD216" s="143"/>
      <c r="AE216" s="143"/>
      <c r="AF216" s="143"/>
      <c r="AG216" s="143"/>
      <c r="AH216" s="143"/>
      <c r="AI216" s="143"/>
      <c r="AJ216" s="143"/>
    </row>
    <row r="217" spans="1:36" ht="12.75" customHeight="1" x14ac:dyDescent="0.25">
      <c r="A217" s="143"/>
      <c r="B217" s="145"/>
      <c r="C217" s="146"/>
      <c r="D217" s="114"/>
      <c r="E217" s="148"/>
      <c r="F217" s="148"/>
      <c r="G217" s="114"/>
      <c r="H217" s="149"/>
      <c r="I217" s="143"/>
      <c r="J217" s="143"/>
      <c r="K217" s="143"/>
      <c r="L217" s="143"/>
      <c r="M217" s="150"/>
      <c r="N217" s="143"/>
      <c r="O217" s="1"/>
      <c r="P217" s="151"/>
      <c r="Q217" s="143"/>
      <c r="R217" s="143"/>
      <c r="S217" s="143"/>
      <c r="T217" s="143"/>
      <c r="U217" s="143"/>
      <c r="V217" s="143"/>
      <c r="W217" s="143"/>
      <c r="X217" s="143"/>
      <c r="Y217" s="143"/>
      <c r="Z217" s="143"/>
      <c r="AA217" s="143"/>
      <c r="AB217" s="143"/>
      <c r="AC217" s="143"/>
      <c r="AD217" s="143"/>
      <c r="AE217" s="143"/>
      <c r="AF217" s="143"/>
      <c r="AG217" s="143"/>
      <c r="AH217" s="143"/>
      <c r="AI217" s="143"/>
      <c r="AJ217" s="143"/>
    </row>
    <row r="218" spans="1:36" ht="12.75" customHeight="1" x14ac:dyDescent="0.25">
      <c r="A218" s="143"/>
      <c r="B218" s="145"/>
      <c r="C218" s="146"/>
      <c r="D218" s="114"/>
      <c r="E218" s="148"/>
      <c r="F218" s="148"/>
      <c r="G218" s="114"/>
      <c r="H218" s="149"/>
      <c r="I218" s="143"/>
      <c r="J218" s="143"/>
      <c r="K218" s="143"/>
      <c r="L218" s="143"/>
      <c r="M218" s="150"/>
      <c r="N218" s="143"/>
      <c r="O218" s="1"/>
      <c r="P218" s="151"/>
      <c r="Q218" s="143"/>
      <c r="R218" s="143"/>
      <c r="S218" s="143"/>
      <c r="T218" s="143"/>
      <c r="U218" s="143"/>
      <c r="V218" s="143"/>
      <c r="W218" s="143"/>
      <c r="X218" s="143"/>
      <c r="Y218" s="143"/>
      <c r="Z218" s="143"/>
      <c r="AA218" s="143"/>
      <c r="AB218" s="143"/>
      <c r="AC218" s="143"/>
      <c r="AD218" s="143"/>
      <c r="AE218" s="143"/>
      <c r="AF218" s="143"/>
      <c r="AG218" s="143"/>
      <c r="AH218" s="143"/>
      <c r="AI218" s="143"/>
      <c r="AJ218" s="143"/>
    </row>
    <row r="219" spans="1:36" ht="12.75" customHeight="1" x14ac:dyDescent="0.25">
      <c r="A219" s="143"/>
      <c r="B219" s="145"/>
      <c r="C219" s="146"/>
      <c r="D219" s="114"/>
      <c r="E219" s="148"/>
      <c r="F219" s="148"/>
      <c r="G219" s="114"/>
      <c r="H219" s="149"/>
      <c r="I219" s="143"/>
      <c r="J219" s="143"/>
      <c r="K219" s="143"/>
      <c r="L219" s="143"/>
      <c r="M219" s="150"/>
      <c r="N219" s="143"/>
      <c r="O219" s="1"/>
      <c r="P219" s="151"/>
      <c r="Q219" s="143"/>
      <c r="R219" s="143"/>
      <c r="S219" s="143"/>
      <c r="T219" s="143"/>
      <c r="U219" s="143"/>
      <c r="V219" s="143"/>
      <c r="W219" s="143"/>
      <c r="X219" s="143"/>
      <c r="Y219" s="143"/>
      <c r="Z219" s="143"/>
      <c r="AA219" s="143"/>
      <c r="AB219" s="143"/>
      <c r="AC219" s="143"/>
      <c r="AD219" s="143"/>
      <c r="AE219" s="143"/>
      <c r="AF219" s="143"/>
      <c r="AG219" s="143"/>
      <c r="AH219" s="143"/>
      <c r="AI219" s="143"/>
      <c r="AJ219" s="143"/>
    </row>
    <row r="220" spans="1:36" ht="12.75" customHeight="1" x14ac:dyDescent="0.25">
      <c r="A220" s="143"/>
      <c r="B220" s="145"/>
      <c r="C220" s="146"/>
      <c r="D220" s="114"/>
      <c r="E220" s="148"/>
      <c r="F220" s="148"/>
      <c r="G220" s="114"/>
      <c r="H220" s="149"/>
      <c r="I220" s="143"/>
      <c r="J220" s="143"/>
      <c r="K220" s="143"/>
      <c r="L220" s="143"/>
      <c r="M220" s="150"/>
      <c r="N220" s="143"/>
      <c r="O220" s="1"/>
      <c r="P220" s="151"/>
      <c r="Q220" s="143"/>
      <c r="R220" s="143"/>
      <c r="S220" s="143"/>
      <c r="T220" s="143"/>
      <c r="U220" s="143"/>
      <c r="V220" s="143"/>
      <c r="W220" s="143"/>
      <c r="X220" s="143"/>
      <c r="Y220" s="143"/>
      <c r="Z220" s="143"/>
      <c r="AA220" s="143"/>
      <c r="AB220" s="143"/>
      <c r="AC220" s="143"/>
      <c r="AD220" s="143"/>
      <c r="AE220" s="143"/>
      <c r="AF220" s="143"/>
      <c r="AG220" s="143"/>
      <c r="AH220" s="143"/>
      <c r="AI220" s="143"/>
      <c r="AJ220" s="143"/>
    </row>
    <row r="221" spans="1:36" ht="12.75" customHeight="1" x14ac:dyDescent="0.25">
      <c r="A221" s="143"/>
      <c r="B221" s="145"/>
      <c r="C221" s="146"/>
      <c r="D221" s="114"/>
      <c r="E221" s="148"/>
      <c r="F221" s="148"/>
      <c r="G221" s="114"/>
      <c r="H221" s="149"/>
      <c r="I221" s="143"/>
      <c r="J221" s="143"/>
      <c r="K221" s="143"/>
      <c r="L221" s="143"/>
      <c r="M221" s="150"/>
      <c r="N221" s="143"/>
      <c r="O221" s="1"/>
      <c r="P221" s="151"/>
      <c r="Q221" s="143"/>
      <c r="R221" s="143"/>
      <c r="S221" s="143"/>
      <c r="T221" s="143"/>
      <c r="U221" s="143"/>
      <c r="V221" s="143"/>
      <c r="W221" s="143"/>
      <c r="X221" s="143"/>
      <c r="Y221" s="143"/>
      <c r="Z221" s="143"/>
      <c r="AA221" s="143"/>
      <c r="AB221" s="143"/>
      <c r="AC221" s="143"/>
      <c r="AD221" s="143"/>
      <c r="AE221" s="143"/>
      <c r="AF221" s="143"/>
      <c r="AG221" s="143"/>
      <c r="AH221" s="143"/>
      <c r="AI221" s="143"/>
      <c r="AJ221" s="143"/>
    </row>
    <row r="222" spans="1:36" ht="12.75" customHeight="1" x14ac:dyDescent="0.25">
      <c r="A222" s="143"/>
      <c r="B222" s="145"/>
      <c r="C222" s="146"/>
      <c r="D222" s="114"/>
      <c r="E222" s="148"/>
      <c r="F222" s="148"/>
      <c r="G222" s="114"/>
      <c r="H222" s="149"/>
      <c r="I222" s="143"/>
      <c r="J222" s="143"/>
      <c r="K222" s="143"/>
      <c r="L222" s="143"/>
      <c r="M222" s="150"/>
      <c r="N222" s="143"/>
      <c r="O222" s="1"/>
      <c r="P222" s="151"/>
      <c r="Q222" s="143"/>
      <c r="R222" s="143"/>
      <c r="S222" s="143"/>
      <c r="T222" s="143"/>
      <c r="U222" s="143"/>
      <c r="V222" s="143"/>
      <c r="W222" s="143"/>
      <c r="X222" s="143"/>
      <c r="Y222" s="143"/>
      <c r="Z222" s="143"/>
      <c r="AA222" s="143"/>
      <c r="AB222" s="143"/>
      <c r="AC222" s="143"/>
      <c r="AD222" s="143"/>
      <c r="AE222" s="143"/>
      <c r="AF222" s="143"/>
      <c r="AG222" s="143"/>
      <c r="AH222" s="143"/>
      <c r="AI222" s="143"/>
      <c r="AJ222" s="143"/>
    </row>
    <row r="223" spans="1:36" ht="12.75" customHeight="1" x14ac:dyDescent="0.25">
      <c r="A223" s="143"/>
      <c r="B223" s="145"/>
      <c r="C223" s="146"/>
      <c r="D223" s="114"/>
      <c r="E223" s="148"/>
      <c r="F223" s="148"/>
      <c r="G223" s="114"/>
      <c r="H223" s="149"/>
      <c r="I223" s="143"/>
      <c r="J223" s="143"/>
      <c r="K223" s="143"/>
      <c r="L223" s="143"/>
      <c r="M223" s="150"/>
      <c r="N223" s="143"/>
      <c r="O223" s="1"/>
      <c r="P223" s="151"/>
      <c r="Q223" s="143"/>
      <c r="R223" s="143"/>
      <c r="S223" s="143"/>
      <c r="T223" s="143"/>
      <c r="U223" s="143"/>
      <c r="V223" s="143"/>
      <c r="W223" s="143"/>
      <c r="X223" s="143"/>
      <c r="Y223" s="143"/>
      <c r="Z223" s="143"/>
      <c r="AA223" s="143"/>
      <c r="AB223" s="143"/>
      <c r="AC223" s="143"/>
      <c r="AD223" s="143"/>
      <c r="AE223" s="143"/>
      <c r="AF223" s="143"/>
      <c r="AG223" s="143"/>
      <c r="AH223" s="143"/>
      <c r="AI223" s="143"/>
      <c r="AJ223" s="143"/>
    </row>
    <row r="224" spans="1:36" ht="12.75" customHeight="1" x14ac:dyDescent="0.25">
      <c r="A224" s="143"/>
      <c r="B224" s="145"/>
      <c r="C224" s="146"/>
      <c r="D224" s="114"/>
      <c r="E224" s="148"/>
      <c r="F224" s="148"/>
      <c r="G224" s="114"/>
      <c r="H224" s="149"/>
      <c r="I224" s="143"/>
      <c r="J224" s="143"/>
      <c r="K224" s="143"/>
      <c r="L224" s="143"/>
      <c r="M224" s="150"/>
      <c r="N224" s="143"/>
      <c r="O224" s="1"/>
      <c r="P224" s="151"/>
      <c r="Q224" s="143"/>
      <c r="R224" s="143"/>
      <c r="S224" s="143"/>
      <c r="T224" s="143"/>
      <c r="U224" s="143"/>
      <c r="V224" s="143"/>
      <c r="W224" s="143"/>
      <c r="X224" s="143"/>
      <c r="Y224" s="143"/>
      <c r="Z224" s="143"/>
      <c r="AA224" s="143"/>
      <c r="AB224" s="143"/>
      <c r="AC224" s="143"/>
      <c r="AD224" s="143"/>
      <c r="AE224" s="143"/>
      <c r="AF224" s="143"/>
      <c r="AG224" s="143"/>
      <c r="AH224" s="143"/>
      <c r="AI224" s="143"/>
      <c r="AJ224" s="143"/>
    </row>
    <row r="225" spans="1:36" ht="12.75" customHeight="1" x14ac:dyDescent="0.25">
      <c r="A225" s="143"/>
      <c r="B225" s="145"/>
      <c r="C225" s="146"/>
      <c r="D225" s="114"/>
      <c r="E225" s="148"/>
      <c r="F225" s="148"/>
      <c r="G225" s="114"/>
      <c r="H225" s="149"/>
      <c r="I225" s="143"/>
      <c r="J225" s="143"/>
      <c r="K225" s="143"/>
      <c r="L225" s="143"/>
      <c r="M225" s="150"/>
      <c r="N225" s="143"/>
      <c r="O225" s="1"/>
      <c r="P225" s="151"/>
      <c r="Q225" s="143"/>
      <c r="R225" s="143"/>
      <c r="S225" s="143"/>
      <c r="T225" s="143"/>
      <c r="U225" s="143"/>
      <c r="V225" s="143"/>
      <c r="W225" s="143"/>
      <c r="X225" s="143"/>
      <c r="Y225" s="143"/>
      <c r="Z225" s="143"/>
      <c r="AA225" s="143"/>
      <c r="AB225" s="143"/>
      <c r="AC225" s="143"/>
      <c r="AD225" s="143"/>
      <c r="AE225" s="143"/>
      <c r="AF225" s="143"/>
      <c r="AG225" s="143"/>
      <c r="AH225" s="143"/>
      <c r="AI225" s="143"/>
      <c r="AJ225" s="143"/>
    </row>
    <row r="226" spans="1:36" ht="12.75" customHeight="1" x14ac:dyDescent="0.25">
      <c r="A226" s="143"/>
      <c r="B226" s="145"/>
      <c r="C226" s="146"/>
      <c r="D226" s="114"/>
      <c r="E226" s="148"/>
      <c r="F226" s="148"/>
      <c r="G226" s="114"/>
      <c r="H226" s="149"/>
      <c r="I226" s="143"/>
      <c r="J226" s="143"/>
      <c r="K226" s="143"/>
      <c r="L226" s="143"/>
      <c r="M226" s="150"/>
      <c r="N226" s="143"/>
      <c r="O226" s="1"/>
      <c r="P226" s="151"/>
      <c r="Q226" s="143"/>
      <c r="R226" s="143"/>
      <c r="S226" s="143"/>
      <c r="T226" s="143"/>
      <c r="U226" s="143"/>
      <c r="V226" s="143"/>
      <c r="W226" s="143"/>
      <c r="X226" s="143"/>
      <c r="Y226" s="143"/>
      <c r="Z226" s="143"/>
      <c r="AA226" s="143"/>
      <c r="AB226" s="143"/>
      <c r="AC226" s="143"/>
      <c r="AD226" s="143"/>
      <c r="AE226" s="143"/>
      <c r="AF226" s="143"/>
      <c r="AG226" s="143"/>
      <c r="AH226" s="143"/>
      <c r="AI226" s="143"/>
      <c r="AJ226" s="143"/>
    </row>
    <row r="227" spans="1:36" ht="12.75" customHeight="1" x14ac:dyDescent="0.25">
      <c r="A227" s="143"/>
      <c r="B227" s="145"/>
      <c r="C227" s="146"/>
      <c r="D227" s="114"/>
      <c r="E227" s="148"/>
      <c r="F227" s="148"/>
      <c r="G227" s="114"/>
      <c r="H227" s="149"/>
      <c r="I227" s="143"/>
      <c r="J227" s="143"/>
      <c r="K227" s="143"/>
      <c r="L227" s="143"/>
      <c r="M227" s="150"/>
      <c r="N227" s="143"/>
      <c r="O227" s="1"/>
      <c r="P227" s="151"/>
      <c r="Q227" s="143"/>
      <c r="R227" s="143"/>
      <c r="S227" s="143"/>
      <c r="T227" s="143"/>
      <c r="U227" s="143"/>
      <c r="V227" s="143"/>
      <c r="W227" s="143"/>
      <c r="X227" s="143"/>
      <c r="Y227" s="143"/>
      <c r="Z227" s="143"/>
      <c r="AA227" s="143"/>
      <c r="AB227" s="143"/>
      <c r="AC227" s="143"/>
      <c r="AD227" s="143"/>
      <c r="AE227" s="143"/>
      <c r="AF227" s="143"/>
      <c r="AG227" s="143"/>
      <c r="AH227" s="143"/>
      <c r="AI227" s="143"/>
      <c r="AJ227" s="143"/>
    </row>
    <row r="228" spans="1:36" ht="12.75" customHeight="1" x14ac:dyDescent="0.25">
      <c r="A228" s="143"/>
      <c r="B228" s="145"/>
      <c r="C228" s="146"/>
      <c r="D228" s="114"/>
      <c r="E228" s="148"/>
      <c r="F228" s="148"/>
      <c r="G228" s="114"/>
      <c r="H228" s="149"/>
      <c r="I228" s="143"/>
      <c r="J228" s="143"/>
      <c r="K228" s="143"/>
      <c r="L228" s="143"/>
      <c r="M228" s="150"/>
      <c r="N228" s="143"/>
      <c r="O228" s="1"/>
      <c r="P228" s="151"/>
      <c r="Q228" s="143"/>
      <c r="R228" s="143"/>
      <c r="S228" s="143"/>
      <c r="T228" s="143"/>
      <c r="U228" s="143"/>
      <c r="V228" s="143"/>
      <c r="W228" s="143"/>
      <c r="X228" s="143"/>
      <c r="Y228" s="143"/>
      <c r="Z228" s="143"/>
      <c r="AA228" s="143"/>
      <c r="AB228" s="143"/>
      <c r="AC228" s="143"/>
      <c r="AD228" s="143"/>
      <c r="AE228" s="143"/>
      <c r="AF228" s="143"/>
      <c r="AG228" s="143"/>
      <c r="AH228" s="143"/>
      <c r="AI228" s="143"/>
      <c r="AJ228" s="143"/>
    </row>
    <row r="229" spans="1:36" ht="12.75" customHeight="1" x14ac:dyDescent="0.25">
      <c r="A229" s="143"/>
      <c r="B229" s="145"/>
      <c r="C229" s="146"/>
      <c r="D229" s="114"/>
      <c r="E229" s="148"/>
      <c r="F229" s="148"/>
      <c r="G229" s="114"/>
      <c r="H229" s="149"/>
      <c r="I229" s="143"/>
      <c r="J229" s="143"/>
      <c r="K229" s="143"/>
      <c r="L229" s="143"/>
      <c r="M229" s="150"/>
      <c r="N229" s="143"/>
      <c r="O229" s="1"/>
      <c r="P229" s="151"/>
      <c r="Q229" s="143"/>
      <c r="R229" s="143"/>
      <c r="S229" s="143"/>
      <c r="T229" s="143"/>
      <c r="U229" s="143"/>
      <c r="V229" s="143"/>
      <c r="W229" s="143"/>
      <c r="X229" s="143"/>
      <c r="Y229" s="143"/>
      <c r="Z229" s="143"/>
      <c r="AA229" s="143"/>
      <c r="AB229" s="143"/>
      <c r="AC229" s="143"/>
      <c r="AD229" s="143"/>
      <c r="AE229" s="143"/>
      <c r="AF229" s="143"/>
      <c r="AG229" s="143"/>
      <c r="AH229" s="143"/>
      <c r="AI229" s="143"/>
      <c r="AJ229" s="143"/>
    </row>
    <row r="230" spans="1:36" ht="12.75" customHeight="1" x14ac:dyDescent="0.25">
      <c r="A230" s="143"/>
      <c r="B230" s="145"/>
      <c r="C230" s="146"/>
      <c r="D230" s="114"/>
      <c r="E230" s="148"/>
      <c r="F230" s="148"/>
      <c r="G230" s="114"/>
      <c r="H230" s="149"/>
      <c r="I230" s="143"/>
      <c r="J230" s="143"/>
      <c r="K230" s="143"/>
      <c r="L230" s="143"/>
      <c r="M230" s="150"/>
      <c r="N230" s="143"/>
      <c r="O230" s="1"/>
      <c r="P230" s="151"/>
      <c r="Q230" s="143"/>
      <c r="R230" s="143"/>
      <c r="S230" s="143"/>
      <c r="T230" s="143"/>
      <c r="U230" s="143"/>
      <c r="V230" s="143"/>
      <c r="W230" s="143"/>
      <c r="X230" s="143"/>
      <c r="Y230" s="143"/>
      <c r="Z230" s="143"/>
      <c r="AA230" s="143"/>
      <c r="AB230" s="143"/>
      <c r="AC230" s="143"/>
      <c r="AD230" s="143"/>
      <c r="AE230" s="143"/>
      <c r="AF230" s="143"/>
      <c r="AG230" s="143"/>
      <c r="AH230" s="143"/>
      <c r="AI230" s="143"/>
      <c r="AJ230" s="143"/>
    </row>
    <row r="231" spans="1:36" ht="12.75" customHeight="1" x14ac:dyDescent="0.25">
      <c r="A231" s="143"/>
      <c r="B231" s="145"/>
      <c r="C231" s="146"/>
      <c r="D231" s="114"/>
      <c r="E231" s="148"/>
      <c r="F231" s="148"/>
      <c r="G231" s="114"/>
      <c r="H231" s="149"/>
      <c r="I231" s="143"/>
      <c r="J231" s="143"/>
      <c r="K231" s="143"/>
      <c r="L231" s="143"/>
      <c r="M231" s="150"/>
      <c r="N231" s="143"/>
      <c r="O231" s="1"/>
      <c r="P231" s="151"/>
      <c r="Q231" s="143"/>
      <c r="R231" s="143"/>
      <c r="S231" s="143"/>
      <c r="T231" s="143"/>
      <c r="U231" s="143"/>
      <c r="V231" s="143"/>
      <c r="W231" s="143"/>
      <c r="X231" s="143"/>
      <c r="Y231" s="143"/>
      <c r="Z231" s="143"/>
      <c r="AA231" s="143"/>
      <c r="AB231" s="143"/>
      <c r="AC231" s="143"/>
      <c r="AD231" s="143"/>
      <c r="AE231" s="143"/>
      <c r="AF231" s="143"/>
      <c r="AG231" s="143"/>
      <c r="AH231" s="143"/>
      <c r="AI231" s="143"/>
      <c r="AJ231" s="143"/>
    </row>
    <row r="232" spans="1:36" ht="12.75" customHeight="1" x14ac:dyDescent="0.25">
      <c r="A232" s="143"/>
      <c r="B232" s="145"/>
      <c r="C232" s="146"/>
      <c r="D232" s="114"/>
      <c r="E232" s="148"/>
      <c r="F232" s="148"/>
      <c r="G232" s="114"/>
      <c r="H232" s="149"/>
      <c r="I232" s="143"/>
      <c r="J232" s="143"/>
      <c r="K232" s="143"/>
      <c r="L232" s="143"/>
      <c r="M232" s="150"/>
      <c r="N232" s="143"/>
      <c r="O232" s="1"/>
      <c r="P232" s="151"/>
      <c r="Q232" s="143"/>
      <c r="R232" s="143"/>
      <c r="S232" s="143"/>
      <c r="T232" s="143"/>
      <c r="U232" s="143"/>
      <c r="V232" s="143"/>
      <c r="W232" s="143"/>
      <c r="X232" s="143"/>
      <c r="Y232" s="143"/>
      <c r="Z232" s="143"/>
      <c r="AA232" s="143"/>
      <c r="AB232" s="143"/>
      <c r="AC232" s="143"/>
      <c r="AD232" s="143"/>
      <c r="AE232" s="143"/>
      <c r="AF232" s="143"/>
      <c r="AG232" s="143"/>
      <c r="AH232" s="143"/>
      <c r="AI232" s="143"/>
      <c r="AJ232" s="143"/>
    </row>
    <row r="233" spans="1:36" ht="12.75" customHeight="1" x14ac:dyDescent="0.25">
      <c r="A233" s="143"/>
      <c r="B233" s="145"/>
      <c r="C233" s="146"/>
      <c r="D233" s="114"/>
      <c r="E233" s="148"/>
      <c r="F233" s="148"/>
      <c r="G233" s="114"/>
      <c r="H233" s="149"/>
      <c r="I233" s="143"/>
      <c r="J233" s="143"/>
      <c r="K233" s="143"/>
      <c r="L233" s="143"/>
      <c r="M233" s="150"/>
      <c r="N233" s="143"/>
      <c r="O233" s="1"/>
      <c r="P233" s="151"/>
      <c r="Q233" s="143"/>
      <c r="R233" s="143"/>
      <c r="S233" s="143"/>
      <c r="T233" s="143"/>
      <c r="U233" s="143"/>
      <c r="V233" s="143"/>
      <c r="W233" s="143"/>
      <c r="X233" s="143"/>
      <c r="Y233" s="143"/>
      <c r="Z233" s="143"/>
      <c r="AA233" s="143"/>
      <c r="AB233" s="143"/>
      <c r="AC233" s="143"/>
      <c r="AD233" s="143"/>
      <c r="AE233" s="143"/>
      <c r="AF233" s="143"/>
      <c r="AG233" s="143"/>
      <c r="AH233" s="143"/>
      <c r="AI233" s="143"/>
      <c r="AJ233" s="143"/>
    </row>
    <row r="234" spans="1:36" ht="12.75" customHeight="1" x14ac:dyDescent="0.25">
      <c r="A234" s="143"/>
      <c r="B234" s="145"/>
      <c r="C234" s="146"/>
      <c r="D234" s="114"/>
      <c r="E234" s="148"/>
      <c r="F234" s="148"/>
      <c r="G234" s="114"/>
      <c r="H234" s="149"/>
      <c r="I234" s="143"/>
      <c r="J234" s="143"/>
      <c r="K234" s="143"/>
      <c r="L234" s="143"/>
      <c r="M234" s="150"/>
      <c r="N234" s="143"/>
      <c r="O234" s="1"/>
      <c r="P234" s="151"/>
      <c r="Q234" s="143"/>
      <c r="R234" s="143"/>
      <c r="S234" s="143"/>
      <c r="T234" s="143"/>
      <c r="U234" s="143"/>
      <c r="V234" s="143"/>
      <c r="W234" s="143"/>
      <c r="X234" s="143"/>
      <c r="Y234" s="143"/>
      <c r="Z234" s="143"/>
      <c r="AA234" s="143"/>
      <c r="AB234" s="143"/>
      <c r="AC234" s="143"/>
      <c r="AD234" s="143"/>
      <c r="AE234" s="143"/>
      <c r="AF234" s="143"/>
      <c r="AG234" s="143"/>
      <c r="AH234" s="143"/>
      <c r="AI234" s="143"/>
      <c r="AJ234" s="143"/>
    </row>
    <row r="235" spans="1:36" ht="12.75" customHeight="1" x14ac:dyDescent="0.25">
      <c r="A235" s="143"/>
      <c r="B235" s="145"/>
      <c r="C235" s="146"/>
      <c r="D235" s="114"/>
      <c r="E235" s="148"/>
      <c r="F235" s="148"/>
      <c r="G235" s="114"/>
      <c r="H235" s="149"/>
      <c r="I235" s="143"/>
      <c r="J235" s="143"/>
      <c r="K235" s="143"/>
      <c r="L235" s="143"/>
      <c r="M235" s="150"/>
      <c r="N235" s="143"/>
      <c r="O235" s="1"/>
      <c r="P235" s="151"/>
      <c r="Q235" s="143"/>
      <c r="R235" s="143"/>
      <c r="S235" s="143"/>
      <c r="T235" s="143"/>
      <c r="U235" s="143"/>
      <c r="V235" s="143"/>
      <c r="W235" s="143"/>
      <c r="X235" s="143"/>
      <c r="Y235" s="143"/>
      <c r="Z235" s="143"/>
      <c r="AA235" s="143"/>
      <c r="AB235" s="143"/>
      <c r="AC235" s="143"/>
      <c r="AD235" s="143"/>
      <c r="AE235" s="143"/>
      <c r="AF235" s="143"/>
      <c r="AG235" s="143"/>
      <c r="AH235" s="143"/>
      <c r="AI235" s="143"/>
      <c r="AJ235" s="143"/>
    </row>
    <row r="236" spans="1:36" ht="12.75" customHeight="1" x14ac:dyDescent="0.25">
      <c r="A236" s="143"/>
      <c r="B236" s="145"/>
      <c r="C236" s="146"/>
      <c r="D236" s="114"/>
      <c r="E236" s="148"/>
      <c r="F236" s="148"/>
      <c r="G236" s="114"/>
      <c r="H236" s="149"/>
      <c r="I236" s="143"/>
      <c r="J236" s="143"/>
      <c r="K236" s="143"/>
      <c r="L236" s="143"/>
      <c r="M236" s="150"/>
      <c r="N236" s="143"/>
      <c r="O236" s="1"/>
      <c r="P236" s="151"/>
      <c r="Q236" s="143"/>
      <c r="R236" s="143"/>
      <c r="S236" s="143"/>
      <c r="T236" s="143"/>
      <c r="U236" s="143"/>
      <c r="V236" s="143"/>
      <c r="W236" s="143"/>
      <c r="X236" s="143"/>
      <c r="Y236" s="143"/>
      <c r="Z236" s="143"/>
      <c r="AA236" s="143"/>
      <c r="AB236" s="143"/>
      <c r="AC236" s="143"/>
      <c r="AD236" s="143"/>
      <c r="AE236" s="143"/>
      <c r="AF236" s="143"/>
      <c r="AG236" s="143"/>
      <c r="AH236" s="143"/>
      <c r="AI236" s="143"/>
      <c r="AJ236" s="143"/>
    </row>
    <row r="237" spans="1:36" ht="12.75" customHeight="1" x14ac:dyDescent="0.25">
      <c r="A237" s="143"/>
      <c r="B237" s="145"/>
      <c r="C237" s="146"/>
      <c r="D237" s="114"/>
      <c r="E237" s="148"/>
      <c r="F237" s="148"/>
      <c r="G237" s="114"/>
      <c r="H237" s="149"/>
      <c r="I237" s="143"/>
      <c r="J237" s="143"/>
      <c r="K237" s="143"/>
      <c r="L237" s="143"/>
      <c r="M237" s="150"/>
      <c r="N237" s="143"/>
      <c r="O237" s="1"/>
      <c r="P237" s="151"/>
      <c r="Q237" s="143"/>
      <c r="R237" s="143"/>
      <c r="S237" s="143"/>
      <c r="T237" s="143"/>
      <c r="U237" s="143"/>
      <c r="V237" s="143"/>
      <c r="W237" s="143"/>
      <c r="X237" s="143"/>
      <c r="Y237" s="143"/>
      <c r="Z237" s="143"/>
      <c r="AA237" s="143"/>
      <c r="AB237" s="143"/>
      <c r="AC237" s="143"/>
      <c r="AD237" s="143"/>
      <c r="AE237" s="143"/>
      <c r="AF237" s="143"/>
      <c r="AG237" s="143"/>
      <c r="AH237" s="143"/>
      <c r="AI237" s="143"/>
      <c r="AJ237" s="143"/>
    </row>
    <row r="238" spans="1:36" ht="12.75" customHeight="1" x14ac:dyDescent="0.25">
      <c r="A238" s="143"/>
      <c r="B238" s="145"/>
      <c r="C238" s="146"/>
      <c r="D238" s="114"/>
      <c r="E238" s="148"/>
      <c r="F238" s="148"/>
      <c r="G238" s="114"/>
      <c r="H238" s="149"/>
      <c r="I238" s="143"/>
      <c r="J238" s="143"/>
      <c r="K238" s="143"/>
      <c r="L238" s="143"/>
      <c r="M238" s="150"/>
      <c r="N238" s="143"/>
      <c r="O238" s="1"/>
      <c r="P238" s="151"/>
      <c r="Q238" s="143"/>
      <c r="R238" s="143"/>
      <c r="S238" s="143"/>
      <c r="T238" s="143"/>
      <c r="U238" s="143"/>
      <c r="V238" s="143"/>
      <c r="W238" s="143"/>
      <c r="X238" s="143"/>
      <c r="Y238" s="143"/>
      <c r="Z238" s="143"/>
      <c r="AA238" s="143"/>
      <c r="AB238" s="143"/>
      <c r="AC238" s="143"/>
      <c r="AD238" s="143"/>
      <c r="AE238" s="143"/>
      <c r="AF238" s="143"/>
      <c r="AG238" s="143"/>
      <c r="AH238" s="143"/>
      <c r="AI238" s="143"/>
      <c r="AJ238" s="143"/>
    </row>
    <row r="239" spans="1:36" ht="12.75" customHeight="1" x14ac:dyDescent="0.25">
      <c r="A239" s="143"/>
      <c r="B239" s="145"/>
      <c r="C239" s="146"/>
      <c r="D239" s="114"/>
      <c r="E239" s="148"/>
      <c r="F239" s="148"/>
      <c r="G239" s="114"/>
      <c r="H239" s="149"/>
      <c r="I239" s="143"/>
      <c r="J239" s="143"/>
      <c r="K239" s="143"/>
      <c r="L239" s="143"/>
      <c r="M239" s="150"/>
      <c r="N239" s="143"/>
      <c r="O239" s="1"/>
      <c r="P239" s="151"/>
      <c r="Q239" s="143"/>
      <c r="R239" s="143"/>
      <c r="S239" s="143"/>
      <c r="T239" s="143"/>
      <c r="U239" s="143"/>
      <c r="V239" s="143"/>
      <c r="W239" s="143"/>
      <c r="X239" s="143"/>
      <c r="Y239" s="143"/>
      <c r="Z239" s="143"/>
      <c r="AA239" s="143"/>
      <c r="AB239" s="143"/>
      <c r="AC239" s="143"/>
      <c r="AD239" s="143"/>
      <c r="AE239" s="143"/>
      <c r="AF239" s="143"/>
      <c r="AG239" s="143"/>
      <c r="AH239" s="143"/>
      <c r="AI239" s="143"/>
      <c r="AJ239" s="143"/>
    </row>
    <row r="240" spans="1:36" ht="12.75" customHeight="1" x14ac:dyDescent="0.25">
      <c r="A240" s="143"/>
      <c r="B240" s="145"/>
      <c r="C240" s="146"/>
      <c r="D240" s="114"/>
      <c r="E240" s="148"/>
      <c r="F240" s="148"/>
      <c r="G240" s="114"/>
      <c r="H240" s="149"/>
      <c r="I240" s="143"/>
      <c r="J240" s="143"/>
      <c r="K240" s="143"/>
      <c r="L240" s="143"/>
      <c r="M240" s="150"/>
      <c r="N240" s="143"/>
      <c r="O240" s="1"/>
      <c r="P240" s="151"/>
      <c r="Q240" s="143"/>
      <c r="R240" s="143"/>
      <c r="S240" s="143"/>
      <c r="T240" s="143"/>
      <c r="U240" s="143"/>
      <c r="V240" s="143"/>
      <c r="W240" s="143"/>
      <c r="X240" s="143"/>
      <c r="Y240" s="143"/>
      <c r="Z240" s="143"/>
      <c r="AA240" s="143"/>
      <c r="AB240" s="143"/>
      <c r="AC240" s="143"/>
      <c r="AD240" s="143"/>
      <c r="AE240" s="143"/>
      <c r="AF240" s="143"/>
      <c r="AG240" s="143"/>
      <c r="AH240" s="143"/>
      <c r="AI240" s="143"/>
      <c r="AJ240" s="143"/>
    </row>
    <row r="241" spans="1:36" ht="12.75" customHeight="1" x14ac:dyDescent="0.25">
      <c r="A241" s="143"/>
      <c r="B241" s="145"/>
      <c r="C241" s="146"/>
      <c r="D241" s="114"/>
      <c r="E241" s="148"/>
      <c r="F241" s="148"/>
      <c r="G241" s="114"/>
      <c r="H241" s="149"/>
      <c r="I241" s="143"/>
      <c r="J241" s="143"/>
      <c r="K241" s="143"/>
      <c r="L241" s="143"/>
      <c r="M241" s="150"/>
      <c r="N241" s="143"/>
      <c r="O241" s="1"/>
      <c r="P241" s="151"/>
      <c r="Q241" s="143"/>
      <c r="R241" s="143"/>
      <c r="S241" s="143"/>
      <c r="T241" s="143"/>
      <c r="U241" s="143"/>
      <c r="V241" s="143"/>
      <c r="W241" s="143"/>
      <c r="X241" s="143"/>
      <c r="Y241" s="143"/>
      <c r="Z241" s="143"/>
      <c r="AA241" s="143"/>
      <c r="AB241" s="143"/>
      <c r="AC241" s="143"/>
      <c r="AD241" s="143"/>
      <c r="AE241" s="143"/>
      <c r="AF241" s="143"/>
      <c r="AG241" s="143"/>
      <c r="AH241" s="143"/>
      <c r="AI241" s="143"/>
      <c r="AJ241" s="143"/>
    </row>
    <row r="242" spans="1:36" ht="12.75" customHeight="1" x14ac:dyDescent="0.25">
      <c r="A242" s="143"/>
      <c r="B242" s="145"/>
      <c r="C242" s="146"/>
      <c r="D242" s="114"/>
      <c r="E242" s="148"/>
      <c r="F242" s="148"/>
      <c r="G242" s="114"/>
      <c r="H242" s="149"/>
      <c r="I242" s="143"/>
      <c r="J242" s="143"/>
      <c r="K242" s="143"/>
      <c r="L242" s="143"/>
      <c r="M242" s="150"/>
      <c r="N242" s="143"/>
      <c r="O242" s="1"/>
      <c r="P242" s="151"/>
      <c r="Q242" s="143"/>
      <c r="R242" s="143"/>
      <c r="S242" s="143"/>
      <c r="T242" s="143"/>
      <c r="U242" s="143"/>
      <c r="V242" s="143"/>
      <c r="W242" s="143"/>
      <c r="X242" s="143"/>
      <c r="Y242" s="143"/>
      <c r="Z242" s="143"/>
      <c r="AA242" s="143"/>
      <c r="AB242" s="143"/>
      <c r="AC242" s="143"/>
      <c r="AD242" s="143"/>
      <c r="AE242" s="143"/>
      <c r="AF242" s="143"/>
      <c r="AG242" s="143"/>
      <c r="AH242" s="143"/>
      <c r="AI242" s="143"/>
      <c r="AJ242" s="143"/>
    </row>
    <row r="243" spans="1:36" ht="12.75" customHeight="1" x14ac:dyDescent="0.25">
      <c r="A243" s="143"/>
      <c r="B243" s="145"/>
      <c r="C243" s="146"/>
      <c r="D243" s="114"/>
      <c r="E243" s="148"/>
      <c r="F243" s="148"/>
      <c r="G243" s="114"/>
      <c r="H243" s="149"/>
      <c r="I243" s="143"/>
      <c r="J243" s="143"/>
      <c r="K243" s="143"/>
      <c r="L243" s="143"/>
      <c r="M243" s="150"/>
      <c r="N243" s="143"/>
      <c r="O243" s="1"/>
      <c r="P243" s="151"/>
      <c r="Q243" s="143"/>
      <c r="R243" s="143"/>
      <c r="S243" s="143"/>
      <c r="T243" s="143"/>
      <c r="U243" s="143"/>
      <c r="V243" s="143"/>
      <c r="W243" s="143"/>
      <c r="X243" s="143"/>
      <c r="Y243" s="143"/>
      <c r="Z243" s="143"/>
      <c r="AA243" s="143"/>
      <c r="AB243" s="143"/>
      <c r="AC243" s="143"/>
      <c r="AD243" s="143"/>
      <c r="AE243" s="143"/>
      <c r="AF243" s="143"/>
      <c r="AG243" s="143"/>
      <c r="AH243" s="143"/>
      <c r="AI243" s="143"/>
      <c r="AJ243" s="143"/>
    </row>
    <row r="244" spans="1:36" ht="12.75" customHeight="1" x14ac:dyDescent="0.25">
      <c r="A244" s="143"/>
      <c r="B244" s="145"/>
      <c r="C244" s="146"/>
      <c r="D244" s="114"/>
      <c r="E244" s="148"/>
      <c r="F244" s="148"/>
      <c r="G244" s="114"/>
      <c r="H244" s="149"/>
      <c r="I244" s="143"/>
      <c r="J244" s="143"/>
      <c r="K244" s="143"/>
      <c r="L244" s="143"/>
      <c r="M244" s="150"/>
      <c r="N244" s="143"/>
      <c r="O244" s="1"/>
      <c r="P244" s="151"/>
      <c r="Q244" s="143"/>
      <c r="R244" s="143"/>
      <c r="S244" s="143"/>
      <c r="T244" s="143"/>
      <c r="U244" s="143"/>
      <c r="V244" s="143"/>
      <c r="W244" s="143"/>
      <c r="X244" s="143"/>
      <c r="Y244" s="143"/>
      <c r="Z244" s="143"/>
      <c r="AA244" s="143"/>
      <c r="AB244" s="143"/>
      <c r="AC244" s="143"/>
      <c r="AD244" s="143"/>
      <c r="AE244" s="143"/>
      <c r="AF244" s="143"/>
      <c r="AG244" s="143"/>
      <c r="AH244" s="143"/>
      <c r="AI244" s="143"/>
      <c r="AJ244" s="143"/>
    </row>
    <row r="245" spans="1:36" ht="12.75" customHeight="1" x14ac:dyDescent="0.25">
      <c r="A245" s="143"/>
      <c r="B245" s="145"/>
      <c r="C245" s="146"/>
      <c r="D245" s="114"/>
      <c r="E245" s="148"/>
      <c r="F245" s="148"/>
      <c r="G245" s="114"/>
      <c r="H245" s="149"/>
      <c r="I245" s="143"/>
      <c r="J245" s="143"/>
      <c r="K245" s="143"/>
      <c r="L245" s="143"/>
      <c r="M245" s="150"/>
      <c r="N245" s="143"/>
      <c r="O245" s="1"/>
      <c r="P245" s="151"/>
      <c r="Q245" s="143"/>
      <c r="R245" s="143"/>
      <c r="S245" s="143"/>
      <c r="T245" s="143"/>
      <c r="U245" s="143"/>
      <c r="V245" s="143"/>
      <c r="W245" s="143"/>
      <c r="X245" s="143"/>
      <c r="Y245" s="143"/>
      <c r="Z245" s="143"/>
      <c r="AA245" s="143"/>
      <c r="AB245" s="143"/>
      <c r="AC245" s="143"/>
      <c r="AD245" s="143"/>
      <c r="AE245" s="143"/>
      <c r="AF245" s="143"/>
      <c r="AG245" s="143"/>
      <c r="AH245" s="143"/>
      <c r="AI245" s="143"/>
      <c r="AJ245" s="143"/>
    </row>
    <row r="246" spans="1:36" ht="12.75" customHeight="1" x14ac:dyDescent="0.25">
      <c r="A246" s="143"/>
      <c r="B246" s="145"/>
      <c r="C246" s="146"/>
      <c r="D246" s="114"/>
      <c r="E246" s="148"/>
      <c r="F246" s="148"/>
      <c r="G246" s="114"/>
      <c r="H246" s="149"/>
      <c r="I246" s="143"/>
      <c r="J246" s="143"/>
      <c r="K246" s="143"/>
      <c r="L246" s="143"/>
      <c r="M246" s="150"/>
      <c r="N246" s="143"/>
      <c r="O246" s="1"/>
      <c r="P246" s="151"/>
      <c r="Q246" s="143"/>
      <c r="R246" s="143"/>
      <c r="S246" s="143"/>
      <c r="T246" s="143"/>
      <c r="U246" s="143"/>
      <c r="V246" s="143"/>
      <c r="W246" s="143"/>
      <c r="X246" s="143"/>
      <c r="Y246" s="143"/>
      <c r="Z246" s="143"/>
      <c r="AA246" s="143"/>
      <c r="AB246" s="143"/>
      <c r="AC246" s="143"/>
      <c r="AD246" s="143"/>
      <c r="AE246" s="143"/>
      <c r="AF246" s="143"/>
      <c r="AG246" s="143"/>
      <c r="AH246" s="143"/>
      <c r="AI246" s="143"/>
      <c r="AJ246" s="143"/>
    </row>
    <row r="247" spans="1:36" ht="12.75" customHeight="1" x14ac:dyDescent="0.25">
      <c r="A247" s="143"/>
      <c r="B247" s="145"/>
      <c r="C247" s="146"/>
      <c r="D247" s="114"/>
      <c r="E247" s="148"/>
      <c r="F247" s="148"/>
      <c r="G247" s="114"/>
      <c r="H247" s="149"/>
      <c r="I247" s="143"/>
      <c r="J247" s="143"/>
      <c r="K247" s="143"/>
      <c r="L247" s="143"/>
      <c r="M247" s="150"/>
      <c r="N247" s="143"/>
      <c r="O247" s="1"/>
      <c r="P247" s="151"/>
      <c r="Q247" s="143"/>
      <c r="R247" s="143"/>
      <c r="S247" s="143"/>
      <c r="T247" s="143"/>
      <c r="U247" s="143"/>
      <c r="V247" s="143"/>
      <c r="W247" s="143"/>
      <c r="X247" s="143"/>
      <c r="Y247" s="143"/>
      <c r="Z247" s="143"/>
      <c r="AA247" s="143"/>
      <c r="AB247" s="143"/>
      <c r="AC247" s="143"/>
      <c r="AD247" s="143"/>
      <c r="AE247" s="143"/>
      <c r="AF247" s="143"/>
      <c r="AG247" s="143"/>
      <c r="AH247" s="143"/>
      <c r="AI247" s="143"/>
      <c r="AJ247" s="143"/>
    </row>
    <row r="248" spans="1:36" ht="12.75" customHeight="1" x14ac:dyDescent="0.25">
      <c r="A248" s="143"/>
      <c r="B248" s="145"/>
      <c r="C248" s="146"/>
      <c r="D248" s="114"/>
      <c r="E248" s="148"/>
      <c r="F248" s="148"/>
      <c r="G248" s="114"/>
      <c r="H248" s="149"/>
      <c r="I248" s="143"/>
      <c r="J248" s="143"/>
      <c r="K248" s="143"/>
      <c r="L248" s="143"/>
      <c r="M248" s="150"/>
      <c r="N248" s="143"/>
      <c r="O248" s="1"/>
      <c r="P248" s="151"/>
      <c r="Q248" s="143"/>
      <c r="R248" s="143"/>
      <c r="S248" s="143"/>
      <c r="T248" s="143"/>
      <c r="U248" s="143"/>
      <c r="V248" s="143"/>
      <c r="W248" s="143"/>
      <c r="X248" s="143"/>
      <c r="Y248" s="143"/>
      <c r="Z248" s="143"/>
      <c r="AA248" s="143"/>
      <c r="AB248" s="143"/>
      <c r="AC248" s="143"/>
      <c r="AD248" s="143"/>
      <c r="AE248" s="143"/>
      <c r="AF248" s="143"/>
      <c r="AG248" s="143"/>
      <c r="AH248" s="143"/>
      <c r="AI248" s="143"/>
      <c r="AJ248" s="143"/>
    </row>
    <row r="249" spans="1:36" ht="12.75" customHeight="1" x14ac:dyDescent="0.25">
      <c r="A249" s="143"/>
      <c r="B249" s="145"/>
      <c r="C249" s="146"/>
      <c r="D249" s="114"/>
      <c r="E249" s="148"/>
      <c r="F249" s="148"/>
      <c r="G249" s="114"/>
      <c r="H249" s="149"/>
      <c r="I249" s="143"/>
      <c r="J249" s="143"/>
      <c r="K249" s="143"/>
      <c r="L249" s="143"/>
      <c r="M249" s="150"/>
      <c r="N249" s="143"/>
      <c r="O249" s="1"/>
      <c r="P249" s="151"/>
      <c r="Q249" s="143"/>
      <c r="R249" s="143"/>
      <c r="S249" s="143"/>
      <c r="T249" s="143"/>
      <c r="U249" s="143"/>
      <c r="V249" s="143"/>
      <c r="W249" s="143"/>
      <c r="X249" s="143"/>
      <c r="Y249" s="143"/>
      <c r="Z249" s="143"/>
      <c r="AA249" s="143"/>
      <c r="AB249" s="143"/>
      <c r="AC249" s="143"/>
      <c r="AD249" s="143"/>
      <c r="AE249" s="143"/>
      <c r="AF249" s="143"/>
      <c r="AG249" s="143"/>
      <c r="AH249" s="143"/>
      <c r="AI249" s="143"/>
      <c r="AJ249" s="143"/>
    </row>
    <row r="250" spans="1:36" ht="12.75" customHeight="1" x14ac:dyDescent="0.25">
      <c r="A250" s="143"/>
      <c r="B250" s="145"/>
      <c r="C250" s="146"/>
      <c r="D250" s="114"/>
      <c r="E250" s="148"/>
      <c r="F250" s="148"/>
      <c r="G250" s="114"/>
      <c r="H250" s="149"/>
      <c r="I250" s="143"/>
      <c r="J250" s="143"/>
      <c r="K250" s="143"/>
      <c r="L250" s="143"/>
      <c r="M250" s="150"/>
      <c r="N250" s="143"/>
      <c r="O250" s="1"/>
      <c r="P250" s="151"/>
      <c r="Q250" s="143"/>
      <c r="R250" s="143"/>
      <c r="S250" s="143"/>
      <c r="T250" s="143"/>
      <c r="U250" s="143"/>
      <c r="V250" s="143"/>
      <c r="W250" s="143"/>
      <c r="X250" s="143"/>
      <c r="Y250" s="143"/>
      <c r="Z250" s="143"/>
      <c r="AA250" s="143"/>
      <c r="AB250" s="143"/>
      <c r="AC250" s="143"/>
      <c r="AD250" s="143"/>
      <c r="AE250" s="143"/>
      <c r="AF250" s="143"/>
      <c r="AG250" s="143"/>
      <c r="AH250" s="143"/>
      <c r="AI250" s="143"/>
      <c r="AJ250" s="143"/>
    </row>
    <row r="251" spans="1:36" ht="12.75" customHeight="1" x14ac:dyDescent="0.25">
      <c r="A251" s="143"/>
      <c r="B251" s="145"/>
      <c r="C251" s="146"/>
      <c r="D251" s="114"/>
      <c r="E251" s="148"/>
      <c r="F251" s="148"/>
      <c r="G251" s="114"/>
      <c r="H251" s="149"/>
      <c r="I251" s="143"/>
      <c r="J251" s="143"/>
      <c r="K251" s="143"/>
      <c r="L251" s="143"/>
      <c r="M251" s="150"/>
      <c r="N251" s="143"/>
      <c r="O251" s="1"/>
      <c r="P251" s="151"/>
      <c r="Q251" s="143"/>
      <c r="R251" s="143"/>
      <c r="S251" s="143"/>
      <c r="T251" s="143"/>
      <c r="U251" s="143"/>
      <c r="V251" s="143"/>
      <c r="W251" s="143"/>
      <c r="X251" s="143"/>
      <c r="Y251" s="143"/>
      <c r="Z251" s="143"/>
      <c r="AA251" s="143"/>
      <c r="AB251" s="143"/>
      <c r="AC251" s="143"/>
      <c r="AD251" s="143"/>
      <c r="AE251" s="143"/>
      <c r="AF251" s="143"/>
      <c r="AG251" s="143"/>
      <c r="AH251" s="143"/>
      <c r="AI251" s="143"/>
      <c r="AJ251" s="143"/>
    </row>
    <row r="252" spans="1:36" ht="12.75" customHeight="1" x14ac:dyDescent="0.25">
      <c r="A252" s="143"/>
      <c r="B252" s="145"/>
      <c r="C252" s="146"/>
      <c r="D252" s="114"/>
      <c r="E252" s="148"/>
      <c r="F252" s="148"/>
      <c r="G252" s="114"/>
      <c r="H252" s="149"/>
      <c r="I252" s="143"/>
      <c r="J252" s="143"/>
      <c r="K252" s="143"/>
      <c r="L252" s="143"/>
      <c r="M252" s="150"/>
      <c r="N252" s="143"/>
      <c r="O252" s="1"/>
      <c r="P252" s="151"/>
      <c r="Q252" s="143"/>
      <c r="R252" s="143"/>
      <c r="S252" s="143"/>
      <c r="T252" s="143"/>
      <c r="U252" s="143"/>
      <c r="V252" s="143"/>
      <c r="W252" s="143"/>
      <c r="X252" s="143"/>
      <c r="Y252" s="143"/>
      <c r="Z252" s="143"/>
      <c r="AA252" s="143"/>
      <c r="AB252" s="143"/>
      <c r="AC252" s="143"/>
      <c r="AD252" s="143"/>
      <c r="AE252" s="143"/>
      <c r="AF252" s="143"/>
      <c r="AG252" s="143"/>
      <c r="AH252" s="143"/>
      <c r="AI252" s="143"/>
      <c r="AJ252" s="143"/>
    </row>
    <row r="253" spans="1:36" ht="12.75" customHeight="1" x14ac:dyDescent="0.25">
      <c r="A253" s="143"/>
      <c r="B253" s="145"/>
      <c r="C253" s="146"/>
      <c r="D253" s="114"/>
      <c r="E253" s="148"/>
      <c r="F253" s="148"/>
      <c r="G253" s="114"/>
      <c r="H253" s="149"/>
      <c r="I253" s="143"/>
      <c r="J253" s="143"/>
      <c r="K253" s="143"/>
      <c r="L253" s="143"/>
      <c r="M253" s="150"/>
      <c r="N253" s="143"/>
      <c r="O253" s="1"/>
      <c r="P253" s="151"/>
      <c r="Q253" s="143"/>
      <c r="R253" s="143"/>
      <c r="S253" s="143"/>
      <c r="T253" s="143"/>
      <c r="U253" s="143"/>
      <c r="V253" s="143"/>
      <c r="W253" s="143"/>
      <c r="X253" s="143"/>
      <c r="Y253" s="143"/>
      <c r="Z253" s="143"/>
      <c r="AA253" s="143"/>
      <c r="AB253" s="143"/>
      <c r="AC253" s="143"/>
      <c r="AD253" s="143"/>
      <c r="AE253" s="143"/>
      <c r="AF253" s="143"/>
      <c r="AG253" s="143"/>
      <c r="AH253" s="143"/>
      <c r="AI253" s="143"/>
      <c r="AJ253" s="143"/>
    </row>
    <row r="254" spans="1:36" ht="12.75" customHeight="1" x14ac:dyDescent="0.25">
      <c r="A254" s="143"/>
      <c r="B254" s="145"/>
      <c r="C254" s="146"/>
      <c r="D254" s="114"/>
      <c r="E254" s="148"/>
      <c r="F254" s="148"/>
      <c r="G254" s="114"/>
      <c r="H254" s="149"/>
      <c r="I254" s="143"/>
      <c r="J254" s="143"/>
      <c r="K254" s="143"/>
      <c r="L254" s="143"/>
      <c r="M254" s="150"/>
      <c r="N254" s="143"/>
      <c r="O254" s="1"/>
      <c r="P254" s="151"/>
      <c r="Q254" s="143"/>
      <c r="R254" s="143"/>
      <c r="S254" s="143"/>
      <c r="T254" s="143"/>
      <c r="U254" s="143"/>
      <c r="V254" s="143"/>
      <c r="W254" s="143"/>
      <c r="X254" s="143"/>
      <c r="Y254" s="143"/>
      <c r="Z254" s="143"/>
      <c r="AA254" s="143"/>
      <c r="AB254" s="143"/>
      <c r="AC254" s="143"/>
      <c r="AD254" s="143"/>
      <c r="AE254" s="143"/>
      <c r="AF254" s="143"/>
      <c r="AG254" s="143"/>
      <c r="AH254" s="143"/>
      <c r="AI254" s="143"/>
      <c r="AJ254" s="143"/>
    </row>
    <row r="255" spans="1:36" ht="12.75" customHeight="1" x14ac:dyDescent="0.25">
      <c r="A255" s="143"/>
      <c r="B255" s="145"/>
      <c r="C255" s="146"/>
      <c r="D255" s="114"/>
      <c r="E255" s="148"/>
      <c r="F255" s="148"/>
      <c r="G255" s="114"/>
      <c r="H255" s="149"/>
      <c r="I255" s="143"/>
      <c r="J255" s="143"/>
      <c r="K255" s="143"/>
      <c r="L255" s="143"/>
      <c r="M255" s="150"/>
      <c r="N255" s="143"/>
      <c r="O255" s="1"/>
      <c r="P255" s="151"/>
      <c r="Q255" s="143"/>
      <c r="R255" s="143"/>
      <c r="S255" s="143"/>
      <c r="T255" s="143"/>
      <c r="U255" s="143"/>
      <c r="V255" s="143"/>
      <c r="W255" s="143"/>
      <c r="X255" s="143"/>
      <c r="Y255" s="143"/>
      <c r="Z255" s="143"/>
      <c r="AA255" s="143"/>
      <c r="AB255" s="143"/>
      <c r="AC255" s="143"/>
      <c r="AD255" s="143"/>
      <c r="AE255" s="143"/>
      <c r="AF255" s="143"/>
      <c r="AG255" s="143"/>
      <c r="AH255" s="143"/>
      <c r="AI255" s="143"/>
      <c r="AJ255" s="143"/>
    </row>
    <row r="256" spans="1:36" ht="12.75" customHeight="1" x14ac:dyDescent="0.25">
      <c r="A256" s="143"/>
      <c r="B256" s="145"/>
      <c r="C256" s="146"/>
      <c r="D256" s="114"/>
      <c r="E256" s="148"/>
      <c r="F256" s="148"/>
      <c r="G256" s="114"/>
      <c r="H256" s="149"/>
      <c r="I256" s="143"/>
      <c r="J256" s="143"/>
      <c r="K256" s="143"/>
      <c r="L256" s="143"/>
      <c r="M256" s="150"/>
      <c r="N256" s="143"/>
      <c r="O256" s="1"/>
      <c r="P256" s="151"/>
      <c r="Q256" s="143"/>
      <c r="R256" s="143"/>
      <c r="S256" s="143"/>
      <c r="T256" s="143"/>
      <c r="U256" s="143"/>
      <c r="V256" s="143"/>
      <c r="W256" s="143"/>
      <c r="X256" s="143"/>
      <c r="Y256" s="143"/>
      <c r="Z256" s="143"/>
      <c r="AA256" s="143"/>
      <c r="AB256" s="143"/>
      <c r="AC256" s="143"/>
      <c r="AD256" s="143"/>
      <c r="AE256" s="143"/>
      <c r="AF256" s="143"/>
      <c r="AG256" s="143"/>
      <c r="AH256" s="143"/>
      <c r="AI256" s="143"/>
      <c r="AJ256" s="143"/>
    </row>
    <row r="257" spans="1:36" ht="12.75" customHeight="1" x14ac:dyDescent="0.25">
      <c r="A257" s="143"/>
      <c r="B257" s="145"/>
      <c r="C257" s="146"/>
      <c r="D257" s="114"/>
      <c r="E257" s="148"/>
      <c r="F257" s="148"/>
      <c r="G257" s="114"/>
      <c r="H257" s="149"/>
      <c r="I257" s="143"/>
      <c r="J257" s="143"/>
      <c r="K257" s="143"/>
      <c r="L257" s="143"/>
      <c r="M257" s="150"/>
      <c r="N257" s="143"/>
      <c r="O257" s="1"/>
      <c r="P257" s="151"/>
      <c r="Q257" s="143"/>
      <c r="R257" s="143"/>
      <c r="S257" s="143"/>
      <c r="T257" s="143"/>
      <c r="U257" s="143"/>
      <c r="V257" s="143"/>
      <c r="W257" s="143"/>
      <c r="X257" s="143"/>
      <c r="Y257" s="143"/>
      <c r="Z257" s="143"/>
      <c r="AA257" s="143"/>
      <c r="AB257" s="143"/>
      <c r="AC257" s="143"/>
      <c r="AD257" s="143"/>
      <c r="AE257" s="143"/>
      <c r="AF257" s="143"/>
      <c r="AG257" s="143"/>
      <c r="AH257" s="143"/>
      <c r="AI257" s="143"/>
      <c r="AJ257" s="143"/>
    </row>
    <row r="258" spans="1:36" ht="12.75" customHeight="1" x14ac:dyDescent="0.25">
      <c r="A258" s="143"/>
      <c r="B258" s="145"/>
      <c r="C258" s="146"/>
      <c r="D258" s="114"/>
      <c r="E258" s="148"/>
      <c r="F258" s="148"/>
      <c r="G258" s="114"/>
      <c r="H258" s="149"/>
      <c r="I258" s="143"/>
      <c r="J258" s="143"/>
      <c r="K258" s="143"/>
      <c r="L258" s="143"/>
      <c r="M258" s="150"/>
      <c r="N258" s="143"/>
      <c r="O258" s="1"/>
      <c r="P258" s="151"/>
      <c r="Q258" s="143"/>
      <c r="R258" s="143"/>
      <c r="S258" s="143"/>
      <c r="T258" s="143"/>
      <c r="U258" s="143"/>
      <c r="V258" s="143"/>
      <c r="W258" s="143"/>
      <c r="X258" s="143"/>
      <c r="Y258" s="143"/>
      <c r="Z258" s="143"/>
      <c r="AA258" s="143"/>
      <c r="AB258" s="143"/>
      <c r="AC258" s="143"/>
      <c r="AD258" s="143"/>
      <c r="AE258" s="143"/>
      <c r="AF258" s="143"/>
      <c r="AG258" s="143"/>
      <c r="AH258" s="143"/>
      <c r="AI258" s="143"/>
      <c r="AJ258" s="143"/>
    </row>
    <row r="259" spans="1:36" ht="12.75" customHeight="1" x14ac:dyDescent="0.25">
      <c r="A259" s="143"/>
      <c r="B259" s="145"/>
      <c r="C259" s="146"/>
      <c r="D259" s="114"/>
      <c r="E259" s="148"/>
      <c r="F259" s="148"/>
      <c r="G259" s="114"/>
      <c r="H259" s="149"/>
      <c r="I259" s="143"/>
      <c r="J259" s="143"/>
      <c r="K259" s="143"/>
      <c r="L259" s="143"/>
      <c r="M259" s="150"/>
      <c r="N259" s="143"/>
      <c r="O259" s="1"/>
      <c r="P259" s="151"/>
      <c r="Q259" s="143"/>
      <c r="R259" s="143"/>
      <c r="S259" s="143"/>
      <c r="T259" s="143"/>
      <c r="U259" s="143"/>
      <c r="V259" s="143"/>
      <c r="W259" s="143"/>
      <c r="X259" s="143"/>
      <c r="Y259" s="143"/>
      <c r="Z259" s="143"/>
      <c r="AA259" s="143"/>
      <c r="AB259" s="143"/>
      <c r="AC259" s="143"/>
      <c r="AD259" s="143"/>
      <c r="AE259" s="143"/>
      <c r="AF259" s="143"/>
      <c r="AG259" s="143"/>
      <c r="AH259" s="143"/>
      <c r="AI259" s="143"/>
      <c r="AJ259" s="143"/>
    </row>
    <row r="260" spans="1:36" ht="12.75" customHeight="1" x14ac:dyDescent="0.25">
      <c r="A260" s="143"/>
      <c r="B260" s="145"/>
      <c r="C260" s="146"/>
      <c r="D260" s="114"/>
      <c r="E260" s="148"/>
      <c r="F260" s="148"/>
      <c r="G260" s="114"/>
      <c r="H260" s="149"/>
      <c r="I260" s="143"/>
      <c r="J260" s="143"/>
      <c r="K260" s="143"/>
      <c r="L260" s="143"/>
      <c r="M260" s="150"/>
      <c r="N260" s="143"/>
      <c r="O260" s="1"/>
      <c r="P260" s="151"/>
      <c r="Q260" s="143"/>
      <c r="R260" s="143"/>
      <c r="S260" s="143"/>
      <c r="T260" s="143"/>
      <c r="U260" s="143"/>
      <c r="V260" s="143"/>
      <c r="W260" s="143"/>
      <c r="X260" s="143"/>
      <c r="Y260" s="143"/>
      <c r="Z260" s="143"/>
      <c r="AA260" s="143"/>
      <c r="AB260" s="143"/>
      <c r="AC260" s="143"/>
      <c r="AD260" s="143"/>
      <c r="AE260" s="143"/>
      <c r="AF260" s="143"/>
      <c r="AG260" s="143"/>
      <c r="AH260" s="143"/>
      <c r="AI260" s="143"/>
      <c r="AJ260" s="143"/>
    </row>
    <row r="261" spans="1:36" ht="12.75" customHeight="1" x14ac:dyDescent="0.25">
      <c r="A261" s="143"/>
      <c r="B261" s="145"/>
      <c r="C261" s="146"/>
      <c r="D261" s="114"/>
      <c r="E261" s="148"/>
      <c r="F261" s="148"/>
      <c r="G261" s="114"/>
      <c r="H261" s="149"/>
      <c r="I261" s="143"/>
      <c r="J261" s="143"/>
      <c r="K261" s="143"/>
      <c r="L261" s="143"/>
      <c r="M261" s="150"/>
      <c r="N261" s="143"/>
      <c r="O261" s="1"/>
      <c r="P261" s="151"/>
      <c r="Q261" s="143"/>
      <c r="R261" s="143"/>
      <c r="S261" s="143"/>
      <c r="T261" s="143"/>
      <c r="U261" s="143"/>
      <c r="V261" s="143"/>
      <c r="W261" s="143"/>
      <c r="X261" s="143"/>
      <c r="Y261" s="143"/>
      <c r="Z261" s="143"/>
      <c r="AA261" s="143"/>
      <c r="AB261" s="143"/>
      <c r="AC261" s="143"/>
      <c r="AD261" s="143"/>
      <c r="AE261" s="143"/>
      <c r="AF261" s="143"/>
      <c r="AG261" s="143"/>
      <c r="AH261" s="143"/>
      <c r="AI261" s="143"/>
      <c r="AJ261" s="143"/>
    </row>
    <row r="262" spans="1:36" ht="12.75" customHeight="1" x14ac:dyDescent="0.25">
      <c r="A262" s="143"/>
      <c r="B262" s="145"/>
      <c r="C262" s="146"/>
      <c r="D262" s="114"/>
      <c r="E262" s="148"/>
      <c r="F262" s="148"/>
      <c r="G262" s="114"/>
      <c r="H262" s="149"/>
      <c r="I262" s="143"/>
      <c r="J262" s="143"/>
      <c r="K262" s="143"/>
      <c r="L262" s="143"/>
      <c r="M262" s="150"/>
      <c r="N262" s="143"/>
      <c r="O262" s="1"/>
      <c r="P262" s="151"/>
      <c r="Q262" s="143"/>
      <c r="R262" s="143"/>
      <c r="S262" s="143"/>
      <c r="T262" s="143"/>
      <c r="U262" s="143"/>
      <c r="V262" s="143"/>
      <c r="W262" s="143"/>
      <c r="X262" s="143"/>
      <c r="Y262" s="143"/>
      <c r="Z262" s="143"/>
      <c r="AA262" s="143"/>
      <c r="AB262" s="143"/>
      <c r="AC262" s="143"/>
      <c r="AD262" s="143"/>
      <c r="AE262" s="143"/>
      <c r="AF262" s="143"/>
      <c r="AG262" s="143"/>
      <c r="AH262" s="143"/>
      <c r="AI262" s="143"/>
      <c r="AJ262" s="143"/>
    </row>
    <row r="263" spans="1:36" ht="12.75" customHeight="1" x14ac:dyDescent="0.25">
      <c r="A263" s="143"/>
      <c r="B263" s="145"/>
      <c r="C263" s="146"/>
      <c r="D263" s="114"/>
      <c r="E263" s="148"/>
      <c r="F263" s="148"/>
      <c r="G263" s="114"/>
      <c r="H263" s="149"/>
      <c r="I263" s="143"/>
      <c r="J263" s="143"/>
      <c r="K263" s="143"/>
      <c r="L263" s="143"/>
      <c r="M263" s="150"/>
      <c r="N263" s="143"/>
      <c r="O263" s="1"/>
      <c r="P263" s="151"/>
      <c r="Q263" s="143"/>
      <c r="R263" s="143"/>
      <c r="S263" s="143"/>
      <c r="T263" s="143"/>
      <c r="U263" s="143"/>
      <c r="V263" s="143"/>
      <c r="W263" s="143"/>
      <c r="X263" s="143"/>
      <c r="Y263" s="143"/>
      <c r="Z263" s="143"/>
      <c r="AA263" s="143"/>
      <c r="AB263" s="143"/>
      <c r="AC263" s="143"/>
      <c r="AD263" s="143"/>
      <c r="AE263" s="143"/>
      <c r="AF263" s="143"/>
      <c r="AG263" s="143"/>
      <c r="AH263" s="143"/>
      <c r="AI263" s="143"/>
      <c r="AJ263" s="143"/>
    </row>
    <row r="264" spans="1:36" ht="12.75" customHeight="1" x14ac:dyDescent="0.25">
      <c r="A264" s="143"/>
      <c r="B264" s="145"/>
      <c r="C264" s="146"/>
      <c r="D264" s="114"/>
      <c r="E264" s="148"/>
      <c r="F264" s="148"/>
      <c r="G264" s="114"/>
      <c r="H264" s="149"/>
      <c r="I264" s="143"/>
      <c r="J264" s="143"/>
      <c r="K264" s="143"/>
      <c r="L264" s="143"/>
      <c r="M264" s="150"/>
      <c r="N264" s="143"/>
      <c r="O264" s="1"/>
      <c r="P264" s="151"/>
      <c r="Q264" s="143"/>
      <c r="R264" s="143"/>
      <c r="S264" s="143"/>
      <c r="T264" s="143"/>
      <c r="U264" s="143"/>
      <c r="V264" s="143"/>
      <c r="W264" s="143"/>
      <c r="X264" s="143"/>
      <c r="Y264" s="143"/>
      <c r="Z264" s="143"/>
      <c r="AA264" s="143"/>
      <c r="AB264" s="143"/>
      <c r="AC264" s="143"/>
      <c r="AD264" s="143"/>
      <c r="AE264" s="143"/>
      <c r="AF264" s="143"/>
      <c r="AG264" s="143"/>
      <c r="AH264" s="143"/>
      <c r="AI264" s="143"/>
      <c r="AJ264" s="143"/>
    </row>
    <row r="265" spans="1:36" ht="12.75" customHeight="1" x14ac:dyDescent="0.25">
      <c r="A265" s="143"/>
      <c r="B265" s="145"/>
      <c r="C265" s="146"/>
      <c r="D265" s="114"/>
      <c r="E265" s="148"/>
      <c r="F265" s="148"/>
      <c r="G265" s="114"/>
      <c r="H265" s="149"/>
      <c r="I265" s="143"/>
      <c r="J265" s="143"/>
      <c r="K265" s="143"/>
      <c r="L265" s="143"/>
      <c r="M265" s="150"/>
      <c r="N265" s="143"/>
      <c r="O265" s="1"/>
      <c r="P265" s="151"/>
      <c r="Q265" s="143"/>
      <c r="R265" s="143"/>
      <c r="S265" s="143"/>
      <c r="T265" s="143"/>
      <c r="U265" s="143"/>
      <c r="V265" s="143"/>
      <c r="W265" s="143"/>
      <c r="X265" s="143"/>
      <c r="Y265" s="143"/>
      <c r="Z265" s="143"/>
      <c r="AA265" s="143"/>
      <c r="AB265" s="143"/>
      <c r="AC265" s="143"/>
      <c r="AD265" s="143"/>
      <c r="AE265" s="143"/>
      <c r="AF265" s="143"/>
      <c r="AG265" s="143"/>
      <c r="AH265" s="143"/>
      <c r="AI265" s="143"/>
      <c r="AJ265" s="143"/>
    </row>
    <row r="266" spans="1:36" ht="12.75" customHeight="1" x14ac:dyDescent="0.25">
      <c r="A266" s="143"/>
      <c r="B266" s="145"/>
      <c r="C266" s="146"/>
      <c r="D266" s="114"/>
      <c r="E266" s="148"/>
      <c r="F266" s="148"/>
      <c r="G266" s="114"/>
      <c r="H266" s="149"/>
      <c r="I266" s="143"/>
      <c r="J266" s="143"/>
      <c r="K266" s="143"/>
      <c r="L266" s="143"/>
      <c r="M266" s="150"/>
      <c r="N266" s="143"/>
      <c r="O266" s="1"/>
      <c r="P266" s="151"/>
      <c r="Q266" s="143"/>
      <c r="R266" s="143"/>
      <c r="S266" s="143"/>
      <c r="T266" s="143"/>
      <c r="U266" s="143"/>
      <c r="V266" s="143"/>
      <c r="W266" s="143"/>
      <c r="X266" s="143"/>
      <c r="Y266" s="143"/>
      <c r="Z266" s="143"/>
      <c r="AA266" s="143"/>
      <c r="AB266" s="143"/>
      <c r="AC266" s="143"/>
      <c r="AD266" s="143"/>
      <c r="AE266" s="143"/>
      <c r="AF266" s="143"/>
      <c r="AG266" s="143"/>
      <c r="AH266" s="143"/>
      <c r="AI266" s="143"/>
      <c r="AJ266" s="143"/>
    </row>
    <row r="267" spans="1:36" ht="12.75" customHeight="1" x14ac:dyDescent="0.25">
      <c r="A267" s="143"/>
      <c r="B267" s="145"/>
      <c r="C267" s="146"/>
      <c r="D267" s="114"/>
      <c r="E267" s="148"/>
      <c r="F267" s="148"/>
      <c r="G267" s="114"/>
      <c r="H267" s="149"/>
      <c r="I267" s="143"/>
      <c r="J267" s="143"/>
      <c r="K267" s="143"/>
      <c r="L267" s="143"/>
      <c r="M267" s="150"/>
      <c r="N267" s="143"/>
      <c r="O267" s="1"/>
      <c r="P267" s="151"/>
      <c r="Q267" s="143"/>
      <c r="R267" s="143"/>
      <c r="S267" s="143"/>
      <c r="T267" s="143"/>
      <c r="U267" s="143"/>
      <c r="V267" s="143"/>
      <c r="W267" s="143"/>
      <c r="X267" s="143"/>
      <c r="Y267" s="143"/>
      <c r="Z267" s="143"/>
      <c r="AA267" s="143"/>
      <c r="AB267" s="143"/>
      <c r="AC267" s="143"/>
      <c r="AD267" s="143"/>
      <c r="AE267" s="143"/>
      <c r="AF267" s="143"/>
      <c r="AG267" s="143"/>
      <c r="AH267" s="143"/>
      <c r="AI267" s="143"/>
      <c r="AJ267" s="143"/>
    </row>
    <row r="268" spans="1:36" ht="12.75" customHeight="1" x14ac:dyDescent="0.25">
      <c r="A268" s="143"/>
      <c r="B268" s="145"/>
      <c r="C268" s="146"/>
      <c r="D268" s="114"/>
      <c r="E268" s="148"/>
      <c r="F268" s="148"/>
      <c r="G268" s="114"/>
      <c r="H268" s="149"/>
      <c r="I268" s="143"/>
      <c r="J268" s="143"/>
      <c r="K268" s="143"/>
      <c r="L268" s="143"/>
      <c r="M268" s="150"/>
      <c r="N268" s="143"/>
      <c r="O268" s="1"/>
      <c r="P268" s="151"/>
      <c r="Q268" s="143"/>
      <c r="R268" s="143"/>
      <c r="S268" s="143"/>
      <c r="T268" s="143"/>
      <c r="U268" s="143"/>
      <c r="V268" s="143"/>
      <c r="W268" s="143"/>
      <c r="X268" s="143"/>
      <c r="Y268" s="143"/>
      <c r="Z268" s="143"/>
      <c r="AA268" s="143"/>
      <c r="AB268" s="143"/>
      <c r="AC268" s="143"/>
      <c r="AD268" s="143"/>
      <c r="AE268" s="143"/>
      <c r="AF268" s="143"/>
      <c r="AG268" s="143"/>
      <c r="AH268" s="143"/>
      <c r="AI268" s="143"/>
      <c r="AJ268" s="143"/>
    </row>
    <row r="269" spans="1:36" ht="12.75" customHeight="1" x14ac:dyDescent="0.25">
      <c r="A269" s="143"/>
      <c r="B269" s="145"/>
      <c r="C269" s="146"/>
      <c r="D269" s="114"/>
      <c r="E269" s="148"/>
      <c r="F269" s="148"/>
      <c r="G269" s="114"/>
      <c r="H269" s="149"/>
      <c r="I269" s="143"/>
      <c r="J269" s="143"/>
      <c r="K269" s="143"/>
      <c r="L269" s="143"/>
      <c r="M269" s="150"/>
      <c r="N269" s="143"/>
      <c r="O269" s="1"/>
      <c r="P269" s="151"/>
      <c r="Q269" s="143"/>
      <c r="R269" s="143"/>
      <c r="S269" s="143"/>
      <c r="T269" s="143"/>
      <c r="U269" s="143"/>
      <c r="V269" s="143"/>
      <c r="W269" s="143"/>
      <c r="X269" s="143"/>
      <c r="Y269" s="143"/>
      <c r="Z269" s="143"/>
      <c r="AA269" s="143"/>
      <c r="AB269" s="143"/>
      <c r="AC269" s="143"/>
      <c r="AD269" s="143"/>
      <c r="AE269" s="143"/>
      <c r="AF269" s="143"/>
      <c r="AG269" s="143"/>
      <c r="AH269" s="143"/>
      <c r="AI269" s="143"/>
      <c r="AJ269" s="143"/>
    </row>
    <row r="270" spans="1:36" ht="12.75" customHeight="1" x14ac:dyDescent="0.25">
      <c r="A270" s="143"/>
      <c r="B270" s="145"/>
      <c r="C270" s="146"/>
      <c r="D270" s="114"/>
      <c r="E270" s="148"/>
      <c r="F270" s="148"/>
      <c r="G270" s="114"/>
      <c r="H270" s="149"/>
      <c r="I270" s="143"/>
      <c r="J270" s="143"/>
      <c r="K270" s="143"/>
      <c r="L270" s="143"/>
      <c r="M270" s="150"/>
      <c r="N270" s="143"/>
      <c r="O270" s="1"/>
      <c r="P270" s="151"/>
      <c r="Q270" s="143"/>
      <c r="R270" s="143"/>
      <c r="S270" s="143"/>
      <c r="T270" s="143"/>
      <c r="U270" s="143"/>
      <c r="V270" s="143"/>
      <c r="W270" s="143"/>
      <c r="X270" s="143"/>
      <c r="Y270" s="143"/>
      <c r="Z270" s="143"/>
      <c r="AA270" s="143"/>
      <c r="AB270" s="143"/>
      <c r="AC270" s="143"/>
      <c r="AD270" s="143"/>
      <c r="AE270" s="143"/>
      <c r="AF270" s="143"/>
      <c r="AG270" s="143"/>
      <c r="AH270" s="143"/>
      <c r="AI270" s="143"/>
      <c r="AJ270" s="143"/>
    </row>
    <row r="271" spans="1:36" ht="12.75" customHeight="1" x14ac:dyDescent="0.25">
      <c r="A271" s="143"/>
      <c r="B271" s="145"/>
      <c r="C271" s="146"/>
      <c r="D271" s="114"/>
      <c r="E271" s="148"/>
      <c r="F271" s="148"/>
      <c r="G271" s="114"/>
      <c r="H271" s="149"/>
      <c r="I271" s="143"/>
      <c r="J271" s="143"/>
      <c r="K271" s="143"/>
      <c r="L271" s="143"/>
      <c r="M271" s="150"/>
      <c r="N271" s="143"/>
      <c r="O271" s="1"/>
      <c r="P271" s="151"/>
      <c r="Q271" s="143"/>
      <c r="R271" s="143"/>
      <c r="S271" s="143"/>
      <c r="T271" s="143"/>
      <c r="U271" s="143"/>
      <c r="V271" s="143"/>
      <c r="W271" s="143"/>
      <c r="X271" s="143"/>
      <c r="Y271" s="143"/>
      <c r="Z271" s="143"/>
      <c r="AA271" s="143"/>
      <c r="AB271" s="143"/>
      <c r="AC271" s="143"/>
      <c r="AD271" s="143"/>
      <c r="AE271" s="143"/>
      <c r="AF271" s="143"/>
      <c r="AG271" s="143"/>
      <c r="AH271" s="143"/>
      <c r="AI271" s="143"/>
      <c r="AJ271" s="143"/>
    </row>
    <row r="272" spans="1:36" ht="12.75" customHeight="1" x14ac:dyDescent="0.25">
      <c r="A272" s="143"/>
      <c r="B272" s="145"/>
      <c r="C272" s="146"/>
      <c r="D272" s="114"/>
      <c r="E272" s="148"/>
      <c r="F272" s="148"/>
      <c r="G272" s="114"/>
      <c r="H272" s="149"/>
      <c r="I272" s="143"/>
      <c r="J272" s="143"/>
      <c r="K272" s="143"/>
      <c r="L272" s="143"/>
      <c r="M272" s="150"/>
      <c r="N272" s="143"/>
      <c r="O272" s="1"/>
      <c r="P272" s="151"/>
      <c r="Q272" s="143"/>
      <c r="R272" s="143"/>
      <c r="S272" s="143"/>
      <c r="T272" s="143"/>
      <c r="U272" s="143"/>
      <c r="V272" s="143"/>
      <c r="W272" s="143"/>
      <c r="X272" s="143"/>
      <c r="Y272" s="143"/>
      <c r="Z272" s="143"/>
      <c r="AA272" s="143"/>
      <c r="AB272" s="143"/>
      <c r="AC272" s="143"/>
      <c r="AD272" s="143"/>
      <c r="AE272" s="143"/>
      <c r="AF272" s="143"/>
      <c r="AG272" s="143"/>
      <c r="AH272" s="143"/>
      <c r="AI272" s="143"/>
      <c r="AJ272" s="143"/>
    </row>
    <row r="273" spans="1:36" ht="12.75" customHeight="1" x14ac:dyDescent="0.25">
      <c r="A273" s="143"/>
      <c r="B273" s="145"/>
      <c r="C273" s="146"/>
      <c r="D273" s="114"/>
      <c r="E273" s="148"/>
      <c r="F273" s="148"/>
      <c r="G273" s="114"/>
      <c r="H273" s="149"/>
      <c r="I273" s="143"/>
      <c r="J273" s="143"/>
      <c r="K273" s="143"/>
      <c r="L273" s="143"/>
      <c r="M273" s="150"/>
      <c r="N273" s="143"/>
      <c r="O273" s="1"/>
      <c r="P273" s="151"/>
      <c r="Q273" s="143"/>
      <c r="R273" s="143"/>
      <c r="S273" s="143"/>
      <c r="T273" s="143"/>
      <c r="U273" s="143"/>
      <c r="V273" s="143"/>
      <c r="W273" s="143"/>
      <c r="X273" s="143"/>
      <c r="Y273" s="143"/>
      <c r="Z273" s="143"/>
      <c r="AA273" s="143"/>
      <c r="AB273" s="143"/>
      <c r="AC273" s="143"/>
      <c r="AD273" s="143"/>
      <c r="AE273" s="143"/>
      <c r="AF273" s="143"/>
      <c r="AG273" s="143"/>
      <c r="AH273" s="143"/>
      <c r="AI273" s="143"/>
      <c r="AJ273" s="143"/>
    </row>
    <row r="274" spans="1:36" ht="12.75" customHeight="1" x14ac:dyDescent="0.25">
      <c r="A274" s="143"/>
      <c r="B274" s="145"/>
      <c r="C274" s="146"/>
      <c r="D274" s="114"/>
      <c r="E274" s="148"/>
      <c r="F274" s="148"/>
      <c r="G274" s="114"/>
      <c r="H274" s="149"/>
      <c r="I274" s="143"/>
      <c r="J274" s="143"/>
      <c r="K274" s="143"/>
      <c r="L274" s="143"/>
      <c r="M274" s="150"/>
      <c r="N274" s="143"/>
      <c r="O274" s="1"/>
      <c r="P274" s="151"/>
      <c r="Q274" s="143"/>
      <c r="R274" s="143"/>
      <c r="S274" s="143"/>
      <c r="T274" s="143"/>
      <c r="U274" s="143"/>
      <c r="V274" s="143"/>
      <c r="W274" s="143"/>
      <c r="X274" s="143"/>
      <c r="Y274" s="143"/>
      <c r="Z274" s="143"/>
      <c r="AA274" s="143"/>
      <c r="AB274" s="143"/>
      <c r="AC274" s="143"/>
      <c r="AD274" s="143"/>
      <c r="AE274" s="143"/>
      <c r="AF274" s="143"/>
      <c r="AG274" s="143"/>
      <c r="AH274" s="143"/>
      <c r="AI274" s="143"/>
      <c r="AJ274" s="143"/>
    </row>
    <row r="275" spans="1:36" ht="12.75" customHeight="1" x14ac:dyDescent="0.25">
      <c r="A275" s="143"/>
      <c r="B275" s="145"/>
      <c r="C275" s="146"/>
      <c r="D275" s="114"/>
      <c r="E275" s="148"/>
      <c r="F275" s="148"/>
      <c r="G275" s="114"/>
      <c r="H275" s="149"/>
      <c r="I275" s="143"/>
      <c r="J275" s="143"/>
      <c r="K275" s="143"/>
      <c r="L275" s="143"/>
      <c r="M275" s="150"/>
      <c r="N275" s="143"/>
      <c r="O275" s="1"/>
      <c r="P275" s="151"/>
      <c r="Q275" s="143"/>
      <c r="R275" s="143"/>
      <c r="S275" s="143"/>
      <c r="T275" s="143"/>
      <c r="U275" s="143"/>
      <c r="V275" s="143"/>
      <c r="W275" s="143"/>
      <c r="X275" s="143"/>
      <c r="Y275" s="143"/>
      <c r="Z275" s="143"/>
      <c r="AA275" s="143"/>
      <c r="AB275" s="143"/>
      <c r="AC275" s="143"/>
      <c r="AD275" s="143"/>
      <c r="AE275" s="143"/>
      <c r="AF275" s="143"/>
      <c r="AG275" s="143"/>
      <c r="AH275" s="143"/>
      <c r="AI275" s="143"/>
      <c r="AJ275" s="143"/>
    </row>
    <row r="276" spans="1:36" ht="12.75" customHeight="1" x14ac:dyDescent="0.25">
      <c r="A276" s="143"/>
      <c r="B276" s="145"/>
      <c r="C276" s="146"/>
      <c r="D276" s="114"/>
      <c r="E276" s="148"/>
      <c r="F276" s="148"/>
      <c r="G276" s="114"/>
      <c r="H276" s="149"/>
      <c r="I276" s="143"/>
      <c r="J276" s="143"/>
      <c r="K276" s="143"/>
      <c r="L276" s="143"/>
      <c r="M276" s="150"/>
      <c r="N276" s="143"/>
      <c r="O276" s="1"/>
      <c r="P276" s="151"/>
      <c r="Q276" s="143"/>
      <c r="R276" s="143"/>
      <c r="S276" s="143"/>
      <c r="T276" s="143"/>
      <c r="U276" s="143"/>
      <c r="V276" s="143"/>
      <c r="W276" s="143"/>
      <c r="X276" s="143"/>
      <c r="Y276" s="143"/>
      <c r="Z276" s="143"/>
      <c r="AA276" s="143"/>
      <c r="AB276" s="143"/>
      <c r="AC276" s="143"/>
      <c r="AD276" s="143"/>
      <c r="AE276" s="143"/>
      <c r="AF276" s="143"/>
      <c r="AG276" s="143"/>
      <c r="AH276" s="143"/>
      <c r="AI276" s="143"/>
      <c r="AJ276" s="143"/>
    </row>
    <row r="277" spans="1:36" ht="12.75" customHeight="1" x14ac:dyDescent="0.25">
      <c r="A277" s="143"/>
      <c r="B277" s="145"/>
      <c r="C277" s="146"/>
      <c r="D277" s="114"/>
      <c r="E277" s="148"/>
      <c r="F277" s="148"/>
      <c r="G277" s="114"/>
      <c r="H277" s="149"/>
      <c r="I277" s="143"/>
      <c r="J277" s="143"/>
      <c r="K277" s="143"/>
      <c r="L277" s="143"/>
      <c r="M277" s="150"/>
      <c r="N277" s="143"/>
      <c r="O277" s="1"/>
      <c r="P277" s="151"/>
      <c r="Q277" s="143"/>
      <c r="R277" s="143"/>
      <c r="S277" s="143"/>
      <c r="T277" s="143"/>
      <c r="U277" s="143"/>
      <c r="V277" s="143"/>
      <c r="W277" s="143"/>
      <c r="X277" s="143"/>
      <c r="Y277" s="143"/>
      <c r="Z277" s="143"/>
      <c r="AA277" s="143"/>
      <c r="AB277" s="143"/>
      <c r="AC277" s="143"/>
      <c r="AD277" s="143"/>
      <c r="AE277" s="143"/>
      <c r="AF277" s="143"/>
      <c r="AG277" s="143"/>
      <c r="AH277" s="143"/>
      <c r="AI277" s="143"/>
      <c r="AJ277" s="143"/>
    </row>
    <row r="278" spans="1:36" ht="12.75" customHeight="1" x14ac:dyDescent="0.25">
      <c r="A278" s="143"/>
      <c r="B278" s="145"/>
      <c r="C278" s="146"/>
      <c r="D278" s="114"/>
      <c r="E278" s="148"/>
      <c r="F278" s="148"/>
      <c r="G278" s="114"/>
      <c r="H278" s="149"/>
      <c r="I278" s="143"/>
      <c r="J278" s="143"/>
      <c r="K278" s="143"/>
      <c r="L278" s="143"/>
      <c r="M278" s="150"/>
      <c r="N278" s="143"/>
      <c r="O278" s="1"/>
      <c r="P278" s="151"/>
      <c r="Q278" s="143"/>
      <c r="R278" s="143"/>
      <c r="S278" s="143"/>
      <c r="T278" s="143"/>
      <c r="U278" s="143"/>
      <c r="V278" s="143"/>
      <c r="W278" s="143"/>
      <c r="X278" s="143"/>
      <c r="Y278" s="143"/>
      <c r="Z278" s="143"/>
      <c r="AA278" s="143"/>
      <c r="AB278" s="143"/>
      <c r="AC278" s="143"/>
      <c r="AD278" s="143"/>
      <c r="AE278" s="143"/>
      <c r="AF278" s="143"/>
      <c r="AG278" s="143"/>
      <c r="AH278" s="143"/>
      <c r="AI278" s="143"/>
      <c r="AJ278" s="143"/>
    </row>
    <row r="279" spans="1:36" ht="12.75" customHeight="1" x14ac:dyDescent="0.25">
      <c r="A279" s="143"/>
      <c r="B279" s="145"/>
      <c r="C279" s="146"/>
      <c r="D279" s="114"/>
      <c r="E279" s="148"/>
      <c r="F279" s="148"/>
      <c r="G279" s="114"/>
      <c r="H279" s="149"/>
      <c r="I279" s="143"/>
      <c r="J279" s="143"/>
      <c r="K279" s="143"/>
      <c r="L279" s="143"/>
      <c r="M279" s="150"/>
      <c r="N279" s="143"/>
      <c r="O279" s="1"/>
      <c r="P279" s="151"/>
      <c r="Q279" s="143"/>
      <c r="R279" s="143"/>
      <c r="S279" s="143"/>
      <c r="T279" s="143"/>
      <c r="U279" s="143"/>
      <c r="V279" s="143"/>
      <c r="W279" s="143"/>
      <c r="X279" s="143"/>
      <c r="Y279" s="143"/>
      <c r="Z279" s="143"/>
      <c r="AA279" s="143"/>
      <c r="AB279" s="143"/>
      <c r="AC279" s="143"/>
      <c r="AD279" s="143"/>
      <c r="AE279" s="143"/>
      <c r="AF279" s="143"/>
      <c r="AG279" s="143"/>
      <c r="AH279" s="143"/>
      <c r="AI279" s="143"/>
      <c r="AJ279" s="143"/>
    </row>
    <row r="280" spans="1:36" ht="12.75" customHeight="1" x14ac:dyDescent="0.25">
      <c r="A280" s="143"/>
      <c r="B280" s="145"/>
      <c r="C280" s="146"/>
      <c r="D280" s="114"/>
      <c r="E280" s="148"/>
      <c r="F280" s="148"/>
      <c r="G280" s="114"/>
      <c r="H280" s="149"/>
      <c r="I280" s="143"/>
      <c r="J280" s="143"/>
      <c r="K280" s="143"/>
      <c r="L280" s="143"/>
      <c r="M280" s="150"/>
      <c r="N280" s="143"/>
      <c r="O280" s="1"/>
      <c r="P280" s="151"/>
      <c r="Q280" s="143"/>
      <c r="R280" s="143"/>
      <c r="S280" s="143"/>
      <c r="T280" s="143"/>
      <c r="U280" s="143"/>
      <c r="V280" s="143"/>
      <c r="W280" s="143"/>
      <c r="X280" s="143"/>
      <c r="Y280" s="143"/>
      <c r="Z280" s="143"/>
      <c r="AA280" s="143"/>
      <c r="AB280" s="143"/>
      <c r="AC280" s="143"/>
      <c r="AD280" s="143"/>
      <c r="AE280" s="143"/>
      <c r="AF280" s="143"/>
      <c r="AG280" s="143"/>
      <c r="AH280" s="143"/>
      <c r="AI280" s="143"/>
      <c r="AJ280" s="143"/>
    </row>
    <row r="281" spans="1:36" ht="12.75" customHeight="1" x14ac:dyDescent="0.25">
      <c r="A281" s="143"/>
      <c r="B281" s="145"/>
      <c r="C281" s="146"/>
      <c r="D281" s="114"/>
      <c r="E281" s="148"/>
      <c r="F281" s="148"/>
      <c r="G281" s="114"/>
      <c r="H281" s="149"/>
      <c r="I281" s="143"/>
      <c r="J281" s="143"/>
      <c r="K281" s="143"/>
      <c r="L281" s="143"/>
      <c r="M281" s="150"/>
      <c r="N281" s="143"/>
      <c r="O281" s="1"/>
      <c r="P281" s="151"/>
      <c r="Q281" s="143"/>
      <c r="R281" s="143"/>
      <c r="S281" s="143"/>
      <c r="T281" s="143"/>
      <c r="U281" s="143"/>
      <c r="V281" s="143"/>
      <c r="W281" s="143"/>
      <c r="X281" s="143"/>
      <c r="Y281" s="143"/>
      <c r="Z281" s="143"/>
      <c r="AA281" s="143"/>
      <c r="AB281" s="143"/>
      <c r="AC281" s="143"/>
      <c r="AD281" s="143"/>
      <c r="AE281" s="143"/>
      <c r="AF281" s="143"/>
      <c r="AG281" s="143"/>
      <c r="AH281" s="143"/>
      <c r="AI281" s="143"/>
      <c r="AJ281" s="143"/>
    </row>
    <row r="282" spans="1:36" ht="12.75" customHeight="1" x14ac:dyDescent="0.25">
      <c r="A282" s="143"/>
      <c r="B282" s="145"/>
      <c r="C282" s="146"/>
      <c r="D282" s="114"/>
      <c r="E282" s="148"/>
      <c r="F282" s="148"/>
      <c r="G282" s="114"/>
      <c r="H282" s="149"/>
      <c r="I282" s="143"/>
      <c r="J282" s="143"/>
      <c r="K282" s="143"/>
      <c r="L282" s="143"/>
      <c r="M282" s="150"/>
      <c r="N282" s="143"/>
      <c r="O282" s="1"/>
      <c r="P282" s="151"/>
      <c r="Q282" s="143"/>
      <c r="R282" s="143"/>
      <c r="S282" s="143"/>
      <c r="T282" s="143"/>
      <c r="U282" s="143"/>
      <c r="V282" s="143"/>
      <c r="W282" s="143"/>
      <c r="X282" s="143"/>
      <c r="Y282" s="143"/>
      <c r="Z282" s="143"/>
      <c r="AA282" s="143"/>
      <c r="AB282" s="143"/>
      <c r="AC282" s="143"/>
      <c r="AD282" s="143"/>
      <c r="AE282" s="143"/>
      <c r="AF282" s="143"/>
      <c r="AG282" s="143"/>
      <c r="AH282" s="143"/>
      <c r="AI282" s="143"/>
      <c r="AJ282" s="143"/>
    </row>
    <row r="283" spans="1:36" ht="12.75" customHeight="1" x14ac:dyDescent="0.25">
      <c r="A283" s="143"/>
      <c r="B283" s="145"/>
      <c r="C283" s="146"/>
      <c r="D283" s="114"/>
      <c r="E283" s="148"/>
      <c r="F283" s="148"/>
      <c r="G283" s="114"/>
      <c r="H283" s="149"/>
      <c r="I283" s="143"/>
      <c r="J283" s="143"/>
      <c r="K283" s="143"/>
      <c r="L283" s="143"/>
      <c r="M283" s="150"/>
      <c r="N283" s="143"/>
      <c r="O283" s="1"/>
      <c r="P283" s="151"/>
      <c r="Q283" s="143"/>
      <c r="R283" s="143"/>
      <c r="S283" s="143"/>
      <c r="T283" s="143"/>
      <c r="U283" s="143"/>
      <c r="V283" s="143"/>
      <c r="W283" s="143"/>
      <c r="X283" s="143"/>
      <c r="Y283" s="143"/>
      <c r="Z283" s="143"/>
      <c r="AA283" s="143"/>
      <c r="AB283" s="143"/>
      <c r="AC283" s="143"/>
      <c r="AD283" s="143"/>
      <c r="AE283" s="143"/>
      <c r="AF283" s="143"/>
      <c r="AG283" s="143"/>
      <c r="AH283" s="143"/>
      <c r="AI283" s="143"/>
      <c r="AJ283" s="143"/>
    </row>
    <row r="284" spans="1:36" ht="12.75" customHeight="1" x14ac:dyDescent="0.25">
      <c r="A284" s="143"/>
      <c r="B284" s="145"/>
      <c r="C284" s="146"/>
      <c r="D284" s="114"/>
      <c r="E284" s="148"/>
      <c r="F284" s="148"/>
      <c r="G284" s="114"/>
      <c r="H284" s="149"/>
      <c r="I284" s="143"/>
      <c r="J284" s="143"/>
      <c r="K284" s="143"/>
      <c r="L284" s="143"/>
      <c r="M284" s="150"/>
      <c r="N284" s="143"/>
      <c r="O284" s="1"/>
      <c r="P284" s="151"/>
      <c r="Q284" s="143"/>
      <c r="R284" s="143"/>
      <c r="S284" s="143"/>
      <c r="T284" s="143"/>
      <c r="U284" s="143"/>
      <c r="V284" s="143"/>
      <c r="W284" s="143"/>
      <c r="X284" s="143"/>
      <c r="Y284" s="143"/>
      <c r="Z284" s="143"/>
      <c r="AA284" s="143"/>
      <c r="AB284" s="143"/>
      <c r="AC284" s="143"/>
      <c r="AD284" s="143"/>
      <c r="AE284" s="143"/>
      <c r="AF284" s="143"/>
      <c r="AG284" s="143"/>
      <c r="AH284" s="143"/>
      <c r="AI284" s="143"/>
      <c r="AJ284" s="143"/>
    </row>
    <row r="285" spans="1:36" ht="12.75" customHeight="1" x14ac:dyDescent="0.25">
      <c r="A285" s="143"/>
      <c r="B285" s="145"/>
      <c r="C285" s="146"/>
      <c r="D285" s="114"/>
      <c r="E285" s="148"/>
      <c r="F285" s="148"/>
      <c r="G285" s="114"/>
      <c r="H285" s="149"/>
      <c r="I285" s="143"/>
      <c r="J285" s="143"/>
      <c r="K285" s="143"/>
      <c r="L285" s="143"/>
      <c r="M285" s="150"/>
      <c r="N285" s="143"/>
      <c r="O285" s="1"/>
      <c r="P285" s="151"/>
      <c r="Q285" s="143"/>
      <c r="R285" s="143"/>
      <c r="S285" s="143"/>
      <c r="T285" s="143"/>
      <c r="U285" s="143"/>
      <c r="V285" s="143"/>
      <c r="W285" s="143"/>
      <c r="X285" s="143"/>
      <c r="Y285" s="143"/>
      <c r="Z285" s="143"/>
      <c r="AA285" s="143"/>
      <c r="AB285" s="143"/>
      <c r="AC285" s="143"/>
      <c r="AD285" s="143"/>
      <c r="AE285" s="143"/>
      <c r="AF285" s="143"/>
      <c r="AG285" s="143"/>
      <c r="AH285" s="143"/>
      <c r="AI285" s="143"/>
      <c r="AJ285" s="143"/>
    </row>
    <row r="286" spans="1:36" ht="12.75" customHeight="1" x14ac:dyDescent="0.25">
      <c r="A286" s="143"/>
      <c r="B286" s="145"/>
      <c r="C286" s="146"/>
      <c r="D286" s="114"/>
      <c r="E286" s="148"/>
      <c r="F286" s="148"/>
      <c r="G286" s="114"/>
      <c r="H286" s="149"/>
      <c r="I286" s="143"/>
      <c r="J286" s="143"/>
      <c r="K286" s="143"/>
      <c r="L286" s="143"/>
      <c r="M286" s="150"/>
      <c r="N286" s="143"/>
      <c r="O286" s="1"/>
      <c r="P286" s="151"/>
      <c r="Q286" s="143"/>
      <c r="R286" s="143"/>
      <c r="S286" s="143"/>
      <c r="T286" s="143"/>
      <c r="U286" s="143"/>
      <c r="V286" s="143"/>
      <c r="W286" s="143"/>
      <c r="X286" s="143"/>
      <c r="Y286" s="143"/>
      <c r="Z286" s="143"/>
      <c r="AA286" s="143"/>
      <c r="AB286" s="143"/>
      <c r="AC286" s="143"/>
      <c r="AD286" s="143"/>
      <c r="AE286" s="143"/>
      <c r="AF286" s="143"/>
      <c r="AG286" s="143"/>
      <c r="AH286" s="143"/>
      <c r="AI286" s="143"/>
      <c r="AJ286" s="143"/>
    </row>
    <row r="287" spans="1:36" ht="12.75" customHeight="1" x14ac:dyDescent="0.25">
      <c r="A287" s="143"/>
      <c r="B287" s="145"/>
      <c r="C287" s="146"/>
      <c r="D287" s="114"/>
      <c r="E287" s="148"/>
      <c r="F287" s="148"/>
      <c r="G287" s="114"/>
      <c r="H287" s="149"/>
      <c r="I287" s="143"/>
      <c r="J287" s="143"/>
      <c r="K287" s="143"/>
      <c r="L287" s="143"/>
      <c r="M287" s="150"/>
      <c r="N287" s="143"/>
      <c r="O287" s="1"/>
      <c r="P287" s="151"/>
      <c r="Q287" s="143"/>
      <c r="R287" s="143"/>
      <c r="S287" s="143"/>
      <c r="T287" s="143"/>
      <c r="U287" s="143"/>
      <c r="V287" s="143"/>
      <c r="W287" s="143"/>
      <c r="X287" s="143"/>
      <c r="Y287" s="143"/>
      <c r="Z287" s="143"/>
      <c r="AA287" s="143"/>
      <c r="AB287" s="143"/>
      <c r="AC287" s="143"/>
      <c r="AD287" s="143"/>
      <c r="AE287" s="143"/>
      <c r="AF287" s="143"/>
      <c r="AG287" s="143"/>
      <c r="AH287" s="143"/>
      <c r="AI287" s="143"/>
      <c r="AJ287" s="143"/>
    </row>
    <row r="288" spans="1:36" ht="12.75" customHeight="1" x14ac:dyDescent="0.25">
      <c r="A288" s="143"/>
      <c r="B288" s="145"/>
      <c r="C288" s="146"/>
      <c r="D288" s="114"/>
      <c r="E288" s="148"/>
      <c r="F288" s="148"/>
      <c r="G288" s="114"/>
      <c r="H288" s="149"/>
      <c r="I288" s="143"/>
      <c r="J288" s="143"/>
      <c r="K288" s="143"/>
      <c r="L288" s="143"/>
      <c r="M288" s="150"/>
      <c r="N288" s="143"/>
      <c r="O288" s="1"/>
      <c r="P288" s="151"/>
      <c r="Q288" s="143"/>
      <c r="R288" s="143"/>
      <c r="S288" s="143"/>
      <c r="T288" s="143"/>
      <c r="U288" s="143"/>
      <c r="V288" s="143"/>
      <c r="W288" s="143"/>
      <c r="X288" s="143"/>
      <c r="Y288" s="143"/>
      <c r="Z288" s="143"/>
      <c r="AA288" s="143"/>
      <c r="AB288" s="143"/>
      <c r="AC288" s="143"/>
      <c r="AD288" s="143"/>
      <c r="AE288" s="143"/>
      <c r="AF288" s="143"/>
      <c r="AG288" s="143"/>
      <c r="AH288" s="143"/>
      <c r="AI288" s="143"/>
      <c r="AJ288" s="143"/>
    </row>
    <row r="289" spans="1:36" ht="12.75" customHeight="1" x14ac:dyDescent="0.25">
      <c r="A289" s="143"/>
      <c r="B289" s="145"/>
      <c r="C289" s="146"/>
      <c r="D289" s="114"/>
      <c r="E289" s="148"/>
      <c r="F289" s="148"/>
      <c r="G289" s="114"/>
      <c r="H289" s="149"/>
      <c r="I289" s="143"/>
      <c r="J289" s="143"/>
      <c r="K289" s="143"/>
      <c r="L289" s="143"/>
      <c r="M289" s="150"/>
      <c r="N289" s="143"/>
      <c r="O289" s="1"/>
      <c r="P289" s="151"/>
      <c r="Q289" s="143"/>
      <c r="R289" s="143"/>
      <c r="S289" s="143"/>
      <c r="T289" s="143"/>
      <c r="U289" s="143"/>
      <c r="V289" s="143"/>
      <c r="W289" s="143"/>
      <c r="X289" s="143"/>
      <c r="Y289" s="143"/>
      <c r="Z289" s="143"/>
      <c r="AA289" s="143"/>
      <c r="AB289" s="143"/>
      <c r="AC289" s="143"/>
      <c r="AD289" s="143"/>
      <c r="AE289" s="143"/>
      <c r="AF289" s="143"/>
      <c r="AG289" s="143"/>
      <c r="AH289" s="143"/>
      <c r="AI289" s="143"/>
      <c r="AJ289" s="143"/>
    </row>
    <row r="290" spans="1:36" ht="12.75" customHeight="1" x14ac:dyDescent="0.25">
      <c r="A290" s="143"/>
      <c r="B290" s="145"/>
      <c r="C290" s="146"/>
      <c r="D290" s="114"/>
      <c r="E290" s="148"/>
      <c r="F290" s="148"/>
      <c r="G290" s="114"/>
      <c r="H290" s="149"/>
      <c r="I290" s="143"/>
      <c r="J290" s="143"/>
      <c r="K290" s="143"/>
      <c r="L290" s="143"/>
      <c r="M290" s="150"/>
      <c r="N290" s="143"/>
      <c r="O290" s="1"/>
      <c r="P290" s="151"/>
      <c r="Q290" s="143"/>
      <c r="R290" s="143"/>
      <c r="S290" s="143"/>
      <c r="T290" s="143"/>
      <c r="U290" s="143"/>
      <c r="V290" s="143"/>
      <c r="W290" s="143"/>
      <c r="X290" s="143"/>
      <c r="Y290" s="143"/>
      <c r="Z290" s="143"/>
      <c r="AA290" s="143"/>
      <c r="AB290" s="143"/>
      <c r="AC290" s="143"/>
      <c r="AD290" s="143"/>
      <c r="AE290" s="143"/>
      <c r="AF290" s="143"/>
      <c r="AG290" s="143"/>
      <c r="AH290" s="143"/>
      <c r="AI290" s="143"/>
      <c r="AJ290" s="143"/>
    </row>
    <row r="291" spans="1:36" ht="12.75" customHeight="1" x14ac:dyDescent="0.25">
      <c r="A291" s="143"/>
      <c r="B291" s="145"/>
      <c r="C291" s="146"/>
      <c r="D291" s="114"/>
      <c r="E291" s="148"/>
      <c r="F291" s="148"/>
      <c r="G291" s="114"/>
      <c r="H291" s="149"/>
      <c r="I291" s="143"/>
      <c r="J291" s="143"/>
      <c r="K291" s="143"/>
      <c r="L291" s="143"/>
      <c r="M291" s="150"/>
      <c r="N291" s="143"/>
      <c r="O291" s="1"/>
      <c r="P291" s="151"/>
      <c r="Q291" s="143"/>
      <c r="R291" s="143"/>
      <c r="S291" s="143"/>
      <c r="T291" s="143"/>
      <c r="U291" s="143"/>
      <c r="V291" s="143"/>
      <c r="W291" s="143"/>
      <c r="X291" s="143"/>
      <c r="Y291" s="143"/>
      <c r="Z291" s="143"/>
      <c r="AA291" s="143"/>
      <c r="AB291" s="143"/>
      <c r="AC291" s="143"/>
      <c r="AD291" s="143"/>
      <c r="AE291" s="143"/>
      <c r="AF291" s="143"/>
      <c r="AG291" s="143"/>
      <c r="AH291" s="143"/>
      <c r="AI291" s="143"/>
      <c r="AJ291" s="143"/>
    </row>
    <row r="292" spans="1:36" ht="12.75" customHeight="1" x14ac:dyDescent="0.25">
      <c r="A292" s="143"/>
      <c r="B292" s="145"/>
      <c r="C292" s="146"/>
      <c r="D292" s="114"/>
      <c r="E292" s="148"/>
      <c r="F292" s="148"/>
      <c r="G292" s="114"/>
      <c r="H292" s="149"/>
      <c r="I292" s="143"/>
      <c r="J292" s="143"/>
      <c r="K292" s="143"/>
      <c r="L292" s="143"/>
      <c r="M292" s="150"/>
      <c r="N292" s="143"/>
      <c r="O292" s="1"/>
      <c r="P292" s="151"/>
      <c r="Q292" s="143"/>
      <c r="R292" s="143"/>
      <c r="S292" s="143"/>
      <c r="T292" s="143"/>
      <c r="U292" s="143"/>
      <c r="V292" s="143"/>
      <c r="W292" s="143"/>
      <c r="X292" s="143"/>
      <c r="Y292" s="143"/>
      <c r="Z292" s="143"/>
      <c r="AA292" s="143"/>
      <c r="AB292" s="143"/>
      <c r="AC292" s="143"/>
      <c r="AD292" s="143"/>
      <c r="AE292" s="143"/>
      <c r="AF292" s="143"/>
      <c r="AG292" s="143"/>
      <c r="AH292" s="143"/>
      <c r="AI292" s="143"/>
      <c r="AJ292" s="143"/>
    </row>
    <row r="293" spans="1:36" ht="12.75" customHeight="1" x14ac:dyDescent="0.25">
      <c r="A293" s="143"/>
      <c r="B293" s="145"/>
      <c r="C293" s="146"/>
      <c r="D293" s="114"/>
      <c r="E293" s="148"/>
      <c r="F293" s="148"/>
      <c r="G293" s="114"/>
      <c r="H293" s="149"/>
      <c r="I293" s="143"/>
      <c r="J293" s="143"/>
      <c r="K293" s="143"/>
      <c r="L293" s="143"/>
      <c r="M293" s="150"/>
      <c r="N293" s="143"/>
      <c r="O293" s="1"/>
      <c r="P293" s="151"/>
      <c r="Q293" s="143"/>
      <c r="R293" s="143"/>
      <c r="S293" s="143"/>
      <c r="T293" s="143"/>
      <c r="U293" s="143"/>
      <c r="V293" s="143"/>
      <c r="W293" s="143"/>
      <c r="X293" s="143"/>
      <c r="Y293" s="143"/>
      <c r="Z293" s="143"/>
      <c r="AA293" s="143"/>
      <c r="AB293" s="143"/>
      <c r="AC293" s="143"/>
      <c r="AD293" s="143"/>
      <c r="AE293" s="143"/>
      <c r="AF293" s="143"/>
      <c r="AG293" s="143"/>
      <c r="AH293" s="143"/>
      <c r="AI293" s="143"/>
      <c r="AJ293" s="143"/>
    </row>
    <row r="294" spans="1:36" ht="12.75" customHeight="1" x14ac:dyDescent="0.25">
      <c r="A294" s="143"/>
      <c r="B294" s="145"/>
      <c r="C294" s="146"/>
      <c r="D294" s="114"/>
      <c r="E294" s="148"/>
      <c r="F294" s="148"/>
      <c r="G294" s="114"/>
      <c r="H294" s="149"/>
      <c r="I294" s="143"/>
      <c r="J294" s="143"/>
      <c r="K294" s="143"/>
      <c r="L294" s="143"/>
      <c r="M294" s="150"/>
      <c r="N294" s="143"/>
      <c r="O294" s="1"/>
      <c r="P294" s="151"/>
      <c r="Q294" s="143"/>
      <c r="R294" s="143"/>
      <c r="S294" s="143"/>
      <c r="T294" s="143"/>
      <c r="U294" s="143"/>
      <c r="V294" s="143"/>
      <c r="W294" s="143"/>
      <c r="X294" s="143"/>
      <c r="Y294" s="143"/>
      <c r="Z294" s="143"/>
      <c r="AA294" s="143"/>
      <c r="AB294" s="143"/>
      <c r="AC294" s="143"/>
      <c r="AD294" s="143"/>
      <c r="AE294" s="143"/>
      <c r="AF294" s="143"/>
      <c r="AG294" s="143"/>
      <c r="AH294" s="143"/>
      <c r="AI294" s="143"/>
      <c r="AJ294" s="143"/>
    </row>
    <row r="295" spans="1:36" ht="12.75" customHeight="1" x14ac:dyDescent="0.25">
      <c r="A295" s="143"/>
      <c r="B295" s="145"/>
      <c r="C295" s="146"/>
      <c r="D295" s="114"/>
      <c r="E295" s="148"/>
      <c r="F295" s="148"/>
      <c r="G295" s="114"/>
      <c r="H295" s="149"/>
      <c r="I295" s="143"/>
      <c r="J295" s="143"/>
      <c r="K295" s="143"/>
      <c r="L295" s="143"/>
      <c r="M295" s="150"/>
      <c r="N295" s="143"/>
      <c r="O295" s="1"/>
      <c r="P295" s="151"/>
      <c r="Q295" s="143"/>
      <c r="R295" s="143"/>
      <c r="S295" s="143"/>
      <c r="T295" s="143"/>
      <c r="U295" s="143"/>
      <c r="V295" s="143"/>
      <c r="W295" s="143"/>
      <c r="X295" s="143"/>
      <c r="Y295" s="143"/>
      <c r="Z295" s="143"/>
      <c r="AA295" s="143"/>
      <c r="AB295" s="143"/>
      <c r="AC295" s="143"/>
      <c r="AD295" s="143"/>
      <c r="AE295" s="143"/>
      <c r="AF295" s="143"/>
      <c r="AG295" s="143"/>
      <c r="AH295" s="143"/>
      <c r="AI295" s="143"/>
      <c r="AJ295" s="143"/>
    </row>
    <row r="296" spans="1:36" ht="12.75" customHeight="1" x14ac:dyDescent="0.25">
      <c r="A296" s="143"/>
      <c r="B296" s="145"/>
      <c r="C296" s="146"/>
      <c r="D296" s="114"/>
      <c r="E296" s="148"/>
      <c r="F296" s="148"/>
      <c r="G296" s="114"/>
      <c r="H296" s="149"/>
      <c r="I296" s="143"/>
      <c r="J296" s="143"/>
      <c r="K296" s="143"/>
      <c r="L296" s="143"/>
      <c r="M296" s="150"/>
      <c r="N296" s="143"/>
      <c r="O296" s="1"/>
      <c r="P296" s="151"/>
      <c r="Q296" s="143"/>
      <c r="R296" s="143"/>
      <c r="S296" s="143"/>
      <c r="T296" s="143"/>
      <c r="U296" s="143"/>
      <c r="V296" s="143"/>
      <c r="W296" s="143"/>
      <c r="X296" s="143"/>
      <c r="Y296" s="143"/>
      <c r="Z296" s="143"/>
      <c r="AA296" s="143"/>
      <c r="AB296" s="143"/>
      <c r="AC296" s="143"/>
      <c r="AD296" s="143"/>
      <c r="AE296" s="143"/>
      <c r="AF296" s="143"/>
      <c r="AG296" s="143"/>
      <c r="AH296" s="143"/>
      <c r="AI296" s="143"/>
      <c r="AJ296" s="143"/>
    </row>
    <row r="297" spans="1:36" ht="12.75" customHeight="1" x14ac:dyDescent="0.25">
      <c r="A297" s="143"/>
      <c r="B297" s="145"/>
      <c r="C297" s="146"/>
      <c r="D297" s="114"/>
      <c r="E297" s="148"/>
      <c r="F297" s="148"/>
      <c r="G297" s="114"/>
      <c r="H297" s="149"/>
      <c r="I297" s="143"/>
      <c r="J297" s="143"/>
      <c r="K297" s="143"/>
      <c r="L297" s="143"/>
      <c r="M297" s="150"/>
      <c r="N297" s="143"/>
      <c r="O297" s="1"/>
      <c r="P297" s="151"/>
      <c r="Q297" s="143"/>
      <c r="R297" s="143"/>
      <c r="S297" s="143"/>
      <c r="T297" s="143"/>
      <c r="U297" s="143"/>
      <c r="V297" s="143"/>
      <c r="W297" s="143"/>
      <c r="X297" s="143"/>
      <c r="Y297" s="143"/>
      <c r="Z297" s="143"/>
      <c r="AA297" s="143"/>
      <c r="AB297" s="143"/>
      <c r="AC297" s="143"/>
      <c r="AD297" s="143"/>
      <c r="AE297" s="143"/>
      <c r="AF297" s="143"/>
      <c r="AG297" s="143"/>
      <c r="AH297" s="143"/>
      <c r="AI297" s="143"/>
      <c r="AJ297" s="143"/>
    </row>
    <row r="298" spans="1:36" ht="12.75" customHeight="1" x14ac:dyDescent="0.25">
      <c r="A298" s="143"/>
      <c r="B298" s="145"/>
      <c r="C298" s="146"/>
      <c r="D298" s="114"/>
      <c r="E298" s="148"/>
      <c r="F298" s="148"/>
      <c r="G298" s="114"/>
      <c r="H298" s="149"/>
      <c r="I298" s="143"/>
      <c r="J298" s="143"/>
      <c r="K298" s="143"/>
      <c r="L298" s="143"/>
      <c r="M298" s="150"/>
      <c r="N298" s="143"/>
      <c r="O298" s="1"/>
      <c r="P298" s="151"/>
      <c r="Q298" s="143"/>
      <c r="R298" s="143"/>
      <c r="S298" s="143"/>
      <c r="T298" s="143"/>
      <c r="U298" s="143"/>
      <c r="V298" s="143"/>
      <c r="W298" s="143"/>
      <c r="X298" s="143"/>
      <c r="Y298" s="143"/>
      <c r="Z298" s="143"/>
      <c r="AA298" s="143"/>
      <c r="AB298" s="143"/>
      <c r="AC298" s="143"/>
      <c r="AD298" s="143"/>
      <c r="AE298" s="143"/>
      <c r="AF298" s="143"/>
      <c r="AG298" s="143"/>
      <c r="AH298" s="143"/>
      <c r="AI298" s="143"/>
      <c r="AJ298" s="143"/>
    </row>
    <row r="299" spans="1:36" ht="12.75" customHeight="1" x14ac:dyDescent="0.25">
      <c r="A299" s="143"/>
      <c r="B299" s="145"/>
      <c r="C299" s="146"/>
      <c r="D299" s="114"/>
      <c r="E299" s="148"/>
      <c r="F299" s="148"/>
      <c r="G299" s="114"/>
      <c r="H299" s="149"/>
      <c r="I299" s="143"/>
      <c r="J299" s="143"/>
      <c r="K299" s="143"/>
      <c r="L299" s="143"/>
      <c r="M299" s="150"/>
      <c r="N299" s="143"/>
      <c r="O299" s="1"/>
      <c r="P299" s="151"/>
      <c r="Q299" s="143"/>
      <c r="R299" s="143"/>
      <c r="S299" s="143"/>
      <c r="T299" s="143"/>
      <c r="U299" s="143"/>
      <c r="V299" s="143"/>
      <c r="W299" s="143"/>
      <c r="X299" s="143"/>
      <c r="Y299" s="143"/>
      <c r="Z299" s="143"/>
      <c r="AA299" s="143"/>
      <c r="AB299" s="143"/>
      <c r="AC299" s="143"/>
      <c r="AD299" s="143"/>
      <c r="AE299" s="143"/>
      <c r="AF299" s="143"/>
      <c r="AG299" s="143"/>
      <c r="AH299" s="143"/>
      <c r="AI299" s="143"/>
      <c r="AJ299" s="143"/>
    </row>
    <row r="300" spans="1:36" ht="12.75" customHeight="1" x14ac:dyDescent="0.25">
      <c r="A300" s="143"/>
      <c r="B300" s="145"/>
      <c r="C300" s="146"/>
      <c r="D300" s="114"/>
      <c r="E300" s="148"/>
      <c r="F300" s="148"/>
      <c r="G300" s="114"/>
      <c r="H300" s="149"/>
      <c r="I300" s="143"/>
      <c r="J300" s="143"/>
      <c r="K300" s="143"/>
      <c r="L300" s="143"/>
      <c r="M300" s="150"/>
      <c r="N300" s="143"/>
      <c r="O300" s="1"/>
      <c r="P300" s="151"/>
      <c r="Q300" s="143"/>
      <c r="R300" s="143"/>
      <c r="S300" s="143"/>
      <c r="T300" s="143"/>
      <c r="U300" s="143"/>
      <c r="V300" s="143"/>
      <c r="W300" s="143"/>
      <c r="X300" s="143"/>
      <c r="Y300" s="143"/>
      <c r="Z300" s="143"/>
      <c r="AA300" s="143"/>
      <c r="AB300" s="143"/>
      <c r="AC300" s="143"/>
      <c r="AD300" s="143"/>
      <c r="AE300" s="143"/>
      <c r="AF300" s="143"/>
      <c r="AG300" s="143"/>
      <c r="AH300" s="143"/>
      <c r="AI300" s="143"/>
      <c r="AJ300" s="143"/>
    </row>
    <row r="301" spans="1:36" ht="12.75" customHeight="1" x14ac:dyDescent="0.25">
      <c r="A301" s="143"/>
      <c r="B301" s="145"/>
      <c r="C301" s="146"/>
      <c r="D301" s="114"/>
      <c r="E301" s="148"/>
      <c r="F301" s="148"/>
      <c r="G301" s="114"/>
      <c r="H301" s="149"/>
      <c r="I301" s="143"/>
      <c r="J301" s="143"/>
      <c r="K301" s="143"/>
      <c r="L301" s="143"/>
      <c r="M301" s="150"/>
      <c r="N301" s="143"/>
      <c r="O301" s="1"/>
      <c r="P301" s="151"/>
      <c r="Q301" s="143"/>
      <c r="R301" s="143"/>
      <c r="S301" s="143"/>
      <c r="T301" s="143"/>
      <c r="U301" s="143"/>
      <c r="V301" s="143"/>
      <c r="W301" s="143"/>
      <c r="X301" s="143"/>
      <c r="Y301" s="143"/>
      <c r="Z301" s="143"/>
      <c r="AA301" s="143"/>
      <c r="AB301" s="143"/>
      <c r="AC301" s="143"/>
      <c r="AD301" s="143"/>
      <c r="AE301" s="143"/>
      <c r="AF301" s="143"/>
      <c r="AG301" s="143"/>
      <c r="AH301" s="143"/>
      <c r="AI301" s="143"/>
      <c r="AJ301" s="143"/>
    </row>
    <row r="302" spans="1:36" ht="12.75" customHeight="1" x14ac:dyDescent="0.25">
      <c r="A302" s="143"/>
      <c r="B302" s="145"/>
      <c r="C302" s="146"/>
      <c r="D302" s="114"/>
      <c r="E302" s="148"/>
      <c r="F302" s="148"/>
      <c r="G302" s="114"/>
      <c r="H302" s="149"/>
      <c r="I302" s="143"/>
      <c r="J302" s="143"/>
      <c r="K302" s="143"/>
      <c r="L302" s="143"/>
      <c r="M302" s="150"/>
      <c r="N302" s="143"/>
      <c r="O302" s="1"/>
      <c r="P302" s="151"/>
      <c r="Q302" s="143"/>
      <c r="R302" s="143"/>
      <c r="S302" s="143"/>
      <c r="T302" s="143"/>
      <c r="U302" s="143"/>
      <c r="V302" s="143"/>
      <c r="W302" s="143"/>
      <c r="X302" s="143"/>
      <c r="Y302" s="143"/>
      <c r="Z302" s="143"/>
      <c r="AA302" s="143"/>
      <c r="AB302" s="143"/>
      <c r="AC302" s="143"/>
      <c r="AD302" s="143"/>
      <c r="AE302" s="143"/>
      <c r="AF302" s="143"/>
      <c r="AG302" s="143"/>
      <c r="AH302" s="143"/>
      <c r="AI302" s="143"/>
      <c r="AJ302" s="143"/>
    </row>
    <row r="303" spans="1:36" ht="12.75" customHeight="1" x14ac:dyDescent="0.25">
      <c r="A303" s="143"/>
      <c r="B303" s="145"/>
      <c r="C303" s="146"/>
      <c r="D303" s="114"/>
      <c r="E303" s="148"/>
      <c r="F303" s="148"/>
      <c r="G303" s="114"/>
      <c r="H303" s="149"/>
      <c r="I303" s="143"/>
      <c r="J303" s="143"/>
      <c r="K303" s="143"/>
      <c r="L303" s="143"/>
      <c r="M303" s="150"/>
      <c r="N303" s="143"/>
      <c r="O303" s="1"/>
      <c r="P303" s="151"/>
      <c r="Q303" s="143"/>
      <c r="R303" s="143"/>
      <c r="S303" s="143"/>
      <c r="T303" s="143"/>
      <c r="U303" s="143"/>
      <c r="V303" s="143"/>
      <c r="W303" s="143"/>
      <c r="X303" s="143"/>
      <c r="Y303" s="143"/>
      <c r="Z303" s="143"/>
      <c r="AA303" s="143"/>
      <c r="AB303" s="143"/>
      <c r="AC303" s="143"/>
      <c r="AD303" s="143"/>
      <c r="AE303" s="143"/>
      <c r="AF303" s="143"/>
      <c r="AG303" s="143"/>
      <c r="AH303" s="143"/>
      <c r="AI303" s="143"/>
      <c r="AJ303" s="143"/>
    </row>
    <row r="304" spans="1:36" ht="12.75" customHeight="1" x14ac:dyDescent="0.25">
      <c r="A304" s="143"/>
      <c r="B304" s="145"/>
      <c r="C304" s="146"/>
      <c r="D304" s="114"/>
      <c r="E304" s="148"/>
      <c r="F304" s="148"/>
      <c r="G304" s="114"/>
      <c r="H304" s="149"/>
      <c r="I304" s="143"/>
      <c r="J304" s="143"/>
      <c r="K304" s="143"/>
      <c r="L304" s="143"/>
      <c r="M304" s="150"/>
      <c r="N304" s="143"/>
      <c r="O304" s="1"/>
      <c r="P304" s="151"/>
      <c r="Q304" s="143"/>
      <c r="R304" s="143"/>
      <c r="S304" s="143"/>
      <c r="T304" s="143"/>
      <c r="U304" s="143"/>
      <c r="V304" s="143"/>
      <c r="W304" s="143"/>
      <c r="X304" s="143"/>
      <c r="Y304" s="143"/>
      <c r="Z304" s="143"/>
      <c r="AA304" s="143"/>
      <c r="AB304" s="143"/>
      <c r="AC304" s="143"/>
      <c r="AD304" s="143"/>
      <c r="AE304" s="143"/>
      <c r="AF304" s="143"/>
      <c r="AG304" s="143"/>
      <c r="AH304" s="143"/>
      <c r="AI304" s="143"/>
      <c r="AJ304" s="143"/>
    </row>
    <row r="305" spans="1:36" ht="12.75" customHeight="1" x14ac:dyDescent="0.25">
      <c r="A305" s="143"/>
      <c r="B305" s="145"/>
      <c r="C305" s="146"/>
      <c r="D305" s="114"/>
      <c r="E305" s="148"/>
      <c r="F305" s="148"/>
      <c r="G305" s="114"/>
      <c r="H305" s="149"/>
      <c r="I305" s="143"/>
      <c r="J305" s="143"/>
      <c r="K305" s="143"/>
      <c r="L305" s="143"/>
      <c r="M305" s="150"/>
      <c r="N305" s="143"/>
      <c r="O305" s="1"/>
      <c r="P305" s="151"/>
      <c r="Q305" s="143"/>
      <c r="R305" s="143"/>
      <c r="S305" s="143"/>
      <c r="T305" s="143"/>
      <c r="U305" s="143"/>
      <c r="V305" s="143"/>
      <c r="W305" s="143"/>
      <c r="X305" s="143"/>
      <c r="Y305" s="143"/>
      <c r="Z305" s="143"/>
      <c r="AA305" s="143"/>
      <c r="AB305" s="143"/>
      <c r="AC305" s="143"/>
      <c r="AD305" s="143"/>
      <c r="AE305" s="143"/>
      <c r="AF305" s="143"/>
      <c r="AG305" s="143"/>
      <c r="AH305" s="143"/>
      <c r="AI305" s="143"/>
      <c r="AJ305" s="143"/>
    </row>
    <row r="306" spans="1:36" ht="12.75" customHeight="1" x14ac:dyDescent="0.25">
      <c r="A306" s="143"/>
      <c r="B306" s="145"/>
      <c r="C306" s="146"/>
      <c r="D306" s="114"/>
      <c r="E306" s="148"/>
      <c r="F306" s="148"/>
      <c r="G306" s="114"/>
      <c r="H306" s="149"/>
      <c r="I306" s="143"/>
      <c r="J306" s="143"/>
      <c r="K306" s="143"/>
      <c r="L306" s="143"/>
      <c r="M306" s="150"/>
      <c r="N306" s="143"/>
      <c r="O306" s="1"/>
      <c r="P306" s="151"/>
      <c r="Q306" s="143"/>
      <c r="R306" s="143"/>
      <c r="S306" s="143"/>
      <c r="T306" s="143"/>
      <c r="U306" s="143"/>
      <c r="V306" s="143"/>
      <c r="W306" s="143"/>
      <c r="X306" s="143"/>
      <c r="Y306" s="143"/>
      <c r="Z306" s="143"/>
      <c r="AA306" s="143"/>
      <c r="AB306" s="143"/>
      <c r="AC306" s="143"/>
      <c r="AD306" s="143"/>
      <c r="AE306" s="143"/>
      <c r="AF306" s="143"/>
      <c r="AG306" s="143"/>
      <c r="AH306" s="143"/>
      <c r="AI306" s="143"/>
      <c r="AJ306" s="143"/>
    </row>
    <row r="307" spans="1:36" ht="12.75" customHeight="1" x14ac:dyDescent="0.25">
      <c r="A307" s="143"/>
      <c r="B307" s="145"/>
      <c r="C307" s="146"/>
      <c r="D307" s="114"/>
      <c r="E307" s="148"/>
      <c r="F307" s="148"/>
      <c r="G307" s="114"/>
      <c r="H307" s="149"/>
      <c r="I307" s="143"/>
      <c r="J307" s="143"/>
      <c r="K307" s="143"/>
      <c r="L307" s="143"/>
      <c r="M307" s="150"/>
      <c r="N307" s="143"/>
      <c r="O307" s="1"/>
      <c r="P307" s="151"/>
      <c r="Q307" s="143"/>
      <c r="R307" s="143"/>
      <c r="S307" s="143"/>
      <c r="T307" s="143"/>
      <c r="U307" s="143"/>
      <c r="V307" s="143"/>
      <c r="W307" s="143"/>
      <c r="X307" s="143"/>
      <c r="Y307" s="143"/>
      <c r="Z307" s="143"/>
      <c r="AA307" s="143"/>
      <c r="AB307" s="143"/>
      <c r="AC307" s="143"/>
      <c r="AD307" s="143"/>
      <c r="AE307" s="143"/>
      <c r="AF307" s="143"/>
      <c r="AG307" s="143"/>
      <c r="AH307" s="143"/>
      <c r="AI307" s="143"/>
      <c r="AJ307" s="143"/>
    </row>
    <row r="308" spans="1:36" ht="12.75" customHeight="1" x14ac:dyDescent="0.25">
      <c r="A308" s="143"/>
      <c r="B308" s="145"/>
      <c r="C308" s="146"/>
      <c r="D308" s="114"/>
      <c r="E308" s="148"/>
      <c r="F308" s="148"/>
      <c r="G308" s="114"/>
      <c r="H308" s="149"/>
      <c r="I308" s="143"/>
      <c r="J308" s="143"/>
      <c r="K308" s="143"/>
      <c r="L308" s="143"/>
      <c r="M308" s="150"/>
      <c r="N308" s="143"/>
      <c r="O308" s="1"/>
      <c r="P308" s="151"/>
      <c r="Q308" s="143"/>
      <c r="R308" s="143"/>
      <c r="S308" s="143"/>
      <c r="T308" s="143"/>
      <c r="U308" s="143"/>
      <c r="V308" s="143"/>
      <c r="W308" s="143"/>
      <c r="X308" s="143"/>
      <c r="Y308" s="143"/>
      <c r="Z308" s="143"/>
      <c r="AA308" s="143"/>
      <c r="AB308" s="143"/>
      <c r="AC308" s="143"/>
      <c r="AD308" s="143"/>
      <c r="AE308" s="143"/>
      <c r="AF308" s="143"/>
      <c r="AG308" s="143"/>
      <c r="AH308" s="143"/>
      <c r="AI308" s="143"/>
      <c r="AJ308" s="143"/>
    </row>
    <row r="309" spans="1:36" ht="12.75" customHeight="1" x14ac:dyDescent="0.25">
      <c r="A309" s="143"/>
      <c r="B309" s="145"/>
      <c r="C309" s="146"/>
      <c r="D309" s="114"/>
      <c r="E309" s="148"/>
      <c r="F309" s="148"/>
      <c r="G309" s="114"/>
      <c r="H309" s="149"/>
      <c r="I309" s="143"/>
      <c r="J309" s="143"/>
      <c r="K309" s="143"/>
      <c r="L309" s="143"/>
      <c r="M309" s="150"/>
      <c r="N309" s="143"/>
      <c r="O309" s="1"/>
      <c r="P309" s="151"/>
      <c r="Q309" s="143"/>
      <c r="R309" s="143"/>
      <c r="S309" s="143"/>
      <c r="T309" s="143"/>
      <c r="U309" s="143"/>
      <c r="V309" s="143"/>
      <c r="W309" s="143"/>
      <c r="X309" s="143"/>
      <c r="Y309" s="143"/>
      <c r="Z309" s="143"/>
      <c r="AA309" s="143"/>
      <c r="AB309" s="143"/>
      <c r="AC309" s="143"/>
      <c r="AD309" s="143"/>
      <c r="AE309" s="143"/>
      <c r="AF309" s="143"/>
      <c r="AG309" s="143"/>
      <c r="AH309" s="143"/>
      <c r="AI309" s="143"/>
      <c r="AJ309" s="143"/>
    </row>
    <row r="310" spans="1:36" ht="12.75" customHeight="1" x14ac:dyDescent="0.25">
      <c r="A310" s="143"/>
      <c r="B310" s="145"/>
      <c r="C310" s="146"/>
      <c r="D310" s="114"/>
      <c r="E310" s="148"/>
      <c r="F310" s="148"/>
      <c r="G310" s="114"/>
      <c r="H310" s="149"/>
      <c r="I310" s="143"/>
      <c r="J310" s="143"/>
      <c r="K310" s="143"/>
      <c r="L310" s="143"/>
      <c r="M310" s="150"/>
      <c r="N310" s="143"/>
      <c r="O310" s="1"/>
      <c r="P310" s="151"/>
      <c r="Q310" s="143"/>
      <c r="R310" s="143"/>
      <c r="S310" s="143"/>
      <c r="T310" s="143"/>
      <c r="U310" s="143"/>
      <c r="V310" s="143"/>
      <c r="W310" s="143"/>
      <c r="X310" s="143"/>
      <c r="Y310" s="143"/>
      <c r="Z310" s="143"/>
      <c r="AA310" s="143"/>
      <c r="AB310" s="143"/>
      <c r="AC310" s="143"/>
      <c r="AD310" s="143"/>
      <c r="AE310" s="143"/>
      <c r="AF310" s="143"/>
      <c r="AG310" s="143"/>
      <c r="AH310" s="143"/>
      <c r="AI310" s="143"/>
      <c r="AJ310" s="143"/>
    </row>
    <row r="311" spans="1:36" ht="12.75" customHeight="1" x14ac:dyDescent="0.25">
      <c r="A311" s="143"/>
      <c r="B311" s="145"/>
      <c r="C311" s="146"/>
      <c r="D311" s="114"/>
      <c r="E311" s="148"/>
      <c r="F311" s="148"/>
      <c r="G311" s="114"/>
      <c r="H311" s="149"/>
      <c r="I311" s="143"/>
      <c r="J311" s="143"/>
      <c r="K311" s="143"/>
      <c r="L311" s="143"/>
      <c r="M311" s="150"/>
      <c r="N311" s="143"/>
      <c r="O311" s="1"/>
      <c r="P311" s="151"/>
      <c r="Q311" s="143"/>
      <c r="R311" s="143"/>
      <c r="S311" s="143"/>
      <c r="T311" s="143"/>
      <c r="U311" s="143"/>
      <c r="V311" s="143"/>
      <c r="W311" s="143"/>
      <c r="X311" s="143"/>
      <c r="Y311" s="143"/>
      <c r="Z311" s="143"/>
      <c r="AA311" s="143"/>
      <c r="AB311" s="143"/>
      <c r="AC311" s="143"/>
      <c r="AD311" s="143"/>
      <c r="AE311" s="143"/>
      <c r="AF311" s="143"/>
      <c r="AG311" s="143"/>
      <c r="AH311" s="143"/>
      <c r="AI311" s="143"/>
      <c r="AJ311" s="143"/>
    </row>
    <row r="312" spans="1:36" ht="12.75" customHeight="1" x14ac:dyDescent="0.25">
      <c r="A312" s="143"/>
      <c r="B312" s="145"/>
      <c r="C312" s="146"/>
      <c r="D312" s="114"/>
      <c r="E312" s="148"/>
      <c r="F312" s="148"/>
      <c r="G312" s="114"/>
      <c r="H312" s="149"/>
      <c r="I312" s="143"/>
      <c r="J312" s="143"/>
      <c r="K312" s="143"/>
      <c r="L312" s="143"/>
      <c r="M312" s="150"/>
      <c r="N312" s="143"/>
      <c r="O312" s="1"/>
      <c r="P312" s="151"/>
      <c r="Q312" s="143"/>
      <c r="R312" s="143"/>
      <c r="S312" s="143"/>
      <c r="T312" s="143"/>
      <c r="U312" s="143"/>
      <c r="V312" s="143"/>
      <c r="W312" s="143"/>
      <c r="X312" s="143"/>
      <c r="Y312" s="143"/>
      <c r="Z312" s="143"/>
      <c r="AA312" s="143"/>
      <c r="AB312" s="143"/>
      <c r="AC312" s="143"/>
      <c r="AD312" s="143"/>
      <c r="AE312" s="143"/>
      <c r="AF312" s="143"/>
      <c r="AG312" s="143"/>
      <c r="AH312" s="143"/>
      <c r="AI312" s="143"/>
      <c r="AJ312" s="143"/>
    </row>
    <row r="313" spans="1:36" ht="12.75" customHeight="1" x14ac:dyDescent="0.25">
      <c r="A313" s="143"/>
      <c r="B313" s="145"/>
      <c r="C313" s="146"/>
      <c r="D313" s="114"/>
      <c r="E313" s="148"/>
      <c r="F313" s="148"/>
      <c r="G313" s="114"/>
      <c r="H313" s="149"/>
      <c r="I313" s="143"/>
      <c r="J313" s="143"/>
      <c r="K313" s="143"/>
      <c r="L313" s="143"/>
      <c r="M313" s="150"/>
      <c r="N313" s="143"/>
      <c r="O313" s="1"/>
      <c r="P313" s="151"/>
      <c r="Q313" s="143"/>
      <c r="R313" s="143"/>
      <c r="S313" s="143"/>
      <c r="T313" s="143"/>
      <c r="U313" s="143"/>
      <c r="V313" s="143"/>
      <c r="W313" s="143"/>
      <c r="X313" s="143"/>
      <c r="Y313" s="143"/>
      <c r="Z313" s="143"/>
      <c r="AA313" s="143"/>
      <c r="AB313" s="143"/>
      <c r="AC313" s="143"/>
      <c r="AD313" s="143"/>
      <c r="AE313" s="143"/>
      <c r="AF313" s="143"/>
      <c r="AG313" s="143"/>
      <c r="AH313" s="143"/>
      <c r="AI313" s="143"/>
      <c r="AJ313" s="143"/>
    </row>
    <row r="314" spans="1:36" ht="12.75" customHeight="1" x14ac:dyDescent="0.25">
      <c r="A314" s="143"/>
      <c r="B314" s="145"/>
      <c r="C314" s="146"/>
      <c r="D314" s="114"/>
      <c r="E314" s="148"/>
      <c r="F314" s="148"/>
      <c r="G314" s="114"/>
      <c r="H314" s="149"/>
      <c r="I314" s="143"/>
      <c r="J314" s="143"/>
      <c r="K314" s="143"/>
      <c r="L314" s="143"/>
      <c r="M314" s="150"/>
      <c r="N314" s="143"/>
      <c r="O314" s="1"/>
      <c r="P314" s="151"/>
      <c r="Q314" s="143"/>
      <c r="R314" s="143"/>
      <c r="S314" s="143"/>
      <c r="T314" s="143"/>
      <c r="U314" s="143"/>
      <c r="V314" s="143"/>
      <c r="W314" s="143"/>
      <c r="X314" s="143"/>
      <c r="Y314" s="143"/>
      <c r="Z314" s="143"/>
      <c r="AA314" s="143"/>
      <c r="AB314" s="143"/>
      <c r="AC314" s="143"/>
      <c r="AD314" s="143"/>
      <c r="AE314" s="143"/>
      <c r="AF314" s="143"/>
      <c r="AG314" s="143"/>
      <c r="AH314" s="143"/>
      <c r="AI314" s="143"/>
      <c r="AJ314" s="143"/>
    </row>
    <row r="315" spans="1:36" ht="12.75" customHeight="1" x14ac:dyDescent="0.25">
      <c r="A315" s="143"/>
      <c r="B315" s="145"/>
      <c r="C315" s="146"/>
      <c r="D315" s="114"/>
      <c r="E315" s="148"/>
      <c r="F315" s="148"/>
      <c r="G315" s="114"/>
      <c r="H315" s="149"/>
      <c r="I315" s="143"/>
      <c r="J315" s="143"/>
      <c r="K315" s="143"/>
      <c r="L315" s="143"/>
      <c r="M315" s="150"/>
      <c r="N315" s="143"/>
      <c r="O315" s="1"/>
      <c r="P315" s="151"/>
      <c r="Q315" s="143"/>
      <c r="R315" s="143"/>
      <c r="S315" s="143"/>
      <c r="T315" s="143"/>
      <c r="U315" s="143"/>
      <c r="V315" s="143"/>
      <c r="W315" s="143"/>
      <c r="X315" s="143"/>
      <c r="Y315" s="143"/>
      <c r="Z315" s="143"/>
      <c r="AA315" s="143"/>
      <c r="AB315" s="143"/>
      <c r="AC315" s="143"/>
      <c r="AD315" s="143"/>
      <c r="AE315" s="143"/>
      <c r="AF315" s="143"/>
      <c r="AG315" s="143"/>
      <c r="AH315" s="143"/>
      <c r="AI315" s="143"/>
      <c r="AJ315" s="143"/>
    </row>
    <row r="316" spans="1:36" ht="12.75" customHeight="1" x14ac:dyDescent="0.25">
      <c r="A316" s="143"/>
      <c r="B316" s="145"/>
      <c r="C316" s="146"/>
      <c r="D316" s="114"/>
      <c r="E316" s="148"/>
      <c r="F316" s="148"/>
      <c r="G316" s="114"/>
      <c r="H316" s="149"/>
      <c r="I316" s="143"/>
      <c r="J316" s="143"/>
      <c r="K316" s="143"/>
      <c r="L316" s="143"/>
      <c r="M316" s="150"/>
      <c r="N316" s="143"/>
      <c r="O316" s="1"/>
      <c r="P316" s="151"/>
      <c r="Q316" s="143"/>
      <c r="R316" s="143"/>
      <c r="S316" s="143"/>
      <c r="T316" s="143"/>
      <c r="U316" s="143"/>
      <c r="V316" s="143"/>
      <c r="W316" s="143"/>
      <c r="X316" s="143"/>
      <c r="Y316" s="143"/>
      <c r="Z316" s="143"/>
      <c r="AA316" s="143"/>
      <c r="AB316" s="143"/>
      <c r="AC316" s="143"/>
      <c r="AD316" s="143"/>
      <c r="AE316" s="143"/>
      <c r="AF316" s="143"/>
      <c r="AG316" s="143"/>
      <c r="AH316" s="143"/>
      <c r="AI316" s="143"/>
      <c r="AJ316" s="143"/>
    </row>
    <row r="317" spans="1:36" ht="12.75" customHeight="1" x14ac:dyDescent="0.25">
      <c r="A317" s="143"/>
      <c r="B317" s="145"/>
      <c r="C317" s="146"/>
      <c r="D317" s="114"/>
      <c r="E317" s="148"/>
      <c r="F317" s="148"/>
      <c r="G317" s="114"/>
      <c r="H317" s="149"/>
      <c r="I317" s="143"/>
      <c r="J317" s="143"/>
      <c r="K317" s="143"/>
      <c r="L317" s="143"/>
      <c r="M317" s="150"/>
      <c r="N317" s="143"/>
      <c r="O317" s="1"/>
      <c r="P317" s="151"/>
      <c r="Q317" s="143"/>
      <c r="R317" s="143"/>
      <c r="S317" s="143"/>
      <c r="T317" s="143"/>
      <c r="U317" s="143"/>
      <c r="V317" s="143"/>
      <c r="W317" s="143"/>
      <c r="X317" s="143"/>
      <c r="Y317" s="143"/>
      <c r="Z317" s="143"/>
      <c r="AA317" s="143"/>
      <c r="AB317" s="143"/>
      <c r="AC317" s="143"/>
      <c r="AD317" s="143"/>
      <c r="AE317" s="143"/>
      <c r="AF317" s="143"/>
      <c r="AG317" s="143"/>
      <c r="AH317" s="143"/>
      <c r="AI317" s="143"/>
      <c r="AJ317" s="143"/>
    </row>
    <row r="318" spans="1:36" ht="12.75" customHeight="1" x14ac:dyDescent="0.25">
      <c r="A318" s="143"/>
      <c r="B318" s="145"/>
      <c r="C318" s="146"/>
      <c r="D318" s="114"/>
      <c r="E318" s="148"/>
      <c r="F318" s="148"/>
      <c r="G318" s="114"/>
      <c r="H318" s="149"/>
      <c r="I318" s="143"/>
      <c r="J318" s="143"/>
      <c r="K318" s="143"/>
      <c r="L318" s="143"/>
      <c r="M318" s="150"/>
      <c r="N318" s="143"/>
      <c r="O318" s="1"/>
      <c r="P318" s="151"/>
      <c r="Q318" s="143"/>
      <c r="R318" s="143"/>
      <c r="S318" s="143"/>
      <c r="T318" s="143"/>
      <c r="U318" s="143"/>
      <c r="V318" s="143"/>
      <c r="W318" s="143"/>
      <c r="X318" s="143"/>
      <c r="Y318" s="143"/>
      <c r="Z318" s="143"/>
      <c r="AA318" s="143"/>
      <c r="AB318" s="143"/>
      <c r="AC318" s="143"/>
      <c r="AD318" s="143"/>
      <c r="AE318" s="143"/>
      <c r="AF318" s="143"/>
      <c r="AG318" s="143"/>
      <c r="AH318" s="143"/>
      <c r="AI318" s="143"/>
      <c r="AJ318" s="143"/>
    </row>
    <row r="319" spans="1:36" ht="12.75" customHeight="1" x14ac:dyDescent="0.25">
      <c r="A319" s="143"/>
      <c r="B319" s="145"/>
      <c r="C319" s="146"/>
      <c r="D319" s="114"/>
      <c r="E319" s="148"/>
      <c r="F319" s="148"/>
      <c r="G319" s="114"/>
      <c r="H319" s="149"/>
      <c r="I319" s="143"/>
      <c r="J319" s="143"/>
      <c r="K319" s="143"/>
      <c r="L319" s="143"/>
      <c r="M319" s="150"/>
      <c r="N319" s="143"/>
      <c r="O319" s="1"/>
      <c r="P319" s="151"/>
      <c r="Q319" s="143"/>
      <c r="R319" s="143"/>
      <c r="S319" s="143"/>
      <c r="T319" s="143"/>
      <c r="U319" s="143"/>
      <c r="V319" s="143"/>
      <c r="W319" s="143"/>
      <c r="X319" s="143"/>
      <c r="Y319" s="143"/>
      <c r="Z319" s="143"/>
      <c r="AA319" s="143"/>
      <c r="AB319" s="143"/>
      <c r="AC319" s="143"/>
      <c r="AD319" s="143"/>
      <c r="AE319" s="143"/>
      <c r="AF319" s="143"/>
      <c r="AG319" s="143"/>
      <c r="AH319" s="143"/>
      <c r="AI319" s="143"/>
      <c r="AJ319" s="143"/>
    </row>
    <row r="320" spans="1:36" ht="12.75" customHeight="1" x14ac:dyDescent="0.25">
      <c r="A320" s="143"/>
      <c r="B320" s="145"/>
      <c r="C320" s="146"/>
      <c r="D320" s="114"/>
      <c r="E320" s="148"/>
      <c r="F320" s="148"/>
      <c r="G320" s="114"/>
      <c r="H320" s="149"/>
      <c r="I320" s="143"/>
      <c r="J320" s="143"/>
      <c r="K320" s="143"/>
      <c r="L320" s="143"/>
      <c r="M320" s="150"/>
      <c r="N320" s="143"/>
      <c r="O320" s="1"/>
      <c r="P320" s="151"/>
      <c r="Q320" s="143"/>
      <c r="R320" s="143"/>
      <c r="S320" s="143"/>
      <c r="T320" s="143"/>
      <c r="U320" s="143"/>
      <c r="V320" s="143"/>
      <c r="W320" s="143"/>
      <c r="X320" s="143"/>
      <c r="Y320" s="143"/>
      <c r="Z320" s="143"/>
      <c r="AA320" s="143"/>
      <c r="AB320" s="143"/>
      <c r="AC320" s="143"/>
      <c r="AD320" s="143"/>
      <c r="AE320" s="143"/>
      <c r="AF320" s="143"/>
      <c r="AG320" s="143"/>
      <c r="AH320" s="143"/>
      <c r="AI320" s="143"/>
      <c r="AJ320" s="143"/>
    </row>
    <row r="321" spans="1:36" ht="12.75" customHeight="1" x14ac:dyDescent="0.25">
      <c r="A321" s="143"/>
      <c r="B321" s="145"/>
      <c r="C321" s="146"/>
      <c r="D321" s="114"/>
      <c r="E321" s="148"/>
      <c r="F321" s="148"/>
      <c r="G321" s="114"/>
      <c r="H321" s="149"/>
      <c r="I321" s="143"/>
      <c r="J321" s="143"/>
      <c r="K321" s="143"/>
      <c r="L321" s="143"/>
      <c r="M321" s="150"/>
      <c r="N321" s="143"/>
      <c r="O321" s="1"/>
      <c r="P321" s="151"/>
      <c r="Q321" s="143"/>
      <c r="R321" s="143"/>
      <c r="S321" s="143"/>
      <c r="T321" s="143"/>
      <c r="U321" s="143"/>
      <c r="V321" s="143"/>
      <c r="W321" s="143"/>
      <c r="X321" s="143"/>
      <c r="Y321" s="143"/>
      <c r="Z321" s="143"/>
      <c r="AA321" s="143"/>
      <c r="AB321" s="143"/>
      <c r="AC321" s="143"/>
      <c r="AD321" s="143"/>
      <c r="AE321" s="143"/>
      <c r="AF321" s="143"/>
      <c r="AG321" s="143"/>
      <c r="AH321" s="143"/>
      <c r="AI321" s="143"/>
      <c r="AJ321" s="143"/>
    </row>
    <row r="322" spans="1:36" ht="12.75" customHeight="1" x14ac:dyDescent="0.25">
      <c r="A322" s="143"/>
      <c r="B322" s="145"/>
      <c r="C322" s="146"/>
      <c r="D322" s="114"/>
      <c r="E322" s="148"/>
      <c r="F322" s="148"/>
      <c r="G322" s="114"/>
      <c r="H322" s="149"/>
      <c r="I322" s="143"/>
      <c r="J322" s="143"/>
      <c r="K322" s="143"/>
      <c r="L322" s="143"/>
      <c r="M322" s="150"/>
      <c r="N322" s="143"/>
      <c r="O322" s="1"/>
      <c r="P322" s="151"/>
      <c r="Q322" s="143"/>
      <c r="R322" s="143"/>
      <c r="S322" s="143"/>
      <c r="T322" s="143"/>
      <c r="U322" s="143"/>
      <c r="V322" s="143"/>
      <c r="W322" s="143"/>
      <c r="X322" s="143"/>
      <c r="Y322" s="143"/>
      <c r="Z322" s="143"/>
      <c r="AA322" s="143"/>
      <c r="AB322" s="143"/>
      <c r="AC322" s="143"/>
      <c r="AD322" s="143"/>
      <c r="AE322" s="143"/>
      <c r="AF322" s="143"/>
      <c r="AG322" s="143"/>
      <c r="AH322" s="143"/>
      <c r="AI322" s="143"/>
      <c r="AJ322" s="143"/>
    </row>
    <row r="323" spans="1:36" ht="12.75" customHeight="1" x14ac:dyDescent="0.25">
      <c r="A323" s="143"/>
      <c r="B323" s="145"/>
      <c r="C323" s="146"/>
      <c r="D323" s="114"/>
      <c r="E323" s="148"/>
      <c r="F323" s="148"/>
      <c r="G323" s="114"/>
      <c r="H323" s="149"/>
      <c r="I323" s="143"/>
      <c r="J323" s="143"/>
      <c r="K323" s="143"/>
      <c r="L323" s="143"/>
      <c r="M323" s="150"/>
      <c r="N323" s="143"/>
      <c r="O323" s="1"/>
      <c r="P323" s="151"/>
      <c r="Q323" s="143"/>
      <c r="R323" s="143"/>
      <c r="S323" s="143"/>
      <c r="T323" s="143"/>
      <c r="U323" s="143"/>
      <c r="V323" s="143"/>
      <c r="W323" s="143"/>
      <c r="X323" s="143"/>
      <c r="Y323" s="143"/>
      <c r="Z323" s="143"/>
      <c r="AA323" s="143"/>
      <c r="AB323" s="143"/>
      <c r="AC323" s="143"/>
      <c r="AD323" s="143"/>
      <c r="AE323" s="143"/>
      <c r="AF323" s="143"/>
      <c r="AG323" s="143"/>
      <c r="AH323" s="143"/>
      <c r="AI323" s="143"/>
      <c r="AJ323" s="143"/>
    </row>
    <row r="324" spans="1:36" ht="12.75" customHeight="1" x14ac:dyDescent="0.25">
      <c r="A324" s="143"/>
      <c r="B324" s="145"/>
      <c r="C324" s="146"/>
      <c r="D324" s="114"/>
      <c r="E324" s="148"/>
      <c r="F324" s="148"/>
      <c r="G324" s="114"/>
      <c r="H324" s="149"/>
      <c r="I324" s="143"/>
      <c r="J324" s="143"/>
      <c r="K324" s="143"/>
      <c r="L324" s="143"/>
      <c r="M324" s="150"/>
      <c r="N324" s="143"/>
      <c r="O324" s="1"/>
      <c r="P324" s="151"/>
      <c r="Q324" s="143"/>
      <c r="R324" s="143"/>
      <c r="S324" s="143"/>
      <c r="T324" s="143"/>
      <c r="U324" s="143"/>
      <c r="V324" s="143"/>
      <c r="W324" s="143"/>
      <c r="X324" s="143"/>
      <c r="Y324" s="143"/>
      <c r="Z324" s="143"/>
      <c r="AA324" s="143"/>
      <c r="AB324" s="143"/>
      <c r="AC324" s="143"/>
      <c r="AD324" s="143"/>
      <c r="AE324" s="143"/>
      <c r="AF324" s="143"/>
      <c r="AG324" s="143"/>
      <c r="AH324" s="143"/>
      <c r="AI324" s="143"/>
      <c r="AJ324" s="143"/>
    </row>
    <row r="325" spans="1:36" ht="12.75" customHeight="1" x14ac:dyDescent="0.25">
      <c r="A325" s="143"/>
      <c r="B325" s="145"/>
      <c r="C325" s="146"/>
      <c r="D325" s="114"/>
      <c r="E325" s="148"/>
      <c r="F325" s="148"/>
      <c r="G325" s="114"/>
      <c r="H325" s="149"/>
      <c r="I325" s="143"/>
      <c r="J325" s="143"/>
      <c r="K325" s="143"/>
      <c r="L325" s="143"/>
      <c r="M325" s="150"/>
      <c r="N325" s="143"/>
      <c r="O325" s="1"/>
      <c r="P325" s="151"/>
      <c r="Q325" s="143"/>
      <c r="R325" s="143"/>
      <c r="S325" s="143"/>
      <c r="T325" s="143"/>
      <c r="U325" s="143"/>
      <c r="V325" s="143"/>
      <c r="W325" s="143"/>
      <c r="X325" s="143"/>
      <c r="Y325" s="143"/>
      <c r="Z325" s="143"/>
      <c r="AA325" s="143"/>
      <c r="AB325" s="143"/>
      <c r="AC325" s="143"/>
      <c r="AD325" s="143"/>
      <c r="AE325" s="143"/>
      <c r="AF325" s="143"/>
      <c r="AG325" s="143"/>
      <c r="AH325" s="143"/>
      <c r="AI325" s="143"/>
      <c r="AJ325" s="143"/>
    </row>
    <row r="326" spans="1:36" ht="12.75" customHeight="1" x14ac:dyDescent="0.25">
      <c r="A326" s="143"/>
      <c r="B326" s="145"/>
      <c r="C326" s="146"/>
      <c r="D326" s="114"/>
      <c r="E326" s="148"/>
      <c r="F326" s="148"/>
      <c r="G326" s="114"/>
      <c r="H326" s="149"/>
      <c r="I326" s="143"/>
      <c r="J326" s="143"/>
      <c r="K326" s="143"/>
      <c r="L326" s="143"/>
      <c r="M326" s="150"/>
      <c r="N326" s="143"/>
      <c r="O326" s="1"/>
      <c r="P326" s="151"/>
      <c r="Q326" s="143"/>
      <c r="R326" s="143"/>
      <c r="S326" s="143"/>
      <c r="T326" s="143"/>
      <c r="U326" s="143"/>
      <c r="V326" s="143"/>
      <c r="W326" s="143"/>
      <c r="X326" s="143"/>
      <c r="Y326" s="143"/>
      <c r="Z326" s="143"/>
      <c r="AA326" s="143"/>
      <c r="AB326" s="143"/>
      <c r="AC326" s="143"/>
      <c r="AD326" s="143"/>
      <c r="AE326" s="143"/>
      <c r="AF326" s="143"/>
      <c r="AG326" s="143"/>
      <c r="AH326" s="143"/>
      <c r="AI326" s="143"/>
      <c r="AJ326" s="143"/>
    </row>
    <row r="327" spans="1:36" ht="12.75" customHeight="1" x14ac:dyDescent="0.25">
      <c r="A327" s="143"/>
      <c r="B327" s="145"/>
      <c r="C327" s="146"/>
      <c r="D327" s="114"/>
      <c r="E327" s="148"/>
      <c r="F327" s="148"/>
      <c r="G327" s="114"/>
      <c r="H327" s="149"/>
      <c r="I327" s="143"/>
      <c r="J327" s="143"/>
      <c r="K327" s="143"/>
      <c r="L327" s="143"/>
      <c r="M327" s="150"/>
      <c r="N327" s="143"/>
      <c r="O327" s="1"/>
      <c r="P327" s="151"/>
      <c r="Q327" s="143"/>
      <c r="R327" s="143"/>
      <c r="S327" s="143"/>
      <c r="T327" s="143"/>
      <c r="U327" s="143"/>
      <c r="V327" s="143"/>
      <c r="W327" s="143"/>
      <c r="X327" s="143"/>
      <c r="Y327" s="143"/>
      <c r="Z327" s="143"/>
      <c r="AA327" s="143"/>
      <c r="AB327" s="143"/>
      <c r="AC327" s="143"/>
      <c r="AD327" s="143"/>
      <c r="AE327" s="143"/>
      <c r="AF327" s="143"/>
      <c r="AG327" s="143"/>
      <c r="AH327" s="143"/>
      <c r="AI327" s="143"/>
      <c r="AJ327" s="143"/>
    </row>
    <row r="328" spans="1:36" ht="12.75" customHeight="1" x14ac:dyDescent="0.25">
      <c r="A328" s="143"/>
      <c r="B328" s="145"/>
      <c r="C328" s="146"/>
      <c r="D328" s="114"/>
      <c r="E328" s="148"/>
      <c r="F328" s="148"/>
      <c r="G328" s="114"/>
      <c r="H328" s="149"/>
      <c r="I328" s="143"/>
      <c r="J328" s="143"/>
      <c r="K328" s="143"/>
      <c r="L328" s="143"/>
      <c r="M328" s="150"/>
      <c r="N328" s="143"/>
      <c r="O328" s="1"/>
      <c r="P328" s="151"/>
      <c r="Q328" s="143"/>
      <c r="R328" s="143"/>
      <c r="S328" s="143"/>
      <c r="T328" s="143"/>
      <c r="U328" s="143"/>
      <c r="V328" s="143"/>
      <c r="W328" s="143"/>
      <c r="X328" s="143"/>
      <c r="Y328" s="143"/>
      <c r="Z328" s="143"/>
      <c r="AA328" s="143"/>
      <c r="AB328" s="143"/>
      <c r="AC328" s="143"/>
      <c r="AD328" s="143"/>
      <c r="AE328" s="143"/>
      <c r="AF328" s="143"/>
      <c r="AG328" s="143"/>
      <c r="AH328" s="143"/>
      <c r="AI328" s="143"/>
      <c r="AJ328" s="143"/>
    </row>
    <row r="329" spans="1:36" ht="12.75" customHeight="1" x14ac:dyDescent="0.25">
      <c r="A329" s="143"/>
      <c r="B329" s="145"/>
      <c r="C329" s="146"/>
      <c r="D329" s="114"/>
      <c r="E329" s="148"/>
      <c r="F329" s="148"/>
      <c r="G329" s="114"/>
      <c r="H329" s="149"/>
      <c r="I329" s="143"/>
      <c r="J329" s="143"/>
      <c r="K329" s="143"/>
      <c r="L329" s="143"/>
      <c r="M329" s="150"/>
      <c r="N329" s="143"/>
      <c r="O329" s="1"/>
      <c r="P329" s="151"/>
      <c r="Q329" s="143"/>
      <c r="R329" s="143"/>
      <c r="S329" s="143"/>
      <c r="T329" s="143"/>
      <c r="U329" s="143"/>
      <c r="V329" s="143"/>
      <c r="W329" s="143"/>
      <c r="X329" s="143"/>
      <c r="Y329" s="143"/>
      <c r="Z329" s="143"/>
      <c r="AA329" s="143"/>
      <c r="AB329" s="143"/>
      <c r="AC329" s="143"/>
      <c r="AD329" s="143"/>
      <c r="AE329" s="143"/>
      <c r="AF329" s="143"/>
      <c r="AG329" s="143"/>
      <c r="AH329" s="143"/>
      <c r="AI329" s="143"/>
      <c r="AJ329" s="143"/>
    </row>
    <row r="330" spans="1:36" ht="12.75" customHeight="1" x14ac:dyDescent="0.25">
      <c r="A330" s="143"/>
      <c r="B330" s="145"/>
      <c r="C330" s="146"/>
      <c r="D330" s="114"/>
      <c r="E330" s="148"/>
      <c r="F330" s="148"/>
      <c r="G330" s="114"/>
      <c r="H330" s="149"/>
      <c r="I330" s="143"/>
      <c r="J330" s="143"/>
      <c r="K330" s="143"/>
      <c r="L330" s="143"/>
      <c r="M330" s="150"/>
      <c r="N330" s="143"/>
      <c r="O330" s="1"/>
      <c r="P330" s="151"/>
      <c r="Q330" s="143"/>
      <c r="R330" s="143"/>
      <c r="S330" s="143"/>
      <c r="T330" s="143"/>
      <c r="U330" s="143"/>
      <c r="V330" s="143"/>
      <c r="W330" s="143"/>
      <c r="X330" s="143"/>
      <c r="Y330" s="143"/>
      <c r="Z330" s="143"/>
      <c r="AA330" s="143"/>
      <c r="AB330" s="143"/>
      <c r="AC330" s="143"/>
      <c r="AD330" s="143"/>
      <c r="AE330" s="143"/>
      <c r="AF330" s="143"/>
      <c r="AG330" s="143"/>
      <c r="AH330" s="143"/>
      <c r="AI330" s="143"/>
      <c r="AJ330" s="143"/>
    </row>
    <row r="331" spans="1:36" ht="12.75" customHeight="1" x14ac:dyDescent="0.25">
      <c r="A331" s="143"/>
      <c r="B331" s="145"/>
      <c r="C331" s="146"/>
      <c r="D331" s="114"/>
      <c r="E331" s="148"/>
      <c r="F331" s="148"/>
      <c r="G331" s="114"/>
      <c r="H331" s="149"/>
      <c r="I331" s="143"/>
      <c r="J331" s="143"/>
      <c r="K331" s="143"/>
      <c r="L331" s="143"/>
      <c r="M331" s="150"/>
      <c r="N331" s="143"/>
      <c r="O331" s="1"/>
      <c r="P331" s="151"/>
      <c r="Q331" s="143"/>
      <c r="R331" s="143"/>
      <c r="S331" s="143"/>
      <c r="T331" s="143"/>
      <c r="U331" s="143"/>
      <c r="V331" s="143"/>
      <c r="W331" s="143"/>
      <c r="X331" s="143"/>
      <c r="Y331" s="143"/>
      <c r="Z331" s="143"/>
      <c r="AA331" s="143"/>
      <c r="AB331" s="143"/>
      <c r="AC331" s="143"/>
      <c r="AD331" s="143"/>
      <c r="AE331" s="143"/>
      <c r="AF331" s="143"/>
      <c r="AG331" s="143"/>
      <c r="AH331" s="143"/>
      <c r="AI331" s="143"/>
      <c r="AJ331" s="143"/>
    </row>
    <row r="332" spans="1:36" ht="12.75" customHeight="1" x14ac:dyDescent="0.25">
      <c r="A332" s="143"/>
      <c r="B332" s="145"/>
      <c r="C332" s="146"/>
      <c r="D332" s="114"/>
      <c r="E332" s="148"/>
      <c r="F332" s="148"/>
      <c r="G332" s="114"/>
      <c r="H332" s="149"/>
      <c r="I332" s="143"/>
      <c r="J332" s="143"/>
      <c r="K332" s="143"/>
      <c r="L332" s="143"/>
      <c r="M332" s="150"/>
      <c r="N332" s="143"/>
      <c r="O332" s="1"/>
      <c r="P332" s="151"/>
      <c r="Q332" s="143"/>
      <c r="R332" s="143"/>
      <c r="S332" s="143"/>
      <c r="T332" s="143"/>
      <c r="U332" s="143"/>
      <c r="V332" s="143"/>
      <c r="W332" s="143"/>
      <c r="X332" s="143"/>
      <c r="Y332" s="143"/>
      <c r="Z332" s="143"/>
      <c r="AA332" s="143"/>
      <c r="AB332" s="143"/>
      <c r="AC332" s="143"/>
      <c r="AD332" s="143"/>
      <c r="AE332" s="143"/>
      <c r="AF332" s="143"/>
      <c r="AG332" s="143"/>
      <c r="AH332" s="143"/>
      <c r="AI332" s="143"/>
      <c r="AJ332" s="143"/>
    </row>
    <row r="333" spans="1:36" ht="12.75" customHeight="1" x14ac:dyDescent="0.25">
      <c r="A333" s="143"/>
      <c r="B333" s="145"/>
      <c r="C333" s="146"/>
      <c r="D333" s="114"/>
      <c r="E333" s="148"/>
      <c r="F333" s="148"/>
      <c r="G333" s="114"/>
      <c r="H333" s="149"/>
      <c r="I333" s="143"/>
      <c r="J333" s="143"/>
      <c r="K333" s="143"/>
      <c r="L333" s="143"/>
      <c r="M333" s="150"/>
      <c r="N333" s="143"/>
      <c r="O333" s="1"/>
      <c r="P333" s="151"/>
      <c r="Q333" s="143"/>
      <c r="R333" s="143"/>
      <c r="S333" s="143"/>
      <c r="T333" s="143"/>
      <c r="U333" s="143"/>
      <c r="V333" s="143"/>
      <c r="W333" s="143"/>
      <c r="X333" s="143"/>
      <c r="Y333" s="143"/>
      <c r="Z333" s="143"/>
      <c r="AA333" s="143"/>
      <c r="AB333" s="143"/>
      <c r="AC333" s="143"/>
      <c r="AD333" s="143"/>
      <c r="AE333" s="143"/>
      <c r="AF333" s="143"/>
      <c r="AG333" s="143"/>
      <c r="AH333" s="143"/>
      <c r="AI333" s="143"/>
      <c r="AJ333" s="143"/>
    </row>
    <row r="334" spans="1:36" ht="12.75" customHeight="1" x14ac:dyDescent="0.25">
      <c r="A334" s="143"/>
      <c r="B334" s="145"/>
      <c r="C334" s="146"/>
      <c r="D334" s="114"/>
      <c r="E334" s="148"/>
      <c r="F334" s="148"/>
      <c r="G334" s="114"/>
      <c r="H334" s="149"/>
      <c r="I334" s="143"/>
      <c r="J334" s="143"/>
      <c r="K334" s="143"/>
      <c r="L334" s="143"/>
      <c r="M334" s="150"/>
      <c r="N334" s="143"/>
      <c r="O334" s="1"/>
      <c r="P334" s="151"/>
      <c r="Q334" s="143"/>
      <c r="R334" s="143"/>
      <c r="S334" s="143"/>
      <c r="T334" s="143"/>
      <c r="U334" s="143"/>
      <c r="V334" s="143"/>
      <c r="W334" s="143"/>
      <c r="X334" s="143"/>
      <c r="Y334" s="143"/>
      <c r="Z334" s="143"/>
      <c r="AA334" s="143"/>
      <c r="AB334" s="143"/>
      <c r="AC334" s="143"/>
      <c r="AD334" s="143"/>
      <c r="AE334" s="143"/>
      <c r="AF334" s="143"/>
      <c r="AG334" s="143"/>
      <c r="AH334" s="143"/>
      <c r="AI334" s="143"/>
      <c r="AJ334" s="143"/>
    </row>
    <row r="335" spans="1:36" ht="12.75" customHeight="1" x14ac:dyDescent="0.25">
      <c r="A335" s="143"/>
      <c r="B335" s="145"/>
      <c r="C335" s="146"/>
      <c r="D335" s="114"/>
      <c r="E335" s="148"/>
      <c r="F335" s="148"/>
      <c r="G335" s="114"/>
      <c r="H335" s="149"/>
      <c r="I335" s="143"/>
      <c r="J335" s="143"/>
      <c r="K335" s="143"/>
      <c r="L335" s="143"/>
      <c r="M335" s="150"/>
      <c r="N335" s="143"/>
      <c r="O335" s="1"/>
      <c r="P335" s="151"/>
      <c r="Q335" s="143"/>
      <c r="R335" s="143"/>
      <c r="S335" s="143"/>
      <c r="T335" s="143"/>
      <c r="U335" s="143"/>
      <c r="V335" s="143"/>
      <c r="W335" s="143"/>
      <c r="X335" s="143"/>
      <c r="Y335" s="143"/>
      <c r="Z335" s="143"/>
      <c r="AA335" s="143"/>
      <c r="AB335" s="143"/>
      <c r="AC335" s="143"/>
      <c r="AD335" s="143"/>
      <c r="AE335" s="143"/>
      <c r="AF335" s="143"/>
      <c r="AG335" s="143"/>
      <c r="AH335" s="143"/>
      <c r="AI335" s="143"/>
      <c r="AJ335" s="143"/>
    </row>
    <row r="336" spans="1:36" ht="12.75" customHeight="1" x14ac:dyDescent="0.25">
      <c r="A336" s="143"/>
      <c r="B336" s="145"/>
      <c r="C336" s="146"/>
      <c r="D336" s="114"/>
      <c r="E336" s="148"/>
      <c r="F336" s="148"/>
      <c r="G336" s="114"/>
      <c r="H336" s="149"/>
      <c r="I336" s="143"/>
      <c r="J336" s="143"/>
      <c r="K336" s="143"/>
      <c r="L336" s="143"/>
      <c r="M336" s="150"/>
      <c r="N336" s="143"/>
      <c r="O336" s="1"/>
      <c r="P336" s="151"/>
      <c r="Q336" s="143"/>
      <c r="R336" s="143"/>
      <c r="S336" s="143"/>
      <c r="T336" s="143"/>
      <c r="U336" s="143"/>
      <c r="V336" s="143"/>
      <c r="W336" s="143"/>
      <c r="X336" s="143"/>
      <c r="Y336" s="143"/>
      <c r="Z336" s="143"/>
      <c r="AA336" s="143"/>
      <c r="AB336" s="143"/>
      <c r="AC336" s="143"/>
      <c r="AD336" s="143"/>
      <c r="AE336" s="143"/>
      <c r="AF336" s="143"/>
      <c r="AG336" s="143"/>
      <c r="AH336" s="143"/>
      <c r="AI336" s="143"/>
      <c r="AJ336" s="143"/>
    </row>
    <row r="337" spans="1:36" ht="12.75" customHeight="1" x14ac:dyDescent="0.25">
      <c r="A337" s="143"/>
      <c r="B337" s="145"/>
      <c r="C337" s="146"/>
      <c r="D337" s="114"/>
      <c r="E337" s="148"/>
      <c r="F337" s="148"/>
      <c r="G337" s="114"/>
      <c r="H337" s="149"/>
      <c r="I337" s="143"/>
      <c r="J337" s="143"/>
      <c r="K337" s="143"/>
      <c r="L337" s="143"/>
      <c r="M337" s="150"/>
      <c r="N337" s="143"/>
      <c r="O337" s="1"/>
      <c r="P337" s="151"/>
      <c r="Q337" s="143"/>
      <c r="R337" s="143"/>
      <c r="S337" s="143"/>
      <c r="T337" s="143"/>
      <c r="U337" s="143"/>
      <c r="V337" s="143"/>
      <c r="W337" s="143"/>
      <c r="X337" s="143"/>
      <c r="Y337" s="143"/>
      <c r="Z337" s="143"/>
      <c r="AA337" s="143"/>
      <c r="AB337" s="143"/>
      <c r="AC337" s="143"/>
      <c r="AD337" s="143"/>
      <c r="AE337" s="143"/>
      <c r="AF337" s="143"/>
      <c r="AG337" s="143"/>
      <c r="AH337" s="143"/>
      <c r="AI337" s="143"/>
      <c r="AJ337" s="143"/>
    </row>
    <row r="338" spans="1:36" ht="12.75" customHeight="1" x14ac:dyDescent="0.25">
      <c r="A338" s="143"/>
      <c r="B338" s="145"/>
      <c r="C338" s="146"/>
      <c r="D338" s="114"/>
      <c r="E338" s="148"/>
      <c r="F338" s="148"/>
      <c r="G338" s="114"/>
      <c r="H338" s="149"/>
      <c r="I338" s="143"/>
      <c r="J338" s="143"/>
      <c r="K338" s="143"/>
      <c r="L338" s="143"/>
      <c r="M338" s="150"/>
      <c r="N338" s="143"/>
      <c r="O338" s="1"/>
      <c r="P338" s="151"/>
      <c r="Q338" s="143"/>
      <c r="R338" s="143"/>
      <c r="S338" s="143"/>
      <c r="T338" s="143"/>
      <c r="U338" s="143"/>
      <c r="V338" s="143"/>
      <c r="W338" s="143"/>
      <c r="X338" s="143"/>
      <c r="Y338" s="143"/>
      <c r="Z338" s="143"/>
      <c r="AA338" s="143"/>
      <c r="AB338" s="143"/>
      <c r="AC338" s="143"/>
      <c r="AD338" s="143"/>
      <c r="AE338" s="143"/>
      <c r="AF338" s="143"/>
      <c r="AG338" s="143"/>
      <c r="AH338" s="143"/>
      <c r="AI338" s="143"/>
      <c r="AJ338" s="143"/>
    </row>
    <row r="339" spans="1:36" ht="12.75" customHeight="1" x14ac:dyDescent="0.25">
      <c r="A339" s="143"/>
      <c r="B339" s="145"/>
      <c r="C339" s="146"/>
      <c r="D339" s="114"/>
      <c r="E339" s="148"/>
      <c r="F339" s="148"/>
      <c r="G339" s="114"/>
      <c r="H339" s="149"/>
      <c r="I339" s="143"/>
      <c r="J339" s="143"/>
      <c r="K339" s="143"/>
      <c r="L339" s="143"/>
      <c r="M339" s="150"/>
      <c r="N339" s="143"/>
      <c r="O339" s="1"/>
      <c r="P339" s="151"/>
      <c r="Q339" s="143"/>
      <c r="R339" s="143"/>
      <c r="S339" s="143"/>
      <c r="T339" s="143"/>
      <c r="U339" s="143"/>
      <c r="V339" s="143"/>
      <c r="W339" s="143"/>
      <c r="X339" s="143"/>
      <c r="Y339" s="143"/>
      <c r="Z339" s="143"/>
      <c r="AA339" s="143"/>
      <c r="AB339" s="143"/>
      <c r="AC339" s="143"/>
      <c r="AD339" s="143"/>
      <c r="AE339" s="143"/>
      <c r="AF339" s="143"/>
      <c r="AG339" s="143"/>
      <c r="AH339" s="143"/>
      <c r="AI339" s="143"/>
      <c r="AJ339" s="143"/>
    </row>
    <row r="340" spans="1:36" ht="12.75" customHeight="1" x14ac:dyDescent="0.25">
      <c r="A340" s="143"/>
      <c r="B340" s="145"/>
      <c r="C340" s="146"/>
      <c r="D340" s="114"/>
      <c r="E340" s="148"/>
      <c r="F340" s="148"/>
      <c r="G340" s="114"/>
      <c r="H340" s="149"/>
      <c r="I340" s="143"/>
      <c r="J340" s="143"/>
      <c r="K340" s="143"/>
      <c r="L340" s="143"/>
      <c r="M340" s="150"/>
      <c r="N340" s="143"/>
      <c r="O340" s="1"/>
      <c r="P340" s="151"/>
      <c r="Q340" s="143"/>
      <c r="R340" s="143"/>
      <c r="S340" s="143"/>
      <c r="T340" s="143"/>
      <c r="U340" s="143"/>
      <c r="V340" s="143"/>
      <c r="W340" s="143"/>
      <c r="X340" s="143"/>
      <c r="Y340" s="143"/>
      <c r="Z340" s="143"/>
      <c r="AA340" s="143"/>
      <c r="AB340" s="143"/>
      <c r="AC340" s="143"/>
      <c r="AD340" s="143"/>
      <c r="AE340" s="143"/>
      <c r="AF340" s="143"/>
      <c r="AG340" s="143"/>
      <c r="AH340" s="143"/>
      <c r="AI340" s="143"/>
      <c r="AJ340" s="143"/>
    </row>
    <row r="341" spans="1:36" ht="12.75" customHeight="1" x14ac:dyDescent="0.25">
      <c r="A341" s="143"/>
      <c r="B341" s="145"/>
      <c r="C341" s="146"/>
      <c r="D341" s="114"/>
      <c r="E341" s="148"/>
      <c r="F341" s="148"/>
      <c r="G341" s="114"/>
      <c r="H341" s="149"/>
      <c r="I341" s="143"/>
      <c r="J341" s="143"/>
      <c r="K341" s="143"/>
      <c r="L341" s="143"/>
      <c r="M341" s="150"/>
      <c r="N341" s="143"/>
      <c r="O341" s="1"/>
      <c r="P341" s="151"/>
      <c r="Q341" s="143"/>
      <c r="R341" s="143"/>
      <c r="S341" s="143"/>
      <c r="T341" s="143"/>
      <c r="U341" s="143"/>
      <c r="V341" s="143"/>
      <c r="W341" s="143"/>
      <c r="X341" s="143"/>
      <c r="Y341" s="143"/>
      <c r="Z341" s="143"/>
      <c r="AA341" s="143"/>
      <c r="AB341" s="143"/>
      <c r="AC341" s="143"/>
      <c r="AD341" s="143"/>
      <c r="AE341" s="143"/>
      <c r="AF341" s="143"/>
      <c r="AG341" s="143"/>
      <c r="AH341" s="143"/>
      <c r="AI341" s="143"/>
      <c r="AJ341" s="143"/>
    </row>
    <row r="342" spans="1:36" ht="12.75" customHeight="1" x14ac:dyDescent="0.25">
      <c r="A342" s="143"/>
      <c r="B342" s="145"/>
      <c r="C342" s="146"/>
      <c r="D342" s="114"/>
      <c r="E342" s="148"/>
      <c r="F342" s="148"/>
      <c r="G342" s="114"/>
      <c r="H342" s="149"/>
      <c r="I342" s="143"/>
      <c r="J342" s="143"/>
      <c r="K342" s="143"/>
      <c r="L342" s="143"/>
      <c r="M342" s="150"/>
      <c r="N342" s="143"/>
      <c r="O342" s="1"/>
      <c r="P342" s="151"/>
      <c r="Q342" s="143"/>
      <c r="R342" s="143"/>
      <c r="S342" s="143"/>
      <c r="T342" s="143"/>
      <c r="U342" s="143"/>
      <c r="V342" s="143"/>
      <c r="W342" s="143"/>
      <c r="X342" s="143"/>
      <c r="Y342" s="143"/>
      <c r="Z342" s="143"/>
      <c r="AA342" s="143"/>
      <c r="AB342" s="143"/>
      <c r="AC342" s="143"/>
      <c r="AD342" s="143"/>
      <c r="AE342" s="143"/>
      <c r="AF342" s="143"/>
      <c r="AG342" s="143"/>
      <c r="AH342" s="143"/>
      <c r="AI342" s="143"/>
      <c r="AJ342" s="143"/>
    </row>
    <row r="343" spans="1:36" ht="12.75" customHeight="1" x14ac:dyDescent="0.25">
      <c r="A343" s="143"/>
      <c r="B343" s="145"/>
      <c r="C343" s="146"/>
      <c r="D343" s="114"/>
      <c r="E343" s="148"/>
      <c r="F343" s="148"/>
      <c r="G343" s="114"/>
      <c r="H343" s="149"/>
      <c r="I343" s="143"/>
      <c r="J343" s="143"/>
      <c r="K343" s="143"/>
      <c r="L343" s="143"/>
      <c r="M343" s="150"/>
      <c r="N343" s="143"/>
      <c r="O343" s="1"/>
      <c r="P343" s="151"/>
      <c r="Q343" s="143"/>
      <c r="R343" s="143"/>
      <c r="S343" s="143"/>
      <c r="T343" s="143"/>
      <c r="U343" s="143"/>
      <c r="V343" s="143"/>
      <c r="W343" s="143"/>
      <c r="X343" s="143"/>
      <c r="Y343" s="143"/>
      <c r="Z343" s="143"/>
      <c r="AA343" s="143"/>
      <c r="AB343" s="143"/>
      <c r="AC343" s="143"/>
      <c r="AD343" s="143"/>
      <c r="AE343" s="143"/>
      <c r="AF343" s="143"/>
      <c r="AG343" s="143"/>
      <c r="AH343" s="143"/>
      <c r="AI343" s="143"/>
      <c r="AJ343" s="143"/>
    </row>
    <row r="344" spans="1:36" ht="12.75" customHeight="1" x14ac:dyDescent="0.25">
      <c r="A344" s="143"/>
      <c r="B344" s="145"/>
      <c r="C344" s="146"/>
      <c r="D344" s="114"/>
      <c r="E344" s="148"/>
      <c r="F344" s="148"/>
      <c r="G344" s="114"/>
      <c r="H344" s="149"/>
      <c r="I344" s="143"/>
      <c r="J344" s="143"/>
      <c r="K344" s="143"/>
      <c r="L344" s="143"/>
      <c r="M344" s="150"/>
      <c r="N344" s="143"/>
      <c r="O344" s="1"/>
      <c r="P344" s="151"/>
      <c r="Q344" s="143"/>
      <c r="R344" s="143"/>
      <c r="S344" s="143"/>
      <c r="T344" s="143"/>
      <c r="U344" s="143"/>
      <c r="V344" s="143"/>
      <c r="W344" s="143"/>
      <c r="X344" s="143"/>
      <c r="Y344" s="143"/>
      <c r="Z344" s="143"/>
      <c r="AA344" s="143"/>
      <c r="AB344" s="143"/>
      <c r="AC344" s="143"/>
      <c r="AD344" s="143"/>
      <c r="AE344" s="143"/>
      <c r="AF344" s="143"/>
      <c r="AG344" s="143"/>
      <c r="AH344" s="143"/>
      <c r="AI344" s="143"/>
      <c r="AJ344" s="143"/>
    </row>
    <row r="345" spans="1:36" ht="12.75" customHeight="1" x14ac:dyDescent="0.25">
      <c r="A345" s="143"/>
      <c r="B345" s="145"/>
      <c r="C345" s="146"/>
      <c r="D345" s="114"/>
      <c r="E345" s="148"/>
      <c r="F345" s="148"/>
      <c r="G345" s="114"/>
      <c r="H345" s="149"/>
      <c r="I345" s="143"/>
      <c r="J345" s="143"/>
      <c r="K345" s="143"/>
      <c r="L345" s="143"/>
      <c r="M345" s="150"/>
      <c r="N345" s="143"/>
      <c r="O345" s="1"/>
      <c r="P345" s="151"/>
      <c r="Q345" s="143"/>
      <c r="R345" s="143"/>
      <c r="S345" s="143"/>
      <c r="T345" s="143"/>
      <c r="U345" s="143"/>
      <c r="V345" s="143"/>
      <c r="W345" s="143"/>
      <c r="X345" s="143"/>
      <c r="Y345" s="143"/>
      <c r="Z345" s="143"/>
      <c r="AA345" s="143"/>
      <c r="AB345" s="143"/>
      <c r="AC345" s="143"/>
      <c r="AD345" s="143"/>
      <c r="AE345" s="143"/>
      <c r="AF345" s="143"/>
      <c r="AG345" s="143"/>
      <c r="AH345" s="143"/>
      <c r="AI345" s="143"/>
      <c r="AJ345" s="143"/>
    </row>
    <row r="346" spans="1:36" ht="12.75" customHeight="1" x14ac:dyDescent="0.25">
      <c r="A346" s="143"/>
      <c r="B346" s="145"/>
      <c r="C346" s="146"/>
      <c r="D346" s="114"/>
      <c r="E346" s="148"/>
      <c r="F346" s="148"/>
      <c r="G346" s="114"/>
      <c r="H346" s="149"/>
      <c r="I346" s="143"/>
      <c r="J346" s="143"/>
      <c r="K346" s="143"/>
      <c r="L346" s="143"/>
      <c r="M346" s="150"/>
      <c r="N346" s="143"/>
      <c r="O346" s="1"/>
      <c r="P346" s="151"/>
      <c r="Q346" s="143"/>
      <c r="R346" s="143"/>
      <c r="S346" s="143"/>
      <c r="T346" s="143"/>
      <c r="U346" s="143"/>
      <c r="V346" s="143"/>
      <c r="W346" s="143"/>
      <c r="X346" s="143"/>
      <c r="Y346" s="143"/>
      <c r="Z346" s="143"/>
      <c r="AA346" s="143"/>
      <c r="AB346" s="143"/>
      <c r="AC346" s="143"/>
      <c r="AD346" s="143"/>
      <c r="AE346" s="143"/>
      <c r="AF346" s="143"/>
      <c r="AG346" s="143"/>
      <c r="AH346" s="143"/>
      <c r="AI346" s="143"/>
      <c r="AJ346" s="143"/>
    </row>
    <row r="347" spans="1:36" ht="12.75" customHeight="1" x14ac:dyDescent="0.25">
      <c r="A347" s="143"/>
      <c r="B347" s="145"/>
      <c r="C347" s="146"/>
      <c r="D347" s="114"/>
      <c r="E347" s="148"/>
      <c r="F347" s="148"/>
      <c r="G347" s="114"/>
      <c r="H347" s="149"/>
      <c r="I347" s="143"/>
      <c r="J347" s="143"/>
      <c r="K347" s="143"/>
      <c r="L347" s="143"/>
      <c r="M347" s="150"/>
      <c r="N347" s="143"/>
      <c r="O347" s="1"/>
      <c r="P347" s="151"/>
      <c r="Q347" s="143"/>
      <c r="R347" s="143"/>
      <c r="S347" s="143"/>
      <c r="T347" s="143"/>
      <c r="U347" s="143"/>
      <c r="V347" s="143"/>
      <c r="W347" s="143"/>
      <c r="X347" s="143"/>
      <c r="Y347" s="143"/>
      <c r="Z347" s="143"/>
      <c r="AA347" s="143"/>
      <c r="AB347" s="143"/>
      <c r="AC347" s="143"/>
      <c r="AD347" s="143"/>
      <c r="AE347" s="143"/>
      <c r="AF347" s="143"/>
      <c r="AG347" s="143"/>
      <c r="AH347" s="143"/>
      <c r="AI347" s="143"/>
      <c r="AJ347" s="143"/>
    </row>
    <row r="348" spans="1:36" ht="12.75" customHeight="1" x14ac:dyDescent="0.25">
      <c r="A348" s="143"/>
      <c r="B348" s="145"/>
      <c r="C348" s="146"/>
      <c r="D348" s="114"/>
      <c r="E348" s="148"/>
      <c r="F348" s="148"/>
      <c r="G348" s="114"/>
      <c r="H348" s="149"/>
      <c r="I348" s="143"/>
      <c r="J348" s="143"/>
      <c r="K348" s="143"/>
      <c r="L348" s="143"/>
      <c r="M348" s="150"/>
      <c r="N348" s="143"/>
      <c r="O348" s="1"/>
      <c r="P348" s="151"/>
      <c r="Q348" s="143"/>
      <c r="R348" s="143"/>
      <c r="S348" s="143"/>
      <c r="T348" s="143"/>
      <c r="U348" s="143"/>
      <c r="V348" s="143"/>
      <c r="W348" s="143"/>
      <c r="X348" s="143"/>
      <c r="Y348" s="143"/>
      <c r="Z348" s="143"/>
      <c r="AA348" s="143"/>
      <c r="AB348" s="143"/>
      <c r="AC348" s="143"/>
      <c r="AD348" s="143"/>
      <c r="AE348" s="143"/>
      <c r="AF348" s="143"/>
      <c r="AG348" s="143"/>
      <c r="AH348" s="143"/>
      <c r="AI348" s="143"/>
      <c r="AJ348" s="143"/>
    </row>
    <row r="349" spans="1:36" ht="12.75" customHeight="1" x14ac:dyDescent="0.25">
      <c r="A349" s="143"/>
      <c r="B349" s="145"/>
      <c r="C349" s="146"/>
      <c r="D349" s="114"/>
      <c r="E349" s="148"/>
      <c r="F349" s="148"/>
      <c r="G349" s="114"/>
      <c r="H349" s="149"/>
      <c r="I349" s="143"/>
      <c r="J349" s="143"/>
      <c r="K349" s="143"/>
      <c r="L349" s="143"/>
      <c r="M349" s="150"/>
      <c r="N349" s="143"/>
      <c r="O349" s="1"/>
      <c r="P349" s="151"/>
      <c r="Q349" s="143"/>
      <c r="R349" s="143"/>
      <c r="S349" s="143"/>
      <c r="T349" s="143"/>
      <c r="U349" s="143"/>
      <c r="V349" s="143"/>
      <c r="W349" s="143"/>
      <c r="X349" s="143"/>
      <c r="Y349" s="143"/>
      <c r="Z349" s="143"/>
      <c r="AA349" s="143"/>
      <c r="AB349" s="143"/>
      <c r="AC349" s="143"/>
      <c r="AD349" s="143"/>
      <c r="AE349" s="143"/>
      <c r="AF349" s="143"/>
      <c r="AG349" s="143"/>
      <c r="AH349" s="143"/>
      <c r="AI349" s="143"/>
      <c r="AJ349" s="143"/>
    </row>
    <row r="350" spans="1:36" ht="12.75" customHeight="1" x14ac:dyDescent="0.25">
      <c r="A350" s="143"/>
      <c r="B350" s="145"/>
      <c r="C350" s="146"/>
      <c r="D350" s="114"/>
      <c r="E350" s="148"/>
      <c r="F350" s="148"/>
      <c r="G350" s="114"/>
      <c r="H350" s="149"/>
      <c r="I350" s="143"/>
      <c r="J350" s="143"/>
      <c r="K350" s="143"/>
      <c r="L350" s="143"/>
      <c r="M350" s="150"/>
      <c r="N350" s="143"/>
      <c r="O350" s="1"/>
      <c r="P350" s="151"/>
      <c r="Q350" s="143"/>
      <c r="R350" s="143"/>
      <c r="S350" s="143"/>
      <c r="T350" s="143"/>
      <c r="U350" s="143"/>
      <c r="V350" s="143"/>
      <c r="W350" s="143"/>
      <c r="X350" s="143"/>
      <c r="Y350" s="143"/>
      <c r="Z350" s="143"/>
      <c r="AA350" s="143"/>
      <c r="AB350" s="143"/>
      <c r="AC350" s="143"/>
      <c r="AD350" s="143"/>
      <c r="AE350" s="143"/>
      <c r="AF350" s="143"/>
      <c r="AG350" s="143"/>
      <c r="AH350" s="143"/>
      <c r="AI350" s="143"/>
      <c r="AJ350" s="143"/>
    </row>
    <row r="351" spans="1:36" ht="12.75" customHeight="1" x14ac:dyDescent="0.25">
      <c r="A351" s="143"/>
      <c r="B351" s="145"/>
      <c r="C351" s="146"/>
      <c r="D351" s="114"/>
      <c r="E351" s="148"/>
      <c r="F351" s="148"/>
      <c r="G351" s="114"/>
      <c r="H351" s="149"/>
      <c r="I351" s="143"/>
      <c r="J351" s="143"/>
      <c r="K351" s="143"/>
      <c r="L351" s="143"/>
      <c r="M351" s="150"/>
      <c r="N351" s="143"/>
      <c r="O351" s="1"/>
      <c r="P351" s="151"/>
      <c r="Q351" s="143"/>
      <c r="R351" s="143"/>
      <c r="S351" s="143"/>
      <c r="T351" s="143"/>
      <c r="U351" s="143"/>
      <c r="V351" s="143"/>
      <c r="W351" s="143"/>
      <c r="X351" s="143"/>
      <c r="Y351" s="143"/>
      <c r="Z351" s="143"/>
      <c r="AA351" s="143"/>
      <c r="AB351" s="143"/>
      <c r="AC351" s="143"/>
      <c r="AD351" s="143"/>
      <c r="AE351" s="143"/>
      <c r="AF351" s="143"/>
      <c r="AG351" s="143"/>
      <c r="AH351" s="143"/>
      <c r="AI351" s="143"/>
      <c r="AJ351" s="143"/>
    </row>
    <row r="352" spans="1:36" ht="12.75" customHeight="1" x14ac:dyDescent="0.25">
      <c r="A352" s="143"/>
      <c r="B352" s="145"/>
      <c r="C352" s="146"/>
      <c r="D352" s="114"/>
      <c r="E352" s="148"/>
      <c r="F352" s="148"/>
      <c r="G352" s="114"/>
      <c r="H352" s="149"/>
      <c r="I352" s="143"/>
      <c r="J352" s="143"/>
      <c r="K352" s="143"/>
      <c r="L352" s="143"/>
      <c r="M352" s="150"/>
      <c r="N352" s="143"/>
      <c r="O352" s="1"/>
      <c r="P352" s="151"/>
      <c r="Q352" s="143"/>
      <c r="R352" s="143"/>
      <c r="S352" s="143"/>
      <c r="T352" s="143"/>
      <c r="U352" s="143"/>
      <c r="V352" s="143"/>
      <c r="W352" s="143"/>
      <c r="X352" s="143"/>
      <c r="Y352" s="143"/>
      <c r="Z352" s="143"/>
      <c r="AA352" s="143"/>
      <c r="AB352" s="143"/>
      <c r="AC352" s="143"/>
      <c r="AD352" s="143"/>
      <c r="AE352" s="143"/>
      <c r="AF352" s="143"/>
      <c r="AG352" s="143"/>
      <c r="AH352" s="143"/>
      <c r="AI352" s="143"/>
      <c r="AJ352" s="143"/>
    </row>
    <row r="353" spans="1:36" ht="12.75" customHeight="1" x14ac:dyDescent="0.25">
      <c r="A353" s="143"/>
      <c r="B353" s="145"/>
      <c r="C353" s="146"/>
      <c r="D353" s="114"/>
      <c r="E353" s="148"/>
      <c r="F353" s="148"/>
      <c r="G353" s="114"/>
      <c r="H353" s="149"/>
      <c r="I353" s="143"/>
      <c r="J353" s="143"/>
      <c r="K353" s="143"/>
      <c r="L353" s="143"/>
      <c r="M353" s="150"/>
      <c r="N353" s="143"/>
      <c r="O353" s="1"/>
      <c r="P353" s="151"/>
      <c r="Q353" s="143"/>
      <c r="R353" s="143"/>
      <c r="S353" s="143"/>
      <c r="T353" s="143"/>
      <c r="U353" s="143"/>
      <c r="V353" s="143"/>
      <c r="W353" s="143"/>
      <c r="X353" s="143"/>
      <c r="Y353" s="143"/>
      <c r="Z353" s="143"/>
      <c r="AA353" s="143"/>
      <c r="AB353" s="143"/>
      <c r="AC353" s="143"/>
      <c r="AD353" s="143"/>
      <c r="AE353" s="143"/>
      <c r="AF353" s="143"/>
      <c r="AG353" s="143"/>
      <c r="AH353" s="143"/>
      <c r="AI353" s="143"/>
      <c r="AJ353" s="143"/>
    </row>
    <row r="354" spans="1:36" ht="12.75" customHeight="1" x14ac:dyDescent="0.25">
      <c r="A354" s="143"/>
      <c r="B354" s="145"/>
      <c r="C354" s="146"/>
      <c r="D354" s="114"/>
      <c r="E354" s="148"/>
      <c r="F354" s="148"/>
      <c r="G354" s="114"/>
      <c r="H354" s="149"/>
      <c r="I354" s="143"/>
      <c r="J354" s="143"/>
      <c r="K354" s="143"/>
      <c r="L354" s="143"/>
      <c r="M354" s="150"/>
      <c r="N354" s="143"/>
      <c r="O354" s="1"/>
      <c r="P354" s="151"/>
      <c r="Q354" s="143"/>
      <c r="R354" s="143"/>
      <c r="S354" s="143"/>
      <c r="T354" s="143"/>
      <c r="U354" s="143"/>
      <c r="V354" s="143"/>
      <c r="W354" s="143"/>
      <c r="X354" s="143"/>
      <c r="Y354" s="143"/>
      <c r="Z354" s="143"/>
      <c r="AA354" s="143"/>
      <c r="AB354" s="143"/>
      <c r="AC354" s="143"/>
      <c r="AD354" s="143"/>
      <c r="AE354" s="143"/>
      <c r="AF354" s="143"/>
      <c r="AG354" s="143"/>
      <c r="AH354" s="143"/>
      <c r="AI354" s="143"/>
      <c r="AJ354" s="143"/>
    </row>
    <row r="355" spans="1:36" ht="12.75" customHeight="1" x14ac:dyDescent="0.25">
      <c r="A355" s="143"/>
      <c r="B355" s="145"/>
      <c r="C355" s="146"/>
      <c r="D355" s="114"/>
      <c r="E355" s="148"/>
      <c r="F355" s="148"/>
      <c r="G355" s="114"/>
      <c r="H355" s="149"/>
      <c r="I355" s="143"/>
      <c r="J355" s="143"/>
      <c r="K355" s="143"/>
      <c r="L355" s="143"/>
      <c r="M355" s="150"/>
      <c r="N355" s="143"/>
      <c r="O355" s="1"/>
      <c r="P355" s="151"/>
      <c r="Q355" s="143"/>
      <c r="R355" s="143"/>
      <c r="S355" s="143"/>
      <c r="T355" s="143"/>
      <c r="U355" s="143"/>
      <c r="V355" s="143"/>
      <c r="W355" s="143"/>
      <c r="X355" s="143"/>
      <c r="Y355" s="143"/>
      <c r="Z355" s="143"/>
      <c r="AA355" s="143"/>
      <c r="AB355" s="143"/>
      <c r="AC355" s="143"/>
      <c r="AD355" s="143"/>
      <c r="AE355" s="143"/>
      <c r="AF355" s="143"/>
      <c r="AG355" s="143"/>
      <c r="AH355" s="143"/>
      <c r="AI355" s="143"/>
      <c r="AJ355" s="143"/>
    </row>
    <row r="356" spans="1:36" ht="12.75" customHeight="1" x14ac:dyDescent="0.25">
      <c r="A356" s="143"/>
      <c r="B356" s="145"/>
      <c r="C356" s="146"/>
      <c r="D356" s="114"/>
      <c r="E356" s="148"/>
      <c r="F356" s="148"/>
      <c r="G356" s="114"/>
      <c r="H356" s="149"/>
      <c r="I356" s="143"/>
      <c r="J356" s="143"/>
      <c r="K356" s="143"/>
      <c r="L356" s="143"/>
      <c r="M356" s="150"/>
      <c r="N356" s="143"/>
      <c r="O356" s="1"/>
      <c r="P356" s="151"/>
      <c r="Q356" s="143"/>
      <c r="R356" s="143"/>
      <c r="S356" s="143"/>
      <c r="T356" s="143"/>
      <c r="U356" s="143"/>
      <c r="V356" s="143"/>
      <c r="W356" s="143"/>
      <c r="X356" s="143"/>
      <c r="Y356" s="143"/>
      <c r="Z356" s="143"/>
      <c r="AA356" s="143"/>
      <c r="AB356" s="143"/>
      <c r="AC356" s="143"/>
      <c r="AD356" s="143"/>
      <c r="AE356" s="143"/>
      <c r="AF356" s="143"/>
      <c r="AG356" s="143"/>
      <c r="AH356" s="143"/>
      <c r="AI356" s="143"/>
      <c r="AJ356" s="143"/>
    </row>
    <row r="357" spans="1:36" ht="12.75" customHeight="1" x14ac:dyDescent="0.25">
      <c r="A357" s="143"/>
      <c r="B357" s="145"/>
      <c r="C357" s="146"/>
      <c r="D357" s="114"/>
      <c r="E357" s="148"/>
      <c r="F357" s="148"/>
      <c r="G357" s="114"/>
      <c r="H357" s="149"/>
      <c r="I357" s="143"/>
      <c r="J357" s="143"/>
      <c r="K357" s="143"/>
      <c r="L357" s="143"/>
      <c r="M357" s="150"/>
      <c r="N357" s="143"/>
      <c r="O357" s="1"/>
      <c r="P357" s="151"/>
      <c r="Q357" s="143"/>
      <c r="R357" s="143"/>
      <c r="S357" s="143"/>
      <c r="T357" s="143"/>
      <c r="U357" s="143"/>
      <c r="V357" s="143"/>
      <c r="W357" s="143"/>
      <c r="X357" s="143"/>
      <c r="Y357" s="143"/>
      <c r="Z357" s="143"/>
      <c r="AA357" s="143"/>
      <c r="AB357" s="143"/>
      <c r="AC357" s="143"/>
      <c r="AD357" s="143"/>
      <c r="AE357" s="143"/>
      <c r="AF357" s="143"/>
      <c r="AG357" s="143"/>
      <c r="AH357" s="143"/>
      <c r="AI357" s="143"/>
      <c r="AJ357" s="143"/>
    </row>
    <row r="358" spans="1:36" ht="12.75" customHeight="1" x14ac:dyDescent="0.25">
      <c r="A358" s="143"/>
      <c r="B358" s="145"/>
      <c r="C358" s="146"/>
      <c r="D358" s="114"/>
      <c r="E358" s="148"/>
      <c r="F358" s="148"/>
      <c r="G358" s="114"/>
      <c r="H358" s="149"/>
      <c r="I358" s="143"/>
      <c r="J358" s="143"/>
      <c r="K358" s="143"/>
      <c r="L358" s="143"/>
      <c r="M358" s="150"/>
      <c r="N358" s="143"/>
      <c r="O358" s="1"/>
      <c r="P358" s="151"/>
      <c r="Q358" s="143"/>
      <c r="R358" s="143"/>
      <c r="S358" s="143"/>
      <c r="T358" s="143"/>
      <c r="U358" s="143"/>
      <c r="V358" s="143"/>
      <c r="W358" s="143"/>
      <c r="X358" s="143"/>
      <c r="Y358" s="143"/>
      <c r="Z358" s="143"/>
      <c r="AA358" s="143"/>
      <c r="AB358" s="143"/>
      <c r="AC358" s="143"/>
      <c r="AD358" s="143"/>
      <c r="AE358" s="143"/>
      <c r="AF358" s="143"/>
      <c r="AG358" s="143"/>
      <c r="AH358" s="143"/>
      <c r="AI358" s="143"/>
      <c r="AJ358" s="143"/>
    </row>
    <row r="359" spans="1:36" ht="12.75" customHeight="1" x14ac:dyDescent="0.25">
      <c r="A359" s="143"/>
      <c r="B359" s="145"/>
      <c r="C359" s="146"/>
      <c r="D359" s="114"/>
      <c r="E359" s="148"/>
      <c r="F359" s="148"/>
      <c r="G359" s="114"/>
      <c r="H359" s="149"/>
      <c r="I359" s="143"/>
      <c r="J359" s="143"/>
      <c r="K359" s="143"/>
      <c r="L359" s="143"/>
      <c r="M359" s="150"/>
      <c r="N359" s="143"/>
      <c r="O359" s="1"/>
      <c r="P359" s="151"/>
      <c r="Q359" s="143"/>
      <c r="R359" s="143"/>
      <c r="S359" s="143"/>
      <c r="T359" s="143"/>
      <c r="U359" s="143"/>
      <c r="V359" s="143"/>
      <c r="W359" s="143"/>
      <c r="X359" s="143"/>
      <c r="Y359" s="143"/>
      <c r="Z359" s="143"/>
      <c r="AA359" s="143"/>
      <c r="AB359" s="143"/>
      <c r="AC359" s="143"/>
      <c r="AD359" s="143"/>
      <c r="AE359" s="143"/>
      <c r="AF359" s="143"/>
      <c r="AG359" s="143"/>
      <c r="AH359" s="143"/>
      <c r="AI359" s="143"/>
      <c r="AJ359" s="143"/>
    </row>
    <row r="360" spans="1:36" ht="12.75" customHeight="1" x14ac:dyDescent="0.25">
      <c r="A360" s="143"/>
      <c r="B360" s="145"/>
      <c r="C360" s="146"/>
      <c r="D360" s="114"/>
      <c r="E360" s="148"/>
      <c r="F360" s="148"/>
      <c r="G360" s="114"/>
      <c r="H360" s="149"/>
      <c r="I360" s="143"/>
      <c r="J360" s="143"/>
      <c r="K360" s="143"/>
      <c r="L360" s="143"/>
      <c r="M360" s="150"/>
      <c r="N360" s="143"/>
      <c r="O360" s="1"/>
      <c r="P360" s="151"/>
      <c r="Q360" s="143"/>
      <c r="R360" s="143"/>
      <c r="S360" s="143"/>
      <c r="T360" s="143"/>
      <c r="U360" s="143"/>
      <c r="V360" s="143"/>
      <c r="W360" s="143"/>
      <c r="X360" s="143"/>
      <c r="Y360" s="143"/>
      <c r="Z360" s="143"/>
      <c r="AA360" s="143"/>
      <c r="AB360" s="143"/>
      <c r="AC360" s="143"/>
      <c r="AD360" s="143"/>
      <c r="AE360" s="143"/>
      <c r="AF360" s="143"/>
      <c r="AG360" s="143"/>
      <c r="AH360" s="143"/>
      <c r="AI360" s="143"/>
      <c r="AJ360" s="143"/>
    </row>
    <row r="361" spans="1:36" ht="12.75" customHeight="1" x14ac:dyDescent="0.25">
      <c r="A361" s="143"/>
      <c r="B361" s="145"/>
      <c r="C361" s="146"/>
      <c r="D361" s="114"/>
      <c r="E361" s="148"/>
      <c r="F361" s="148"/>
      <c r="G361" s="114"/>
      <c r="H361" s="149"/>
      <c r="I361" s="143"/>
      <c r="J361" s="143"/>
      <c r="K361" s="143"/>
      <c r="L361" s="143"/>
      <c r="M361" s="150"/>
      <c r="N361" s="143"/>
      <c r="O361" s="1"/>
      <c r="P361" s="151"/>
      <c r="Q361" s="143"/>
      <c r="R361" s="143"/>
      <c r="S361" s="143"/>
      <c r="T361" s="143"/>
      <c r="U361" s="143"/>
      <c r="V361" s="143"/>
      <c r="W361" s="143"/>
      <c r="X361" s="143"/>
      <c r="Y361" s="143"/>
      <c r="Z361" s="143"/>
      <c r="AA361" s="143"/>
      <c r="AB361" s="143"/>
      <c r="AC361" s="143"/>
      <c r="AD361" s="143"/>
      <c r="AE361" s="143"/>
      <c r="AF361" s="143"/>
      <c r="AG361" s="143"/>
      <c r="AH361" s="143"/>
      <c r="AI361" s="143"/>
      <c r="AJ361" s="143"/>
    </row>
    <row r="362" spans="1:36" ht="12.75" customHeight="1" x14ac:dyDescent="0.25">
      <c r="A362" s="143"/>
      <c r="B362" s="145"/>
      <c r="C362" s="146"/>
      <c r="D362" s="114"/>
      <c r="E362" s="148"/>
      <c r="F362" s="148"/>
      <c r="G362" s="114"/>
      <c r="H362" s="149"/>
      <c r="I362" s="143"/>
      <c r="J362" s="143"/>
      <c r="K362" s="143"/>
      <c r="L362" s="143"/>
      <c r="M362" s="150"/>
      <c r="N362" s="143"/>
      <c r="O362" s="1"/>
      <c r="P362" s="151"/>
      <c r="Q362" s="143"/>
      <c r="R362" s="143"/>
      <c r="S362" s="143"/>
      <c r="T362" s="143"/>
      <c r="U362" s="143"/>
      <c r="V362" s="143"/>
      <c r="W362" s="143"/>
      <c r="X362" s="143"/>
      <c r="Y362" s="143"/>
      <c r="Z362" s="143"/>
      <c r="AA362" s="143"/>
      <c r="AB362" s="143"/>
      <c r="AC362" s="143"/>
      <c r="AD362" s="143"/>
      <c r="AE362" s="143"/>
      <c r="AF362" s="143"/>
      <c r="AG362" s="143"/>
      <c r="AH362" s="143"/>
      <c r="AI362" s="143"/>
      <c r="AJ362" s="143"/>
    </row>
    <row r="363" spans="1:36" ht="12.75" customHeight="1" x14ac:dyDescent="0.25">
      <c r="A363" s="143"/>
      <c r="B363" s="145"/>
      <c r="C363" s="146"/>
      <c r="D363" s="114"/>
      <c r="E363" s="148"/>
      <c r="F363" s="148"/>
      <c r="G363" s="114"/>
      <c r="H363" s="149"/>
      <c r="I363" s="143"/>
      <c r="J363" s="143"/>
      <c r="K363" s="143"/>
      <c r="L363" s="143"/>
      <c r="M363" s="150"/>
      <c r="N363" s="143"/>
      <c r="O363" s="1"/>
      <c r="P363" s="151"/>
      <c r="Q363" s="143"/>
      <c r="R363" s="143"/>
      <c r="S363" s="143"/>
      <c r="T363" s="143"/>
      <c r="U363" s="143"/>
      <c r="V363" s="143"/>
      <c r="W363" s="143"/>
      <c r="X363" s="143"/>
      <c r="Y363" s="143"/>
      <c r="Z363" s="143"/>
      <c r="AA363" s="143"/>
      <c r="AB363" s="143"/>
      <c r="AC363" s="143"/>
      <c r="AD363" s="143"/>
      <c r="AE363" s="143"/>
      <c r="AF363" s="143"/>
      <c r="AG363" s="143"/>
      <c r="AH363" s="143"/>
      <c r="AI363" s="143"/>
      <c r="AJ363" s="143"/>
    </row>
    <row r="364" spans="1:36" ht="12.75" customHeight="1" x14ac:dyDescent="0.25">
      <c r="A364" s="143"/>
      <c r="B364" s="145"/>
      <c r="C364" s="146"/>
      <c r="D364" s="114"/>
      <c r="E364" s="148"/>
      <c r="F364" s="148"/>
      <c r="G364" s="114"/>
      <c r="H364" s="149"/>
      <c r="I364" s="143"/>
      <c r="J364" s="143"/>
      <c r="K364" s="143"/>
      <c r="L364" s="143"/>
      <c r="M364" s="150"/>
      <c r="N364" s="143"/>
      <c r="O364" s="1"/>
      <c r="P364" s="151"/>
      <c r="Q364" s="143"/>
      <c r="R364" s="143"/>
      <c r="S364" s="143"/>
      <c r="T364" s="143"/>
      <c r="U364" s="143"/>
      <c r="V364" s="143"/>
      <c r="W364" s="143"/>
      <c r="X364" s="143"/>
      <c r="Y364" s="143"/>
      <c r="Z364" s="143"/>
      <c r="AA364" s="143"/>
      <c r="AB364" s="143"/>
      <c r="AC364" s="143"/>
      <c r="AD364" s="143"/>
      <c r="AE364" s="143"/>
      <c r="AF364" s="143"/>
      <c r="AG364" s="143"/>
      <c r="AH364" s="143"/>
      <c r="AI364" s="143"/>
      <c r="AJ364" s="143"/>
    </row>
    <row r="365" spans="1:36" ht="12.75" customHeight="1" x14ac:dyDescent="0.25">
      <c r="A365" s="143"/>
      <c r="B365" s="145"/>
      <c r="C365" s="146"/>
      <c r="D365" s="114"/>
      <c r="E365" s="148"/>
      <c r="F365" s="148"/>
      <c r="G365" s="114"/>
      <c r="H365" s="149"/>
      <c r="I365" s="143"/>
      <c r="J365" s="143"/>
      <c r="K365" s="143"/>
      <c r="L365" s="143"/>
      <c r="M365" s="150"/>
      <c r="N365" s="143"/>
      <c r="O365" s="1"/>
      <c r="P365" s="151"/>
      <c r="Q365" s="143"/>
      <c r="R365" s="143"/>
      <c r="S365" s="143"/>
      <c r="T365" s="143"/>
      <c r="U365" s="143"/>
      <c r="V365" s="143"/>
      <c r="W365" s="143"/>
      <c r="X365" s="143"/>
      <c r="Y365" s="143"/>
      <c r="Z365" s="143"/>
      <c r="AA365" s="143"/>
      <c r="AB365" s="143"/>
      <c r="AC365" s="143"/>
      <c r="AD365" s="143"/>
      <c r="AE365" s="143"/>
      <c r="AF365" s="143"/>
      <c r="AG365" s="143"/>
      <c r="AH365" s="143"/>
      <c r="AI365" s="143"/>
      <c r="AJ365" s="143"/>
    </row>
    <row r="366" spans="1:36" ht="12.75" customHeight="1" x14ac:dyDescent="0.25">
      <c r="A366" s="143"/>
      <c r="B366" s="145"/>
      <c r="C366" s="146"/>
      <c r="D366" s="114"/>
      <c r="E366" s="148"/>
      <c r="F366" s="148"/>
      <c r="G366" s="114"/>
      <c r="H366" s="149"/>
      <c r="I366" s="143"/>
      <c r="J366" s="143"/>
      <c r="K366" s="143"/>
      <c r="L366" s="143"/>
      <c r="M366" s="150"/>
      <c r="N366" s="143"/>
      <c r="O366" s="1"/>
      <c r="P366" s="151"/>
      <c r="Q366" s="143"/>
      <c r="R366" s="143"/>
      <c r="S366" s="143"/>
      <c r="T366" s="143"/>
      <c r="U366" s="143"/>
      <c r="V366" s="143"/>
      <c r="W366" s="143"/>
      <c r="X366" s="143"/>
      <c r="Y366" s="143"/>
      <c r="Z366" s="143"/>
      <c r="AA366" s="143"/>
      <c r="AB366" s="143"/>
      <c r="AC366" s="143"/>
      <c r="AD366" s="143"/>
      <c r="AE366" s="143"/>
      <c r="AF366" s="143"/>
      <c r="AG366" s="143"/>
      <c r="AH366" s="143"/>
      <c r="AI366" s="143"/>
      <c r="AJ366" s="143"/>
    </row>
    <row r="367" spans="1:36" ht="12.75" customHeight="1" x14ac:dyDescent="0.25">
      <c r="A367" s="143"/>
      <c r="B367" s="145"/>
      <c r="C367" s="146"/>
      <c r="D367" s="114"/>
      <c r="E367" s="148"/>
      <c r="F367" s="148"/>
      <c r="G367" s="114"/>
      <c r="H367" s="149"/>
      <c r="I367" s="143"/>
      <c r="J367" s="143"/>
      <c r="K367" s="143"/>
      <c r="L367" s="143"/>
      <c r="M367" s="150"/>
      <c r="N367" s="143"/>
      <c r="O367" s="1"/>
      <c r="P367" s="151"/>
      <c r="Q367" s="143"/>
      <c r="R367" s="143"/>
      <c r="S367" s="143"/>
      <c r="T367" s="143"/>
      <c r="U367" s="143"/>
      <c r="V367" s="143"/>
      <c r="W367" s="143"/>
      <c r="X367" s="143"/>
      <c r="Y367" s="143"/>
      <c r="Z367" s="143"/>
      <c r="AA367" s="143"/>
      <c r="AB367" s="143"/>
      <c r="AC367" s="143"/>
      <c r="AD367" s="143"/>
      <c r="AE367" s="143"/>
      <c r="AF367" s="143"/>
      <c r="AG367" s="143"/>
      <c r="AH367" s="143"/>
      <c r="AI367" s="143"/>
      <c r="AJ367" s="143"/>
    </row>
    <row r="368" spans="1:36" ht="12.75" customHeight="1" x14ac:dyDescent="0.25">
      <c r="A368" s="143"/>
      <c r="B368" s="145"/>
      <c r="C368" s="146"/>
      <c r="D368" s="114"/>
      <c r="E368" s="148"/>
      <c r="F368" s="148"/>
      <c r="G368" s="114"/>
      <c r="H368" s="149"/>
      <c r="I368" s="143"/>
      <c r="J368" s="143"/>
      <c r="K368" s="143"/>
      <c r="L368" s="143"/>
      <c r="M368" s="150"/>
      <c r="N368" s="143"/>
      <c r="O368" s="1"/>
      <c r="P368" s="151"/>
      <c r="Q368" s="143"/>
      <c r="R368" s="143"/>
      <c r="S368" s="143"/>
      <c r="T368" s="143"/>
      <c r="U368" s="143"/>
      <c r="V368" s="143"/>
      <c r="W368" s="143"/>
      <c r="X368" s="143"/>
      <c r="Y368" s="143"/>
      <c r="Z368" s="143"/>
      <c r="AA368" s="143"/>
      <c r="AB368" s="143"/>
      <c r="AC368" s="143"/>
      <c r="AD368" s="143"/>
      <c r="AE368" s="143"/>
      <c r="AF368" s="143"/>
      <c r="AG368" s="143"/>
      <c r="AH368" s="143"/>
      <c r="AI368" s="143"/>
      <c r="AJ368" s="143"/>
    </row>
    <row r="369" spans="1:36" ht="12.75" customHeight="1" x14ac:dyDescent="0.25">
      <c r="A369" s="143"/>
      <c r="B369" s="145"/>
      <c r="C369" s="146"/>
      <c r="D369" s="114"/>
      <c r="E369" s="148"/>
      <c r="F369" s="148"/>
      <c r="G369" s="114"/>
      <c r="H369" s="149"/>
      <c r="I369" s="143"/>
      <c r="J369" s="143"/>
      <c r="K369" s="143"/>
      <c r="L369" s="143"/>
      <c r="M369" s="150"/>
      <c r="N369" s="143"/>
      <c r="O369" s="1"/>
      <c r="P369" s="151"/>
      <c r="Q369" s="143"/>
      <c r="R369" s="143"/>
      <c r="S369" s="143"/>
      <c r="T369" s="143"/>
      <c r="U369" s="143"/>
      <c r="V369" s="143"/>
      <c r="W369" s="143"/>
      <c r="X369" s="143"/>
      <c r="Y369" s="143"/>
      <c r="Z369" s="143"/>
      <c r="AA369" s="143"/>
      <c r="AB369" s="143"/>
      <c r="AC369" s="143"/>
      <c r="AD369" s="143"/>
      <c r="AE369" s="143"/>
      <c r="AF369" s="143"/>
      <c r="AG369" s="143"/>
      <c r="AH369" s="143"/>
      <c r="AI369" s="143"/>
      <c r="AJ369" s="143"/>
    </row>
    <row r="370" spans="1:36" ht="12.75" customHeight="1" x14ac:dyDescent="0.25">
      <c r="A370" s="143"/>
      <c r="B370" s="145"/>
      <c r="C370" s="146"/>
      <c r="D370" s="114"/>
      <c r="E370" s="148"/>
      <c r="F370" s="148"/>
      <c r="G370" s="114"/>
      <c r="H370" s="149"/>
      <c r="I370" s="143"/>
      <c r="J370" s="143"/>
      <c r="K370" s="143"/>
      <c r="L370" s="143"/>
      <c r="M370" s="150"/>
      <c r="N370" s="143"/>
      <c r="O370" s="1"/>
      <c r="P370" s="151"/>
      <c r="Q370" s="143"/>
      <c r="R370" s="143"/>
      <c r="S370" s="143"/>
      <c r="T370" s="143"/>
      <c r="U370" s="143"/>
      <c r="V370" s="143"/>
      <c r="W370" s="143"/>
      <c r="X370" s="143"/>
      <c r="Y370" s="143"/>
      <c r="Z370" s="143"/>
      <c r="AA370" s="143"/>
      <c r="AB370" s="143"/>
      <c r="AC370" s="143"/>
      <c r="AD370" s="143"/>
      <c r="AE370" s="143"/>
      <c r="AF370" s="143"/>
      <c r="AG370" s="143"/>
      <c r="AH370" s="143"/>
      <c r="AI370" s="143"/>
      <c r="AJ370" s="143"/>
    </row>
    <row r="371" spans="1:36" ht="12.75" customHeight="1" x14ac:dyDescent="0.25">
      <c r="A371" s="143"/>
      <c r="B371" s="145"/>
      <c r="C371" s="146"/>
      <c r="D371" s="114"/>
      <c r="E371" s="148"/>
      <c r="F371" s="148"/>
      <c r="G371" s="114"/>
      <c r="H371" s="149"/>
      <c r="I371" s="143"/>
      <c r="J371" s="143"/>
      <c r="K371" s="143"/>
      <c r="L371" s="143"/>
      <c r="M371" s="150"/>
      <c r="N371" s="143"/>
      <c r="O371" s="1"/>
      <c r="P371" s="151"/>
      <c r="Q371" s="143"/>
      <c r="R371" s="143"/>
      <c r="S371" s="143"/>
      <c r="T371" s="143"/>
      <c r="U371" s="143"/>
      <c r="V371" s="143"/>
      <c r="W371" s="143"/>
      <c r="X371" s="143"/>
      <c r="Y371" s="143"/>
      <c r="Z371" s="143"/>
      <c r="AA371" s="143"/>
      <c r="AB371" s="143"/>
      <c r="AC371" s="143"/>
      <c r="AD371" s="143"/>
      <c r="AE371" s="143"/>
      <c r="AF371" s="143"/>
      <c r="AG371" s="143"/>
      <c r="AH371" s="143"/>
      <c r="AI371" s="143"/>
      <c r="AJ371" s="143"/>
    </row>
    <row r="372" spans="1:36" ht="12.75" customHeight="1" x14ac:dyDescent="0.25">
      <c r="A372" s="143"/>
      <c r="B372" s="145"/>
      <c r="C372" s="146"/>
      <c r="D372" s="114"/>
      <c r="E372" s="148"/>
      <c r="F372" s="148"/>
      <c r="G372" s="114"/>
      <c r="H372" s="149"/>
      <c r="I372" s="143"/>
      <c r="J372" s="143"/>
      <c r="K372" s="143"/>
      <c r="L372" s="143"/>
      <c r="M372" s="150"/>
      <c r="N372" s="143"/>
      <c r="O372" s="1"/>
      <c r="P372" s="151"/>
      <c r="Q372" s="143"/>
      <c r="R372" s="143"/>
      <c r="S372" s="143"/>
      <c r="T372" s="143"/>
      <c r="U372" s="143"/>
      <c r="V372" s="143"/>
      <c r="W372" s="143"/>
      <c r="X372" s="143"/>
      <c r="Y372" s="143"/>
      <c r="Z372" s="143"/>
      <c r="AA372" s="143"/>
      <c r="AB372" s="143"/>
      <c r="AC372" s="143"/>
      <c r="AD372" s="143"/>
      <c r="AE372" s="143"/>
      <c r="AF372" s="143"/>
      <c r="AG372" s="143"/>
      <c r="AH372" s="143"/>
      <c r="AI372" s="143"/>
      <c r="AJ372" s="143"/>
    </row>
    <row r="373" spans="1:36" ht="12.75" customHeight="1" x14ac:dyDescent="0.25">
      <c r="A373" s="143"/>
      <c r="B373" s="145"/>
      <c r="C373" s="146"/>
      <c r="D373" s="114"/>
      <c r="E373" s="148"/>
      <c r="F373" s="148"/>
      <c r="G373" s="114"/>
      <c r="H373" s="149"/>
      <c r="I373" s="143"/>
      <c r="J373" s="143"/>
      <c r="K373" s="143"/>
      <c r="L373" s="143"/>
      <c r="M373" s="150"/>
      <c r="N373" s="143"/>
      <c r="O373" s="1"/>
      <c r="P373" s="151"/>
      <c r="Q373" s="143"/>
      <c r="R373" s="143"/>
      <c r="S373" s="143"/>
      <c r="T373" s="143"/>
      <c r="U373" s="143"/>
      <c r="V373" s="143"/>
      <c r="W373" s="143"/>
      <c r="X373" s="143"/>
      <c r="Y373" s="143"/>
      <c r="Z373" s="143"/>
      <c r="AA373" s="143"/>
      <c r="AB373" s="143"/>
      <c r="AC373" s="143"/>
      <c r="AD373" s="143"/>
      <c r="AE373" s="143"/>
      <c r="AF373" s="143"/>
      <c r="AG373" s="143"/>
      <c r="AH373" s="143"/>
      <c r="AI373" s="143"/>
      <c r="AJ373" s="143"/>
    </row>
    <row r="374" spans="1:36" ht="12.75" customHeight="1" x14ac:dyDescent="0.25">
      <c r="A374" s="143"/>
      <c r="B374" s="145"/>
      <c r="C374" s="146"/>
      <c r="D374" s="114"/>
      <c r="E374" s="148"/>
      <c r="F374" s="148"/>
      <c r="G374" s="114"/>
      <c r="H374" s="149"/>
      <c r="I374" s="143"/>
      <c r="J374" s="143"/>
      <c r="K374" s="143"/>
      <c r="L374" s="143"/>
      <c r="M374" s="150"/>
      <c r="N374" s="143"/>
      <c r="O374" s="1"/>
      <c r="P374" s="151"/>
      <c r="Q374" s="143"/>
      <c r="R374" s="143"/>
      <c r="S374" s="143"/>
      <c r="T374" s="143"/>
      <c r="U374" s="143"/>
      <c r="V374" s="143"/>
      <c r="W374" s="143"/>
      <c r="X374" s="143"/>
      <c r="Y374" s="143"/>
      <c r="Z374" s="143"/>
      <c r="AA374" s="143"/>
      <c r="AB374" s="143"/>
      <c r="AC374" s="143"/>
      <c r="AD374" s="143"/>
      <c r="AE374" s="143"/>
      <c r="AF374" s="143"/>
      <c r="AG374" s="143"/>
      <c r="AH374" s="143"/>
      <c r="AI374" s="143"/>
      <c r="AJ374" s="143"/>
    </row>
    <row r="375" spans="1:36" ht="12.75" customHeight="1" x14ac:dyDescent="0.25">
      <c r="A375" s="143"/>
      <c r="B375" s="145"/>
      <c r="C375" s="146"/>
      <c r="D375" s="114"/>
      <c r="E375" s="148"/>
      <c r="F375" s="148"/>
      <c r="G375" s="114"/>
      <c r="H375" s="149"/>
      <c r="I375" s="143"/>
      <c r="J375" s="143"/>
      <c r="K375" s="143"/>
      <c r="L375" s="143"/>
      <c r="M375" s="150"/>
      <c r="N375" s="143"/>
      <c r="O375" s="1"/>
      <c r="P375" s="151"/>
      <c r="Q375" s="143"/>
      <c r="R375" s="143"/>
      <c r="S375" s="143"/>
      <c r="T375" s="143"/>
      <c r="U375" s="143"/>
      <c r="V375" s="143"/>
      <c r="W375" s="143"/>
      <c r="X375" s="143"/>
      <c r="Y375" s="143"/>
      <c r="Z375" s="143"/>
      <c r="AA375" s="143"/>
      <c r="AB375" s="143"/>
      <c r="AC375" s="143"/>
      <c r="AD375" s="143"/>
      <c r="AE375" s="143"/>
      <c r="AF375" s="143"/>
      <c r="AG375" s="143"/>
      <c r="AH375" s="143"/>
      <c r="AI375" s="143"/>
      <c r="AJ375" s="143"/>
    </row>
    <row r="376" spans="1:36" ht="12.75" customHeight="1" x14ac:dyDescent="0.25">
      <c r="A376" s="143"/>
      <c r="B376" s="145"/>
      <c r="C376" s="146"/>
      <c r="D376" s="114"/>
      <c r="E376" s="148"/>
      <c r="F376" s="148"/>
      <c r="G376" s="114"/>
      <c r="H376" s="149"/>
      <c r="I376" s="143"/>
      <c r="J376" s="143"/>
      <c r="K376" s="143"/>
      <c r="L376" s="143"/>
      <c r="M376" s="150"/>
      <c r="N376" s="143"/>
      <c r="O376" s="1"/>
      <c r="P376" s="151"/>
      <c r="Q376" s="143"/>
      <c r="R376" s="143"/>
      <c r="S376" s="143"/>
      <c r="T376" s="143"/>
      <c r="U376" s="143"/>
      <c r="V376" s="143"/>
      <c r="W376" s="143"/>
      <c r="X376" s="143"/>
      <c r="Y376" s="143"/>
      <c r="Z376" s="143"/>
      <c r="AA376" s="143"/>
      <c r="AB376" s="143"/>
      <c r="AC376" s="143"/>
      <c r="AD376" s="143"/>
      <c r="AE376" s="143"/>
      <c r="AF376" s="143"/>
      <c r="AG376" s="143"/>
      <c r="AH376" s="143"/>
      <c r="AI376" s="143"/>
      <c r="AJ376" s="143"/>
    </row>
    <row r="377" spans="1:36" ht="12.75" customHeight="1" x14ac:dyDescent="0.25">
      <c r="A377" s="143"/>
      <c r="B377" s="145"/>
      <c r="C377" s="146"/>
      <c r="D377" s="114"/>
      <c r="E377" s="148"/>
      <c r="F377" s="148"/>
      <c r="G377" s="114"/>
      <c r="H377" s="149"/>
      <c r="I377" s="143"/>
      <c r="J377" s="143"/>
      <c r="K377" s="143"/>
      <c r="L377" s="143"/>
      <c r="M377" s="150"/>
      <c r="N377" s="143"/>
      <c r="O377" s="1"/>
      <c r="P377" s="151"/>
      <c r="Q377" s="143"/>
      <c r="R377" s="143"/>
      <c r="S377" s="143"/>
      <c r="T377" s="143"/>
      <c r="U377" s="143"/>
      <c r="V377" s="143"/>
      <c r="W377" s="143"/>
      <c r="X377" s="143"/>
      <c r="Y377" s="143"/>
      <c r="Z377" s="143"/>
      <c r="AA377" s="143"/>
      <c r="AB377" s="143"/>
      <c r="AC377" s="143"/>
      <c r="AD377" s="143"/>
      <c r="AE377" s="143"/>
      <c r="AF377" s="143"/>
      <c r="AG377" s="143"/>
      <c r="AH377" s="143"/>
      <c r="AI377" s="143"/>
      <c r="AJ377" s="143"/>
    </row>
    <row r="378" spans="1:36" ht="12.75" customHeight="1" x14ac:dyDescent="0.25">
      <c r="A378" s="143"/>
      <c r="B378" s="145"/>
      <c r="C378" s="146"/>
      <c r="D378" s="114"/>
      <c r="E378" s="148"/>
      <c r="F378" s="148"/>
      <c r="G378" s="114"/>
      <c r="H378" s="149"/>
      <c r="I378" s="143"/>
      <c r="J378" s="143"/>
      <c r="K378" s="143"/>
      <c r="L378" s="143"/>
      <c r="M378" s="150"/>
      <c r="N378" s="143"/>
      <c r="O378" s="1"/>
      <c r="P378" s="151"/>
      <c r="Q378" s="143"/>
      <c r="R378" s="143"/>
      <c r="S378" s="143"/>
      <c r="T378" s="143"/>
      <c r="U378" s="143"/>
      <c r="V378" s="143"/>
      <c r="W378" s="143"/>
      <c r="X378" s="143"/>
      <c r="Y378" s="143"/>
      <c r="Z378" s="143"/>
      <c r="AA378" s="143"/>
      <c r="AB378" s="143"/>
      <c r="AC378" s="143"/>
      <c r="AD378" s="143"/>
      <c r="AE378" s="143"/>
      <c r="AF378" s="143"/>
      <c r="AG378" s="143"/>
      <c r="AH378" s="143"/>
      <c r="AI378" s="143"/>
      <c r="AJ378" s="143"/>
    </row>
    <row r="379" spans="1:36" ht="12.75" customHeight="1" x14ac:dyDescent="0.25">
      <c r="A379" s="143"/>
      <c r="B379" s="145"/>
      <c r="C379" s="146"/>
      <c r="D379" s="114"/>
      <c r="E379" s="148"/>
      <c r="F379" s="148"/>
      <c r="G379" s="114"/>
      <c r="H379" s="149"/>
      <c r="I379" s="143"/>
      <c r="J379" s="143"/>
      <c r="K379" s="143"/>
      <c r="L379" s="143"/>
      <c r="M379" s="150"/>
      <c r="N379" s="143"/>
      <c r="O379" s="1"/>
      <c r="P379" s="151"/>
      <c r="Q379" s="143"/>
      <c r="R379" s="143"/>
      <c r="S379" s="143"/>
      <c r="T379" s="143"/>
      <c r="U379" s="143"/>
      <c r="V379" s="143"/>
      <c r="W379" s="143"/>
      <c r="X379" s="143"/>
      <c r="Y379" s="143"/>
      <c r="Z379" s="143"/>
      <c r="AA379" s="143"/>
      <c r="AB379" s="143"/>
      <c r="AC379" s="143"/>
      <c r="AD379" s="143"/>
      <c r="AE379" s="143"/>
      <c r="AF379" s="143"/>
      <c r="AG379" s="143"/>
      <c r="AH379" s="143"/>
      <c r="AI379" s="143"/>
      <c r="AJ379" s="143"/>
    </row>
    <row r="380" spans="1:36" ht="12.75" customHeight="1" x14ac:dyDescent="0.25">
      <c r="A380" s="143"/>
      <c r="B380" s="145"/>
      <c r="C380" s="146"/>
      <c r="D380" s="114"/>
      <c r="E380" s="148"/>
      <c r="F380" s="148"/>
      <c r="G380" s="114"/>
      <c r="H380" s="149"/>
      <c r="I380" s="143"/>
      <c r="J380" s="143"/>
      <c r="K380" s="143"/>
      <c r="L380" s="143"/>
      <c r="M380" s="150"/>
      <c r="N380" s="143"/>
      <c r="O380" s="1"/>
      <c r="P380" s="151"/>
      <c r="Q380" s="143"/>
      <c r="R380" s="143"/>
      <c r="S380" s="143"/>
      <c r="T380" s="143"/>
      <c r="U380" s="143"/>
      <c r="V380" s="143"/>
      <c r="W380" s="143"/>
      <c r="X380" s="143"/>
      <c r="Y380" s="143"/>
      <c r="Z380" s="143"/>
      <c r="AA380" s="143"/>
      <c r="AB380" s="143"/>
      <c r="AC380" s="143"/>
      <c r="AD380" s="143"/>
      <c r="AE380" s="143"/>
      <c r="AF380" s="143"/>
      <c r="AG380" s="143"/>
      <c r="AH380" s="143"/>
      <c r="AI380" s="143"/>
      <c r="AJ380" s="143"/>
    </row>
    <row r="381" spans="1:36" ht="12.75" customHeight="1" x14ac:dyDescent="0.25">
      <c r="A381" s="143"/>
      <c r="B381" s="145"/>
      <c r="C381" s="146"/>
      <c r="D381" s="114"/>
      <c r="E381" s="148"/>
      <c r="F381" s="148"/>
      <c r="G381" s="114"/>
      <c r="H381" s="149"/>
      <c r="I381" s="143"/>
      <c r="J381" s="143"/>
      <c r="K381" s="143"/>
      <c r="L381" s="143"/>
      <c r="M381" s="150"/>
      <c r="N381" s="143"/>
      <c r="O381" s="1"/>
      <c r="P381" s="151"/>
      <c r="Q381" s="143"/>
      <c r="R381" s="143"/>
      <c r="S381" s="143"/>
      <c r="T381" s="143"/>
      <c r="U381" s="143"/>
      <c r="V381" s="143"/>
      <c r="W381" s="143"/>
      <c r="X381" s="143"/>
      <c r="Y381" s="143"/>
      <c r="Z381" s="143"/>
      <c r="AA381" s="143"/>
      <c r="AB381" s="143"/>
      <c r="AC381" s="143"/>
      <c r="AD381" s="143"/>
      <c r="AE381" s="143"/>
      <c r="AF381" s="143"/>
      <c r="AG381" s="143"/>
      <c r="AH381" s="143"/>
      <c r="AI381" s="143"/>
      <c r="AJ381" s="143"/>
    </row>
    <row r="382" spans="1:36" ht="12.75" customHeight="1" x14ac:dyDescent="0.25">
      <c r="A382" s="143"/>
      <c r="B382" s="145"/>
      <c r="C382" s="146"/>
      <c r="D382" s="114"/>
      <c r="E382" s="148"/>
      <c r="F382" s="148"/>
      <c r="G382" s="114"/>
      <c r="H382" s="149"/>
      <c r="I382" s="143"/>
      <c r="J382" s="143"/>
      <c r="K382" s="143"/>
      <c r="L382" s="143"/>
      <c r="M382" s="150"/>
      <c r="N382" s="143"/>
      <c r="O382" s="1"/>
      <c r="P382" s="151"/>
      <c r="Q382" s="143"/>
      <c r="R382" s="143"/>
      <c r="S382" s="143"/>
      <c r="T382" s="143"/>
      <c r="U382" s="143"/>
      <c r="V382" s="143"/>
      <c r="W382" s="143"/>
      <c r="X382" s="143"/>
      <c r="Y382" s="143"/>
      <c r="Z382" s="143"/>
      <c r="AA382" s="143"/>
      <c r="AB382" s="143"/>
      <c r="AC382" s="143"/>
      <c r="AD382" s="143"/>
      <c r="AE382" s="143"/>
      <c r="AF382" s="143"/>
      <c r="AG382" s="143"/>
      <c r="AH382" s="143"/>
      <c r="AI382" s="143"/>
      <c r="AJ382" s="143"/>
    </row>
    <row r="383" spans="1:36" ht="12.75" customHeight="1" x14ac:dyDescent="0.25">
      <c r="A383" s="143"/>
      <c r="B383" s="145"/>
      <c r="C383" s="146"/>
      <c r="D383" s="114"/>
      <c r="E383" s="148"/>
      <c r="F383" s="148"/>
      <c r="G383" s="114"/>
      <c r="H383" s="149"/>
      <c r="I383" s="143"/>
      <c r="J383" s="143"/>
      <c r="K383" s="143"/>
      <c r="L383" s="143"/>
      <c r="M383" s="150"/>
      <c r="N383" s="143"/>
      <c r="O383" s="1"/>
      <c r="P383" s="151"/>
      <c r="Q383" s="143"/>
      <c r="R383" s="143"/>
      <c r="S383" s="143"/>
      <c r="T383" s="143"/>
      <c r="U383" s="143"/>
      <c r="V383" s="143"/>
      <c r="W383" s="143"/>
      <c r="X383" s="143"/>
      <c r="Y383" s="143"/>
      <c r="Z383" s="143"/>
      <c r="AA383" s="143"/>
      <c r="AB383" s="143"/>
      <c r="AC383" s="143"/>
      <c r="AD383" s="143"/>
      <c r="AE383" s="143"/>
      <c r="AF383" s="143"/>
      <c r="AG383" s="143"/>
      <c r="AH383" s="143"/>
      <c r="AI383" s="143"/>
      <c r="AJ383" s="143"/>
    </row>
    <row r="384" spans="1:36" ht="12.75" customHeight="1" x14ac:dyDescent="0.25">
      <c r="A384" s="143"/>
      <c r="B384" s="145"/>
      <c r="C384" s="146"/>
      <c r="D384" s="114"/>
      <c r="E384" s="148"/>
      <c r="F384" s="148"/>
      <c r="G384" s="114"/>
      <c r="H384" s="149"/>
      <c r="I384" s="143"/>
      <c r="J384" s="143"/>
      <c r="K384" s="143"/>
      <c r="L384" s="143"/>
      <c r="M384" s="150"/>
      <c r="N384" s="143"/>
      <c r="O384" s="1"/>
      <c r="P384" s="151"/>
      <c r="Q384" s="143"/>
      <c r="R384" s="143"/>
      <c r="S384" s="143"/>
      <c r="T384" s="143"/>
      <c r="U384" s="143"/>
      <c r="V384" s="143"/>
      <c r="W384" s="143"/>
      <c r="X384" s="143"/>
      <c r="Y384" s="143"/>
      <c r="Z384" s="143"/>
      <c r="AA384" s="143"/>
      <c r="AB384" s="143"/>
      <c r="AC384" s="143"/>
      <c r="AD384" s="143"/>
      <c r="AE384" s="143"/>
      <c r="AF384" s="143"/>
      <c r="AG384" s="143"/>
      <c r="AH384" s="143"/>
      <c r="AI384" s="143"/>
      <c r="AJ384" s="143"/>
    </row>
    <row r="385" spans="1:36" ht="12.75" customHeight="1" x14ac:dyDescent="0.25">
      <c r="A385" s="143"/>
      <c r="B385" s="145"/>
      <c r="C385" s="146"/>
      <c r="D385" s="114"/>
      <c r="E385" s="148"/>
      <c r="F385" s="148"/>
      <c r="G385" s="114"/>
      <c r="H385" s="149"/>
      <c r="I385" s="143"/>
      <c r="J385" s="143"/>
      <c r="K385" s="143"/>
      <c r="L385" s="143"/>
      <c r="M385" s="150"/>
      <c r="N385" s="143"/>
      <c r="O385" s="1"/>
      <c r="P385" s="151"/>
      <c r="Q385" s="143"/>
      <c r="R385" s="143"/>
      <c r="S385" s="143"/>
      <c r="T385" s="143"/>
      <c r="U385" s="143"/>
      <c r="V385" s="143"/>
      <c r="W385" s="143"/>
      <c r="X385" s="143"/>
      <c r="Y385" s="143"/>
      <c r="Z385" s="143"/>
      <c r="AA385" s="143"/>
      <c r="AB385" s="143"/>
      <c r="AC385" s="143"/>
      <c r="AD385" s="143"/>
      <c r="AE385" s="143"/>
      <c r="AF385" s="143"/>
      <c r="AG385" s="143"/>
      <c r="AH385" s="143"/>
      <c r="AI385" s="143"/>
      <c r="AJ385" s="143"/>
    </row>
    <row r="386" spans="1:36" ht="12.75" customHeight="1" x14ac:dyDescent="0.25">
      <c r="A386" s="143"/>
      <c r="B386" s="145"/>
      <c r="C386" s="146"/>
      <c r="D386" s="114"/>
      <c r="E386" s="148"/>
      <c r="F386" s="148"/>
      <c r="G386" s="114"/>
      <c r="H386" s="149"/>
      <c r="I386" s="143"/>
      <c r="J386" s="143"/>
      <c r="K386" s="143"/>
      <c r="L386" s="143"/>
      <c r="M386" s="150"/>
      <c r="N386" s="143"/>
      <c r="O386" s="1"/>
      <c r="P386" s="151"/>
      <c r="Q386" s="143"/>
      <c r="R386" s="143"/>
      <c r="S386" s="143"/>
      <c r="T386" s="143"/>
      <c r="U386" s="143"/>
      <c r="V386" s="143"/>
      <c r="W386" s="143"/>
      <c r="X386" s="143"/>
      <c r="Y386" s="143"/>
      <c r="Z386" s="143"/>
      <c r="AA386" s="143"/>
      <c r="AB386" s="143"/>
      <c r="AC386" s="143"/>
      <c r="AD386" s="143"/>
      <c r="AE386" s="143"/>
      <c r="AF386" s="143"/>
      <c r="AG386" s="143"/>
      <c r="AH386" s="143"/>
      <c r="AI386" s="143"/>
      <c r="AJ386" s="143"/>
    </row>
    <row r="387" spans="1:36" ht="12.75" customHeight="1" x14ac:dyDescent="0.25">
      <c r="A387" s="143"/>
      <c r="B387" s="145"/>
      <c r="C387" s="146"/>
      <c r="D387" s="114"/>
      <c r="E387" s="148"/>
      <c r="F387" s="148"/>
      <c r="G387" s="114"/>
      <c r="H387" s="149"/>
      <c r="I387" s="143"/>
      <c r="J387" s="143"/>
      <c r="K387" s="143"/>
      <c r="L387" s="143"/>
      <c r="M387" s="150"/>
      <c r="N387" s="143"/>
      <c r="O387" s="1"/>
      <c r="P387" s="151"/>
      <c r="Q387" s="143"/>
      <c r="R387" s="143"/>
      <c r="S387" s="143"/>
      <c r="T387" s="143"/>
      <c r="U387" s="143"/>
      <c r="V387" s="143"/>
      <c r="W387" s="143"/>
      <c r="X387" s="143"/>
      <c r="Y387" s="143"/>
      <c r="Z387" s="143"/>
      <c r="AA387" s="143"/>
      <c r="AB387" s="143"/>
      <c r="AC387" s="143"/>
      <c r="AD387" s="143"/>
      <c r="AE387" s="143"/>
      <c r="AF387" s="143"/>
      <c r="AG387" s="143"/>
      <c r="AH387" s="143"/>
      <c r="AI387" s="143"/>
      <c r="AJ387" s="143"/>
    </row>
    <row r="388" spans="1:36" ht="12.75" customHeight="1" x14ac:dyDescent="0.25">
      <c r="A388" s="143"/>
      <c r="B388" s="145"/>
      <c r="C388" s="146"/>
      <c r="D388" s="114"/>
      <c r="E388" s="148"/>
      <c r="F388" s="148"/>
      <c r="G388" s="114"/>
      <c r="H388" s="149"/>
      <c r="I388" s="143"/>
      <c r="J388" s="143"/>
      <c r="K388" s="143"/>
      <c r="L388" s="143"/>
      <c r="M388" s="150"/>
      <c r="N388" s="143"/>
      <c r="O388" s="1"/>
      <c r="P388" s="151"/>
      <c r="Q388" s="143"/>
      <c r="R388" s="143"/>
      <c r="S388" s="143"/>
      <c r="T388" s="143"/>
      <c r="U388" s="143"/>
      <c r="V388" s="143"/>
      <c r="W388" s="143"/>
      <c r="X388" s="143"/>
      <c r="Y388" s="143"/>
      <c r="Z388" s="143"/>
      <c r="AA388" s="143"/>
      <c r="AB388" s="143"/>
      <c r="AC388" s="143"/>
      <c r="AD388" s="143"/>
      <c r="AE388" s="143"/>
      <c r="AF388" s="143"/>
      <c r="AG388" s="143"/>
      <c r="AH388" s="143"/>
      <c r="AI388" s="143"/>
      <c r="AJ388" s="143"/>
    </row>
    <row r="389" spans="1:36" ht="12.75" customHeight="1" x14ac:dyDescent="0.25">
      <c r="A389" s="143"/>
      <c r="B389" s="145"/>
      <c r="C389" s="146"/>
      <c r="D389" s="114"/>
      <c r="E389" s="148"/>
      <c r="F389" s="148"/>
      <c r="G389" s="114"/>
      <c r="H389" s="149"/>
      <c r="I389" s="143"/>
      <c r="J389" s="143"/>
      <c r="K389" s="143"/>
      <c r="L389" s="143"/>
      <c r="M389" s="150"/>
      <c r="N389" s="143"/>
      <c r="O389" s="1"/>
      <c r="P389" s="151"/>
      <c r="Q389" s="143"/>
      <c r="R389" s="143"/>
      <c r="S389" s="143"/>
      <c r="T389" s="143"/>
      <c r="U389" s="143"/>
      <c r="V389" s="143"/>
      <c r="W389" s="143"/>
      <c r="X389" s="143"/>
      <c r="Y389" s="143"/>
      <c r="Z389" s="143"/>
      <c r="AA389" s="143"/>
      <c r="AB389" s="143"/>
      <c r="AC389" s="143"/>
      <c r="AD389" s="143"/>
      <c r="AE389" s="143"/>
      <c r="AF389" s="143"/>
      <c r="AG389" s="143"/>
      <c r="AH389" s="143"/>
      <c r="AI389" s="143"/>
      <c r="AJ389" s="143"/>
    </row>
    <row r="390" spans="1:36" ht="12.75" customHeight="1" x14ac:dyDescent="0.25">
      <c r="A390" s="143"/>
      <c r="B390" s="145"/>
      <c r="C390" s="146"/>
      <c r="D390" s="114"/>
      <c r="E390" s="148"/>
      <c r="F390" s="148"/>
      <c r="G390" s="114"/>
      <c r="H390" s="149"/>
      <c r="I390" s="143"/>
      <c r="J390" s="143"/>
      <c r="K390" s="143"/>
      <c r="L390" s="143"/>
      <c r="M390" s="150"/>
      <c r="N390" s="143"/>
      <c r="O390" s="1"/>
      <c r="P390" s="151"/>
      <c r="Q390" s="143"/>
      <c r="R390" s="143"/>
      <c r="S390" s="143"/>
      <c r="T390" s="143"/>
      <c r="U390" s="143"/>
      <c r="V390" s="143"/>
      <c r="W390" s="143"/>
      <c r="X390" s="143"/>
      <c r="Y390" s="143"/>
      <c r="Z390" s="143"/>
      <c r="AA390" s="143"/>
      <c r="AB390" s="143"/>
      <c r="AC390" s="143"/>
      <c r="AD390" s="143"/>
      <c r="AE390" s="143"/>
      <c r="AF390" s="143"/>
      <c r="AG390" s="143"/>
      <c r="AH390" s="143"/>
      <c r="AI390" s="143"/>
      <c r="AJ390" s="143"/>
    </row>
    <row r="391" spans="1:36" ht="12.75" customHeight="1" x14ac:dyDescent="0.25">
      <c r="A391" s="143"/>
      <c r="B391" s="145"/>
      <c r="C391" s="146"/>
      <c r="D391" s="114"/>
      <c r="E391" s="148"/>
      <c r="F391" s="148"/>
      <c r="G391" s="114"/>
      <c r="H391" s="149"/>
      <c r="I391" s="143"/>
      <c r="J391" s="143"/>
      <c r="K391" s="143"/>
      <c r="L391" s="143"/>
      <c r="M391" s="150"/>
      <c r="N391" s="143"/>
      <c r="O391" s="1"/>
      <c r="P391" s="151"/>
      <c r="Q391" s="143"/>
      <c r="R391" s="143"/>
      <c r="S391" s="143"/>
      <c r="T391" s="143"/>
      <c r="U391" s="143"/>
      <c r="V391" s="143"/>
      <c r="W391" s="143"/>
      <c r="X391" s="143"/>
      <c r="Y391" s="143"/>
      <c r="Z391" s="143"/>
      <c r="AA391" s="143"/>
      <c r="AB391" s="143"/>
      <c r="AC391" s="143"/>
      <c r="AD391" s="143"/>
      <c r="AE391" s="143"/>
      <c r="AF391" s="143"/>
      <c r="AG391" s="143"/>
      <c r="AH391" s="143"/>
      <c r="AI391" s="143"/>
      <c r="AJ391" s="143"/>
    </row>
    <row r="392" spans="1:36" ht="12.75" customHeight="1" x14ac:dyDescent="0.25">
      <c r="A392" s="143"/>
      <c r="B392" s="145"/>
      <c r="C392" s="146"/>
      <c r="D392" s="114"/>
      <c r="E392" s="148"/>
      <c r="F392" s="148"/>
      <c r="G392" s="114"/>
      <c r="H392" s="149"/>
      <c r="I392" s="143"/>
      <c r="J392" s="143"/>
      <c r="K392" s="143"/>
      <c r="L392" s="143"/>
      <c r="M392" s="150"/>
      <c r="N392" s="143"/>
      <c r="O392" s="1"/>
      <c r="P392" s="151"/>
      <c r="Q392" s="143"/>
      <c r="R392" s="143"/>
      <c r="S392" s="143"/>
      <c r="T392" s="143"/>
      <c r="U392" s="143"/>
      <c r="V392" s="143"/>
      <c r="W392" s="143"/>
      <c r="X392" s="143"/>
      <c r="Y392" s="143"/>
      <c r="Z392" s="143"/>
      <c r="AA392" s="143"/>
      <c r="AB392" s="143"/>
      <c r="AC392" s="143"/>
      <c r="AD392" s="143"/>
      <c r="AE392" s="143"/>
      <c r="AF392" s="143"/>
      <c r="AG392" s="143"/>
      <c r="AH392" s="143"/>
      <c r="AI392" s="143"/>
      <c r="AJ392" s="143"/>
    </row>
    <row r="393" spans="1:36" ht="12.75" customHeight="1" x14ac:dyDescent="0.25">
      <c r="A393" s="143"/>
      <c r="B393" s="145"/>
      <c r="C393" s="146"/>
      <c r="D393" s="114"/>
      <c r="E393" s="148"/>
      <c r="F393" s="148"/>
      <c r="G393" s="114"/>
      <c r="H393" s="149"/>
      <c r="I393" s="143"/>
      <c r="J393" s="143"/>
      <c r="K393" s="143"/>
      <c r="L393" s="143"/>
      <c r="M393" s="150"/>
      <c r="N393" s="143"/>
      <c r="O393" s="1"/>
      <c r="P393" s="151"/>
      <c r="Q393" s="143"/>
      <c r="R393" s="143"/>
      <c r="S393" s="143"/>
      <c r="T393" s="143"/>
      <c r="U393" s="143"/>
      <c r="V393" s="143"/>
      <c r="W393" s="143"/>
      <c r="X393" s="143"/>
      <c r="Y393" s="143"/>
      <c r="Z393" s="143"/>
      <c r="AA393" s="143"/>
      <c r="AB393" s="143"/>
      <c r="AC393" s="143"/>
      <c r="AD393" s="143"/>
      <c r="AE393" s="143"/>
      <c r="AF393" s="143"/>
      <c r="AG393" s="143"/>
      <c r="AH393" s="143"/>
      <c r="AI393" s="143"/>
      <c r="AJ393" s="143"/>
    </row>
    <row r="394" spans="1:36" ht="12.75" customHeight="1" x14ac:dyDescent="0.25">
      <c r="A394" s="143"/>
      <c r="B394" s="145"/>
      <c r="C394" s="146"/>
      <c r="D394" s="114"/>
      <c r="E394" s="148"/>
      <c r="F394" s="148"/>
      <c r="G394" s="114"/>
      <c r="H394" s="149"/>
      <c r="I394" s="143"/>
      <c r="J394" s="143"/>
      <c r="K394" s="143"/>
      <c r="L394" s="143"/>
      <c r="M394" s="150"/>
      <c r="N394" s="143"/>
      <c r="O394" s="1"/>
      <c r="P394" s="151"/>
      <c r="Q394" s="143"/>
      <c r="R394" s="143"/>
      <c r="S394" s="143"/>
      <c r="T394" s="143"/>
      <c r="U394" s="143"/>
      <c r="V394" s="143"/>
      <c r="W394" s="143"/>
      <c r="X394" s="143"/>
      <c r="Y394" s="143"/>
      <c r="Z394" s="143"/>
      <c r="AA394" s="143"/>
      <c r="AB394" s="143"/>
      <c r="AC394" s="143"/>
      <c r="AD394" s="143"/>
      <c r="AE394" s="143"/>
      <c r="AF394" s="143"/>
      <c r="AG394" s="143"/>
      <c r="AH394" s="143"/>
      <c r="AI394" s="143"/>
      <c r="AJ394" s="143"/>
    </row>
    <row r="395" spans="1:36" ht="12.75" customHeight="1" x14ac:dyDescent="0.25">
      <c r="A395" s="143"/>
      <c r="B395" s="145"/>
      <c r="C395" s="146"/>
      <c r="D395" s="114"/>
      <c r="E395" s="148"/>
      <c r="F395" s="148"/>
      <c r="G395" s="114"/>
      <c r="H395" s="149"/>
      <c r="I395" s="143"/>
      <c r="J395" s="143"/>
      <c r="K395" s="143"/>
      <c r="L395" s="143"/>
      <c r="M395" s="150"/>
      <c r="N395" s="143"/>
      <c r="O395" s="1"/>
      <c r="P395" s="151"/>
      <c r="Q395" s="143"/>
      <c r="R395" s="143"/>
      <c r="S395" s="143"/>
      <c r="T395" s="143"/>
      <c r="U395" s="143"/>
      <c r="V395" s="143"/>
      <c r="W395" s="143"/>
      <c r="X395" s="143"/>
      <c r="Y395" s="143"/>
      <c r="Z395" s="143"/>
      <c r="AA395" s="143"/>
      <c r="AB395" s="143"/>
      <c r="AC395" s="143"/>
      <c r="AD395" s="143"/>
      <c r="AE395" s="143"/>
      <c r="AF395" s="143"/>
      <c r="AG395" s="143"/>
      <c r="AH395" s="143"/>
      <c r="AI395" s="143"/>
      <c r="AJ395" s="143"/>
    </row>
    <row r="396" spans="1:36" ht="12.75" customHeight="1" x14ac:dyDescent="0.25">
      <c r="A396" s="143"/>
      <c r="B396" s="145"/>
      <c r="C396" s="146"/>
      <c r="D396" s="114"/>
      <c r="E396" s="148"/>
      <c r="F396" s="148"/>
      <c r="G396" s="114"/>
      <c r="H396" s="149"/>
      <c r="I396" s="143"/>
      <c r="J396" s="143"/>
      <c r="K396" s="143"/>
      <c r="L396" s="143"/>
      <c r="M396" s="150"/>
      <c r="N396" s="143"/>
      <c r="O396" s="1"/>
      <c r="P396" s="151"/>
      <c r="Q396" s="143"/>
      <c r="R396" s="143"/>
      <c r="S396" s="143"/>
      <c r="T396" s="143"/>
      <c r="U396" s="143"/>
      <c r="V396" s="143"/>
      <c r="W396" s="143"/>
      <c r="X396" s="143"/>
      <c r="Y396" s="143"/>
      <c r="Z396" s="143"/>
      <c r="AA396" s="143"/>
      <c r="AB396" s="143"/>
      <c r="AC396" s="143"/>
      <c r="AD396" s="143"/>
      <c r="AE396" s="143"/>
      <c r="AF396" s="143"/>
      <c r="AG396" s="143"/>
      <c r="AH396" s="143"/>
      <c r="AI396" s="143"/>
      <c r="AJ396" s="143"/>
    </row>
    <row r="397" spans="1:36" ht="12.75" customHeight="1" x14ac:dyDescent="0.25">
      <c r="A397" s="143"/>
      <c r="B397" s="145"/>
      <c r="C397" s="146"/>
      <c r="D397" s="114"/>
      <c r="E397" s="148"/>
      <c r="F397" s="148"/>
      <c r="G397" s="114"/>
      <c r="H397" s="149"/>
      <c r="I397" s="143"/>
      <c r="J397" s="143"/>
      <c r="K397" s="143"/>
      <c r="L397" s="143"/>
      <c r="M397" s="150"/>
      <c r="N397" s="143"/>
      <c r="O397" s="1"/>
      <c r="P397" s="151"/>
      <c r="Q397" s="143"/>
      <c r="R397" s="143"/>
      <c r="S397" s="143"/>
      <c r="T397" s="143"/>
      <c r="U397" s="143"/>
      <c r="V397" s="143"/>
      <c r="W397" s="143"/>
      <c r="X397" s="143"/>
      <c r="Y397" s="143"/>
      <c r="Z397" s="143"/>
      <c r="AA397" s="143"/>
      <c r="AB397" s="143"/>
      <c r="AC397" s="143"/>
      <c r="AD397" s="143"/>
      <c r="AE397" s="143"/>
      <c r="AF397" s="143"/>
      <c r="AG397" s="143"/>
      <c r="AH397" s="143"/>
      <c r="AI397" s="143"/>
      <c r="AJ397" s="143"/>
    </row>
    <row r="398" spans="1:36" ht="12.75" customHeight="1" x14ac:dyDescent="0.25">
      <c r="A398" s="143"/>
      <c r="B398" s="145"/>
      <c r="C398" s="146"/>
      <c r="D398" s="114"/>
      <c r="E398" s="148"/>
      <c r="F398" s="148"/>
      <c r="G398" s="114"/>
      <c r="H398" s="149"/>
      <c r="I398" s="143"/>
      <c r="J398" s="143"/>
      <c r="K398" s="143"/>
      <c r="L398" s="143"/>
      <c r="M398" s="150"/>
      <c r="N398" s="143"/>
      <c r="O398" s="1"/>
      <c r="P398" s="151"/>
      <c r="Q398" s="143"/>
      <c r="R398" s="143"/>
      <c r="S398" s="143"/>
      <c r="T398" s="143"/>
      <c r="U398" s="143"/>
      <c r="V398" s="143"/>
      <c r="W398" s="143"/>
      <c r="X398" s="143"/>
      <c r="Y398" s="143"/>
      <c r="Z398" s="143"/>
      <c r="AA398" s="143"/>
      <c r="AB398" s="143"/>
      <c r="AC398" s="143"/>
      <c r="AD398" s="143"/>
      <c r="AE398" s="143"/>
      <c r="AF398" s="143"/>
      <c r="AG398" s="143"/>
      <c r="AH398" s="143"/>
      <c r="AI398" s="143"/>
      <c r="AJ398" s="143"/>
    </row>
    <row r="399" spans="1:36" ht="12.75" customHeight="1" x14ac:dyDescent="0.25">
      <c r="A399" s="143"/>
      <c r="B399" s="145"/>
      <c r="C399" s="146"/>
      <c r="D399" s="114"/>
      <c r="E399" s="148"/>
      <c r="F399" s="148"/>
      <c r="G399" s="114"/>
      <c r="H399" s="149"/>
      <c r="I399" s="143"/>
      <c r="J399" s="143"/>
      <c r="K399" s="143"/>
      <c r="L399" s="143"/>
      <c r="M399" s="150"/>
      <c r="N399" s="143"/>
      <c r="O399" s="1"/>
      <c r="P399" s="151"/>
      <c r="Q399" s="143"/>
      <c r="R399" s="143"/>
      <c r="S399" s="143"/>
      <c r="T399" s="143"/>
      <c r="U399" s="143"/>
      <c r="V399" s="143"/>
      <c r="W399" s="143"/>
      <c r="X399" s="143"/>
      <c r="Y399" s="143"/>
      <c r="Z399" s="143"/>
      <c r="AA399" s="143"/>
      <c r="AB399" s="143"/>
      <c r="AC399" s="143"/>
      <c r="AD399" s="143"/>
      <c r="AE399" s="143"/>
      <c r="AF399" s="143"/>
      <c r="AG399" s="143"/>
      <c r="AH399" s="143"/>
      <c r="AI399" s="143"/>
      <c r="AJ399" s="143"/>
    </row>
    <row r="400" spans="1:36" ht="12.75" customHeight="1" x14ac:dyDescent="0.25">
      <c r="A400" s="143"/>
      <c r="B400" s="145"/>
      <c r="C400" s="146"/>
      <c r="D400" s="114"/>
      <c r="E400" s="148"/>
      <c r="F400" s="148"/>
      <c r="G400" s="114"/>
      <c r="H400" s="149"/>
      <c r="I400" s="143"/>
      <c r="J400" s="143"/>
      <c r="K400" s="143"/>
      <c r="L400" s="143"/>
      <c r="M400" s="150"/>
      <c r="N400" s="143"/>
      <c r="O400" s="1"/>
      <c r="P400" s="151"/>
      <c r="Q400" s="143"/>
      <c r="R400" s="143"/>
      <c r="S400" s="143"/>
      <c r="T400" s="143"/>
      <c r="U400" s="143"/>
      <c r="V400" s="143"/>
      <c r="W400" s="143"/>
      <c r="X400" s="143"/>
      <c r="Y400" s="143"/>
      <c r="Z400" s="143"/>
      <c r="AA400" s="143"/>
      <c r="AB400" s="143"/>
      <c r="AC400" s="143"/>
      <c r="AD400" s="143"/>
      <c r="AE400" s="143"/>
      <c r="AF400" s="143"/>
      <c r="AG400" s="143"/>
      <c r="AH400" s="143"/>
      <c r="AI400" s="143"/>
      <c r="AJ400" s="143"/>
    </row>
    <row r="401" spans="1:36" ht="12.75" customHeight="1" x14ac:dyDescent="0.25">
      <c r="A401" s="143"/>
      <c r="B401" s="145"/>
      <c r="C401" s="146"/>
      <c r="D401" s="114"/>
      <c r="E401" s="148"/>
      <c r="F401" s="148"/>
      <c r="G401" s="114"/>
      <c r="H401" s="149"/>
      <c r="I401" s="143"/>
      <c r="J401" s="143"/>
      <c r="K401" s="143"/>
      <c r="L401" s="143"/>
      <c r="M401" s="150"/>
      <c r="N401" s="143"/>
      <c r="O401" s="1"/>
      <c r="P401" s="151"/>
      <c r="Q401" s="143"/>
      <c r="R401" s="143"/>
      <c r="S401" s="143"/>
      <c r="T401" s="143"/>
      <c r="U401" s="143"/>
      <c r="V401" s="143"/>
      <c r="W401" s="143"/>
      <c r="X401" s="143"/>
      <c r="Y401" s="143"/>
      <c r="Z401" s="143"/>
      <c r="AA401" s="143"/>
      <c r="AB401" s="143"/>
      <c r="AC401" s="143"/>
      <c r="AD401" s="143"/>
      <c r="AE401" s="143"/>
      <c r="AF401" s="143"/>
      <c r="AG401" s="143"/>
      <c r="AH401" s="143"/>
      <c r="AI401" s="143"/>
      <c r="AJ401" s="143"/>
    </row>
    <row r="402" spans="1:36" ht="12.75" customHeight="1" x14ac:dyDescent="0.25">
      <c r="A402" s="143"/>
      <c r="B402" s="145"/>
      <c r="C402" s="146"/>
      <c r="D402" s="114"/>
      <c r="E402" s="148"/>
      <c r="F402" s="148"/>
      <c r="G402" s="114"/>
      <c r="H402" s="149"/>
      <c r="I402" s="143"/>
      <c r="J402" s="143"/>
      <c r="K402" s="143"/>
      <c r="L402" s="143"/>
      <c r="M402" s="150"/>
      <c r="N402" s="143"/>
      <c r="O402" s="1"/>
      <c r="P402" s="151"/>
      <c r="Q402" s="143"/>
      <c r="R402" s="143"/>
      <c r="S402" s="143"/>
      <c r="T402" s="143"/>
      <c r="U402" s="143"/>
      <c r="V402" s="143"/>
      <c r="W402" s="143"/>
      <c r="X402" s="143"/>
      <c r="Y402" s="143"/>
      <c r="Z402" s="143"/>
      <c r="AA402" s="143"/>
      <c r="AB402" s="143"/>
      <c r="AC402" s="143"/>
      <c r="AD402" s="143"/>
      <c r="AE402" s="143"/>
      <c r="AF402" s="143"/>
      <c r="AG402" s="143"/>
      <c r="AH402" s="143"/>
      <c r="AI402" s="143"/>
      <c r="AJ402" s="143"/>
    </row>
    <row r="403" spans="1:36" ht="12.75" customHeight="1" x14ac:dyDescent="0.25">
      <c r="A403" s="143"/>
      <c r="B403" s="145"/>
      <c r="C403" s="146"/>
      <c r="D403" s="114"/>
      <c r="E403" s="148"/>
      <c r="F403" s="148"/>
      <c r="G403" s="114"/>
      <c r="H403" s="149"/>
      <c r="I403" s="143"/>
      <c r="J403" s="143"/>
      <c r="K403" s="143"/>
      <c r="L403" s="143"/>
      <c r="M403" s="150"/>
      <c r="N403" s="143"/>
      <c r="O403" s="1"/>
      <c r="P403" s="151"/>
      <c r="Q403" s="143"/>
      <c r="R403" s="143"/>
      <c r="S403" s="143"/>
      <c r="T403" s="143"/>
      <c r="U403" s="143"/>
      <c r="V403" s="143"/>
      <c r="W403" s="143"/>
      <c r="X403" s="143"/>
      <c r="Y403" s="143"/>
      <c r="Z403" s="143"/>
      <c r="AA403" s="143"/>
      <c r="AB403" s="143"/>
      <c r="AC403" s="143"/>
      <c r="AD403" s="143"/>
      <c r="AE403" s="143"/>
      <c r="AF403" s="143"/>
      <c r="AG403" s="143"/>
      <c r="AH403" s="143"/>
      <c r="AI403" s="143"/>
      <c r="AJ403" s="143"/>
    </row>
    <row r="404" spans="1:36" ht="12.75" customHeight="1" x14ac:dyDescent="0.25">
      <c r="A404" s="143"/>
      <c r="B404" s="145"/>
      <c r="C404" s="146"/>
      <c r="D404" s="114"/>
      <c r="E404" s="148"/>
      <c r="F404" s="148"/>
      <c r="G404" s="114"/>
      <c r="H404" s="149"/>
      <c r="I404" s="143"/>
      <c r="J404" s="143"/>
      <c r="K404" s="143"/>
      <c r="L404" s="143"/>
      <c r="M404" s="150"/>
      <c r="N404" s="143"/>
      <c r="O404" s="1"/>
      <c r="P404" s="151"/>
      <c r="Q404" s="143"/>
      <c r="R404" s="143"/>
      <c r="S404" s="143"/>
      <c r="T404" s="143"/>
      <c r="U404" s="143"/>
      <c r="V404" s="143"/>
      <c r="W404" s="143"/>
      <c r="X404" s="143"/>
      <c r="Y404" s="143"/>
      <c r="Z404" s="143"/>
      <c r="AA404" s="143"/>
      <c r="AB404" s="143"/>
      <c r="AC404" s="143"/>
      <c r="AD404" s="143"/>
      <c r="AE404" s="143"/>
      <c r="AF404" s="143"/>
      <c r="AG404" s="143"/>
      <c r="AH404" s="143"/>
      <c r="AI404" s="143"/>
      <c r="AJ404" s="143"/>
    </row>
    <row r="405" spans="1:36" ht="12.75" customHeight="1" x14ac:dyDescent="0.25">
      <c r="A405" s="143"/>
      <c r="B405" s="145"/>
      <c r="C405" s="146"/>
      <c r="D405" s="114"/>
      <c r="E405" s="148"/>
      <c r="F405" s="148"/>
      <c r="G405" s="114"/>
      <c r="H405" s="149"/>
      <c r="I405" s="143"/>
      <c r="J405" s="143"/>
      <c r="K405" s="143"/>
      <c r="L405" s="143"/>
      <c r="M405" s="150"/>
      <c r="N405" s="143"/>
      <c r="O405" s="1"/>
      <c r="P405" s="151"/>
      <c r="Q405" s="143"/>
      <c r="R405" s="143"/>
      <c r="S405" s="143"/>
      <c r="T405" s="143"/>
      <c r="U405" s="143"/>
      <c r="V405" s="143"/>
      <c r="W405" s="143"/>
      <c r="X405" s="143"/>
      <c r="Y405" s="143"/>
      <c r="Z405" s="143"/>
      <c r="AA405" s="143"/>
      <c r="AB405" s="143"/>
      <c r="AC405" s="143"/>
      <c r="AD405" s="143"/>
      <c r="AE405" s="143"/>
      <c r="AF405" s="143"/>
      <c r="AG405" s="143"/>
      <c r="AH405" s="143"/>
      <c r="AI405" s="143"/>
      <c r="AJ405" s="143"/>
    </row>
    <row r="406" spans="1:36" ht="12.75" customHeight="1" x14ac:dyDescent="0.25">
      <c r="A406" s="143"/>
      <c r="B406" s="145"/>
      <c r="C406" s="146"/>
      <c r="D406" s="114"/>
      <c r="E406" s="148"/>
      <c r="F406" s="148"/>
      <c r="G406" s="114"/>
      <c r="H406" s="149"/>
      <c r="I406" s="143"/>
      <c r="J406" s="143"/>
      <c r="K406" s="143"/>
      <c r="L406" s="143"/>
      <c r="M406" s="150"/>
      <c r="N406" s="143"/>
      <c r="O406" s="1"/>
      <c r="P406" s="151"/>
      <c r="Q406" s="143"/>
      <c r="R406" s="143"/>
      <c r="S406" s="143"/>
      <c r="T406" s="143"/>
      <c r="U406" s="143"/>
      <c r="V406" s="143"/>
      <c r="W406" s="143"/>
      <c r="X406" s="143"/>
      <c r="Y406" s="143"/>
      <c r="Z406" s="143"/>
      <c r="AA406" s="143"/>
      <c r="AB406" s="143"/>
      <c r="AC406" s="143"/>
      <c r="AD406" s="143"/>
      <c r="AE406" s="143"/>
      <c r="AF406" s="143"/>
      <c r="AG406" s="143"/>
      <c r="AH406" s="143"/>
      <c r="AI406" s="143"/>
      <c r="AJ406" s="143"/>
    </row>
    <row r="407" spans="1:36" ht="12.75" customHeight="1" x14ac:dyDescent="0.25">
      <c r="A407" s="143"/>
      <c r="B407" s="145"/>
      <c r="C407" s="146"/>
      <c r="D407" s="114"/>
      <c r="E407" s="148"/>
      <c r="F407" s="148"/>
      <c r="G407" s="114"/>
      <c r="H407" s="149"/>
      <c r="I407" s="143"/>
      <c r="J407" s="143"/>
      <c r="K407" s="143"/>
      <c r="L407" s="143"/>
      <c r="M407" s="150"/>
      <c r="N407" s="143"/>
      <c r="O407" s="1"/>
      <c r="P407" s="151"/>
      <c r="Q407" s="143"/>
      <c r="R407" s="143"/>
      <c r="S407" s="143"/>
      <c r="T407" s="143"/>
      <c r="U407" s="143"/>
      <c r="V407" s="143"/>
      <c r="W407" s="143"/>
      <c r="X407" s="143"/>
      <c r="Y407" s="143"/>
      <c r="Z407" s="143"/>
      <c r="AA407" s="143"/>
      <c r="AB407" s="143"/>
      <c r="AC407" s="143"/>
      <c r="AD407" s="143"/>
      <c r="AE407" s="143"/>
      <c r="AF407" s="143"/>
      <c r="AG407" s="143"/>
      <c r="AH407" s="143"/>
      <c r="AI407" s="143"/>
      <c r="AJ407" s="143"/>
    </row>
    <row r="408" spans="1:36" ht="12.75" customHeight="1" x14ac:dyDescent="0.25">
      <c r="A408" s="143"/>
      <c r="B408" s="145"/>
      <c r="C408" s="146"/>
      <c r="D408" s="114"/>
      <c r="E408" s="148"/>
      <c r="F408" s="148"/>
      <c r="G408" s="114"/>
      <c r="H408" s="149"/>
      <c r="I408" s="143"/>
      <c r="J408" s="143"/>
      <c r="K408" s="143"/>
      <c r="L408" s="143"/>
      <c r="M408" s="150"/>
      <c r="N408" s="143"/>
      <c r="O408" s="1"/>
      <c r="P408" s="151"/>
      <c r="Q408" s="143"/>
      <c r="R408" s="143"/>
      <c r="S408" s="143"/>
      <c r="T408" s="143"/>
      <c r="U408" s="143"/>
      <c r="V408" s="143"/>
      <c r="W408" s="143"/>
      <c r="X408" s="143"/>
      <c r="Y408" s="143"/>
      <c r="Z408" s="143"/>
      <c r="AA408" s="143"/>
      <c r="AB408" s="143"/>
      <c r="AC408" s="143"/>
      <c r="AD408" s="143"/>
      <c r="AE408" s="143"/>
      <c r="AF408" s="143"/>
      <c r="AG408" s="143"/>
      <c r="AH408" s="143"/>
      <c r="AI408" s="143"/>
      <c r="AJ408" s="143"/>
    </row>
    <row r="409" spans="1:36" ht="12.75" customHeight="1" x14ac:dyDescent="0.25">
      <c r="A409" s="143"/>
      <c r="B409" s="145"/>
      <c r="C409" s="146"/>
      <c r="D409" s="114"/>
      <c r="E409" s="148"/>
      <c r="F409" s="148"/>
      <c r="G409" s="114"/>
      <c r="H409" s="149"/>
      <c r="I409" s="143"/>
      <c r="J409" s="143"/>
      <c r="K409" s="143"/>
      <c r="L409" s="143"/>
      <c r="M409" s="150"/>
      <c r="N409" s="143"/>
      <c r="O409" s="1"/>
      <c r="P409" s="151"/>
      <c r="Q409" s="143"/>
      <c r="R409" s="143"/>
      <c r="S409" s="143"/>
      <c r="T409" s="143"/>
      <c r="U409" s="143"/>
      <c r="V409" s="143"/>
      <c r="W409" s="143"/>
      <c r="X409" s="143"/>
      <c r="Y409" s="143"/>
      <c r="Z409" s="143"/>
      <c r="AA409" s="143"/>
      <c r="AB409" s="143"/>
      <c r="AC409" s="143"/>
      <c r="AD409" s="143"/>
      <c r="AE409" s="143"/>
      <c r="AF409" s="143"/>
      <c r="AG409" s="143"/>
      <c r="AH409" s="143"/>
      <c r="AI409" s="143"/>
      <c r="AJ409" s="143"/>
    </row>
    <row r="410" spans="1:36" ht="12.75" customHeight="1" x14ac:dyDescent="0.25">
      <c r="A410" s="143"/>
      <c r="B410" s="145"/>
      <c r="C410" s="146"/>
      <c r="D410" s="114"/>
      <c r="E410" s="148"/>
      <c r="F410" s="148"/>
      <c r="G410" s="114"/>
      <c r="H410" s="149"/>
      <c r="I410" s="143"/>
      <c r="J410" s="143"/>
      <c r="K410" s="143"/>
      <c r="L410" s="143"/>
      <c r="M410" s="150"/>
      <c r="N410" s="143"/>
      <c r="O410" s="1"/>
      <c r="P410" s="151"/>
      <c r="Q410" s="143"/>
      <c r="R410" s="143"/>
      <c r="S410" s="143"/>
      <c r="T410" s="143"/>
      <c r="U410" s="143"/>
      <c r="V410" s="143"/>
      <c r="W410" s="143"/>
      <c r="X410" s="143"/>
      <c r="Y410" s="143"/>
      <c r="Z410" s="143"/>
      <c r="AA410" s="143"/>
      <c r="AB410" s="143"/>
      <c r="AC410" s="143"/>
      <c r="AD410" s="143"/>
      <c r="AE410" s="143"/>
      <c r="AF410" s="143"/>
      <c r="AG410" s="143"/>
      <c r="AH410" s="143"/>
      <c r="AI410" s="143"/>
      <c r="AJ410" s="143"/>
    </row>
    <row r="411" spans="1:36" ht="12.75" customHeight="1" x14ac:dyDescent="0.25">
      <c r="A411" s="143"/>
      <c r="B411" s="145"/>
      <c r="C411" s="146"/>
      <c r="D411" s="114"/>
      <c r="E411" s="148"/>
      <c r="F411" s="148"/>
      <c r="G411" s="114"/>
      <c r="H411" s="149"/>
      <c r="I411" s="143"/>
      <c r="J411" s="143"/>
      <c r="K411" s="143"/>
      <c r="L411" s="143"/>
      <c r="M411" s="150"/>
      <c r="N411" s="143"/>
      <c r="O411" s="1"/>
      <c r="P411" s="151"/>
      <c r="Q411" s="143"/>
      <c r="R411" s="143"/>
      <c r="S411" s="143"/>
      <c r="T411" s="143"/>
      <c r="U411" s="143"/>
      <c r="V411" s="143"/>
      <c r="W411" s="143"/>
      <c r="X411" s="143"/>
      <c r="Y411" s="143"/>
      <c r="Z411" s="143"/>
      <c r="AA411" s="143"/>
      <c r="AB411" s="143"/>
      <c r="AC411" s="143"/>
      <c r="AD411" s="143"/>
      <c r="AE411" s="143"/>
      <c r="AF411" s="143"/>
      <c r="AG411" s="143"/>
      <c r="AH411" s="143"/>
      <c r="AI411" s="143"/>
      <c r="AJ411" s="143"/>
    </row>
    <row r="412" spans="1:36" ht="12.75" customHeight="1" x14ac:dyDescent="0.25">
      <c r="A412" s="143"/>
      <c r="B412" s="145"/>
      <c r="C412" s="146"/>
      <c r="D412" s="114"/>
      <c r="E412" s="148"/>
      <c r="F412" s="148"/>
      <c r="G412" s="114"/>
      <c r="H412" s="149"/>
      <c r="I412" s="143"/>
      <c r="J412" s="143"/>
      <c r="K412" s="143"/>
      <c r="L412" s="143"/>
      <c r="M412" s="150"/>
      <c r="N412" s="143"/>
      <c r="O412" s="1"/>
      <c r="P412" s="151"/>
      <c r="Q412" s="143"/>
      <c r="R412" s="143"/>
      <c r="S412" s="143"/>
      <c r="T412" s="143"/>
      <c r="U412" s="143"/>
      <c r="V412" s="143"/>
      <c r="W412" s="143"/>
      <c r="X412" s="143"/>
      <c r="Y412" s="143"/>
      <c r="Z412" s="143"/>
      <c r="AA412" s="143"/>
      <c r="AB412" s="143"/>
      <c r="AC412" s="143"/>
      <c r="AD412" s="143"/>
      <c r="AE412" s="143"/>
      <c r="AF412" s="143"/>
      <c r="AG412" s="143"/>
      <c r="AH412" s="143"/>
      <c r="AI412" s="143"/>
      <c r="AJ412" s="143"/>
    </row>
    <row r="413" spans="1:36" ht="12.75" customHeight="1" x14ac:dyDescent="0.25">
      <c r="A413" s="143"/>
      <c r="B413" s="145"/>
      <c r="C413" s="146"/>
      <c r="D413" s="114"/>
      <c r="E413" s="148"/>
      <c r="F413" s="148"/>
      <c r="G413" s="114"/>
      <c r="H413" s="149"/>
      <c r="I413" s="143"/>
      <c r="J413" s="143"/>
      <c r="K413" s="143"/>
      <c r="L413" s="143"/>
      <c r="M413" s="150"/>
      <c r="N413" s="143"/>
      <c r="O413" s="1"/>
      <c r="P413" s="151"/>
      <c r="Q413" s="143"/>
      <c r="R413" s="143"/>
      <c r="S413" s="143"/>
      <c r="T413" s="143"/>
      <c r="U413" s="143"/>
      <c r="V413" s="143"/>
      <c r="W413" s="143"/>
      <c r="X413" s="143"/>
      <c r="Y413" s="143"/>
      <c r="Z413" s="143"/>
      <c r="AA413" s="143"/>
      <c r="AB413" s="143"/>
      <c r="AC413" s="143"/>
      <c r="AD413" s="143"/>
      <c r="AE413" s="143"/>
      <c r="AF413" s="143"/>
      <c r="AG413" s="143"/>
      <c r="AH413" s="143"/>
      <c r="AI413" s="143"/>
      <c r="AJ413" s="143"/>
    </row>
    <row r="414" spans="1:36" ht="12.75" customHeight="1" x14ac:dyDescent="0.25">
      <c r="A414" s="143"/>
      <c r="B414" s="145"/>
      <c r="C414" s="146"/>
      <c r="D414" s="114"/>
      <c r="E414" s="148"/>
      <c r="F414" s="148"/>
      <c r="G414" s="114"/>
      <c r="H414" s="149"/>
      <c r="I414" s="143"/>
      <c r="J414" s="143"/>
      <c r="K414" s="143"/>
      <c r="L414" s="143"/>
      <c r="M414" s="150"/>
      <c r="N414" s="143"/>
      <c r="O414" s="1"/>
      <c r="P414" s="151"/>
      <c r="Q414" s="143"/>
      <c r="R414" s="143"/>
      <c r="S414" s="143"/>
      <c r="T414" s="143"/>
      <c r="U414" s="143"/>
      <c r="V414" s="143"/>
      <c r="W414" s="143"/>
      <c r="X414" s="143"/>
      <c r="Y414" s="143"/>
      <c r="Z414" s="143"/>
      <c r="AA414" s="143"/>
      <c r="AB414" s="143"/>
      <c r="AC414" s="143"/>
      <c r="AD414" s="143"/>
      <c r="AE414" s="143"/>
      <c r="AF414" s="143"/>
      <c r="AG414" s="143"/>
      <c r="AH414" s="143"/>
      <c r="AI414" s="143"/>
      <c r="AJ414" s="143"/>
    </row>
    <row r="415" spans="1:36" ht="12.75" customHeight="1" x14ac:dyDescent="0.25">
      <c r="A415" s="143"/>
      <c r="B415" s="145"/>
      <c r="C415" s="146"/>
      <c r="D415" s="114"/>
      <c r="E415" s="148"/>
      <c r="F415" s="148"/>
      <c r="G415" s="114"/>
      <c r="H415" s="149"/>
      <c r="I415" s="143"/>
      <c r="J415" s="143"/>
      <c r="K415" s="143"/>
      <c r="L415" s="143"/>
      <c r="M415" s="150"/>
      <c r="N415" s="143"/>
      <c r="O415" s="1"/>
      <c r="P415" s="151"/>
      <c r="Q415" s="143"/>
      <c r="R415" s="143"/>
      <c r="S415" s="143"/>
      <c r="T415" s="143"/>
      <c r="U415" s="143"/>
      <c r="V415" s="143"/>
      <c r="W415" s="143"/>
      <c r="X415" s="143"/>
      <c r="Y415" s="143"/>
      <c r="Z415" s="143"/>
      <c r="AA415" s="143"/>
      <c r="AB415" s="143"/>
      <c r="AC415" s="143"/>
      <c r="AD415" s="143"/>
      <c r="AE415" s="143"/>
      <c r="AF415" s="143"/>
      <c r="AG415" s="143"/>
      <c r="AH415" s="143"/>
      <c r="AI415" s="143"/>
      <c r="AJ415" s="143"/>
    </row>
    <row r="416" spans="1:36" ht="12.75" customHeight="1" x14ac:dyDescent="0.25">
      <c r="A416" s="143"/>
      <c r="B416" s="145"/>
      <c r="C416" s="146"/>
      <c r="D416" s="114"/>
      <c r="E416" s="148"/>
      <c r="F416" s="148"/>
      <c r="G416" s="114"/>
      <c r="H416" s="149"/>
      <c r="I416" s="143"/>
      <c r="J416" s="143"/>
      <c r="K416" s="143"/>
      <c r="L416" s="143"/>
      <c r="M416" s="150"/>
      <c r="N416" s="143"/>
      <c r="O416" s="1"/>
      <c r="P416" s="151"/>
      <c r="Q416" s="143"/>
      <c r="R416" s="143"/>
      <c r="S416" s="143"/>
      <c r="T416" s="143"/>
      <c r="U416" s="143"/>
      <c r="V416" s="143"/>
      <c r="W416" s="143"/>
      <c r="X416" s="143"/>
      <c r="Y416" s="143"/>
      <c r="Z416" s="143"/>
      <c r="AA416" s="143"/>
      <c r="AB416" s="143"/>
      <c r="AC416" s="143"/>
      <c r="AD416" s="143"/>
      <c r="AE416" s="143"/>
      <c r="AF416" s="143"/>
      <c r="AG416" s="143"/>
      <c r="AH416" s="143"/>
      <c r="AI416" s="143"/>
      <c r="AJ416" s="143"/>
    </row>
    <row r="417" spans="1:36" ht="12.75" customHeight="1" x14ac:dyDescent="0.25">
      <c r="A417" s="143"/>
      <c r="B417" s="145"/>
      <c r="C417" s="146"/>
      <c r="D417" s="114"/>
      <c r="E417" s="148"/>
      <c r="F417" s="148"/>
      <c r="G417" s="114"/>
      <c r="H417" s="149"/>
      <c r="I417" s="143"/>
      <c r="J417" s="143"/>
      <c r="K417" s="143"/>
      <c r="L417" s="143"/>
      <c r="M417" s="150"/>
      <c r="N417" s="143"/>
      <c r="O417" s="1"/>
      <c r="P417" s="151"/>
      <c r="Q417" s="143"/>
      <c r="R417" s="143"/>
      <c r="S417" s="143"/>
      <c r="T417" s="143"/>
      <c r="U417" s="143"/>
      <c r="V417" s="143"/>
      <c r="W417" s="143"/>
      <c r="X417" s="143"/>
      <c r="Y417" s="143"/>
      <c r="Z417" s="143"/>
      <c r="AA417" s="143"/>
      <c r="AB417" s="143"/>
      <c r="AC417" s="143"/>
      <c r="AD417" s="143"/>
      <c r="AE417" s="143"/>
      <c r="AF417" s="143"/>
      <c r="AG417" s="143"/>
      <c r="AH417" s="143"/>
      <c r="AI417" s="143"/>
      <c r="AJ417" s="143"/>
    </row>
    <row r="418" spans="1:36" ht="12.75" customHeight="1" x14ac:dyDescent="0.25">
      <c r="A418" s="143"/>
      <c r="B418" s="145"/>
      <c r="C418" s="146"/>
      <c r="D418" s="114"/>
      <c r="E418" s="148"/>
      <c r="F418" s="148"/>
      <c r="G418" s="114"/>
      <c r="H418" s="149"/>
      <c r="I418" s="143"/>
      <c r="J418" s="143"/>
      <c r="K418" s="143"/>
      <c r="L418" s="143"/>
      <c r="M418" s="150"/>
      <c r="N418" s="143"/>
      <c r="O418" s="1"/>
      <c r="P418" s="151"/>
      <c r="Q418" s="143"/>
      <c r="R418" s="143"/>
      <c r="S418" s="143"/>
      <c r="T418" s="143"/>
      <c r="U418" s="143"/>
      <c r="V418" s="143"/>
      <c r="W418" s="143"/>
      <c r="X418" s="143"/>
      <c r="Y418" s="143"/>
      <c r="Z418" s="143"/>
      <c r="AA418" s="143"/>
      <c r="AB418" s="143"/>
      <c r="AC418" s="143"/>
      <c r="AD418" s="143"/>
      <c r="AE418" s="143"/>
      <c r="AF418" s="143"/>
      <c r="AG418" s="143"/>
      <c r="AH418" s="143"/>
      <c r="AI418" s="143"/>
      <c r="AJ418" s="143"/>
    </row>
    <row r="419" spans="1:36" ht="12.75" customHeight="1" x14ac:dyDescent="0.25">
      <c r="A419" s="143"/>
      <c r="B419" s="145"/>
      <c r="C419" s="146"/>
      <c r="D419" s="114"/>
      <c r="E419" s="148"/>
      <c r="F419" s="148"/>
      <c r="G419" s="114"/>
      <c r="H419" s="149"/>
      <c r="I419" s="143"/>
      <c r="J419" s="143"/>
      <c r="K419" s="143"/>
      <c r="L419" s="143"/>
      <c r="M419" s="150"/>
      <c r="N419" s="143"/>
      <c r="O419" s="1"/>
      <c r="P419" s="151"/>
      <c r="Q419" s="143"/>
      <c r="R419" s="143"/>
      <c r="S419" s="143"/>
      <c r="T419" s="143"/>
      <c r="U419" s="143"/>
      <c r="V419" s="143"/>
      <c r="W419" s="143"/>
      <c r="X419" s="143"/>
      <c r="Y419" s="143"/>
      <c r="Z419" s="143"/>
      <c r="AA419" s="143"/>
      <c r="AB419" s="143"/>
      <c r="AC419" s="143"/>
      <c r="AD419" s="143"/>
      <c r="AE419" s="143"/>
      <c r="AF419" s="143"/>
      <c r="AG419" s="143"/>
      <c r="AH419" s="143"/>
      <c r="AI419" s="143"/>
      <c r="AJ419" s="143"/>
    </row>
    <row r="420" spans="1:36" ht="12.75" customHeight="1" x14ac:dyDescent="0.25">
      <c r="A420" s="143"/>
      <c r="B420" s="145"/>
      <c r="C420" s="146"/>
      <c r="D420" s="114"/>
      <c r="E420" s="148"/>
      <c r="F420" s="148"/>
      <c r="G420" s="114"/>
      <c r="H420" s="149"/>
      <c r="I420" s="143"/>
      <c r="J420" s="143"/>
      <c r="K420" s="143"/>
      <c r="L420" s="143"/>
      <c r="M420" s="150"/>
      <c r="N420" s="143"/>
      <c r="O420" s="1"/>
      <c r="P420" s="151"/>
      <c r="Q420" s="143"/>
      <c r="R420" s="143"/>
      <c r="S420" s="143"/>
      <c r="T420" s="143"/>
      <c r="U420" s="143"/>
      <c r="V420" s="143"/>
      <c r="W420" s="143"/>
      <c r="X420" s="143"/>
      <c r="Y420" s="143"/>
      <c r="Z420" s="143"/>
      <c r="AA420" s="143"/>
      <c r="AB420" s="143"/>
      <c r="AC420" s="143"/>
      <c r="AD420" s="143"/>
      <c r="AE420" s="143"/>
      <c r="AF420" s="143"/>
      <c r="AG420" s="143"/>
      <c r="AH420" s="143"/>
      <c r="AI420" s="143"/>
      <c r="AJ420" s="143"/>
    </row>
    <row r="421" spans="1:36" ht="12.75" customHeight="1" x14ac:dyDescent="0.25">
      <c r="A421" s="143"/>
      <c r="B421" s="145"/>
      <c r="C421" s="146"/>
      <c r="D421" s="114"/>
      <c r="E421" s="148"/>
      <c r="F421" s="148"/>
      <c r="G421" s="114"/>
      <c r="H421" s="149"/>
      <c r="I421" s="143"/>
      <c r="J421" s="143"/>
      <c r="K421" s="143"/>
      <c r="L421" s="143"/>
      <c r="M421" s="150"/>
      <c r="N421" s="143"/>
      <c r="O421" s="1"/>
      <c r="P421" s="151"/>
      <c r="Q421" s="143"/>
      <c r="R421" s="143"/>
      <c r="S421" s="143"/>
      <c r="T421" s="143"/>
      <c r="U421" s="143"/>
      <c r="V421" s="143"/>
      <c r="W421" s="143"/>
      <c r="X421" s="143"/>
      <c r="Y421" s="143"/>
      <c r="Z421" s="143"/>
      <c r="AA421" s="143"/>
      <c r="AB421" s="143"/>
      <c r="AC421" s="143"/>
      <c r="AD421" s="143"/>
      <c r="AE421" s="143"/>
      <c r="AF421" s="143"/>
      <c r="AG421" s="143"/>
      <c r="AH421" s="143"/>
      <c r="AI421" s="143"/>
      <c r="AJ421" s="143"/>
    </row>
    <row r="422" spans="1:36" ht="12.75" customHeight="1" x14ac:dyDescent="0.25">
      <c r="A422" s="143"/>
      <c r="B422" s="145"/>
      <c r="C422" s="146"/>
      <c r="D422" s="114"/>
      <c r="E422" s="148"/>
      <c r="F422" s="148"/>
      <c r="G422" s="114"/>
      <c r="H422" s="149"/>
      <c r="I422" s="143"/>
      <c r="J422" s="143"/>
      <c r="K422" s="143"/>
      <c r="L422" s="143"/>
      <c r="M422" s="150"/>
      <c r="N422" s="143"/>
      <c r="O422" s="1"/>
      <c r="P422" s="151"/>
      <c r="Q422" s="143"/>
      <c r="R422" s="143"/>
      <c r="S422" s="143"/>
      <c r="T422" s="143"/>
      <c r="U422" s="143"/>
      <c r="V422" s="143"/>
      <c r="W422" s="143"/>
      <c r="X422" s="143"/>
      <c r="Y422" s="143"/>
      <c r="Z422" s="143"/>
      <c r="AA422" s="143"/>
      <c r="AB422" s="143"/>
      <c r="AC422" s="143"/>
      <c r="AD422" s="143"/>
      <c r="AE422" s="143"/>
      <c r="AF422" s="143"/>
      <c r="AG422" s="143"/>
      <c r="AH422" s="143"/>
      <c r="AI422" s="143"/>
      <c r="AJ422" s="143"/>
    </row>
    <row r="423" spans="1:36" ht="12.75" customHeight="1" x14ac:dyDescent="0.25">
      <c r="A423" s="143"/>
      <c r="B423" s="145"/>
      <c r="C423" s="146"/>
      <c r="D423" s="114"/>
      <c r="E423" s="148"/>
      <c r="F423" s="148"/>
      <c r="G423" s="114"/>
      <c r="H423" s="149"/>
      <c r="I423" s="143"/>
      <c r="J423" s="143"/>
      <c r="K423" s="143"/>
      <c r="L423" s="143"/>
      <c r="M423" s="150"/>
      <c r="N423" s="143"/>
      <c r="O423" s="1"/>
      <c r="P423" s="151"/>
      <c r="Q423" s="143"/>
      <c r="R423" s="143"/>
      <c r="S423" s="143"/>
      <c r="T423" s="143"/>
      <c r="U423" s="143"/>
      <c r="V423" s="143"/>
      <c r="W423" s="143"/>
      <c r="X423" s="143"/>
      <c r="Y423" s="143"/>
      <c r="Z423" s="143"/>
      <c r="AA423" s="143"/>
      <c r="AB423" s="143"/>
      <c r="AC423" s="143"/>
      <c r="AD423" s="143"/>
      <c r="AE423" s="143"/>
      <c r="AF423" s="143"/>
      <c r="AG423" s="143"/>
      <c r="AH423" s="143"/>
      <c r="AI423" s="143"/>
      <c r="AJ423" s="143"/>
    </row>
    <row r="424" spans="1:36" ht="12.75" customHeight="1" x14ac:dyDescent="0.25">
      <c r="A424" s="143"/>
      <c r="B424" s="145"/>
      <c r="C424" s="146"/>
      <c r="D424" s="114"/>
      <c r="E424" s="148"/>
      <c r="F424" s="148"/>
      <c r="G424" s="114"/>
      <c r="H424" s="149"/>
      <c r="I424" s="143"/>
      <c r="J424" s="143"/>
      <c r="K424" s="143"/>
      <c r="L424" s="143"/>
      <c r="M424" s="150"/>
      <c r="N424" s="143"/>
      <c r="O424" s="1"/>
      <c r="P424" s="151"/>
      <c r="Q424" s="143"/>
      <c r="R424" s="143"/>
      <c r="S424" s="143"/>
      <c r="T424" s="143"/>
      <c r="U424" s="143"/>
      <c r="V424" s="143"/>
      <c r="W424" s="143"/>
      <c r="X424" s="143"/>
      <c r="Y424" s="143"/>
      <c r="Z424" s="143"/>
      <c r="AA424" s="143"/>
      <c r="AB424" s="143"/>
      <c r="AC424" s="143"/>
      <c r="AD424" s="143"/>
      <c r="AE424" s="143"/>
      <c r="AF424" s="143"/>
      <c r="AG424" s="143"/>
      <c r="AH424" s="143"/>
      <c r="AI424" s="143"/>
      <c r="AJ424" s="143"/>
    </row>
    <row r="425" spans="1:36" ht="12.75" customHeight="1" x14ac:dyDescent="0.25">
      <c r="A425" s="143"/>
      <c r="B425" s="145"/>
      <c r="C425" s="146"/>
      <c r="D425" s="114"/>
      <c r="E425" s="148"/>
      <c r="F425" s="148"/>
      <c r="G425" s="114"/>
      <c r="H425" s="149"/>
      <c r="I425" s="143"/>
      <c r="J425" s="143"/>
      <c r="K425" s="143"/>
      <c r="L425" s="143"/>
      <c r="M425" s="150"/>
      <c r="N425" s="143"/>
      <c r="O425" s="1"/>
      <c r="P425" s="151"/>
      <c r="Q425" s="143"/>
      <c r="R425" s="143"/>
      <c r="S425" s="143"/>
      <c r="T425" s="143"/>
      <c r="U425" s="143"/>
      <c r="V425" s="143"/>
      <c r="W425" s="143"/>
      <c r="X425" s="143"/>
      <c r="Y425" s="143"/>
      <c r="Z425" s="143"/>
      <c r="AA425" s="143"/>
      <c r="AB425" s="143"/>
      <c r="AC425" s="143"/>
      <c r="AD425" s="143"/>
      <c r="AE425" s="143"/>
      <c r="AF425" s="143"/>
      <c r="AG425" s="143"/>
      <c r="AH425" s="143"/>
      <c r="AI425" s="143"/>
      <c r="AJ425" s="143"/>
    </row>
    <row r="426" spans="1:36" ht="12.75" customHeight="1" x14ac:dyDescent="0.25">
      <c r="A426" s="143"/>
      <c r="B426" s="145"/>
      <c r="C426" s="146"/>
      <c r="D426" s="114"/>
      <c r="E426" s="148"/>
      <c r="F426" s="148"/>
      <c r="G426" s="114"/>
      <c r="H426" s="149"/>
      <c r="I426" s="143"/>
      <c r="J426" s="143"/>
      <c r="K426" s="143"/>
      <c r="L426" s="143"/>
      <c r="M426" s="150"/>
      <c r="N426" s="143"/>
      <c r="O426" s="1"/>
      <c r="P426" s="151"/>
      <c r="Q426" s="143"/>
      <c r="R426" s="143"/>
      <c r="S426" s="143"/>
      <c r="T426" s="143"/>
      <c r="U426" s="143"/>
      <c r="V426" s="143"/>
      <c r="W426" s="143"/>
      <c r="X426" s="143"/>
      <c r="Y426" s="143"/>
      <c r="Z426" s="143"/>
      <c r="AA426" s="143"/>
      <c r="AB426" s="143"/>
      <c r="AC426" s="143"/>
      <c r="AD426" s="143"/>
      <c r="AE426" s="143"/>
      <c r="AF426" s="143"/>
      <c r="AG426" s="143"/>
      <c r="AH426" s="143"/>
      <c r="AI426" s="143"/>
      <c r="AJ426" s="143"/>
    </row>
    <row r="427" spans="1:36" ht="12.75" customHeight="1" x14ac:dyDescent="0.25">
      <c r="A427" s="143"/>
      <c r="B427" s="145"/>
      <c r="C427" s="146"/>
      <c r="D427" s="114"/>
      <c r="E427" s="148"/>
      <c r="F427" s="148"/>
      <c r="G427" s="114"/>
      <c r="H427" s="149"/>
      <c r="I427" s="143"/>
      <c r="J427" s="143"/>
      <c r="K427" s="143"/>
      <c r="L427" s="143"/>
      <c r="M427" s="150"/>
      <c r="N427" s="143"/>
      <c r="O427" s="1"/>
      <c r="P427" s="151"/>
      <c r="Q427" s="143"/>
      <c r="R427" s="143"/>
      <c r="S427" s="143"/>
      <c r="T427" s="143"/>
      <c r="U427" s="143"/>
      <c r="V427" s="143"/>
      <c r="W427" s="143"/>
      <c r="X427" s="143"/>
      <c r="Y427" s="143"/>
      <c r="Z427" s="143"/>
      <c r="AA427" s="143"/>
      <c r="AB427" s="143"/>
      <c r="AC427" s="143"/>
      <c r="AD427" s="143"/>
      <c r="AE427" s="143"/>
      <c r="AF427" s="143"/>
      <c r="AG427" s="143"/>
      <c r="AH427" s="143"/>
      <c r="AI427" s="143"/>
      <c r="AJ427" s="143"/>
    </row>
    <row r="428" spans="1:36" ht="12.75" customHeight="1" x14ac:dyDescent="0.25">
      <c r="A428" s="143"/>
      <c r="B428" s="145"/>
      <c r="C428" s="146"/>
      <c r="D428" s="114"/>
      <c r="E428" s="148"/>
      <c r="F428" s="148"/>
      <c r="G428" s="114"/>
      <c r="H428" s="149"/>
      <c r="I428" s="143"/>
      <c r="J428" s="143"/>
      <c r="K428" s="143"/>
      <c r="L428" s="143"/>
      <c r="M428" s="150"/>
      <c r="N428" s="143"/>
      <c r="O428" s="1"/>
      <c r="P428" s="151"/>
      <c r="Q428" s="143"/>
      <c r="R428" s="143"/>
      <c r="S428" s="143"/>
      <c r="T428" s="143"/>
      <c r="U428" s="143"/>
      <c r="V428" s="143"/>
      <c r="W428" s="143"/>
      <c r="X428" s="143"/>
      <c r="Y428" s="143"/>
      <c r="Z428" s="143"/>
      <c r="AA428" s="143"/>
      <c r="AB428" s="143"/>
      <c r="AC428" s="143"/>
      <c r="AD428" s="143"/>
      <c r="AE428" s="143"/>
      <c r="AF428" s="143"/>
      <c r="AG428" s="143"/>
      <c r="AH428" s="143"/>
      <c r="AI428" s="143"/>
      <c r="AJ428" s="143"/>
    </row>
    <row r="429" spans="1:36" ht="12.75" customHeight="1" x14ac:dyDescent="0.25">
      <c r="A429" s="143"/>
      <c r="B429" s="145"/>
      <c r="C429" s="146"/>
      <c r="D429" s="114"/>
      <c r="E429" s="148"/>
      <c r="F429" s="148"/>
      <c r="G429" s="114"/>
      <c r="H429" s="149"/>
      <c r="I429" s="143"/>
      <c r="J429" s="143"/>
      <c r="K429" s="143"/>
      <c r="L429" s="143"/>
      <c r="M429" s="150"/>
      <c r="N429" s="143"/>
      <c r="O429" s="1"/>
      <c r="P429" s="151"/>
      <c r="Q429" s="143"/>
      <c r="R429" s="143"/>
      <c r="S429" s="143"/>
      <c r="T429" s="143"/>
      <c r="U429" s="143"/>
      <c r="V429" s="143"/>
      <c r="W429" s="143"/>
      <c r="X429" s="143"/>
      <c r="Y429" s="143"/>
      <c r="Z429" s="143"/>
      <c r="AA429" s="143"/>
      <c r="AB429" s="143"/>
      <c r="AC429" s="143"/>
      <c r="AD429" s="143"/>
      <c r="AE429" s="143"/>
      <c r="AF429" s="143"/>
      <c r="AG429" s="143"/>
      <c r="AH429" s="143"/>
      <c r="AI429" s="143"/>
      <c r="AJ429" s="143"/>
    </row>
    <row r="430" spans="1:36" ht="12.75" customHeight="1" x14ac:dyDescent="0.25">
      <c r="A430" s="143"/>
      <c r="B430" s="145"/>
      <c r="C430" s="146"/>
      <c r="D430" s="114"/>
      <c r="E430" s="148"/>
      <c r="F430" s="148"/>
      <c r="G430" s="114"/>
      <c r="H430" s="149"/>
      <c r="I430" s="143"/>
      <c r="J430" s="143"/>
      <c r="K430" s="143"/>
      <c r="L430" s="143"/>
      <c r="M430" s="150"/>
      <c r="N430" s="143"/>
      <c r="O430" s="1"/>
      <c r="P430" s="151"/>
      <c r="Q430" s="143"/>
      <c r="R430" s="143"/>
      <c r="S430" s="143"/>
      <c r="T430" s="143"/>
      <c r="U430" s="143"/>
      <c r="V430" s="143"/>
      <c r="W430" s="143"/>
      <c r="X430" s="143"/>
      <c r="Y430" s="143"/>
      <c r="Z430" s="143"/>
      <c r="AA430" s="143"/>
      <c r="AB430" s="143"/>
      <c r="AC430" s="143"/>
      <c r="AD430" s="143"/>
      <c r="AE430" s="143"/>
      <c r="AF430" s="143"/>
      <c r="AG430" s="143"/>
      <c r="AH430" s="143"/>
      <c r="AI430" s="143"/>
      <c r="AJ430" s="143"/>
    </row>
    <row r="431" spans="1:36" ht="12.75" customHeight="1" x14ac:dyDescent="0.25">
      <c r="A431" s="143"/>
      <c r="B431" s="145"/>
      <c r="C431" s="146"/>
      <c r="D431" s="114"/>
      <c r="E431" s="148"/>
      <c r="F431" s="148"/>
      <c r="G431" s="114"/>
      <c r="H431" s="149"/>
      <c r="I431" s="143"/>
      <c r="J431" s="143"/>
      <c r="K431" s="143"/>
      <c r="L431" s="143"/>
      <c r="M431" s="150"/>
      <c r="N431" s="143"/>
      <c r="O431" s="1"/>
      <c r="P431" s="151"/>
      <c r="Q431" s="143"/>
      <c r="R431" s="143"/>
      <c r="S431" s="143"/>
      <c r="T431" s="143"/>
      <c r="U431" s="143"/>
      <c r="V431" s="143"/>
      <c r="W431" s="143"/>
      <c r="X431" s="143"/>
      <c r="Y431" s="143"/>
      <c r="Z431" s="143"/>
      <c r="AA431" s="143"/>
      <c r="AB431" s="143"/>
      <c r="AC431" s="143"/>
      <c r="AD431" s="143"/>
      <c r="AE431" s="143"/>
      <c r="AF431" s="143"/>
      <c r="AG431" s="143"/>
      <c r="AH431" s="143"/>
      <c r="AI431" s="143"/>
      <c r="AJ431" s="143"/>
    </row>
    <row r="432" spans="1:36" ht="12.75" customHeight="1" x14ac:dyDescent="0.25">
      <c r="A432" s="143"/>
      <c r="B432" s="145"/>
      <c r="C432" s="146"/>
      <c r="D432" s="114"/>
      <c r="E432" s="148"/>
      <c r="F432" s="148"/>
      <c r="G432" s="114"/>
      <c r="H432" s="149"/>
      <c r="I432" s="143"/>
      <c r="J432" s="143"/>
      <c r="K432" s="143"/>
      <c r="L432" s="143"/>
      <c r="M432" s="150"/>
      <c r="N432" s="143"/>
      <c r="O432" s="1"/>
      <c r="P432" s="151"/>
      <c r="Q432" s="143"/>
      <c r="R432" s="143"/>
      <c r="S432" s="143"/>
      <c r="T432" s="143"/>
      <c r="U432" s="143"/>
      <c r="V432" s="143"/>
      <c r="W432" s="143"/>
      <c r="X432" s="143"/>
      <c r="Y432" s="143"/>
      <c r="Z432" s="143"/>
      <c r="AA432" s="143"/>
      <c r="AB432" s="143"/>
      <c r="AC432" s="143"/>
      <c r="AD432" s="143"/>
      <c r="AE432" s="143"/>
      <c r="AF432" s="143"/>
      <c r="AG432" s="143"/>
      <c r="AH432" s="143"/>
      <c r="AI432" s="143"/>
      <c r="AJ432" s="143"/>
    </row>
    <row r="433" spans="1:36" ht="12.75" customHeight="1" x14ac:dyDescent="0.25">
      <c r="A433" s="143"/>
      <c r="B433" s="145"/>
      <c r="C433" s="146"/>
      <c r="D433" s="114"/>
      <c r="E433" s="148"/>
      <c r="F433" s="148"/>
      <c r="G433" s="114"/>
      <c r="H433" s="149"/>
      <c r="I433" s="143"/>
      <c r="J433" s="143"/>
      <c r="K433" s="143"/>
      <c r="L433" s="143"/>
      <c r="M433" s="150"/>
      <c r="N433" s="143"/>
      <c r="O433" s="1"/>
      <c r="P433" s="151"/>
      <c r="Q433" s="143"/>
      <c r="R433" s="143"/>
      <c r="S433" s="143"/>
      <c r="T433" s="143"/>
      <c r="U433" s="143"/>
      <c r="V433" s="143"/>
      <c r="W433" s="143"/>
      <c r="X433" s="143"/>
      <c r="Y433" s="143"/>
      <c r="Z433" s="143"/>
      <c r="AA433" s="143"/>
      <c r="AB433" s="143"/>
      <c r="AC433" s="143"/>
      <c r="AD433" s="143"/>
      <c r="AE433" s="143"/>
      <c r="AF433" s="143"/>
      <c r="AG433" s="143"/>
      <c r="AH433" s="143"/>
      <c r="AI433" s="143"/>
      <c r="AJ433" s="143"/>
    </row>
    <row r="434" spans="1:36" ht="12.75" customHeight="1" x14ac:dyDescent="0.25">
      <c r="A434" s="143"/>
      <c r="B434" s="145"/>
      <c r="C434" s="146"/>
      <c r="D434" s="114"/>
      <c r="E434" s="148"/>
      <c r="F434" s="148"/>
      <c r="G434" s="114"/>
      <c r="H434" s="149"/>
      <c r="I434" s="143"/>
      <c r="J434" s="143"/>
      <c r="K434" s="143"/>
      <c r="L434" s="143"/>
      <c r="M434" s="150"/>
      <c r="N434" s="143"/>
      <c r="O434" s="1"/>
      <c r="P434" s="151"/>
      <c r="Q434" s="143"/>
      <c r="R434" s="143"/>
      <c r="S434" s="143"/>
      <c r="T434" s="143"/>
      <c r="U434" s="143"/>
      <c r="V434" s="143"/>
      <c r="W434" s="143"/>
      <c r="X434" s="143"/>
      <c r="Y434" s="143"/>
      <c r="Z434" s="143"/>
      <c r="AA434" s="143"/>
      <c r="AB434" s="143"/>
      <c r="AC434" s="143"/>
      <c r="AD434" s="143"/>
      <c r="AE434" s="143"/>
      <c r="AF434" s="143"/>
      <c r="AG434" s="143"/>
      <c r="AH434" s="143"/>
      <c r="AI434" s="143"/>
      <c r="AJ434" s="143"/>
    </row>
    <row r="435" spans="1:36" ht="12.75" customHeight="1" x14ac:dyDescent="0.25">
      <c r="A435" s="143"/>
      <c r="B435" s="145"/>
      <c r="C435" s="146"/>
      <c r="D435" s="114"/>
      <c r="E435" s="148"/>
      <c r="F435" s="148"/>
      <c r="G435" s="114"/>
      <c r="H435" s="149"/>
      <c r="I435" s="143"/>
      <c r="J435" s="143"/>
      <c r="K435" s="143"/>
      <c r="L435" s="143"/>
      <c r="M435" s="150"/>
      <c r="N435" s="143"/>
      <c r="O435" s="1"/>
      <c r="P435" s="151"/>
      <c r="Q435" s="143"/>
      <c r="R435" s="143"/>
      <c r="S435" s="143"/>
      <c r="T435" s="143"/>
      <c r="U435" s="143"/>
      <c r="V435" s="143"/>
      <c r="W435" s="143"/>
      <c r="X435" s="143"/>
      <c r="Y435" s="143"/>
      <c r="Z435" s="143"/>
      <c r="AA435" s="143"/>
      <c r="AB435" s="143"/>
      <c r="AC435" s="143"/>
      <c r="AD435" s="143"/>
      <c r="AE435" s="143"/>
      <c r="AF435" s="143"/>
      <c r="AG435" s="143"/>
      <c r="AH435" s="143"/>
      <c r="AI435" s="143"/>
      <c r="AJ435" s="143"/>
    </row>
    <row r="436" spans="1:36" ht="12.75" customHeight="1" x14ac:dyDescent="0.25">
      <c r="A436" s="143"/>
      <c r="B436" s="145"/>
      <c r="C436" s="146"/>
      <c r="D436" s="114"/>
      <c r="E436" s="148"/>
      <c r="F436" s="148"/>
      <c r="G436" s="114"/>
      <c r="H436" s="149"/>
      <c r="I436" s="143"/>
      <c r="J436" s="143"/>
      <c r="K436" s="143"/>
      <c r="L436" s="143"/>
      <c r="M436" s="150"/>
      <c r="N436" s="143"/>
      <c r="O436" s="1"/>
      <c r="P436" s="151"/>
      <c r="Q436" s="143"/>
      <c r="R436" s="143"/>
      <c r="S436" s="143"/>
      <c r="T436" s="143"/>
      <c r="U436" s="143"/>
      <c r="V436" s="143"/>
      <c r="W436" s="143"/>
      <c r="X436" s="143"/>
      <c r="Y436" s="143"/>
      <c r="Z436" s="143"/>
      <c r="AA436" s="143"/>
      <c r="AB436" s="143"/>
      <c r="AC436" s="143"/>
      <c r="AD436" s="143"/>
      <c r="AE436" s="143"/>
      <c r="AF436" s="143"/>
      <c r="AG436" s="143"/>
      <c r="AH436" s="143"/>
      <c r="AI436" s="143"/>
      <c r="AJ436" s="143"/>
    </row>
    <row r="437" spans="1:36" ht="12.75" customHeight="1" x14ac:dyDescent="0.25">
      <c r="A437" s="143"/>
      <c r="B437" s="145"/>
      <c r="C437" s="146"/>
      <c r="D437" s="114"/>
      <c r="E437" s="148"/>
      <c r="F437" s="148"/>
      <c r="G437" s="114"/>
      <c r="H437" s="149"/>
      <c r="I437" s="143"/>
      <c r="J437" s="143"/>
      <c r="K437" s="143"/>
      <c r="L437" s="143"/>
      <c r="M437" s="150"/>
      <c r="N437" s="143"/>
      <c r="O437" s="1"/>
      <c r="P437" s="151"/>
      <c r="Q437" s="143"/>
      <c r="R437" s="143"/>
      <c r="S437" s="143"/>
      <c r="T437" s="143"/>
      <c r="U437" s="143"/>
      <c r="V437" s="143"/>
      <c r="W437" s="143"/>
      <c r="X437" s="143"/>
      <c r="Y437" s="143"/>
      <c r="Z437" s="143"/>
      <c r="AA437" s="143"/>
      <c r="AB437" s="143"/>
      <c r="AC437" s="143"/>
      <c r="AD437" s="143"/>
      <c r="AE437" s="143"/>
      <c r="AF437" s="143"/>
      <c r="AG437" s="143"/>
      <c r="AH437" s="143"/>
      <c r="AI437" s="143"/>
      <c r="AJ437" s="143"/>
    </row>
    <row r="438" spans="1:36" ht="12.75" customHeight="1" x14ac:dyDescent="0.25">
      <c r="A438" s="143"/>
      <c r="B438" s="145"/>
      <c r="C438" s="146"/>
      <c r="D438" s="114"/>
      <c r="E438" s="148"/>
      <c r="F438" s="148"/>
      <c r="G438" s="114"/>
      <c r="H438" s="149"/>
      <c r="I438" s="143"/>
      <c r="J438" s="143"/>
      <c r="K438" s="143"/>
      <c r="L438" s="143"/>
      <c r="M438" s="150"/>
      <c r="N438" s="143"/>
      <c r="O438" s="1"/>
      <c r="P438" s="151"/>
      <c r="Q438" s="143"/>
      <c r="R438" s="143"/>
      <c r="S438" s="143"/>
      <c r="T438" s="143"/>
      <c r="U438" s="143"/>
      <c r="V438" s="143"/>
      <c r="W438" s="143"/>
      <c r="X438" s="143"/>
      <c r="Y438" s="143"/>
      <c r="Z438" s="143"/>
      <c r="AA438" s="143"/>
      <c r="AB438" s="143"/>
      <c r="AC438" s="143"/>
      <c r="AD438" s="143"/>
      <c r="AE438" s="143"/>
      <c r="AF438" s="143"/>
      <c r="AG438" s="143"/>
      <c r="AH438" s="143"/>
      <c r="AI438" s="143"/>
      <c r="AJ438" s="143"/>
    </row>
    <row r="439" spans="1:36" ht="12.75" customHeight="1" x14ac:dyDescent="0.25">
      <c r="A439" s="143"/>
      <c r="B439" s="145"/>
      <c r="C439" s="146"/>
      <c r="D439" s="114"/>
      <c r="E439" s="148"/>
      <c r="F439" s="148"/>
      <c r="G439" s="114"/>
      <c r="H439" s="149"/>
      <c r="I439" s="143"/>
      <c r="J439" s="143"/>
      <c r="K439" s="143"/>
      <c r="L439" s="143"/>
      <c r="M439" s="150"/>
      <c r="N439" s="143"/>
      <c r="O439" s="1"/>
      <c r="P439" s="151"/>
      <c r="Q439" s="143"/>
      <c r="R439" s="143"/>
      <c r="S439" s="143"/>
      <c r="T439" s="143"/>
      <c r="U439" s="143"/>
      <c r="V439" s="143"/>
      <c r="W439" s="143"/>
      <c r="X439" s="143"/>
      <c r="Y439" s="143"/>
      <c r="Z439" s="143"/>
      <c r="AA439" s="143"/>
      <c r="AB439" s="143"/>
      <c r="AC439" s="143"/>
      <c r="AD439" s="143"/>
      <c r="AE439" s="143"/>
      <c r="AF439" s="143"/>
      <c r="AG439" s="143"/>
      <c r="AH439" s="143"/>
      <c r="AI439" s="143"/>
      <c r="AJ439" s="143"/>
    </row>
    <row r="440" spans="1:36" ht="12.75" customHeight="1" x14ac:dyDescent="0.25">
      <c r="A440" s="143"/>
      <c r="B440" s="145"/>
      <c r="C440" s="146"/>
      <c r="D440" s="114"/>
      <c r="E440" s="148"/>
      <c r="F440" s="148"/>
      <c r="G440" s="114"/>
      <c r="H440" s="149"/>
      <c r="I440" s="143"/>
      <c r="J440" s="143"/>
      <c r="K440" s="143"/>
      <c r="L440" s="143"/>
      <c r="M440" s="150"/>
      <c r="N440" s="143"/>
      <c r="O440" s="1"/>
      <c r="P440" s="151"/>
      <c r="Q440" s="143"/>
      <c r="R440" s="143"/>
      <c r="S440" s="143"/>
      <c r="T440" s="143"/>
      <c r="U440" s="143"/>
      <c r="V440" s="143"/>
      <c r="W440" s="143"/>
      <c r="X440" s="143"/>
      <c r="Y440" s="143"/>
      <c r="Z440" s="143"/>
      <c r="AA440" s="143"/>
      <c r="AB440" s="143"/>
      <c r="AC440" s="143"/>
      <c r="AD440" s="143"/>
      <c r="AE440" s="143"/>
      <c r="AF440" s="143"/>
      <c r="AG440" s="143"/>
      <c r="AH440" s="143"/>
      <c r="AI440" s="143"/>
      <c r="AJ440" s="143"/>
    </row>
    <row r="441" spans="1:36" ht="12.75" customHeight="1" x14ac:dyDescent="0.25">
      <c r="A441" s="143"/>
      <c r="B441" s="145"/>
      <c r="C441" s="146"/>
      <c r="D441" s="114"/>
      <c r="E441" s="148"/>
      <c r="F441" s="148"/>
      <c r="G441" s="114"/>
      <c r="H441" s="149"/>
      <c r="I441" s="143"/>
      <c r="J441" s="143"/>
      <c r="K441" s="143"/>
      <c r="L441" s="143"/>
      <c r="M441" s="150"/>
      <c r="N441" s="143"/>
      <c r="O441" s="1"/>
      <c r="P441" s="151"/>
      <c r="Q441" s="143"/>
      <c r="R441" s="143"/>
      <c r="S441" s="143"/>
      <c r="T441" s="143"/>
      <c r="U441" s="143"/>
      <c r="V441" s="143"/>
      <c r="W441" s="143"/>
      <c r="X441" s="143"/>
      <c r="Y441" s="143"/>
      <c r="Z441" s="143"/>
      <c r="AA441" s="143"/>
      <c r="AB441" s="143"/>
      <c r="AC441" s="143"/>
      <c r="AD441" s="143"/>
      <c r="AE441" s="143"/>
      <c r="AF441" s="143"/>
      <c r="AG441" s="143"/>
      <c r="AH441" s="143"/>
      <c r="AI441" s="143"/>
      <c r="AJ441" s="143"/>
    </row>
    <row r="442" spans="1:36" ht="12.75" customHeight="1" x14ac:dyDescent="0.25">
      <c r="A442" s="143"/>
      <c r="B442" s="145"/>
      <c r="C442" s="146"/>
      <c r="D442" s="114"/>
      <c r="E442" s="148"/>
      <c r="F442" s="148"/>
      <c r="G442" s="114"/>
      <c r="H442" s="149"/>
      <c r="I442" s="143"/>
      <c r="J442" s="143"/>
      <c r="K442" s="143"/>
      <c r="L442" s="143"/>
      <c r="M442" s="150"/>
      <c r="N442" s="143"/>
      <c r="O442" s="1"/>
      <c r="P442" s="151"/>
      <c r="Q442" s="143"/>
      <c r="R442" s="143"/>
      <c r="S442" s="143"/>
      <c r="T442" s="143"/>
      <c r="U442" s="143"/>
      <c r="V442" s="143"/>
      <c r="W442" s="143"/>
      <c r="X442" s="143"/>
      <c r="Y442" s="143"/>
      <c r="Z442" s="143"/>
      <c r="AA442" s="143"/>
      <c r="AB442" s="143"/>
      <c r="AC442" s="143"/>
      <c r="AD442" s="143"/>
      <c r="AE442" s="143"/>
      <c r="AF442" s="143"/>
      <c r="AG442" s="143"/>
      <c r="AH442" s="143"/>
      <c r="AI442" s="143"/>
      <c r="AJ442" s="143"/>
    </row>
    <row r="443" spans="1:36" ht="12.75" customHeight="1" x14ac:dyDescent="0.25">
      <c r="A443" s="143"/>
      <c r="B443" s="145"/>
      <c r="C443" s="146"/>
      <c r="D443" s="114"/>
      <c r="E443" s="148"/>
      <c r="F443" s="148"/>
      <c r="G443" s="114"/>
      <c r="H443" s="149"/>
      <c r="I443" s="143"/>
      <c r="J443" s="143"/>
      <c r="K443" s="143"/>
      <c r="L443" s="143"/>
      <c r="M443" s="150"/>
      <c r="N443" s="143"/>
      <c r="O443" s="1"/>
      <c r="P443" s="151"/>
      <c r="Q443" s="143"/>
      <c r="R443" s="143"/>
      <c r="S443" s="143"/>
      <c r="T443" s="143"/>
      <c r="U443" s="143"/>
      <c r="V443" s="143"/>
      <c r="W443" s="143"/>
      <c r="X443" s="143"/>
      <c r="Y443" s="143"/>
      <c r="Z443" s="143"/>
      <c r="AA443" s="143"/>
      <c r="AB443" s="143"/>
      <c r="AC443" s="143"/>
      <c r="AD443" s="143"/>
      <c r="AE443" s="143"/>
      <c r="AF443" s="143"/>
      <c r="AG443" s="143"/>
      <c r="AH443" s="143"/>
      <c r="AI443" s="143"/>
      <c r="AJ443" s="143"/>
    </row>
    <row r="444" spans="1:36" ht="12.75" customHeight="1" x14ac:dyDescent="0.25">
      <c r="A444" s="143"/>
      <c r="B444" s="145"/>
      <c r="C444" s="146"/>
      <c r="D444" s="114"/>
      <c r="E444" s="148"/>
      <c r="F444" s="148"/>
      <c r="G444" s="114"/>
      <c r="H444" s="149"/>
      <c r="I444" s="143"/>
      <c r="J444" s="143"/>
      <c r="K444" s="143"/>
      <c r="L444" s="143"/>
      <c r="M444" s="150"/>
      <c r="N444" s="143"/>
      <c r="O444" s="1"/>
      <c r="P444" s="151"/>
      <c r="Q444" s="143"/>
      <c r="R444" s="143"/>
      <c r="S444" s="143"/>
      <c r="T444" s="143"/>
      <c r="U444" s="143"/>
      <c r="V444" s="143"/>
      <c r="W444" s="143"/>
      <c r="X444" s="143"/>
      <c r="Y444" s="143"/>
      <c r="Z444" s="143"/>
      <c r="AA444" s="143"/>
      <c r="AB444" s="143"/>
      <c r="AC444" s="143"/>
      <c r="AD444" s="143"/>
      <c r="AE444" s="143"/>
      <c r="AF444" s="143"/>
      <c r="AG444" s="143"/>
      <c r="AH444" s="143"/>
      <c r="AI444" s="143"/>
      <c r="AJ444" s="143"/>
    </row>
    <row r="445" spans="1:36" ht="12.75" customHeight="1" x14ac:dyDescent="0.25">
      <c r="A445" s="143"/>
      <c r="B445" s="145"/>
      <c r="C445" s="146"/>
      <c r="D445" s="114"/>
      <c r="E445" s="148"/>
      <c r="F445" s="148"/>
      <c r="G445" s="114"/>
      <c r="H445" s="149"/>
      <c r="I445" s="143"/>
      <c r="J445" s="143"/>
      <c r="K445" s="143"/>
      <c r="L445" s="143"/>
      <c r="M445" s="150"/>
      <c r="N445" s="143"/>
      <c r="O445" s="1"/>
      <c r="P445" s="151"/>
      <c r="Q445" s="143"/>
      <c r="R445" s="143"/>
      <c r="S445" s="143"/>
      <c r="T445" s="143"/>
      <c r="U445" s="143"/>
      <c r="V445" s="143"/>
      <c r="W445" s="143"/>
      <c r="X445" s="143"/>
      <c r="Y445" s="143"/>
      <c r="Z445" s="143"/>
      <c r="AA445" s="143"/>
      <c r="AB445" s="143"/>
      <c r="AC445" s="143"/>
      <c r="AD445" s="143"/>
      <c r="AE445" s="143"/>
      <c r="AF445" s="143"/>
      <c r="AG445" s="143"/>
      <c r="AH445" s="143"/>
      <c r="AI445" s="143"/>
      <c r="AJ445" s="143"/>
    </row>
    <row r="446" spans="1:36" ht="12.75" customHeight="1" x14ac:dyDescent="0.25">
      <c r="A446" s="143"/>
      <c r="B446" s="145"/>
      <c r="C446" s="146"/>
      <c r="D446" s="114"/>
      <c r="E446" s="148"/>
      <c r="F446" s="148"/>
      <c r="G446" s="114"/>
      <c r="H446" s="149"/>
      <c r="I446" s="143"/>
      <c r="J446" s="143"/>
      <c r="K446" s="143"/>
      <c r="L446" s="143"/>
      <c r="M446" s="150"/>
      <c r="N446" s="143"/>
      <c r="O446" s="1"/>
      <c r="P446" s="151"/>
      <c r="Q446" s="143"/>
      <c r="R446" s="143"/>
      <c r="S446" s="143"/>
      <c r="T446" s="143"/>
      <c r="U446" s="143"/>
      <c r="V446" s="143"/>
      <c r="W446" s="143"/>
      <c r="X446" s="143"/>
      <c r="Y446" s="143"/>
      <c r="Z446" s="143"/>
      <c r="AA446" s="143"/>
      <c r="AB446" s="143"/>
      <c r="AC446" s="143"/>
      <c r="AD446" s="143"/>
      <c r="AE446" s="143"/>
      <c r="AF446" s="143"/>
      <c r="AG446" s="143"/>
      <c r="AH446" s="143"/>
      <c r="AI446" s="143"/>
      <c r="AJ446" s="143"/>
    </row>
    <row r="447" spans="1:36" ht="12.75" customHeight="1" x14ac:dyDescent="0.25">
      <c r="A447" s="143"/>
      <c r="B447" s="145"/>
      <c r="C447" s="146"/>
      <c r="D447" s="114"/>
      <c r="E447" s="148"/>
      <c r="F447" s="148"/>
      <c r="G447" s="114"/>
      <c r="H447" s="149"/>
      <c r="I447" s="143"/>
      <c r="J447" s="143"/>
      <c r="K447" s="143"/>
      <c r="L447" s="143"/>
      <c r="M447" s="150"/>
      <c r="N447" s="143"/>
      <c r="O447" s="1"/>
      <c r="P447" s="151"/>
      <c r="Q447" s="143"/>
      <c r="R447" s="143"/>
      <c r="S447" s="143"/>
      <c r="T447" s="143"/>
      <c r="U447" s="143"/>
      <c r="V447" s="143"/>
      <c r="W447" s="143"/>
      <c r="X447" s="143"/>
      <c r="Y447" s="143"/>
      <c r="Z447" s="143"/>
      <c r="AA447" s="143"/>
      <c r="AB447" s="143"/>
      <c r="AC447" s="143"/>
      <c r="AD447" s="143"/>
      <c r="AE447" s="143"/>
      <c r="AF447" s="143"/>
      <c r="AG447" s="143"/>
      <c r="AH447" s="143"/>
      <c r="AI447" s="143"/>
      <c r="AJ447" s="143"/>
    </row>
    <row r="448" spans="1:36" ht="12.75" customHeight="1" x14ac:dyDescent="0.25">
      <c r="A448" s="143"/>
      <c r="B448" s="145"/>
      <c r="C448" s="146"/>
      <c r="D448" s="114"/>
      <c r="E448" s="148"/>
      <c r="F448" s="148"/>
      <c r="G448" s="114"/>
      <c r="H448" s="149"/>
      <c r="I448" s="143"/>
      <c r="J448" s="143"/>
      <c r="K448" s="143"/>
      <c r="L448" s="143"/>
      <c r="M448" s="150"/>
      <c r="N448" s="143"/>
      <c r="O448" s="1"/>
      <c r="P448" s="151"/>
      <c r="Q448" s="143"/>
      <c r="R448" s="143"/>
      <c r="S448" s="143"/>
      <c r="T448" s="143"/>
      <c r="U448" s="143"/>
      <c r="V448" s="143"/>
      <c r="W448" s="143"/>
      <c r="X448" s="143"/>
      <c r="Y448" s="143"/>
      <c r="Z448" s="143"/>
      <c r="AA448" s="143"/>
      <c r="AB448" s="143"/>
      <c r="AC448" s="143"/>
      <c r="AD448" s="143"/>
      <c r="AE448" s="143"/>
      <c r="AF448" s="143"/>
      <c r="AG448" s="143"/>
      <c r="AH448" s="143"/>
      <c r="AI448" s="143"/>
      <c r="AJ448" s="143"/>
    </row>
    <row r="449" spans="1:36" ht="12.75" customHeight="1" x14ac:dyDescent="0.25">
      <c r="A449" s="143"/>
      <c r="B449" s="145"/>
      <c r="C449" s="146"/>
      <c r="D449" s="114"/>
      <c r="E449" s="148"/>
      <c r="F449" s="148"/>
      <c r="G449" s="114"/>
      <c r="H449" s="149"/>
      <c r="I449" s="143"/>
      <c r="J449" s="143"/>
      <c r="K449" s="143"/>
      <c r="L449" s="143"/>
      <c r="M449" s="150"/>
      <c r="N449" s="143"/>
      <c r="O449" s="1"/>
      <c r="P449" s="151"/>
      <c r="Q449" s="143"/>
      <c r="R449" s="143"/>
      <c r="S449" s="143"/>
      <c r="T449" s="143"/>
      <c r="U449" s="143"/>
      <c r="V449" s="143"/>
      <c r="W449" s="143"/>
      <c r="X449" s="143"/>
      <c r="Y449" s="143"/>
      <c r="Z449" s="143"/>
      <c r="AA449" s="143"/>
      <c r="AB449" s="143"/>
      <c r="AC449" s="143"/>
      <c r="AD449" s="143"/>
      <c r="AE449" s="143"/>
      <c r="AF449" s="143"/>
      <c r="AG449" s="143"/>
      <c r="AH449" s="143"/>
      <c r="AI449" s="143"/>
      <c r="AJ449" s="143"/>
    </row>
    <row r="450" spans="1:36" ht="12.75" customHeight="1" x14ac:dyDescent="0.25">
      <c r="A450" s="143"/>
      <c r="B450" s="145"/>
      <c r="C450" s="146"/>
      <c r="D450" s="114"/>
      <c r="E450" s="148"/>
      <c r="F450" s="148"/>
      <c r="G450" s="114"/>
      <c r="H450" s="149"/>
      <c r="I450" s="143"/>
      <c r="J450" s="143"/>
      <c r="K450" s="143"/>
      <c r="L450" s="143"/>
      <c r="M450" s="150"/>
      <c r="N450" s="143"/>
      <c r="O450" s="1"/>
      <c r="P450" s="151"/>
      <c r="Q450" s="143"/>
      <c r="R450" s="143"/>
      <c r="S450" s="143"/>
      <c r="T450" s="143"/>
      <c r="U450" s="143"/>
      <c r="V450" s="143"/>
      <c r="W450" s="143"/>
      <c r="X450" s="143"/>
      <c r="Y450" s="143"/>
      <c r="Z450" s="143"/>
      <c r="AA450" s="143"/>
      <c r="AB450" s="143"/>
      <c r="AC450" s="143"/>
      <c r="AD450" s="143"/>
      <c r="AE450" s="143"/>
      <c r="AF450" s="143"/>
      <c r="AG450" s="143"/>
      <c r="AH450" s="143"/>
      <c r="AI450" s="143"/>
      <c r="AJ450" s="143"/>
    </row>
    <row r="451" spans="1:36" ht="12.75" customHeight="1" x14ac:dyDescent="0.25">
      <c r="A451" s="143"/>
      <c r="B451" s="145"/>
      <c r="C451" s="146"/>
      <c r="D451" s="114"/>
      <c r="E451" s="148"/>
      <c r="F451" s="148"/>
      <c r="G451" s="114"/>
      <c r="H451" s="149"/>
      <c r="I451" s="143"/>
      <c r="J451" s="143"/>
      <c r="K451" s="143"/>
      <c r="L451" s="143"/>
      <c r="M451" s="150"/>
      <c r="N451" s="143"/>
      <c r="O451" s="1"/>
      <c r="P451" s="151"/>
      <c r="Q451" s="143"/>
      <c r="R451" s="143"/>
      <c r="S451" s="143"/>
      <c r="T451" s="143"/>
      <c r="U451" s="143"/>
      <c r="V451" s="143"/>
      <c r="W451" s="143"/>
      <c r="X451" s="143"/>
      <c r="Y451" s="143"/>
      <c r="Z451" s="143"/>
      <c r="AA451" s="143"/>
      <c r="AB451" s="143"/>
      <c r="AC451" s="143"/>
      <c r="AD451" s="143"/>
      <c r="AE451" s="143"/>
      <c r="AF451" s="143"/>
      <c r="AG451" s="143"/>
      <c r="AH451" s="143"/>
      <c r="AI451" s="143"/>
      <c r="AJ451" s="143"/>
    </row>
    <row r="452" spans="1:36" ht="12.75" customHeight="1" x14ac:dyDescent="0.25">
      <c r="A452" s="143"/>
      <c r="B452" s="145"/>
      <c r="C452" s="146"/>
      <c r="D452" s="114"/>
      <c r="E452" s="148"/>
      <c r="F452" s="148"/>
      <c r="G452" s="114"/>
      <c r="H452" s="149"/>
      <c r="I452" s="143"/>
      <c r="J452" s="143"/>
      <c r="K452" s="143"/>
      <c r="L452" s="143"/>
      <c r="M452" s="150"/>
      <c r="N452" s="143"/>
      <c r="O452" s="1"/>
      <c r="P452" s="151"/>
      <c r="Q452" s="143"/>
      <c r="R452" s="143"/>
      <c r="S452" s="143"/>
      <c r="T452" s="143"/>
      <c r="U452" s="143"/>
      <c r="V452" s="143"/>
      <c r="W452" s="143"/>
      <c r="X452" s="143"/>
      <c r="Y452" s="143"/>
      <c r="Z452" s="143"/>
      <c r="AA452" s="143"/>
      <c r="AB452" s="143"/>
      <c r="AC452" s="143"/>
      <c r="AD452" s="143"/>
      <c r="AE452" s="143"/>
      <c r="AF452" s="143"/>
      <c r="AG452" s="143"/>
      <c r="AH452" s="143"/>
      <c r="AI452" s="143"/>
      <c r="AJ452" s="143"/>
    </row>
    <row r="453" spans="1:36" ht="12.75" customHeight="1" x14ac:dyDescent="0.25">
      <c r="A453" s="143"/>
      <c r="B453" s="145"/>
      <c r="C453" s="146"/>
      <c r="D453" s="114"/>
      <c r="E453" s="148"/>
      <c r="F453" s="148"/>
      <c r="G453" s="114"/>
      <c r="H453" s="149"/>
      <c r="I453" s="143"/>
      <c r="J453" s="143"/>
      <c r="K453" s="143"/>
      <c r="L453" s="143"/>
      <c r="M453" s="150"/>
      <c r="N453" s="143"/>
      <c r="O453" s="1"/>
      <c r="P453" s="151"/>
      <c r="Q453" s="143"/>
      <c r="R453" s="143"/>
      <c r="S453" s="143"/>
      <c r="T453" s="143"/>
      <c r="U453" s="143"/>
      <c r="V453" s="143"/>
      <c r="W453" s="143"/>
      <c r="X453" s="143"/>
      <c r="Y453" s="143"/>
      <c r="Z453" s="143"/>
      <c r="AA453" s="143"/>
      <c r="AB453" s="143"/>
      <c r="AC453" s="143"/>
      <c r="AD453" s="143"/>
      <c r="AE453" s="143"/>
      <c r="AF453" s="143"/>
      <c r="AG453" s="143"/>
      <c r="AH453" s="143"/>
      <c r="AI453" s="143"/>
      <c r="AJ453" s="143"/>
    </row>
    <row r="454" spans="1:36" ht="12.75" customHeight="1" x14ac:dyDescent="0.25">
      <c r="A454" s="143"/>
      <c r="B454" s="145"/>
      <c r="C454" s="146"/>
      <c r="D454" s="114"/>
      <c r="E454" s="148"/>
      <c r="F454" s="148"/>
      <c r="G454" s="114"/>
      <c r="H454" s="149"/>
      <c r="I454" s="143"/>
      <c r="J454" s="143"/>
      <c r="K454" s="143"/>
      <c r="L454" s="143"/>
      <c r="M454" s="150"/>
      <c r="N454" s="143"/>
      <c r="O454" s="1"/>
      <c r="P454" s="151"/>
      <c r="Q454" s="143"/>
      <c r="R454" s="143"/>
      <c r="S454" s="143"/>
      <c r="T454" s="143"/>
      <c r="U454" s="143"/>
      <c r="V454" s="143"/>
      <c r="W454" s="143"/>
      <c r="X454" s="143"/>
      <c r="Y454" s="143"/>
      <c r="Z454" s="143"/>
      <c r="AA454" s="143"/>
      <c r="AB454" s="143"/>
      <c r="AC454" s="143"/>
      <c r="AD454" s="143"/>
      <c r="AE454" s="143"/>
      <c r="AF454" s="143"/>
      <c r="AG454" s="143"/>
      <c r="AH454" s="143"/>
      <c r="AI454" s="143"/>
      <c r="AJ454" s="143"/>
    </row>
    <row r="455" spans="1:36" ht="12.75" customHeight="1" x14ac:dyDescent="0.25">
      <c r="A455" s="143"/>
      <c r="B455" s="145"/>
      <c r="C455" s="146"/>
      <c r="D455" s="114"/>
      <c r="E455" s="148"/>
      <c r="F455" s="148"/>
      <c r="G455" s="114"/>
      <c r="H455" s="149"/>
      <c r="I455" s="143"/>
      <c r="J455" s="143"/>
      <c r="K455" s="143"/>
      <c r="L455" s="143"/>
      <c r="M455" s="150"/>
      <c r="N455" s="143"/>
      <c r="O455" s="1"/>
      <c r="P455" s="151"/>
      <c r="Q455" s="143"/>
      <c r="R455" s="143"/>
      <c r="S455" s="143"/>
      <c r="T455" s="143"/>
      <c r="U455" s="143"/>
      <c r="V455" s="143"/>
      <c r="W455" s="143"/>
      <c r="X455" s="143"/>
      <c r="Y455" s="143"/>
      <c r="Z455" s="143"/>
      <c r="AA455" s="143"/>
      <c r="AB455" s="143"/>
      <c r="AC455" s="143"/>
      <c r="AD455" s="143"/>
      <c r="AE455" s="143"/>
      <c r="AF455" s="143"/>
      <c r="AG455" s="143"/>
      <c r="AH455" s="143"/>
      <c r="AI455" s="143"/>
      <c r="AJ455" s="143"/>
    </row>
    <row r="456" spans="1:36" ht="12.75" customHeight="1" x14ac:dyDescent="0.25">
      <c r="A456" s="143"/>
      <c r="B456" s="145"/>
      <c r="C456" s="146"/>
      <c r="D456" s="114"/>
      <c r="E456" s="148"/>
      <c r="F456" s="148"/>
      <c r="G456" s="114"/>
      <c r="H456" s="149"/>
      <c r="I456" s="143"/>
      <c r="J456" s="143"/>
      <c r="K456" s="143"/>
      <c r="L456" s="143"/>
      <c r="M456" s="150"/>
      <c r="N456" s="143"/>
      <c r="O456" s="1"/>
      <c r="P456" s="151"/>
      <c r="Q456" s="143"/>
      <c r="R456" s="143"/>
      <c r="S456" s="143"/>
      <c r="T456" s="143"/>
      <c r="U456" s="143"/>
      <c r="V456" s="143"/>
      <c r="W456" s="143"/>
      <c r="X456" s="143"/>
      <c r="Y456" s="143"/>
      <c r="Z456" s="143"/>
      <c r="AA456" s="143"/>
      <c r="AB456" s="143"/>
      <c r="AC456" s="143"/>
      <c r="AD456" s="143"/>
      <c r="AE456" s="143"/>
      <c r="AF456" s="143"/>
      <c r="AG456" s="143"/>
      <c r="AH456" s="143"/>
      <c r="AI456" s="143"/>
      <c r="AJ456" s="143"/>
    </row>
    <row r="457" spans="1:36" ht="12.75" customHeight="1" x14ac:dyDescent="0.25">
      <c r="A457" s="143"/>
      <c r="B457" s="145"/>
      <c r="C457" s="146"/>
      <c r="D457" s="114"/>
      <c r="E457" s="148"/>
      <c r="F457" s="148"/>
      <c r="G457" s="114"/>
      <c r="H457" s="149"/>
      <c r="I457" s="143"/>
      <c r="J457" s="143"/>
      <c r="K457" s="143"/>
      <c r="L457" s="143"/>
      <c r="M457" s="150"/>
      <c r="N457" s="143"/>
      <c r="O457" s="1"/>
      <c r="P457" s="151"/>
      <c r="Q457" s="143"/>
      <c r="R457" s="143"/>
      <c r="S457" s="143"/>
      <c r="T457" s="143"/>
      <c r="U457" s="143"/>
      <c r="V457" s="143"/>
      <c r="W457" s="143"/>
      <c r="X457" s="143"/>
      <c r="Y457" s="143"/>
      <c r="Z457" s="143"/>
      <c r="AA457" s="143"/>
      <c r="AB457" s="143"/>
      <c r="AC457" s="143"/>
      <c r="AD457" s="143"/>
      <c r="AE457" s="143"/>
      <c r="AF457" s="143"/>
      <c r="AG457" s="143"/>
      <c r="AH457" s="143"/>
      <c r="AI457" s="143"/>
      <c r="AJ457" s="143"/>
    </row>
    <row r="458" spans="1:36" ht="12.75" customHeight="1" x14ac:dyDescent="0.25">
      <c r="A458" s="143"/>
      <c r="B458" s="145"/>
      <c r="C458" s="146"/>
      <c r="D458" s="114"/>
      <c r="E458" s="148"/>
      <c r="F458" s="148"/>
      <c r="G458" s="114"/>
      <c r="H458" s="149"/>
      <c r="I458" s="143"/>
      <c r="J458" s="143"/>
      <c r="K458" s="143"/>
      <c r="L458" s="143"/>
      <c r="M458" s="150"/>
      <c r="N458" s="143"/>
      <c r="O458" s="1"/>
      <c r="P458" s="151"/>
      <c r="Q458" s="143"/>
      <c r="R458" s="143"/>
      <c r="S458" s="143"/>
      <c r="T458" s="143"/>
      <c r="U458" s="143"/>
      <c r="V458" s="143"/>
      <c r="W458" s="143"/>
      <c r="X458" s="143"/>
      <c r="Y458" s="143"/>
      <c r="Z458" s="143"/>
      <c r="AA458" s="143"/>
      <c r="AB458" s="143"/>
      <c r="AC458" s="143"/>
      <c r="AD458" s="143"/>
      <c r="AE458" s="143"/>
      <c r="AF458" s="143"/>
      <c r="AG458" s="143"/>
      <c r="AH458" s="143"/>
      <c r="AI458" s="143"/>
      <c r="AJ458" s="143"/>
    </row>
    <row r="459" spans="1:36" ht="12.75" customHeight="1" x14ac:dyDescent="0.25">
      <c r="A459" s="143"/>
      <c r="B459" s="145"/>
      <c r="C459" s="146"/>
      <c r="D459" s="114"/>
      <c r="E459" s="148"/>
      <c r="F459" s="148"/>
      <c r="G459" s="114"/>
      <c r="H459" s="149"/>
      <c r="I459" s="143"/>
      <c r="J459" s="143"/>
      <c r="K459" s="143"/>
      <c r="L459" s="143"/>
      <c r="M459" s="150"/>
      <c r="N459" s="143"/>
      <c r="O459" s="1"/>
      <c r="P459" s="151"/>
      <c r="Q459" s="143"/>
      <c r="R459" s="143"/>
      <c r="S459" s="143"/>
      <c r="T459" s="143"/>
      <c r="U459" s="143"/>
      <c r="V459" s="143"/>
      <c r="W459" s="143"/>
      <c r="X459" s="143"/>
      <c r="Y459" s="143"/>
      <c r="Z459" s="143"/>
      <c r="AA459" s="143"/>
      <c r="AB459" s="143"/>
      <c r="AC459" s="143"/>
      <c r="AD459" s="143"/>
      <c r="AE459" s="143"/>
      <c r="AF459" s="143"/>
      <c r="AG459" s="143"/>
      <c r="AH459" s="143"/>
      <c r="AI459" s="143"/>
      <c r="AJ459" s="143"/>
    </row>
    <row r="460" spans="1:36" ht="12.75" customHeight="1" x14ac:dyDescent="0.25">
      <c r="A460" s="143"/>
      <c r="B460" s="145"/>
      <c r="C460" s="146"/>
      <c r="D460" s="114"/>
      <c r="E460" s="148"/>
      <c r="F460" s="148"/>
      <c r="G460" s="114"/>
      <c r="H460" s="149"/>
      <c r="I460" s="143"/>
      <c r="J460" s="143"/>
      <c r="K460" s="143"/>
      <c r="L460" s="143"/>
      <c r="M460" s="150"/>
      <c r="N460" s="143"/>
      <c r="O460" s="1"/>
      <c r="P460" s="151"/>
      <c r="Q460" s="143"/>
      <c r="R460" s="143"/>
      <c r="S460" s="143"/>
      <c r="T460" s="143"/>
      <c r="U460" s="143"/>
      <c r="V460" s="143"/>
      <c r="W460" s="143"/>
      <c r="X460" s="143"/>
      <c r="Y460" s="143"/>
      <c r="Z460" s="143"/>
      <c r="AA460" s="143"/>
      <c r="AB460" s="143"/>
      <c r="AC460" s="143"/>
      <c r="AD460" s="143"/>
      <c r="AE460" s="143"/>
      <c r="AF460" s="143"/>
      <c r="AG460" s="143"/>
      <c r="AH460" s="143"/>
      <c r="AI460" s="143"/>
      <c r="AJ460" s="143"/>
    </row>
    <row r="461" spans="1:36" ht="12.75" customHeight="1" x14ac:dyDescent="0.25">
      <c r="A461" s="143"/>
      <c r="B461" s="145"/>
      <c r="C461" s="146"/>
      <c r="D461" s="114"/>
      <c r="E461" s="148"/>
      <c r="F461" s="148"/>
      <c r="G461" s="114"/>
      <c r="H461" s="149"/>
      <c r="I461" s="143"/>
      <c r="J461" s="143"/>
      <c r="K461" s="143"/>
      <c r="L461" s="143"/>
      <c r="M461" s="150"/>
      <c r="N461" s="143"/>
      <c r="O461" s="1"/>
      <c r="P461" s="151"/>
      <c r="Q461" s="143"/>
      <c r="R461" s="143"/>
      <c r="S461" s="143"/>
      <c r="T461" s="143"/>
      <c r="U461" s="143"/>
      <c r="V461" s="143"/>
      <c r="W461" s="143"/>
      <c r="X461" s="143"/>
      <c r="Y461" s="143"/>
      <c r="Z461" s="143"/>
      <c r="AA461" s="143"/>
      <c r="AB461" s="143"/>
      <c r="AC461" s="143"/>
      <c r="AD461" s="143"/>
      <c r="AE461" s="143"/>
      <c r="AF461" s="143"/>
      <c r="AG461" s="143"/>
      <c r="AH461" s="143"/>
      <c r="AI461" s="143"/>
      <c r="AJ461" s="143"/>
    </row>
    <row r="462" spans="1:36" ht="12.75" customHeight="1" x14ac:dyDescent="0.25">
      <c r="A462" s="143"/>
      <c r="B462" s="145"/>
      <c r="C462" s="146"/>
      <c r="D462" s="114"/>
      <c r="E462" s="148"/>
      <c r="F462" s="148"/>
      <c r="G462" s="114"/>
      <c r="H462" s="149"/>
      <c r="I462" s="143"/>
      <c r="J462" s="143"/>
      <c r="K462" s="143"/>
      <c r="L462" s="143"/>
      <c r="M462" s="150"/>
      <c r="N462" s="143"/>
      <c r="O462" s="1"/>
      <c r="P462" s="151"/>
      <c r="Q462" s="143"/>
      <c r="R462" s="143"/>
      <c r="S462" s="143"/>
      <c r="T462" s="143"/>
      <c r="U462" s="143"/>
      <c r="V462" s="143"/>
      <c r="W462" s="143"/>
      <c r="X462" s="143"/>
      <c r="Y462" s="143"/>
      <c r="Z462" s="143"/>
      <c r="AA462" s="143"/>
      <c r="AB462" s="143"/>
      <c r="AC462" s="143"/>
      <c r="AD462" s="143"/>
      <c r="AE462" s="143"/>
      <c r="AF462" s="143"/>
      <c r="AG462" s="143"/>
      <c r="AH462" s="143"/>
      <c r="AI462" s="143"/>
      <c r="AJ462" s="143"/>
    </row>
    <row r="463" spans="1:36" ht="12.75" customHeight="1" x14ac:dyDescent="0.25">
      <c r="A463" s="143"/>
      <c r="B463" s="145"/>
      <c r="C463" s="146"/>
      <c r="D463" s="114"/>
      <c r="E463" s="148"/>
      <c r="F463" s="148"/>
      <c r="G463" s="114"/>
      <c r="H463" s="149"/>
      <c r="I463" s="143"/>
      <c r="J463" s="143"/>
      <c r="K463" s="143"/>
      <c r="L463" s="143"/>
      <c r="M463" s="150"/>
      <c r="N463" s="143"/>
      <c r="O463" s="1"/>
      <c r="P463" s="151"/>
      <c r="Q463" s="143"/>
      <c r="R463" s="143"/>
      <c r="S463" s="143"/>
      <c r="T463" s="143"/>
      <c r="U463" s="143"/>
      <c r="V463" s="143"/>
      <c r="W463" s="143"/>
      <c r="X463" s="143"/>
      <c r="Y463" s="143"/>
      <c r="Z463" s="143"/>
      <c r="AA463" s="143"/>
      <c r="AB463" s="143"/>
      <c r="AC463" s="143"/>
      <c r="AD463" s="143"/>
      <c r="AE463" s="143"/>
      <c r="AF463" s="143"/>
      <c r="AG463" s="143"/>
      <c r="AH463" s="143"/>
      <c r="AI463" s="143"/>
      <c r="AJ463" s="143"/>
    </row>
    <row r="464" spans="1:36" ht="12.75" customHeight="1" x14ac:dyDescent="0.25">
      <c r="A464" s="143"/>
      <c r="B464" s="145"/>
      <c r="C464" s="146"/>
      <c r="D464" s="114"/>
      <c r="E464" s="148"/>
      <c r="F464" s="148"/>
      <c r="G464" s="114"/>
      <c r="H464" s="149"/>
      <c r="I464" s="143"/>
      <c r="J464" s="143"/>
      <c r="K464" s="143"/>
      <c r="L464" s="143"/>
      <c r="M464" s="150"/>
      <c r="N464" s="143"/>
      <c r="O464" s="1"/>
      <c r="P464" s="151"/>
      <c r="Q464" s="143"/>
      <c r="R464" s="143"/>
      <c r="S464" s="143"/>
      <c r="T464" s="143"/>
      <c r="U464" s="143"/>
      <c r="V464" s="143"/>
      <c r="W464" s="143"/>
      <c r="X464" s="143"/>
      <c r="Y464" s="143"/>
      <c r="Z464" s="143"/>
      <c r="AA464" s="143"/>
      <c r="AB464" s="143"/>
      <c r="AC464" s="143"/>
      <c r="AD464" s="143"/>
      <c r="AE464" s="143"/>
      <c r="AF464" s="143"/>
      <c r="AG464" s="143"/>
      <c r="AH464" s="143"/>
      <c r="AI464" s="143"/>
      <c r="AJ464" s="143"/>
    </row>
    <row r="465" spans="1:36" ht="12.75" customHeight="1" x14ac:dyDescent="0.25">
      <c r="A465" s="143"/>
      <c r="B465" s="145"/>
      <c r="C465" s="146"/>
      <c r="D465" s="114"/>
      <c r="E465" s="148"/>
      <c r="F465" s="148"/>
      <c r="G465" s="114"/>
      <c r="H465" s="149"/>
      <c r="I465" s="143"/>
      <c r="J465" s="143"/>
      <c r="K465" s="143"/>
      <c r="L465" s="143"/>
      <c r="M465" s="150"/>
      <c r="N465" s="143"/>
      <c r="O465" s="1"/>
      <c r="P465" s="151"/>
      <c r="Q465" s="143"/>
      <c r="R465" s="143"/>
      <c r="S465" s="143"/>
      <c r="T465" s="143"/>
      <c r="U465" s="143"/>
      <c r="V465" s="143"/>
      <c r="W465" s="143"/>
      <c r="X465" s="143"/>
      <c r="Y465" s="143"/>
      <c r="Z465" s="143"/>
      <c r="AA465" s="143"/>
      <c r="AB465" s="143"/>
      <c r="AC465" s="143"/>
      <c r="AD465" s="143"/>
      <c r="AE465" s="143"/>
      <c r="AF465" s="143"/>
      <c r="AG465" s="143"/>
      <c r="AH465" s="143"/>
      <c r="AI465" s="143"/>
      <c r="AJ465" s="143"/>
    </row>
    <row r="466" spans="1:36" ht="12.75" customHeight="1" x14ac:dyDescent="0.25">
      <c r="A466" s="143"/>
      <c r="B466" s="145"/>
      <c r="C466" s="146"/>
      <c r="D466" s="114"/>
      <c r="E466" s="148"/>
      <c r="F466" s="148"/>
      <c r="G466" s="114"/>
      <c r="H466" s="149"/>
      <c r="I466" s="143"/>
      <c r="J466" s="143"/>
      <c r="K466" s="143"/>
      <c r="L466" s="143"/>
      <c r="M466" s="150"/>
      <c r="N466" s="143"/>
      <c r="O466" s="1"/>
      <c r="P466" s="151"/>
      <c r="Q466" s="143"/>
      <c r="R466" s="143"/>
      <c r="S466" s="143"/>
      <c r="T466" s="143"/>
      <c r="U466" s="143"/>
      <c r="V466" s="143"/>
      <c r="W466" s="143"/>
      <c r="X466" s="143"/>
      <c r="Y466" s="143"/>
      <c r="Z466" s="143"/>
      <c r="AA466" s="143"/>
      <c r="AB466" s="143"/>
      <c r="AC466" s="143"/>
      <c r="AD466" s="143"/>
      <c r="AE466" s="143"/>
      <c r="AF466" s="143"/>
      <c r="AG466" s="143"/>
      <c r="AH466" s="143"/>
      <c r="AI466" s="143"/>
      <c r="AJ466" s="143"/>
    </row>
    <row r="467" spans="1:36" ht="12.75" customHeight="1" x14ac:dyDescent="0.25">
      <c r="A467" s="143"/>
      <c r="B467" s="145"/>
      <c r="C467" s="146"/>
      <c r="D467" s="114"/>
      <c r="E467" s="148"/>
      <c r="F467" s="148"/>
      <c r="G467" s="114"/>
      <c r="H467" s="149"/>
      <c r="I467" s="143"/>
      <c r="J467" s="143"/>
      <c r="K467" s="143"/>
      <c r="L467" s="143"/>
      <c r="M467" s="150"/>
      <c r="N467" s="143"/>
      <c r="O467" s="1"/>
      <c r="P467" s="151"/>
      <c r="Q467" s="143"/>
      <c r="R467" s="143"/>
      <c r="S467" s="143"/>
      <c r="T467" s="143"/>
      <c r="U467" s="143"/>
      <c r="V467" s="143"/>
      <c r="W467" s="143"/>
      <c r="X467" s="143"/>
      <c r="Y467" s="143"/>
      <c r="Z467" s="143"/>
      <c r="AA467" s="143"/>
      <c r="AB467" s="143"/>
      <c r="AC467" s="143"/>
      <c r="AD467" s="143"/>
      <c r="AE467" s="143"/>
      <c r="AF467" s="143"/>
      <c r="AG467" s="143"/>
      <c r="AH467" s="143"/>
      <c r="AI467" s="143"/>
      <c r="AJ467" s="143"/>
    </row>
    <row r="468" spans="1:36" ht="12.75" customHeight="1" x14ac:dyDescent="0.25">
      <c r="A468" s="143"/>
      <c r="B468" s="145"/>
      <c r="C468" s="146"/>
      <c r="D468" s="114"/>
      <c r="E468" s="148"/>
      <c r="F468" s="148"/>
      <c r="G468" s="114"/>
      <c r="H468" s="149"/>
      <c r="I468" s="143"/>
      <c r="J468" s="143"/>
      <c r="K468" s="143"/>
      <c r="L468" s="143"/>
      <c r="M468" s="150"/>
      <c r="N468" s="143"/>
      <c r="O468" s="1"/>
      <c r="P468" s="151"/>
      <c r="Q468" s="143"/>
      <c r="R468" s="143"/>
      <c r="S468" s="143"/>
      <c r="T468" s="143"/>
      <c r="U468" s="143"/>
      <c r="V468" s="143"/>
      <c r="W468" s="143"/>
      <c r="X468" s="143"/>
      <c r="Y468" s="143"/>
      <c r="Z468" s="143"/>
      <c r="AA468" s="143"/>
      <c r="AB468" s="143"/>
      <c r="AC468" s="143"/>
      <c r="AD468" s="143"/>
      <c r="AE468" s="143"/>
      <c r="AF468" s="143"/>
      <c r="AG468" s="143"/>
      <c r="AH468" s="143"/>
      <c r="AI468" s="143"/>
      <c r="AJ468" s="143"/>
    </row>
    <row r="469" spans="1:36" ht="12.75" customHeight="1" x14ac:dyDescent="0.25">
      <c r="A469" s="143"/>
      <c r="B469" s="145"/>
      <c r="C469" s="146"/>
      <c r="D469" s="114"/>
      <c r="E469" s="148"/>
      <c r="F469" s="148"/>
      <c r="G469" s="114"/>
      <c r="H469" s="149"/>
      <c r="I469" s="143"/>
      <c r="J469" s="143"/>
      <c r="K469" s="143"/>
      <c r="L469" s="143"/>
      <c r="M469" s="150"/>
      <c r="N469" s="143"/>
      <c r="O469" s="1"/>
      <c r="P469" s="151"/>
      <c r="Q469" s="143"/>
      <c r="R469" s="143"/>
      <c r="S469" s="143"/>
      <c r="T469" s="143"/>
      <c r="U469" s="143"/>
      <c r="V469" s="143"/>
      <c r="W469" s="143"/>
      <c r="X469" s="143"/>
      <c r="Y469" s="143"/>
      <c r="Z469" s="143"/>
      <c r="AA469" s="143"/>
      <c r="AB469" s="143"/>
      <c r="AC469" s="143"/>
      <c r="AD469" s="143"/>
      <c r="AE469" s="143"/>
      <c r="AF469" s="143"/>
      <c r="AG469" s="143"/>
      <c r="AH469" s="143"/>
      <c r="AI469" s="143"/>
      <c r="AJ469" s="143"/>
    </row>
    <row r="470" spans="1:36" ht="12.75" customHeight="1" x14ac:dyDescent="0.25">
      <c r="A470" s="143"/>
      <c r="B470" s="145"/>
      <c r="C470" s="146"/>
      <c r="D470" s="114"/>
      <c r="E470" s="148"/>
      <c r="F470" s="148"/>
      <c r="G470" s="114"/>
      <c r="H470" s="149"/>
      <c r="I470" s="143"/>
      <c r="J470" s="143"/>
      <c r="K470" s="143"/>
      <c r="L470" s="143"/>
      <c r="M470" s="150"/>
      <c r="N470" s="143"/>
      <c r="O470" s="1"/>
      <c r="P470" s="151"/>
      <c r="Q470" s="143"/>
      <c r="R470" s="143"/>
      <c r="S470" s="143"/>
      <c r="T470" s="143"/>
      <c r="U470" s="143"/>
      <c r="V470" s="143"/>
      <c r="W470" s="143"/>
      <c r="X470" s="143"/>
      <c r="Y470" s="143"/>
      <c r="Z470" s="143"/>
      <c r="AA470" s="143"/>
      <c r="AB470" s="143"/>
      <c r="AC470" s="143"/>
      <c r="AD470" s="143"/>
      <c r="AE470" s="143"/>
      <c r="AF470" s="143"/>
      <c r="AG470" s="143"/>
      <c r="AH470" s="143"/>
      <c r="AI470" s="143"/>
      <c r="AJ470" s="143"/>
    </row>
    <row r="471" spans="1:36" ht="12.75" customHeight="1" x14ac:dyDescent="0.25">
      <c r="A471" s="143"/>
      <c r="B471" s="145"/>
      <c r="C471" s="146"/>
      <c r="D471" s="114"/>
      <c r="E471" s="148"/>
      <c r="F471" s="148"/>
      <c r="G471" s="114"/>
      <c r="H471" s="149"/>
      <c r="I471" s="143"/>
      <c r="J471" s="143"/>
      <c r="K471" s="143"/>
      <c r="L471" s="143"/>
      <c r="M471" s="150"/>
      <c r="N471" s="143"/>
      <c r="O471" s="1"/>
      <c r="P471" s="151"/>
      <c r="Q471" s="143"/>
      <c r="R471" s="143"/>
      <c r="S471" s="143"/>
      <c r="T471" s="143"/>
      <c r="U471" s="143"/>
      <c r="V471" s="143"/>
      <c r="W471" s="143"/>
      <c r="X471" s="143"/>
      <c r="Y471" s="143"/>
      <c r="Z471" s="143"/>
      <c r="AA471" s="143"/>
      <c r="AB471" s="143"/>
      <c r="AC471" s="143"/>
      <c r="AD471" s="143"/>
      <c r="AE471" s="143"/>
      <c r="AF471" s="143"/>
      <c r="AG471" s="143"/>
      <c r="AH471" s="143"/>
      <c r="AI471" s="143"/>
      <c r="AJ471" s="143"/>
    </row>
    <row r="472" spans="1:36" ht="12.75" customHeight="1" x14ac:dyDescent="0.25">
      <c r="A472" s="143"/>
      <c r="B472" s="145"/>
      <c r="C472" s="146"/>
      <c r="D472" s="114"/>
      <c r="E472" s="148"/>
      <c r="F472" s="148"/>
      <c r="G472" s="114"/>
      <c r="H472" s="149"/>
      <c r="I472" s="143"/>
      <c r="J472" s="143"/>
      <c r="K472" s="143"/>
      <c r="L472" s="143"/>
      <c r="M472" s="150"/>
      <c r="N472" s="143"/>
      <c r="O472" s="1"/>
      <c r="P472" s="151"/>
      <c r="Q472" s="143"/>
      <c r="R472" s="143"/>
      <c r="S472" s="143"/>
      <c r="T472" s="143"/>
      <c r="U472" s="143"/>
      <c r="V472" s="143"/>
      <c r="W472" s="143"/>
      <c r="X472" s="143"/>
      <c r="Y472" s="143"/>
      <c r="Z472" s="143"/>
      <c r="AA472" s="143"/>
      <c r="AB472" s="143"/>
      <c r="AC472" s="143"/>
      <c r="AD472" s="143"/>
      <c r="AE472" s="143"/>
      <c r="AF472" s="143"/>
      <c r="AG472" s="143"/>
      <c r="AH472" s="143"/>
      <c r="AI472" s="143"/>
      <c r="AJ472" s="143"/>
    </row>
    <row r="473" spans="1:36" ht="12.75" customHeight="1" x14ac:dyDescent="0.25">
      <c r="A473" s="143"/>
      <c r="B473" s="145"/>
      <c r="C473" s="146"/>
      <c r="D473" s="114"/>
      <c r="E473" s="148"/>
      <c r="F473" s="148"/>
      <c r="G473" s="114"/>
      <c r="H473" s="149"/>
      <c r="I473" s="143"/>
      <c r="J473" s="143"/>
      <c r="K473" s="143"/>
      <c r="L473" s="143"/>
      <c r="M473" s="150"/>
      <c r="N473" s="143"/>
      <c r="O473" s="1"/>
      <c r="P473" s="151"/>
      <c r="Q473" s="143"/>
      <c r="R473" s="143"/>
      <c r="S473" s="143"/>
      <c r="T473" s="143"/>
      <c r="U473" s="143"/>
      <c r="V473" s="143"/>
      <c r="W473" s="143"/>
      <c r="X473" s="143"/>
      <c r="Y473" s="143"/>
      <c r="Z473" s="143"/>
      <c r="AA473" s="143"/>
      <c r="AB473" s="143"/>
      <c r="AC473" s="143"/>
      <c r="AD473" s="143"/>
      <c r="AE473" s="143"/>
      <c r="AF473" s="143"/>
      <c r="AG473" s="143"/>
      <c r="AH473" s="143"/>
      <c r="AI473" s="143"/>
      <c r="AJ473" s="143"/>
    </row>
    <row r="474" spans="1:36" ht="12.75" customHeight="1" x14ac:dyDescent="0.25">
      <c r="A474" s="143"/>
      <c r="B474" s="145"/>
      <c r="C474" s="146"/>
      <c r="D474" s="114"/>
      <c r="E474" s="148"/>
      <c r="F474" s="148"/>
      <c r="G474" s="114"/>
      <c r="H474" s="149"/>
      <c r="I474" s="143"/>
      <c r="J474" s="143"/>
      <c r="K474" s="143"/>
      <c r="L474" s="143"/>
      <c r="M474" s="150"/>
      <c r="N474" s="143"/>
      <c r="O474" s="1"/>
      <c r="P474" s="151"/>
      <c r="Q474" s="143"/>
      <c r="R474" s="143"/>
      <c r="S474" s="143"/>
      <c r="T474" s="143"/>
      <c r="U474" s="143"/>
      <c r="V474" s="143"/>
      <c r="W474" s="143"/>
      <c r="X474" s="143"/>
      <c r="Y474" s="143"/>
      <c r="Z474" s="143"/>
      <c r="AA474" s="143"/>
      <c r="AB474" s="143"/>
      <c r="AC474" s="143"/>
      <c r="AD474" s="143"/>
      <c r="AE474" s="143"/>
      <c r="AF474" s="143"/>
      <c r="AG474" s="143"/>
      <c r="AH474" s="143"/>
      <c r="AI474" s="143"/>
      <c r="AJ474" s="143"/>
    </row>
    <row r="475" spans="1:36" ht="12.75" customHeight="1" x14ac:dyDescent="0.25">
      <c r="A475" s="143"/>
      <c r="B475" s="145"/>
      <c r="C475" s="146"/>
      <c r="D475" s="114"/>
      <c r="E475" s="148"/>
      <c r="F475" s="148"/>
      <c r="G475" s="114"/>
      <c r="H475" s="149"/>
      <c r="I475" s="143"/>
      <c r="J475" s="143"/>
      <c r="K475" s="143"/>
      <c r="L475" s="143"/>
      <c r="M475" s="150"/>
      <c r="N475" s="143"/>
      <c r="O475" s="1"/>
      <c r="P475" s="151"/>
      <c r="Q475" s="143"/>
      <c r="R475" s="143"/>
      <c r="S475" s="143"/>
      <c r="T475" s="143"/>
      <c r="U475" s="143"/>
      <c r="V475" s="143"/>
      <c r="W475" s="143"/>
      <c r="X475" s="143"/>
      <c r="Y475" s="143"/>
      <c r="Z475" s="143"/>
      <c r="AA475" s="143"/>
      <c r="AB475" s="143"/>
      <c r="AC475" s="143"/>
      <c r="AD475" s="143"/>
      <c r="AE475" s="143"/>
      <c r="AF475" s="143"/>
      <c r="AG475" s="143"/>
      <c r="AH475" s="143"/>
      <c r="AI475" s="143"/>
      <c r="AJ475" s="143"/>
    </row>
    <row r="476" spans="1:36" ht="12.75" customHeight="1" x14ac:dyDescent="0.25">
      <c r="A476" s="143"/>
      <c r="B476" s="145"/>
      <c r="C476" s="146"/>
      <c r="D476" s="114"/>
      <c r="E476" s="148"/>
      <c r="F476" s="148"/>
      <c r="G476" s="114"/>
      <c r="H476" s="149"/>
      <c r="I476" s="143"/>
      <c r="J476" s="143"/>
      <c r="K476" s="143"/>
      <c r="L476" s="143"/>
      <c r="M476" s="150"/>
      <c r="N476" s="143"/>
      <c r="O476" s="1"/>
      <c r="P476" s="151"/>
      <c r="Q476" s="143"/>
      <c r="R476" s="143"/>
      <c r="S476" s="143"/>
      <c r="T476" s="143"/>
      <c r="U476" s="143"/>
      <c r="V476" s="143"/>
      <c r="W476" s="143"/>
      <c r="X476" s="143"/>
      <c r="Y476" s="143"/>
      <c r="Z476" s="143"/>
      <c r="AA476" s="143"/>
      <c r="AB476" s="143"/>
      <c r="AC476" s="143"/>
      <c r="AD476" s="143"/>
      <c r="AE476" s="143"/>
      <c r="AF476" s="143"/>
      <c r="AG476" s="143"/>
      <c r="AH476" s="143"/>
      <c r="AI476" s="143"/>
      <c r="AJ476" s="143"/>
    </row>
    <row r="477" spans="1:36" ht="12.75" customHeight="1" x14ac:dyDescent="0.25">
      <c r="A477" s="143"/>
      <c r="B477" s="145"/>
      <c r="C477" s="146"/>
      <c r="D477" s="114"/>
      <c r="E477" s="148"/>
      <c r="F477" s="148"/>
      <c r="G477" s="114"/>
      <c r="H477" s="149"/>
      <c r="I477" s="143"/>
      <c r="J477" s="143"/>
      <c r="K477" s="143"/>
      <c r="L477" s="143"/>
      <c r="M477" s="150"/>
      <c r="N477" s="143"/>
      <c r="O477" s="1"/>
      <c r="P477" s="151"/>
      <c r="Q477" s="143"/>
      <c r="R477" s="143"/>
      <c r="S477" s="143"/>
      <c r="T477" s="143"/>
      <c r="U477" s="143"/>
      <c r="V477" s="143"/>
      <c r="W477" s="143"/>
      <c r="X477" s="143"/>
      <c r="Y477" s="143"/>
      <c r="Z477" s="143"/>
      <c r="AA477" s="143"/>
      <c r="AB477" s="143"/>
      <c r="AC477" s="143"/>
      <c r="AD477" s="143"/>
      <c r="AE477" s="143"/>
      <c r="AF477" s="143"/>
      <c r="AG477" s="143"/>
      <c r="AH477" s="143"/>
      <c r="AI477" s="143"/>
      <c r="AJ477" s="143"/>
    </row>
    <row r="478" spans="1:36" ht="12.75" customHeight="1" x14ac:dyDescent="0.25">
      <c r="A478" s="143"/>
      <c r="B478" s="145"/>
      <c r="C478" s="146"/>
      <c r="D478" s="114"/>
      <c r="E478" s="148"/>
      <c r="F478" s="148"/>
      <c r="G478" s="114"/>
      <c r="H478" s="149"/>
      <c r="I478" s="143"/>
      <c r="J478" s="143"/>
      <c r="K478" s="143"/>
      <c r="L478" s="143"/>
      <c r="M478" s="150"/>
      <c r="N478" s="143"/>
      <c r="O478" s="1"/>
      <c r="P478" s="151"/>
      <c r="Q478" s="143"/>
      <c r="R478" s="143"/>
      <c r="S478" s="143"/>
      <c r="T478" s="143"/>
      <c r="U478" s="143"/>
      <c r="V478" s="143"/>
      <c r="W478" s="143"/>
      <c r="X478" s="143"/>
      <c r="Y478" s="143"/>
      <c r="Z478" s="143"/>
      <c r="AA478" s="143"/>
      <c r="AB478" s="143"/>
      <c r="AC478" s="143"/>
      <c r="AD478" s="143"/>
      <c r="AE478" s="143"/>
      <c r="AF478" s="143"/>
      <c r="AG478" s="143"/>
      <c r="AH478" s="143"/>
      <c r="AI478" s="143"/>
      <c r="AJ478" s="143"/>
    </row>
    <row r="479" spans="1:36" ht="12.75" customHeight="1" x14ac:dyDescent="0.25">
      <c r="A479" s="143"/>
      <c r="B479" s="145"/>
      <c r="C479" s="146"/>
      <c r="D479" s="114"/>
      <c r="E479" s="148"/>
      <c r="F479" s="148"/>
      <c r="G479" s="114"/>
      <c r="H479" s="149"/>
      <c r="I479" s="143"/>
      <c r="J479" s="143"/>
      <c r="K479" s="143"/>
      <c r="L479" s="143"/>
      <c r="M479" s="150"/>
      <c r="N479" s="143"/>
      <c r="O479" s="1"/>
      <c r="P479" s="151"/>
      <c r="Q479" s="143"/>
      <c r="R479" s="143"/>
      <c r="S479" s="143"/>
      <c r="T479" s="143"/>
      <c r="U479" s="143"/>
      <c r="V479" s="143"/>
      <c r="W479" s="143"/>
      <c r="X479" s="143"/>
      <c r="Y479" s="143"/>
      <c r="Z479" s="143"/>
      <c r="AA479" s="143"/>
      <c r="AB479" s="143"/>
      <c r="AC479" s="143"/>
      <c r="AD479" s="143"/>
      <c r="AE479" s="143"/>
      <c r="AF479" s="143"/>
      <c r="AG479" s="143"/>
      <c r="AH479" s="143"/>
      <c r="AI479" s="143"/>
      <c r="AJ479" s="143"/>
    </row>
    <row r="480" spans="1:36" ht="12.75" customHeight="1" x14ac:dyDescent="0.25">
      <c r="A480" s="143"/>
      <c r="B480" s="145"/>
      <c r="C480" s="146"/>
      <c r="D480" s="114"/>
      <c r="E480" s="148"/>
      <c r="F480" s="148"/>
      <c r="G480" s="114"/>
      <c r="H480" s="149"/>
      <c r="I480" s="143"/>
      <c r="J480" s="143"/>
      <c r="K480" s="143"/>
      <c r="L480" s="143"/>
      <c r="M480" s="150"/>
      <c r="N480" s="143"/>
      <c r="O480" s="1"/>
      <c r="P480" s="151"/>
      <c r="Q480" s="143"/>
      <c r="R480" s="143"/>
      <c r="S480" s="143"/>
      <c r="T480" s="143"/>
      <c r="U480" s="143"/>
      <c r="V480" s="143"/>
      <c r="W480" s="143"/>
      <c r="X480" s="143"/>
      <c r="Y480" s="143"/>
      <c r="Z480" s="143"/>
      <c r="AA480" s="143"/>
      <c r="AB480" s="143"/>
      <c r="AC480" s="143"/>
      <c r="AD480" s="143"/>
      <c r="AE480" s="143"/>
      <c r="AF480" s="143"/>
      <c r="AG480" s="143"/>
      <c r="AH480" s="143"/>
      <c r="AI480" s="143"/>
      <c r="AJ480" s="143"/>
    </row>
    <row r="481" spans="1:36" ht="12.75" customHeight="1" x14ac:dyDescent="0.25">
      <c r="A481" s="143"/>
      <c r="B481" s="145"/>
      <c r="C481" s="146"/>
      <c r="D481" s="114"/>
      <c r="E481" s="148"/>
      <c r="F481" s="148"/>
      <c r="G481" s="114"/>
      <c r="H481" s="149"/>
      <c r="I481" s="143"/>
      <c r="J481" s="143"/>
      <c r="K481" s="143"/>
      <c r="L481" s="143"/>
      <c r="M481" s="150"/>
      <c r="N481" s="143"/>
      <c r="O481" s="1"/>
      <c r="P481" s="151"/>
      <c r="Q481" s="143"/>
      <c r="R481" s="143"/>
      <c r="S481" s="143"/>
      <c r="T481" s="143"/>
      <c r="U481" s="143"/>
      <c r="V481" s="143"/>
      <c r="W481" s="143"/>
      <c r="X481" s="143"/>
      <c r="Y481" s="143"/>
      <c r="Z481" s="143"/>
      <c r="AA481" s="143"/>
      <c r="AB481" s="143"/>
      <c r="AC481" s="143"/>
      <c r="AD481" s="143"/>
      <c r="AE481" s="143"/>
      <c r="AF481" s="143"/>
      <c r="AG481" s="143"/>
      <c r="AH481" s="143"/>
      <c r="AI481" s="143"/>
      <c r="AJ481" s="143"/>
    </row>
    <row r="482" spans="1:36" ht="12.75" customHeight="1" x14ac:dyDescent="0.25">
      <c r="A482" s="143"/>
      <c r="B482" s="145"/>
      <c r="C482" s="146"/>
      <c r="D482" s="114"/>
      <c r="E482" s="148"/>
      <c r="F482" s="148"/>
      <c r="G482" s="114"/>
      <c r="H482" s="149"/>
      <c r="I482" s="143"/>
      <c r="J482" s="143"/>
      <c r="K482" s="143"/>
      <c r="L482" s="143"/>
      <c r="M482" s="150"/>
      <c r="N482" s="143"/>
      <c r="O482" s="1"/>
      <c r="P482" s="151"/>
      <c r="Q482" s="143"/>
      <c r="R482" s="143"/>
      <c r="S482" s="143"/>
      <c r="T482" s="143"/>
      <c r="U482" s="143"/>
      <c r="V482" s="143"/>
      <c r="W482" s="143"/>
      <c r="X482" s="143"/>
      <c r="Y482" s="143"/>
      <c r="Z482" s="143"/>
      <c r="AA482" s="143"/>
      <c r="AB482" s="143"/>
      <c r="AC482" s="143"/>
      <c r="AD482" s="143"/>
      <c r="AE482" s="143"/>
      <c r="AF482" s="143"/>
      <c r="AG482" s="143"/>
      <c r="AH482" s="143"/>
      <c r="AI482" s="143"/>
      <c r="AJ482" s="143"/>
    </row>
    <row r="483" spans="1:36" ht="12.75" customHeight="1" x14ac:dyDescent="0.25">
      <c r="A483" s="143"/>
      <c r="B483" s="145"/>
      <c r="C483" s="146"/>
      <c r="D483" s="114"/>
      <c r="E483" s="148"/>
      <c r="F483" s="148"/>
      <c r="G483" s="114"/>
      <c r="H483" s="149"/>
      <c r="I483" s="143"/>
      <c r="J483" s="143"/>
      <c r="K483" s="143"/>
      <c r="L483" s="143"/>
      <c r="M483" s="150"/>
      <c r="N483" s="143"/>
      <c r="O483" s="1"/>
      <c r="P483" s="151"/>
      <c r="Q483" s="143"/>
      <c r="R483" s="143"/>
      <c r="S483" s="143"/>
      <c r="T483" s="143"/>
      <c r="U483" s="143"/>
      <c r="V483" s="143"/>
      <c r="W483" s="143"/>
      <c r="X483" s="143"/>
      <c r="Y483" s="143"/>
      <c r="Z483" s="143"/>
      <c r="AA483" s="143"/>
      <c r="AB483" s="143"/>
      <c r="AC483" s="143"/>
      <c r="AD483" s="143"/>
      <c r="AE483" s="143"/>
      <c r="AF483" s="143"/>
      <c r="AG483" s="143"/>
      <c r="AH483" s="143"/>
      <c r="AI483" s="143"/>
      <c r="AJ483" s="143"/>
    </row>
    <row r="484" spans="1:36" ht="12.75" customHeight="1" x14ac:dyDescent="0.25">
      <c r="A484" s="143"/>
      <c r="B484" s="145"/>
      <c r="C484" s="146"/>
      <c r="D484" s="114"/>
      <c r="E484" s="148"/>
      <c r="F484" s="148"/>
      <c r="G484" s="114"/>
      <c r="H484" s="149"/>
      <c r="I484" s="143"/>
      <c r="J484" s="143"/>
      <c r="K484" s="143"/>
      <c r="L484" s="143"/>
      <c r="M484" s="150"/>
      <c r="N484" s="143"/>
      <c r="O484" s="1"/>
      <c r="P484" s="151"/>
      <c r="Q484" s="143"/>
      <c r="R484" s="143"/>
      <c r="S484" s="143"/>
      <c r="T484" s="143"/>
      <c r="U484" s="143"/>
      <c r="V484" s="143"/>
      <c r="W484" s="143"/>
      <c r="X484" s="143"/>
      <c r="Y484" s="143"/>
      <c r="Z484" s="143"/>
      <c r="AA484" s="143"/>
      <c r="AB484" s="143"/>
      <c r="AC484" s="143"/>
      <c r="AD484" s="143"/>
      <c r="AE484" s="143"/>
      <c r="AF484" s="143"/>
      <c r="AG484" s="143"/>
      <c r="AH484" s="143"/>
      <c r="AI484" s="143"/>
      <c r="AJ484" s="143"/>
    </row>
    <row r="485" spans="1:36" ht="12.75" customHeight="1" x14ac:dyDescent="0.25">
      <c r="A485" s="143"/>
      <c r="B485" s="145"/>
      <c r="C485" s="146"/>
      <c r="D485" s="114"/>
      <c r="E485" s="148"/>
      <c r="F485" s="148"/>
      <c r="G485" s="114"/>
      <c r="H485" s="149"/>
      <c r="I485" s="143"/>
      <c r="J485" s="143"/>
      <c r="K485" s="143"/>
      <c r="L485" s="143"/>
      <c r="M485" s="150"/>
      <c r="N485" s="143"/>
      <c r="O485" s="1"/>
      <c r="P485" s="151"/>
      <c r="Q485" s="143"/>
      <c r="R485" s="143"/>
      <c r="S485" s="143"/>
      <c r="T485" s="143"/>
      <c r="U485" s="143"/>
      <c r="V485" s="143"/>
      <c r="W485" s="143"/>
      <c r="X485" s="143"/>
      <c r="Y485" s="143"/>
      <c r="Z485" s="143"/>
      <c r="AA485" s="143"/>
      <c r="AB485" s="143"/>
      <c r="AC485" s="143"/>
      <c r="AD485" s="143"/>
      <c r="AE485" s="143"/>
      <c r="AF485" s="143"/>
      <c r="AG485" s="143"/>
      <c r="AH485" s="143"/>
      <c r="AI485" s="143"/>
      <c r="AJ485" s="143"/>
    </row>
    <row r="486" spans="1:36" ht="12.75" customHeight="1" x14ac:dyDescent="0.25">
      <c r="A486" s="143"/>
      <c r="B486" s="145"/>
      <c r="C486" s="146"/>
      <c r="D486" s="114"/>
      <c r="E486" s="148"/>
      <c r="F486" s="148"/>
      <c r="G486" s="114"/>
      <c r="H486" s="149"/>
      <c r="I486" s="143"/>
      <c r="J486" s="143"/>
      <c r="K486" s="143"/>
      <c r="L486" s="143"/>
      <c r="M486" s="150"/>
      <c r="N486" s="143"/>
      <c r="O486" s="1"/>
      <c r="P486" s="151"/>
      <c r="Q486" s="143"/>
      <c r="R486" s="143"/>
      <c r="S486" s="143"/>
      <c r="T486" s="143"/>
      <c r="U486" s="143"/>
      <c r="V486" s="143"/>
      <c r="W486" s="143"/>
      <c r="X486" s="143"/>
      <c r="Y486" s="143"/>
      <c r="Z486" s="143"/>
      <c r="AA486" s="143"/>
      <c r="AB486" s="143"/>
      <c r="AC486" s="143"/>
      <c r="AD486" s="143"/>
      <c r="AE486" s="143"/>
      <c r="AF486" s="143"/>
      <c r="AG486" s="143"/>
      <c r="AH486" s="143"/>
      <c r="AI486" s="143"/>
      <c r="AJ486" s="143"/>
    </row>
    <row r="487" spans="1:36" ht="12.75" customHeight="1" x14ac:dyDescent="0.25">
      <c r="A487" s="143"/>
      <c r="B487" s="145"/>
      <c r="C487" s="146"/>
      <c r="D487" s="114"/>
      <c r="E487" s="148"/>
      <c r="F487" s="148"/>
      <c r="G487" s="114"/>
      <c r="H487" s="149"/>
      <c r="I487" s="143"/>
      <c r="J487" s="143"/>
      <c r="K487" s="143"/>
      <c r="L487" s="143"/>
      <c r="M487" s="150"/>
      <c r="N487" s="143"/>
      <c r="O487" s="1"/>
      <c r="P487" s="151"/>
      <c r="Q487" s="143"/>
      <c r="R487" s="143"/>
      <c r="S487" s="143"/>
      <c r="T487" s="143"/>
      <c r="U487" s="143"/>
      <c r="V487" s="143"/>
      <c r="W487" s="143"/>
      <c r="X487" s="143"/>
      <c r="Y487" s="143"/>
      <c r="Z487" s="143"/>
      <c r="AA487" s="143"/>
      <c r="AB487" s="143"/>
      <c r="AC487" s="143"/>
      <c r="AD487" s="143"/>
      <c r="AE487" s="143"/>
      <c r="AF487" s="143"/>
      <c r="AG487" s="143"/>
      <c r="AH487" s="143"/>
      <c r="AI487" s="143"/>
      <c r="AJ487" s="143"/>
    </row>
    <row r="488" spans="1:36" ht="12.75" customHeight="1" x14ac:dyDescent="0.25">
      <c r="A488" s="143"/>
      <c r="B488" s="145"/>
      <c r="C488" s="146"/>
      <c r="D488" s="114"/>
      <c r="E488" s="148"/>
      <c r="F488" s="148"/>
      <c r="G488" s="114"/>
      <c r="H488" s="149"/>
      <c r="I488" s="143"/>
      <c r="J488" s="143"/>
      <c r="K488" s="143"/>
      <c r="L488" s="143"/>
      <c r="M488" s="150"/>
      <c r="N488" s="143"/>
      <c r="O488" s="1"/>
      <c r="P488" s="151"/>
      <c r="Q488" s="143"/>
      <c r="R488" s="143"/>
      <c r="S488" s="143"/>
      <c r="T488" s="143"/>
      <c r="U488" s="143"/>
      <c r="V488" s="143"/>
      <c r="W488" s="143"/>
      <c r="X488" s="143"/>
      <c r="Y488" s="143"/>
      <c r="Z488" s="143"/>
      <c r="AA488" s="143"/>
      <c r="AB488" s="143"/>
      <c r="AC488" s="143"/>
      <c r="AD488" s="143"/>
      <c r="AE488" s="143"/>
      <c r="AF488" s="143"/>
      <c r="AG488" s="143"/>
      <c r="AH488" s="143"/>
      <c r="AI488" s="143"/>
      <c r="AJ488" s="143"/>
    </row>
    <row r="489" spans="1:36" ht="12.75" customHeight="1" x14ac:dyDescent="0.25">
      <c r="A489" s="143"/>
      <c r="B489" s="145"/>
      <c r="C489" s="146"/>
      <c r="D489" s="114"/>
      <c r="E489" s="148"/>
      <c r="F489" s="148"/>
      <c r="G489" s="114"/>
      <c r="H489" s="149"/>
      <c r="I489" s="143"/>
      <c r="J489" s="143"/>
      <c r="K489" s="143"/>
      <c r="L489" s="143"/>
      <c r="M489" s="150"/>
      <c r="N489" s="143"/>
      <c r="O489" s="1"/>
      <c r="P489" s="151"/>
      <c r="Q489" s="143"/>
      <c r="R489" s="143"/>
      <c r="S489" s="143"/>
      <c r="T489" s="143"/>
      <c r="U489" s="143"/>
      <c r="V489" s="143"/>
      <c r="W489" s="143"/>
      <c r="X489" s="143"/>
      <c r="Y489" s="143"/>
      <c r="Z489" s="143"/>
      <c r="AA489" s="143"/>
      <c r="AB489" s="143"/>
      <c r="AC489" s="143"/>
      <c r="AD489" s="143"/>
      <c r="AE489" s="143"/>
      <c r="AF489" s="143"/>
      <c r="AG489" s="143"/>
      <c r="AH489" s="143"/>
      <c r="AI489" s="143"/>
      <c r="AJ489" s="143"/>
    </row>
    <row r="490" spans="1:36" ht="12.75" customHeight="1" x14ac:dyDescent="0.25">
      <c r="A490" s="143"/>
      <c r="B490" s="145"/>
      <c r="C490" s="146"/>
      <c r="D490" s="114"/>
      <c r="E490" s="148"/>
      <c r="F490" s="148"/>
      <c r="G490" s="114"/>
      <c r="H490" s="149"/>
      <c r="I490" s="143"/>
      <c r="J490" s="143"/>
      <c r="K490" s="143"/>
      <c r="L490" s="143"/>
      <c r="M490" s="150"/>
      <c r="N490" s="143"/>
      <c r="O490" s="1"/>
      <c r="P490" s="151"/>
      <c r="Q490" s="143"/>
      <c r="R490" s="143"/>
      <c r="S490" s="143"/>
      <c r="T490" s="143"/>
      <c r="U490" s="143"/>
      <c r="V490" s="143"/>
      <c r="W490" s="143"/>
      <c r="X490" s="143"/>
      <c r="Y490" s="143"/>
      <c r="Z490" s="143"/>
      <c r="AA490" s="143"/>
      <c r="AB490" s="143"/>
      <c r="AC490" s="143"/>
      <c r="AD490" s="143"/>
      <c r="AE490" s="143"/>
      <c r="AF490" s="143"/>
      <c r="AG490" s="143"/>
      <c r="AH490" s="143"/>
      <c r="AI490" s="143"/>
      <c r="AJ490" s="143"/>
    </row>
    <row r="491" spans="1:36" ht="12.75" customHeight="1" x14ac:dyDescent="0.25">
      <c r="A491" s="143"/>
      <c r="B491" s="145"/>
      <c r="C491" s="146"/>
      <c r="D491" s="114"/>
      <c r="E491" s="148"/>
      <c r="F491" s="148"/>
      <c r="G491" s="114"/>
      <c r="H491" s="149"/>
      <c r="I491" s="143"/>
      <c r="J491" s="143"/>
      <c r="K491" s="143"/>
      <c r="L491" s="143"/>
      <c r="M491" s="150"/>
      <c r="N491" s="143"/>
      <c r="O491" s="1"/>
      <c r="P491" s="151"/>
      <c r="Q491" s="143"/>
      <c r="R491" s="143"/>
      <c r="S491" s="143"/>
      <c r="T491" s="143"/>
      <c r="U491" s="143"/>
      <c r="V491" s="143"/>
      <c r="W491" s="143"/>
      <c r="X491" s="143"/>
      <c r="Y491" s="143"/>
      <c r="Z491" s="143"/>
      <c r="AA491" s="143"/>
      <c r="AB491" s="143"/>
      <c r="AC491" s="143"/>
      <c r="AD491" s="143"/>
      <c r="AE491" s="143"/>
      <c r="AF491" s="143"/>
      <c r="AG491" s="143"/>
      <c r="AH491" s="143"/>
      <c r="AI491" s="143"/>
      <c r="AJ491" s="143"/>
    </row>
    <row r="492" spans="1:36" ht="12.75" customHeight="1" x14ac:dyDescent="0.25">
      <c r="A492" s="143"/>
      <c r="B492" s="145"/>
      <c r="C492" s="146"/>
      <c r="D492" s="114"/>
      <c r="E492" s="148"/>
      <c r="F492" s="148"/>
      <c r="G492" s="114"/>
      <c r="H492" s="149"/>
      <c r="I492" s="143"/>
      <c r="J492" s="143"/>
      <c r="K492" s="143"/>
      <c r="L492" s="143"/>
      <c r="M492" s="150"/>
      <c r="N492" s="143"/>
      <c r="O492" s="1"/>
      <c r="P492" s="151"/>
      <c r="Q492" s="143"/>
      <c r="R492" s="143"/>
      <c r="S492" s="143"/>
      <c r="T492" s="143"/>
      <c r="U492" s="143"/>
      <c r="V492" s="143"/>
      <c r="W492" s="143"/>
      <c r="X492" s="143"/>
      <c r="Y492" s="143"/>
      <c r="Z492" s="143"/>
      <c r="AA492" s="143"/>
      <c r="AB492" s="143"/>
      <c r="AC492" s="143"/>
      <c r="AD492" s="143"/>
      <c r="AE492" s="143"/>
      <c r="AF492" s="143"/>
      <c r="AG492" s="143"/>
      <c r="AH492" s="143"/>
      <c r="AI492" s="143"/>
      <c r="AJ492" s="143"/>
    </row>
    <row r="493" spans="1:36" ht="12.75" customHeight="1" x14ac:dyDescent="0.25">
      <c r="A493" s="143"/>
      <c r="B493" s="145"/>
      <c r="C493" s="146"/>
      <c r="D493" s="114"/>
      <c r="E493" s="148"/>
      <c r="F493" s="148"/>
      <c r="G493" s="114"/>
      <c r="H493" s="149"/>
      <c r="I493" s="143"/>
      <c r="J493" s="143"/>
      <c r="K493" s="143"/>
      <c r="L493" s="143"/>
      <c r="M493" s="150"/>
      <c r="N493" s="143"/>
      <c r="O493" s="1"/>
      <c r="P493" s="151"/>
      <c r="Q493" s="143"/>
      <c r="R493" s="143"/>
      <c r="S493" s="143"/>
      <c r="T493" s="143"/>
      <c r="U493" s="143"/>
      <c r="V493" s="143"/>
      <c r="W493" s="143"/>
      <c r="X493" s="143"/>
      <c r="Y493" s="143"/>
      <c r="Z493" s="143"/>
      <c r="AA493" s="143"/>
      <c r="AB493" s="143"/>
      <c r="AC493" s="143"/>
      <c r="AD493" s="143"/>
      <c r="AE493" s="143"/>
      <c r="AF493" s="143"/>
      <c r="AG493" s="143"/>
      <c r="AH493" s="143"/>
      <c r="AI493" s="143"/>
      <c r="AJ493" s="143"/>
    </row>
    <row r="494" spans="1:36" ht="12.75" customHeight="1" x14ac:dyDescent="0.25">
      <c r="A494" s="143"/>
      <c r="B494" s="145"/>
      <c r="C494" s="146"/>
      <c r="D494" s="114"/>
      <c r="E494" s="148"/>
      <c r="F494" s="148"/>
      <c r="G494" s="114"/>
      <c r="H494" s="149"/>
      <c r="I494" s="143"/>
      <c r="J494" s="143"/>
      <c r="K494" s="143"/>
      <c r="L494" s="143"/>
      <c r="M494" s="150"/>
      <c r="N494" s="143"/>
      <c r="O494" s="1"/>
      <c r="P494" s="151"/>
      <c r="Q494" s="143"/>
      <c r="R494" s="143"/>
      <c r="S494" s="143"/>
      <c r="T494" s="143"/>
      <c r="U494" s="143"/>
      <c r="V494" s="143"/>
      <c r="W494" s="143"/>
      <c r="X494" s="143"/>
      <c r="Y494" s="143"/>
      <c r="Z494" s="143"/>
      <c r="AA494" s="143"/>
      <c r="AB494" s="143"/>
      <c r="AC494" s="143"/>
      <c r="AD494" s="143"/>
      <c r="AE494" s="143"/>
      <c r="AF494" s="143"/>
      <c r="AG494" s="143"/>
      <c r="AH494" s="143"/>
      <c r="AI494" s="143"/>
      <c r="AJ494" s="143"/>
    </row>
    <row r="495" spans="1:36" ht="12.75" customHeight="1" x14ac:dyDescent="0.25">
      <c r="A495" s="143"/>
      <c r="B495" s="145"/>
      <c r="C495" s="146"/>
      <c r="D495" s="114"/>
      <c r="E495" s="148"/>
      <c r="F495" s="148"/>
      <c r="G495" s="114"/>
      <c r="H495" s="149"/>
      <c r="I495" s="143"/>
      <c r="J495" s="143"/>
      <c r="K495" s="143"/>
      <c r="L495" s="143"/>
      <c r="M495" s="150"/>
      <c r="N495" s="143"/>
      <c r="O495" s="1"/>
      <c r="P495" s="151"/>
      <c r="Q495" s="143"/>
      <c r="R495" s="143"/>
      <c r="S495" s="143"/>
      <c r="T495" s="143"/>
      <c r="U495" s="143"/>
      <c r="V495" s="143"/>
      <c r="W495" s="143"/>
      <c r="X495" s="143"/>
      <c r="Y495" s="143"/>
      <c r="Z495" s="143"/>
      <c r="AA495" s="143"/>
      <c r="AB495" s="143"/>
      <c r="AC495" s="143"/>
      <c r="AD495" s="143"/>
      <c r="AE495" s="143"/>
      <c r="AF495" s="143"/>
      <c r="AG495" s="143"/>
      <c r="AH495" s="143"/>
      <c r="AI495" s="143"/>
      <c r="AJ495" s="143"/>
    </row>
    <row r="496" spans="1:36" ht="12.75" customHeight="1" x14ac:dyDescent="0.25">
      <c r="A496" s="143"/>
      <c r="B496" s="145"/>
      <c r="C496" s="146"/>
      <c r="D496" s="114"/>
      <c r="E496" s="148"/>
      <c r="F496" s="148"/>
      <c r="G496" s="114"/>
      <c r="H496" s="149"/>
      <c r="I496" s="143"/>
      <c r="J496" s="143"/>
      <c r="K496" s="143"/>
      <c r="L496" s="143"/>
      <c r="M496" s="150"/>
      <c r="N496" s="143"/>
      <c r="O496" s="1"/>
      <c r="P496" s="151"/>
      <c r="Q496" s="143"/>
      <c r="R496" s="143"/>
      <c r="S496" s="143"/>
      <c r="T496" s="143"/>
      <c r="U496" s="143"/>
      <c r="V496" s="143"/>
      <c r="W496" s="143"/>
      <c r="X496" s="143"/>
      <c r="Y496" s="143"/>
      <c r="Z496" s="143"/>
      <c r="AA496" s="143"/>
      <c r="AB496" s="143"/>
      <c r="AC496" s="143"/>
      <c r="AD496" s="143"/>
      <c r="AE496" s="143"/>
      <c r="AF496" s="143"/>
      <c r="AG496" s="143"/>
      <c r="AH496" s="143"/>
      <c r="AI496" s="143"/>
      <c r="AJ496" s="143"/>
    </row>
    <row r="497" spans="1:36" ht="12.75" customHeight="1" x14ac:dyDescent="0.25">
      <c r="A497" s="143"/>
      <c r="B497" s="145"/>
      <c r="C497" s="146"/>
      <c r="D497" s="114"/>
      <c r="E497" s="148"/>
      <c r="F497" s="148"/>
      <c r="G497" s="114"/>
      <c r="H497" s="149"/>
      <c r="I497" s="143"/>
      <c r="J497" s="143"/>
      <c r="K497" s="143"/>
      <c r="L497" s="143"/>
      <c r="M497" s="150"/>
      <c r="N497" s="143"/>
      <c r="O497" s="1"/>
      <c r="P497" s="151"/>
      <c r="Q497" s="143"/>
      <c r="R497" s="143"/>
      <c r="S497" s="143"/>
      <c r="T497" s="143"/>
      <c r="U497" s="143"/>
      <c r="V497" s="143"/>
      <c r="W497" s="143"/>
      <c r="X497" s="143"/>
      <c r="Y497" s="143"/>
      <c r="Z497" s="143"/>
      <c r="AA497" s="143"/>
      <c r="AB497" s="143"/>
      <c r="AC497" s="143"/>
      <c r="AD497" s="143"/>
      <c r="AE497" s="143"/>
      <c r="AF497" s="143"/>
      <c r="AG497" s="143"/>
      <c r="AH497" s="143"/>
      <c r="AI497" s="143"/>
      <c r="AJ497" s="143"/>
    </row>
    <row r="498" spans="1:36" ht="12.75" customHeight="1" x14ac:dyDescent="0.25">
      <c r="A498" s="143"/>
      <c r="B498" s="145"/>
      <c r="C498" s="146"/>
      <c r="D498" s="114"/>
      <c r="E498" s="148"/>
      <c r="F498" s="148"/>
      <c r="G498" s="114"/>
      <c r="H498" s="149"/>
      <c r="I498" s="143"/>
      <c r="J498" s="143"/>
      <c r="K498" s="143"/>
      <c r="L498" s="143"/>
      <c r="M498" s="150"/>
      <c r="N498" s="143"/>
      <c r="O498" s="1"/>
      <c r="P498" s="151"/>
      <c r="Q498" s="143"/>
      <c r="R498" s="143"/>
      <c r="S498" s="143"/>
      <c r="T498" s="143"/>
      <c r="U498" s="143"/>
      <c r="V498" s="143"/>
      <c r="W498" s="143"/>
      <c r="X498" s="143"/>
      <c r="Y498" s="143"/>
      <c r="Z498" s="143"/>
      <c r="AA498" s="143"/>
      <c r="AB498" s="143"/>
      <c r="AC498" s="143"/>
      <c r="AD498" s="143"/>
      <c r="AE498" s="143"/>
      <c r="AF498" s="143"/>
      <c r="AG498" s="143"/>
      <c r="AH498" s="143"/>
      <c r="AI498" s="143"/>
      <c r="AJ498" s="143"/>
    </row>
    <row r="499" spans="1:36" ht="12.75" customHeight="1" x14ac:dyDescent="0.25">
      <c r="A499" s="143"/>
      <c r="B499" s="145"/>
      <c r="C499" s="146"/>
      <c r="D499" s="114"/>
      <c r="E499" s="148"/>
      <c r="F499" s="148"/>
      <c r="G499" s="114"/>
      <c r="H499" s="149"/>
      <c r="I499" s="143"/>
      <c r="J499" s="143"/>
      <c r="K499" s="143"/>
      <c r="L499" s="143"/>
      <c r="M499" s="150"/>
      <c r="N499" s="143"/>
      <c r="O499" s="1"/>
      <c r="P499" s="151"/>
      <c r="Q499" s="143"/>
      <c r="R499" s="143"/>
      <c r="S499" s="143"/>
      <c r="T499" s="143"/>
      <c r="U499" s="143"/>
      <c r="V499" s="143"/>
      <c r="W499" s="143"/>
      <c r="X499" s="143"/>
      <c r="Y499" s="143"/>
      <c r="Z499" s="143"/>
      <c r="AA499" s="143"/>
      <c r="AB499" s="143"/>
      <c r="AC499" s="143"/>
      <c r="AD499" s="143"/>
      <c r="AE499" s="143"/>
      <c r="AF499" s="143"/>
      <c r="AG499" s="143"/>
      <c r="AH499" s="143"/>
      <c r="AI499" s="143"/>
      <c r="AJ499" s="143"/>
    </row>
    <row r="500" spans="1:36" ht="12.75" customHeight="1" x14ac:dyDescent="0.25">
      <c r="A500" s="143"/>
      <c r="B500" s="145"/>
      <c r="C500" s="146"/>
      <c r="D500" s="114"/>
      <c r="E500" s="148"/>
      <c r="F500" s="148"/>
      <c r="G500" s="114"/>
      <c r="H500" s="149"/>
      <c r="I500" s="143"/>
      <c r="J500" s="143"/>
      <c r="K500" s="143"/>
      <c r="L500" s="143"/>
      <c r="M500" s="150"/>
      <c r="N500" s="143"/>
      <c r="O500" s="1"/>
      <c r="P500" s="151"/>
      <c r="Q500" s="143"/>
      <c r="R500" s="143"/>
      <c r="S500" s="143"/>
      <c r="T500" s="143"/>
      <c r="U500" s="143"/>
      <c r="V500" s="143"/>
      <c r="W500" s="143"/>
      <c r="X500" s="143"/>
      <c r="Y500" s="143"/>
      <c r="Z500" s="143"/>
      <c r="AA500" s="143"/>
      <c r="AB500" s="143"/>
      <c r="AC500" s="143"/>
      <c r="AD500" s="143"/>
      <c r="AE500" s="143"/>
      <c r="AF500" s="143"/>
      <c r="AG500" s="143"/>
      <c r="AH500" s="143"/>
      <c r="AI500" s="143"/>
      <c r="AJ500" s="143"/>
    </row>
    <row r="501" spans="1:36" ht="12.75" customHeight="1" x14ac:dyDescent="0.25">
      <c r="A501" s="143"/>
      <c r="B501" s="145"/>
      <c r="C501" s="146"/>
      <c r="D501" s="114"/>
      <c r="E501" s="148"/>
      <c r="F501" s="148"/>
      <c r="G501" s="114"/>
      <c r="H501" s="149"/>
      <c r="I501" s="143"/>
      <c r="J501" s="143"/>
      <c r="K501" s="143"/>
      <c r="L501" s="143"/>
      <c r="M501" s="150"/>
      <c r="N501" s="143"/>
      <c r="O501" s="1"/>
      <c r="P501" s="151"/>
      <c r="Q501" s="143"/>
      <c r="R501" s="143"/>
      <c r="S501" s="143"/>
      <c r="T501" s="143"/>
      <c r="U501" s="143"/>
      <c r="V501" s="143"/>
      <c r="W501" s="143"/>
      <c r="X501" s="143"/>
      <c r="Y501" s="143"/>
      <c r="Z501" s="143"/>
      <c r="AA501" s="143"/>
      <c r="AB501" s="143"/>
      <c r="AC501" s="143"/>
      <c r="AD501" s="143"/>
      <c r="AE501" s="143"/>
      <c r="AF501" s="143"/>
      <c r="AG501" s="143"/>
      <c r="AH501" s="143"/>
      <c r="AI501" s="143"/>
      <c r="AJ501" s="143"/>
    </row>
    <row r="502" spans="1:36" ht="12.75" customHeight="1" x14ac:dyDescent="0.25">
      <c r="A502" s="143"/>
      <c r="B502" s="145"/>
      <c r="C502" s="146"/>
      <c r="D502" s="114"/>
      <c r="E502" s="148"/>
      <c r="F502" s="148"/>
      <c r="G502" s="114"/>
      <c r="H502" s="149"/>
      <c r="I502" s="143"/>
      <c r="J502" s="143"/>
      <c r="K502" s="143"/>
      <c r="L502" s="143"/>
      <c r="M502" s="150"/>
      <c r="N502" s="143"/>
      <c r="O502" s="1"/>
      <c r="P502" s="151"/>
      <c r="Q502" s="143"/>
      <c r="R502" s="143"/>
      <c r="S502" s="143"/>
      <c r="T502" s="143"/>
      <c r="U502" s="143"/>
      <c r="V502" s="143"/>
      <c r="W502" s="143"/>
      <c r="X502" s="143"/>
      <c r="Y502" s="143"/>
      <c r="Z502" s="143"/>
      <c r="AA502" s="143"/>
      <c r="AB502" s="143"/>
      <c r="AC502" s="143"/>
      <c r="AD502" s="143"/>
      <c r="AE502" s="143"/>
      <c r="AF502" s="143"/>
      <c r="AG502" s="143"/>
      <c r="AH502" s="143"/>
      <c r="AI502" s="143"/>
      <c r="AJ502" s="143"/>
    </row>
    <row r="503" spans="1:36" ht="12.75" customHeight="1" x14ac:dyDescent="0.25">
      <c r="A503" s="143"/>
      <c r="B503" s="145"/>
      <c r="C503" s="146"/>
      <c r="D503" s="114"/>
      <c r="E503" s="148"/>
      <c r="F503" s="148"/>
      <c r="G503" s="114"/>
      <c r="H503" s="149"/>
      <c r="I503" s="143"/>
      <c r="J503" s="143"/>
      <c r="K503" s="143"/>
      <c r="L503" s="143"/>
      <c r="M503" s="150"/>
      <c r="N503" s="143"/>
      <c r="O503" s="1"/>
      <c r="P503" s="151"/>
      <c r="Q503" s="143"/>
      <c r="R503" s="143"/>
      <c r="S503" s="143"/>
      <c r="T503" s="143"/>
      <c r="U503" s="143"/>
      <c r="V503" s="143"/>
      <c r="W503" s="143"/>
      <c r="X503" s="143"/>
      <c r="Y503" s="143"/>
      <c r="Z503" s="143"/>
      <c r="AA503" s="143"/>
      <c r="AB503" s="143"/>
      <c r="AC503" s="143"/>
      <c r="AD503" s="143"/>
      <c r="AE503" s="143"/>
      <c r="AF503" s="143"/>
      <c r="AG503" s="143"/>
      <c r="AH503" s="143"/>
      <c r="AI503" s="143"/>
      <c r="AJ503" s="143"/>
    </row>
    <row r="504" spans="1:36" ht="12.75" customHeight="1" x14ac:dyDescent="0.25">
      <c r="A504" s="143"/>
      <c r="B504" s="145"/>
      <c r="C504" s="146"/>
      <c r="D504" s="114"/>
      <c r="E504" s="148"/>
      <c r="F504" s="148"/>
      <c r="G504" s="114"/>
      <c r="H504" s="149"/>
      <c r="I504" s="143"/>
      <c r="J504" s="143"/>
      <c r="K504" s="143"/>
      <c r="L504" s="143"/>
      <c r="M504" s="150"/>
      <c r="N504" s="143"/>
      <c r="O504" s="1"/>
      <c r="P504" s="151"/>
      <c r="Q504" s="143"/>
      <c r="R504" s="143"/>
      <c r="S504" s="143"/>
      <c r="T504" s="143"/>
      <c r="U504" s="143"/>
      <c r="V504" s="143"/>
      <c r="W504" s="143"/>
      <c r="X504" s="143"/>
      <c r="Y504" s="143"/>
      <c r="Z504" s="143"/>
      <c r="AA504" s="143"/>
      <c r="AB504" s="143"/>
      <c r="AC504" s="143"/>
      <c r="AD504" s="143"/>
      <c r="AE504" s="143"/>
      <c r="AF504" s="143"/>
      <c r="AG504" s="143"/>
      <c r="AH504" s="143"/>
      <c r="AI504" s="143"/>
      <c r="AJ504" s="143"/>
    </row>
    <row r="505" spans="1:36" ht="12.75" customHeight="1" x14ac:dyDescent="0.25">
      <c r="A505" s="143"/>
      <c r="B505" s="145"/>
      <c r="C505" s="146"/>
      <c r="D505" s="114"/>
      <c r="E505" s="148"/>
      <c r="F505" s="148"/>
      <c r="G505" s="114"/>
      <c r="H505" s="149"/>
      <c r="I505" s="143"/>
      <c r="J505" s="143"/>
      <c r="K505" s="143"/>
      <c r="L505" s="143"/>
      <c r="M505" s="150"/>
      <c r="N505" s="143"/>
      <c r="O505" s="1"/>
      <c r="P505" s="151"/>
      <c r="Q505" s="143"/>
      <c r="R505" s="143"/>
      <c r="S505" s="143"/>
      <c r="T505" s="143"/>
      <c r="U505" s="143"/>
      <c r="V505" s="143"/>
      <c r="W505" s="143"/>
      <c r="X505" s="143"/>
      <c r="Y505" s="143"/>
      <c r="Z505" s="143"/>
      <c r="AA505" s="143"/>
      <c r="AB505" s="143"/>
      <c r="AC505" s="143"/>
      <c r="AD505" s="143"/>
      <c r="AE505" s="143"/>
      <c r="AF505" s="143"/>
      <c r="AG505" s="143"/>
      <c r="AH505" s="143"/>
      <c r="AI505" s="143"/>
      <c r="AJ505" s="143"/>
    </row>
    <row r="506" spans="1:36" ht="12.75" customHeight="1" x14ac:dyDescent="0.25">
      <c r="A506" s="143"/>
      <c r="B506" s="145"/>
      <c r="C506" s="146"/>
      <c r="D506" s="114"/>
      <c r="E506" s="148"/>
      <c r="F506" s="148"/>
      <c r="G506" s="114"/>
      <c r="H506" s="149"/>
      <c r="I506" s="143"/>
      <c r="J506" s="143"/>
      <c r="K506" s="143"/>
      <c r="L506" s="143"/>
      <c r="M506" s="150"/>
      <c r="N506" s="143"/>
      <c r="O506" s="1"/>
      <c r="P506" s="151"/>
      <c r="Q506" s="143"/>
      <c r="R506" s="143"/>
      <c r="S506" s="143"/>
      <c r="T506" s="143"/>
      <c r="U506" s="143"/>
      <c r="V506" s="143"/>
      <c r="W506" s="143"/>
      <c r="X506" s="143"/>
      <c r="Y506" s="143"/>
      <c r="Z506" s="143"/>
      <c r="AA506" s="143"/>
      <c r="AB506" s="143"/>
      <c r="AC506" s="143"/>
      <c r="AD506" s="143"/>
      <c r="AE506" s="143"/>
      <c r="AF506" s="143"/>
      <c r="AG506" s="143"/>
      <c r="AH506" s="143"/>
      <c r="AI506" s="143"/>
      <c r="AJ506" s="143"/>
    </row>
    <row r="507" spans="1:36" ht="12.75" customHeight="1" x14ac:dyDescent="0.25">
      <c r="A507" s="143"/>
      <c r="B507" s="145"/>
      <c r="C507" s="146"/>
      <c r="D507" s="114"/>
      <c r="E507" s="148"/>
      <c r="F507" s="148"/>
      <c r="G507" s="114"/>
      <c r="H507" s="149"/>
      <c r="I507" s="143"/>
      <c r="J507" s="143"/>
      <c r="K507" s="143"/>
      <c r="L507" s="143"/>
      <c r="M507" s="150"/>
      <c r="N507" s="143"/>
      <c r="O507" s="1"/>
      <c r="P507" s="151"/>
      <c r="Q507" s="143"/>
      <c r="R507" s="143"/>
      <c r="S507" s="143"/>
      <c r="T507" s="143"/>
      <c r="U507" s="143"/>
      <c r="V507" s="143"/>
      <c r="W507" s="143"/>
      <c r="X507" s="143"/>
      <c r="Y507" s="143"/>
      <c r="Z507" s="143"/>
      <c r="AA507" s="143"/>
      <c r="AB507" s="143"/>
      <c r="AC507" s="143"/>
      <c r="AD507" s="143"/>
      <c r="AE507" s="143"/>
      <c r="AF507" s="143"/>
      <c r="AG507" s="143"/>
      <c r="AH507" s="143"/>
      <c r="AI507" s="143"/>
      <c r="AJ507" s="143"/>
    </row>
    <row r="508" spans="1:36" ht="12.75" customHeight="1" x14ac:dyDescent="0.25">
      <c r="A508" s="143"/>
      <c r="B508" s="145"/>
      <c r="C508" s="146"/>
      <c r="D508" s="114"/>
      <c r="E508" s="148"/>
      <c r="F508" s="148"/>
      <c r="G508" s="114"/>
      <c r="H508" s="149"/>
      <c r="I508" s="143"/>
      <c r="J508" s="143"/>
      <c r="K508" s="143"/>
      <c r="L508" s="143"/>
      <c r="M508" s="150"/>
      <c r="N508" s="143"/>
      <c r="O508" s="1"/>
      <c r="P508" s="151"/>
      <c r="Q508" s="143"/>
      <c r="R508" s="143"/>
      <c r="S508" s="143"/>
      <c r="T508" s="143"/>
      <c r="U508" s="143"/>
      <c r="V508" s="143"/>
      <c r="W508" s="143"/>
      <c r="X508" s="143"/>
      <c r="Y508" s="143"/>
      <c r="Z508" s="143"/>
      <c r="AA508" s="143"/>
      <c r="AB508" s="143"/>
      <c r="AC508" s="143"/>
      <c r="AD508" s="143"/>
      <c r="AE508" s="143"/>
      <c r="AF508" s="143"/>
      <c r="AG508" s="143"/>
      <c r="AH508" s="143"/>
      <c r="AI508" s="143"/>
      <c r="AJ508" s="143"/>
    </row>
    <row r="509" spans="1:36" ht="12.75" customHeight="1" x14ac:dyDescent="0.25">
      <c r="A509" s="143"/>
      <c r="B509" s="145"/>
      <c r="C509" s="146"/>
      <c r="D509" s="114"/>
      <c r="E509" s="148"/>
      <c r="F509" s="148"/>
      <c r="G509" s="114"/>
      <c r="H509" s="149"/>
      <c r="I509" s="143"/>
      <c r="J509" s="143"/>
      <c r="K509" s="143"/>
      <c r="L509" s="143"/>
      <c r="M509" s="150"/>
      <c r="N509" s="143"/>
      <c r="O509" s="1"/>
      <c r="P509" s="151"/>
      <c r="Q509" s="143"/>
      <c r="R509" s="143"/>
      <c r="S509" s="143"/>
      <c r="T509" s="143"/>
      <c r="U509" s="143"/>
      <c r="V509" s="143"/>
      <c r="W509" s="143"/>
      <c r="X509" s="143"/>
      <c r="Y509" s="143"/>
      <c r="Z509" s="143"/>
      <c r="AA509" s="143"/>
      <c r="AB509" s="143"/>
      <c r="AC509" s="143"/>
      <c r="AD509" s="143"/>
      <c r="AE509" s="143"/>
      <c r="AF509" s="143"/>
      <c r="AG509" s="143"/>
      <c r="AH509" s="143"/>
      <c r="AI509" s="143"/>
      <c r="AJ509" s="143"/>
    </row>
    <row r="510" spans="1:36" ht="12.75" customHeight="1" x14ac:dyDescent="0.25">
      <c r="A510" s="143"/>
      <c r="B510" s="145"/>
      <c r="C510" s="146"/>
      <c r="D510" s="114"/>
      <c r="E510" s="148"/>
      <c r="F510" s="148"/>
      <c r="G510" s="114"/>
      <c r="H510" s="149"/>
      <c r="I510" s="143"/>
      <c r="J510" s="143"/>
      <c r="K510" s="143"/>
      <c r="L510" s="143"/>
      <c r="M510" s="150"/>
      <c r="N510" s="143"/>
      <c r="O510" s="1"/>
      <c r="P510" s="151"/>
      <c r="Q510" s="143"/>
      <c r="R510" s="143"/>
      <c r="S510" s="143"/>
      <c r="T510" s="143"/>
      <c r="U510" s="143"/>
      <c r="V510" s="143"/>
      <c r="W510" s="143"/>
      <c r="X510" s="143"/>
      <c r="Y510" s="143"/>
      <c r="Z510" s="143"/>
      <c r="AA510" s="143"/>
      <c r="AB510" s="143"/>
      <c r="AC510" s="143"/>
      <c r="AD510" s="143"/>
      <c r="AE510" s="143"/>
      <c r="AF510" s="143"/>
      <c r="AG510" s="143"/>
      <c r="AH510" s="143"/>
      <c r="AI510" s="143"/>
      <c r="AJ510" s="143"/>
    </row>
    <row r="511" spans="1:36" ht="12.75" customHeight="1" x14ac:dyDescent="0.25">
      <c r="A511" s="143"/>
      <c r="B511" s="145"/>
      <c r="C511" s="146"/>
      <c r="D511" s="114"/>
      <c r="E511" s="148"/>
      <c r="F511" s="148"/>
      <c r="G511" s="114"/>
      <c r="H511" s="149"/>
      <c r="I511" s="143"/>
      <c r="J511" s="143"/>
      <c r="K511" s="143"/>
      <c r="L511" s="143"/>
      <c r="M511" s="150"/>
      <c r="N511" s="143"/>
      <c r="O511" s="1"/>
      <c r="P511" s="151"/>
      <c r="Q511" s="143"/>
      <c r="R511" s="143"/>
      <c r="S511" s="143"/>
      <c r="T511" s="143"/>
      <c r="U511" s="143"/>
      <c r="V511" s="143"/>
      <c r="W511" s="143"/>
      <c r="X511" s="143"/>
      <c r="Y511" s="143"/>
      <c r="Z511" s="143"/>
      <c r="AA511" s="143"/>
      <c r="AB511" s="143"/>
      <c r="AC511" s="143"/>
      <c r="AD511" s="143"/>
      <c r="AE511" s="143"/>
      <c r="AF511" s="143"/>
      <c r="AG511" s="143"/>
      <c r="AH511" s="143"/>
      <c r="AI511" s="143"/>
      <c r="AJ511" s="143"/>
    </row>
    <row r="512" spans="1:36" ht="12.75" customHeight="1" x14ac:dyDescent="0.25">
      <c r="A512" s="143"/>
      <c r="B512" s="145"/>
      <c r="C512" s="146"/>
      <c r="D512" s="114"/>
      <c r="E512" s="148"/>
      <c r="F512" s="148"/>
      <c r="G512" s="114"/>
      <c r="H512" s="149"/>
      <c r="I512" s="143"/>
      <c r="J512" s="143"/>
      <c r="K512" s="143"/>
      <c r="L512" s="143"/>
      <c r="M512" s="150"/>
      <c r="N512" s="143"/>
      <c r="O512" s="1"/>
      <c r="P512" s="151"/>
      <c r="Q512" s="143"/>
      <c r="R512" s="143"/>
      <c r="S512" s="143"/>
      <c r="T512" s="143"/>
      <c r="U512" s="143"/>
      <c r="V512" s="143"/>
      <c r="W512" s="143"/>
      <c r="X512" s="143"/>
      <c r="Y512" s="143"/>
      <c r="Z512" s="143"/>
      <c r="AA512" s="143"/>
      <c r="AB512" s="143"/>
      <c r="AC512" s="143"/>
      <c r="AD512" s="143"/>
      <c r="AE512" s="143"/>
      <c r="AF512" s="143"/>
      <c r="AG512" s="143"/>
      <c r="AH512" s="143"/>
      <c r="AI512" s="143"/>
      <c r="AJ512" s="143"/>
    </row>
    <row r="513" spans="1:36" ht="12.75" customHeight="1" x14ac:dyDescent="0.25">
      <c r="A513" s="143"/>
      <c r="B513" s="145"/>
      <c r="C513" s="146"/>
      <c r="D513" s="114"/>
      <c r="E513" s="148"/>
      <c r="F513" s="148"/>
      <c r="G513" s="114"/>
      <c r="H513" s="149"/>
      <c r="I513" s="143"/>
      <c r="J513" s="143"/>
      <c r="K513" s="143"/>
      <c r="L513" s="143"/>
      <c r="M513" s="150"/>
      <c r="N513" s="143"/>
      <c r="O513" s="1"/>
      <c r="P513" s="151"/>
      <c r="Q513" s="143"/>
      <c r="R513" s="143"/>
      <c r="S513" s="143"/>
      <c r="T513" s="143"/>
      <c r="U513" s="143"/>
      <c r="V513" s="143"/>
      <c r="W513" s="143"/>
      <c r="X513" s="143"/>
      <c r="Y513" s="143"/>
      <c r="Z513" s="143"/>
      <c r="AA513" s="143"/>
      <c r="AB513" s="143"/>
      <c r="AC513" s="143"/>
      <c r="AD513" s="143"/>
      <c r="AE513" s="143"/>
      <c r="AF513" s="143"/>
      <c r="AG513" s="143"/>
      <c r="AH513" s="143"/>
      <c r="AI513" s="143"/>
      <c r="AJ513" s="143"/>
    </row>
    <row r="514" spans="1:36" ht="12.75" customHeight="1" x14ac:dyDescent="0.25">
      <c r="A514" s="143"/>
      <c r="B514" s="145"/>
      <c r="C514" s="146"/>
      <c r="D514" s="114"/>
      <c r="E514" s="148"/>
      <c r="F514" s="148"/>
      <c r="G514" s="114"/>
      <c r="H514" s="149"/>
      <c r="I514" s="143"/>
      <c r="J514" s="143"/>
      <c r="K514" s="143"/>
      <c r="L514" s="143"/>
      <c r="M514" s="150"/>
      <c r="N514" s="143"/>
      <c r="O514" s="1"/>
      <c r="P514" s="151"/>
      <c r="Q514" s="143"/>
      <c r="R514" s="143"/>
      <c r="S514" s="143"/>
      <c r="T514" s="143"/>
      <c r="U514" s="143"/>
      <c r="V514" s="143"/>
      <c r="W514" s="143"/>
      <c r="X514" s="143"/>
      <c r="Y514" s="143"/>
      <c r="Z514" s="143"/>
      <c r="AA514" s="143"/>
      <c r="AB514" s="143"/>
      <c r="AC514" s="143"/>
      <c r="AD514" s="143"/>
      <c r="AE514" s="143"/>
      <c r="AF514" s="143"/>
      <c r="AG514" s="143"/>
      <c r="AH514" s="143"/>
      <c r="AI514" s="143"/>
      <c r="AJ514" s="143"/>
    </row>
    <row r="515" spans="1:36" ht="12.75" customHeight="1" x14ac:dyDescent="0.25">
      <c r="A515" s="143"/>
      <c r="B515" s="145"/>
      <c r="C515" s="146"/>
      <c r="D515" s="114"/>
      <c r="E515" s="148"/>
      <c r="F515" s="148"/>
      <c r="G515" s="114"/>
      <c r="H515" s="149"/>
      <c r="I515" s="143"/>
      <c r="J515" s="143"/>
      <c r="K515" s="143"/>
      <c r="L515" s="143"/>
      <c r="M515" s="150"/>
      <c r="N515" s="143"/>
      <c r="O515" s="1"/>
      <c r="P515" s="151"/>
      <c r="Q515" s="143"/>
      <c r="R515" s="143"/>
      <c r="S515" s="143"/>
      <c r="T515" s="143"/>
      <c r="U515" s="143"/>
      <c r="V515" s="143"/>
      <c r="W515" s="143"/>
      <c r="X515" s="143"/>
      <c r="Y515" s="143"/>
      <c r="Z515" s="143"/>
      <c r="AA515" s="143"/>
      <c r="AB515" s="143"/>
      <c r="AC515" s="143"/>
      <c r="AD515" s="143"/>
      <c r="AE515" s="143"/>
      <c r="AF515" s="143"/>
      <c r="AG515" s="143"/>
      <c r="AH515" s="143"/>
      <c r="AI515" s="143"/>
      <c r="AJ515" s="143"/>
    </row>
    <row r="516" spans="1:36" ht="12.75" customHeight="1" x14ac:dyDescent="0.25">
      <c r="A516" s="143"/>
      <c r="B516" s="145"/>
      <c r="C516" s="146"/>
      <c r="D516" s="114"/>
      <c r="E516" s="148"/>
      <c r="F516" s="148"/>
      <c r="G516" s="114"/>
      <c r="H516" s="149"/>
      <c r="I516" s="143"/>
      <c r="J516" s="143"/>
      <c r="K516" s="143"/>
      <c r="L516" s="143"/>
      <c r="M516" s="150"/>
      <c r="N516" s="143"/>
      <c r="O516" s="1"/>
      <c r="P516" s="151"/>
      <c r="Q516" s="143"/>
      <c r="R516" s="143"/>
      <c r="S516" s="143"/>
      <c r="T516" s="143"/>
      <c r="U516" s="143"/>
      <c r="V516" s="143"/>
      <c r="W516" s="143"/>
      <c r="X516" s="143"/>
      <c r="Y516" s="143"/>
      <c r="Z516" s="143"/>
      <c r="AA516" s="143"/>
      <c r="AB516" s="143"/>
      <c r="AC516" s="143"/>
      <c r="AD516" s="143"/>
      <c r="AE516" s="143"/>
      <c r="AF516" s="143"/>
      <c r="AG516" s="143"/>
      <c r="AH516" s="143"/>
      <c r="AI516" s="143"/>
      <c r="AJ516" s="143"/>
    </row>
    <row r="517" spans="1:36" ht="12.75" customHeight="1" x14ac:dyDescent="0.25">
      <c r="A517" s="143"/>
      <c r="B517" s="145"/>
      <c r="C517" s="146"/>
      <c r="D517" s="114"/>
      <c r="E517" s="148"/>
      <c r="F517" s="148"/>
      <c r="G517" s="114"/>
      <c r="H517" s="149"/>
      <c r="I517" s="143"/>
      <c r="J517" s="143"/>
      <c r="K517" s="143"/>
      <c r="L517" s="143"/>
      <c r="M517" s="150"/>
      <c r="N517" s="143"/>
      <c r="O517" s="1"/>
      <c r="P517" s="151"/>
      <c r="Q517" s="143"/>
      <c r="R517" s="143"/>
      <c r="S517" s="143"/>
      <c r="T517" s="143"/>
      <c r="U517" s="143"/>
      <c r="V517" s="143"/>
      <c r="W517" s="143"/>
      <c r="X517" s="143"/>
      <c r="Y517" s="143"/>
      <c r="Z517" s="143"/>
      <c r="AA517" s="143"/>
      <c r="AB517" s="143"/>
      <c r="AC517" s="143"/>
      <c r="AD517" s="143"/>
      <c r="AE517" s="143"/>
      <c r="AF517" s="143"/>
      <c r="AG517" s="143"/>
      <c r="AH517" s="143"/>
      <c r="AI517" s="143"/>
      <c r="AJ517" s="143"/>
    </row>
    <row r="518" spans="1:36" ht="12.75" customHeight="1" x14ac:dyDescent="0.25">
      <c r="A518" s="143"/>
      <c r="B518" s="145"/>
      <c r="C518" s="146"/>
      <c r="D518" s="114"/>
      <c r="E518" s="148"/>
      <c r="F518" s="148"/>
      <c r="G518" s="114"/>
      <c r="H518" s="149"/>
      <c r="I518" s="143"/>
      <c r="J518" s="143"/>
      <c r="K518" s="143"/>
      <c r="L518" s="143"/>
      <c r="M518" s="150"/>
      <c r="N518" s="143"/>
      <c r="O518" s="1"/>
      <c r="P518" s="151"/>
      <c r="Q518" s="143"/>
      <c r="R518" s="143"/>
      <c r="S518" s="143"/>
      <c r="T518" s="143"/>
      <c r="U518" s="143"/>
      <c r="V518" s="143"/>
      <c r="W518" s="143"/>
      <c r="X518" s="143"/>
      <c r="Y518" s="143"/>
      <c r="Z518" s="143"/>
      <c r="AA518" s="143"/>
      <c r="AB518" s="143"/>
      <c r="AC518" s="143"/>
      <c r="AD518" s="143"/>
      <c r="AE518" s="143"/>
      <c r="AF518" s="143"/>
      <c r="AG518" s="143"/>
      <c r="AH518" s="143"/>
      <c r="AI518" s="143"/>
      <c r="AJ518" s="143"/>
    </row>
    <row r="519" spans="1:36" ht="12.75" customHeight="1" x14ac:dyDescent="0.25">
      <c r="A519" s="143"/>
      <c r="B519" s="145"/>
      <c r="C519" s="146"/>
      <c r="D519" s="114"/>
      <c r="E519" s="148"/>
      <c r="F519" s="148"/>
      <c r="G519" s="114"/>
      <c r="H519" s="149"/>
      <c r="I519" s="143"/>
      <c r="J519" s="143"/>
      <c r="K519" s="143"/>
      <c r="L519" s="143"/>
      <c r="M519" s="150"/>
      <c r="N519" s="143"/>
      <c r="O519" s="1"/>
      <c r="P519" s="151"/>
      <c r="Q519" s="143"/>
      <c r="R519" s="143"/>
      <c r="S519" s="143"/>
      <c r="T519" s="143"/>
      <c r="U519" s="143"/>
      <c r="V519" s="143"/>
      <c r="W519" s="143"/>
      <c r="X519" s="143"/>
      <c r="Y519" s="143"/>
      <c r="Z519" s="143"/>
      <c r="AA519" s="143"/>
      <c r="AB519" s="143"/>
      <c r="AC519" s="143"/>
      <c r="AD519" s="143"/>
      <c r="AE519" s="143"/>
      <c r="AF519" s="143"/>
      <c r="AG519" s="143"/>
      <c r="AH519" s="143"/>
      <c r="AI519" s="143"/>
      <c r="AJ519" s="143"/>
    </row>
    <row r="520" spans="1:36" ht="12.75" customHeight="1" x14ac:dyDescent="0.25">
      <c r="A520" s="143"/>
      <c r="B520" s="145"/>
      <c r="C520" s="146"/>
      <c r="D520" s="114"/>
      <c r="E520" s="148"/>
      <c r="F520" s="148"/>
      <c r="G520" s="114"/>
      <c r="H520" s="149"/>
      <c r="I520" s="143"/>
      <c r="J520" s="143"/>
      <c r="K520" s="143"/>
      <c r="L520" s="143"/>
      <c r="M520" s="150"/>
      <c r="N520" s="143"/>
      <c r="O520" s="1"/>
      <c r="P520" s="151"/>
      <c r="Q520" s="143"/>
      <c r="R520" s="143"/>
      <c r="S520" s="143"/>
      <c r="T520" s="143"/>
      <c r="U520" s="143"/>
      <c r="V520" s="143"/>
      <c r="W520" s="143"/>
      <c r="X520" s="143"/>
      <c r="Y520" s="143"/>
      <c r="Z520" s="143"/>
      <c r="AA520" s="143"/>
      <c r="AB520" s="143"/>
      <c r="AC520" s="143"/>
      <c r="AD520" s="143"/>
      <c r="AE520" s="143"/>
      <c r="AF520" s="143"/>
      <c r="AG520" s="143"/>
      <c r="AH520" s="143"/>
      <c r="AI520" s="143"/>
      <c r="AJ520" s="143"/>
    </row>
    <row r="521" spans="1:36" ht="12.75" customHeight="1" x14ac:dyDescent="0.25">
      <c r="A521" s="143"/>
      <c r="B521" s="145"/>
      <c r="C521" s="146"/>
      <c r="D521" s="114"/>
      <c r="E521" s="148"/>
      <c r="F521" s="148"/>
      <c r="G521" s="114"/>
      <c r="H521" s="149"/>
      <c r="I521" s="143"/>
      <c r="J521" s="143"/>
      <c r="K521" s="143"/>
      <c r="L521" s="143"/>
      <c r="M521" s="150"/>
      <c r="N521" s="143"/>
      <c r="O521" s="1"/>
      <c r="P521" s="151"/>
      <c r="Q521" s="143"/>
      <c r="R521" s="143"/>
      <c r="S521" s="143"/>
      <c r="T521" s="143"/>
      <c r="U521" s="143"/>
      <c r="V521" s="143"/>
      <c r="W521" s="143"/>
      <c r="X521" s="143"/>
      <c r="Y521" s="143"/>
      <c r="Z521" s="143"/>
      <c r="AA521" s="143"/>
      <c r="AB521" s="143"/>
      <c r="AC521" s="143"/>
      <c r="AD521" s="143"/>
      <c r="AE521" s="143"/>
      <c r="AF521" s="143"/>
      <c r="AG521" s="143"/>
      <c r="AH521" s="143"/>
      <c r="AI521" s="143"/>
      <c r="AJ521" s="143"/>
    </row>
    <row r="522" spans="1:36" ht="12.75" customHeight="1" x14ac:dyDescent="0.25">
      <c r="A522" s="143"/>
      <c r="B522" s="145"/>
      <c r="C522" s="146"/>
      <c r="D522" s="114"/>
      <c r="E522" s="148"/>
      <c r="F522" s="148"/>
      <c r="G522" s="114"/>
      <c r="H522" s="149"/>
      <c r="I522" s="143"/>
      <c r="J522" s="143"/>
      <c r="K522" s="143"/>
      <c r="L522" s="143"/>
      <c r="M522" s="150"/>
      <c r="N522" s="143"/>
      <c r="O522" s="1"/>
      <c r="P522" s="151"/>
      <c r="Q522" s="143"/>
      <c r="R522" s="143"/>
      <c r="S522" s="143"/>
      <c r="T522" s="143"/>
      <c r="U522" s="143"/>
      <c r="V522" s="143"/>
      <c r="W522" s="143"/>
      <c r="X522" s="143"/>
      <c r="Y522" s="143"/>
      <c r="Z522" s="143"/>
      <c r="AA522" s="143"/>
      <c r="AB522" s="143"/>
      <c r="AC522" s="143"/>
      <c r="AD522" s="143"/>
      <c r="AE522" s="143"/>
      <c r="AF522" s="143"/>
      <c r="AG522" s="143"/>
      <c r="AH522" s="143"/>
      <c r="AI522" s="143"/>
      <c r="AJ522" s="143"/>
    </row>
    <row r="523" spans="1:36" ht="12.75" customHeight="1" x14ac:dyDescent="0.25">
      <c r="A523" s="143"/>
      <c r="B523" s="145"/>
      <c r="C523" s="146"/>
      <c r="D523" s="114"/>
      <c r="E523" s="148"/>
      <c r="F523" s="148"/>
      <c r="G523" s="114"/>
      <c r="H523" s="149"/>
      <c r="I523" s="143"/>
      <c r="J523" s="143"/>
      <c r="K523" s="143"/>
      <c r="L523" s="143"/>
      <c r="M523" s="150"/>
      <c r="N523" s="143"/>
      <c r="O523" s="1"/>
      <c r="P523" s="151"/>
      <c r="Q523" s="143"/>
      <c r="R523" s="143"/>
      <c r="S523" s="143"/>
      <c r="T523" s="143"/>
      <c r="U523" s="143"/>
      <c r="V523" s="143"/>
      <c r="W523" s="143"/>
      <c r="X523" s="143"/>
      <c r="Y523" s="143"/>
      <c r="Z523" s="143"/>
      <c r="AA523" s="143"/>
      <c r="AB523" s="143"/>
      <c r="AC523" s="143"/>
      <c r="AD523" s="143"/>
      <c r="AE523" s="143"/>
      <c r="AF523" s="143"/>
      <c r="AG523" s="143"/>
      <c r="AH523" s="143"/>
      <c r="AI523" s="143"/>
      <c r="AJ523" s="143"/>
    </row>
    <row r="524" spans="1:36" ht="12.75" customHeight="1" x14ac:dyDescent="0.25">
      <c r="A524" s="143"/>
      <c r="B524" s="145"/>
      <c r="C524" s="146"/>
      <c r="D524" s="114"/>
      <c r="E524" s="148"/>
      <c r="F524" s="148"/>
      <c r="G524" s="114"/>
      <c r="H524" s="149"/>
      <c r="I524" s="143"/>
      <c r="J524" s="143"/>
      <c r="K524" s="143"/>
      <c r="L524" s="143"/>
      <c r="M524" s="150"/>
      <c r="N524" s="143"/>
      <c r="O524" s="1"/>
      <c r="P524" s="151"/>
      <c r="Q524" s="143"/>
      <c r="R524" s="143"/>
      <c r="S524" s="143"/>
      <c r="T524" s="143"/>
      <c r="U524" s="143"/>
      <c r="V524" s="143"/>
      <c r="W524" s="143"/>
      <c r="X524" s="143"/>
      <c r="Y524" s="143"/>
      <c r="Z524" s="143"/>
      <c r="AA524" s="143"/>
      <c r="AB524" s="143"/>
      <c r="AC524" s="143"/>
      <c r="AD524" s="143"/>
      <c r="AE524" s="143"/>
      <c r="AF524" s="143"/>
      <c r="AG524" s="143"/>
      <c r="AH524" s="143"/>
      <c r="AI524" s="143"/>
      <c r="AJ524" s="143"/>
    </row>
    <row r="525" spans="1:36" ht="12.75" customHeight="1" x14ac:dyDescent="0.25">
      <c r="A525" s="143"/>
      <c r="B525" s="145"/>
      <c r="C525" s="146"/>
      <c r="D525" s="114"/>
      <c r="E525" s="148"/>
      <c r="F525" s="148"/>
      <c r="G525" s="114"/>
      <c r="H525" s="149"/>
      <c r="I525" s="143"/>
      <c r="J525" s="143"/>
      <c r="K525" s="143"/>
      <c r="L525" s="143"/>
      <c r="M525" s="150"/>
      <c r="N525" s="143"/>
      <c r="O525" s="1"/>
      <c r="P525" s="151"/>
      <c r="Q525" s="143"/>
      <c r="R525" s="143"/>
      <c r="S525" s="143"/>
      <c r="T525" s="143"/>
      <c r="U525" s="143"/>
      <c r="V525" s="143"/>
      <c r="W525" s="143"/>
      <c r="X525" s="143"/>
      <c r="Y525" s="143"/>
      <c r="Z525" s="143"/>
      <c r="AA525" s="143"/>
      <c r="AB525" s="143"/>
      <c r="AC525" s="143"/>
      <c r="AD525" s="143"/>
      <c r="AE525" s="143"/>
      <c r="AF525" s="143"/>
      <c r="AG525" s="143"/>
      <c r="AH525" s="143"/>
      <c r="AI525" s="143"/>
      <c r="AJ525" s="143"/>
    </row>
    <row r="526" spans="1:36" ht="12.75" customHeight="1" x14ac:dyDescent="0.25">
      <c r="A526" s="143"/>
      <c r="B526" s="145"/>
      <c r="C526" s="146"/>
      <c r="D526" s="114"/>
      <c r="E526" s="148"/>
      <c r="F526" s="148"/>
      <c r="G526" s="114"/>
      <c r="H526" s="149"/>
      <c r="I526" s="143"/>
      <c r="J526" s="143"/>
      <c r="K526" s="143"/>
      <c r="L526" s="143"/>
      <c r="M526" s="150"/>
      <c r="N526" s="143"/>
      <c r="O526" s="1"/>
      <c r="P526" s="151"/>
      <c r="Q526" s="143"/>
      <c r="R526" s="143"/>
      <c r="S526" s="143"/>
      <c r="T526" s="143"/>
      <c r="U526" s="143"/>
      <c r="V526" s="143"/>
      <c r="W526" s="143"/>
      <c r="X526" s="143"/>
      <c r="Y526" s="143"/>
      <c r="Z526" s="143"/>
      <c r="AA526" s="143"/>
      <c r="AB526" s="143"/>
      <c r="AC526" s="143"/>
      <c r="AD526" s="143"/>
      <c r="AE526" s="143"/>
      <c r="AF526" s="143"/>
      <c r="AG526" s="143"/>
      <c r="AH526" s="143"/>
      <c r="AI526" s="143"/>
      <c r="AJ526" s="143"/>
    </row>
    <row r="527" spans="1:36" ht="12.75" customHeight="1" x14ac:dyDescent="0.25">
      <c r="A527" s="143"/>
      <c r="B527" s="145"/>
      <c r="C527" s="146"/>
      <c r="D527" s="114"/>
      <c r="E527" s="148"/>
      <c r="F527" s="148"/>
      <c r="G527" s="114"/>
      <c r="H527" s="149"/>
      <c r="I527" s="143"/>
      <c r="J527" s="143"/>
      <c r="K527" s="143"/>
      <c r="L527" s="143"/>
      <c r="M527" s="150"/>
      <c r="N527" s="143"/>
      <c r="O527" s="1"/>
      <c r="P527" s="151"/>
      <c r="Q527" s="143"/>
      <c r="R527" s="143"/>
      <c r="S527" s="143"/>
      <c r="T527" s="143"/>
      <c r="U527" s="143"/>
      <c r="V527" s="143"/>
      <c r="W527" s="143"/>
      <c r="X527" s="143"/>
      <c r="Y527" s="143"/>
      <c r="Z527" s="143"/>
      <c r="AA527" s="143"/>
      <c r="AB527" s="143"/>
      <c r="AC527" s="143"/>
      <c r="AD527" s="143"/>
      <c r="AE527" s="143"/>
      <c r="AF527" s="143"/>
      <c r="AG527" s="143"/>
      <c r="AH527" s="143"/>
      <c r="AI527" s="143"/>
      <c r="AJ527" s="143"/>
    </row>
    <row r="528" spans="1:36" ht="12.75" customHeight="1" x14ac:dyDescent="0.25">
      <c r="A528" s="143"/>
      <c r="B528" s="145"/>
      <c r="C528" s="146"/>
      <c r="D528" s="114"/>
      <c r="E528" s="148"/>
      <c r="F528" s="148"/>
      <c r="G528" s="114"/>
      <c r="H528" s="149"/>
      <c r="I528" s="143"/>
      <c r="J528" s="143"/>
      <c r="K528" s="143"/>
      <c r="L528" s="143"/>
      <c r="M528" s="150"/>
      <c r="N528" s="143"/>
      <c r="O528" s="1"/>
      <c r="P528" s="151"/>
      <c r="Q528" s="143"/>
      <c r="R528" s="143"/>
      <c r="S528" s="143"/>
      <c r="T528" s="143"/>
      <c r="U528" s="143"/>
      <c r="V528" s="143"/>
      <c r="W528" s="143"/>
      <c r="X528" s="143"/>
      <c r="Y528" s="143"/>
      <c r="Z528" s="143"/>
      <c r="AA528" s="143"/>
      <c r="AB528" s="143"/>
      <c r="AC528" s="143"/>
      <c r="AD528" s="143"/>
      <c r="AE528" s="143"/>
      <c r="AF528" s="143"/>
      <c r="AG528" s="143"/>
      <c r="AH528" s="143"/>
      <c r="AI528" s="143"/>
      <c r="AJ528" s="143"/>
    </row>
    <row r="529" spans="1:36" ht="12.75" customHeight="1" x14ac:dyDescent="0.25">
      <c r="A529" s="143"/>
      <c r="B529" s="145"/>
      <c r="C529" s="146"/>
      <c r="D529" s="114"/>
      <c r="E529" s="148"/>
      <c r="F529" s="148"/>
      <c r="G529" s="114"/>
      <c r="H529" s="149"/>
      <c r="I529" s="143"/>
      <c r="J529" s="143"/>
      <c r="K529" s="143"/>
      <c r="L529" s="143"/>
      <c r="M529" s="150"/>
      <c r="N529" s="143"/>
      <c r="O529" s="1"/>
      <c r="P529" s="151"/>
      <c r="Q529" s="143"/>
      <c r="R529" s="143"/>
      <c r="S529" s="143"/>
      <c r="T529" s="143"/>
      <c r="U529" s="143"/>
      <c r="V529" s="143"/>
      <c r="W529" s="143"/>
      <c r="X529" s="143"/>
      <c r="Y529" s="143"/>
      <c r="Z529" s="143"/>
      <c r="AA529" s="143"/>
      <c r="AB529" s="143"/>
      <c r="AC529" s="143"/>
      <c r="AD529" s="143"/>
      <c r="AE529" s="143"/>
      <c r="AF529" s="143"/>
      <c r="AG529" s="143"/>
      <c r="AH529" s="143"/>
      <c r="AI529" s="143"/>
      <c r="AJ529" s="143"/>
    </row>
    <row r="530" spans="1:36" ht="12.75" customHeight="1" x14ac:dyDescent="0.25">
      <c r="A530" s="143"/>
      <c r="B530" s="145"/>
      <c r="C530" s="146"/>
      <c r="D530" s="114"/>
      <c r="E530" s="148"/>
      <c r="F530" s="148"/>
      <c r="G530" s="114"/>
      <c r="H530" s="149"/>
      <c r="I530" s="143"/>
      <c r="J530" s="143"/>
      <c r="K530" s="143"/>
      <c r="L530" s="143"/>
      <c r="M530" s="150"/>
      <c r="N530" s="143"/>
      <c r="O530" s="1"/>
      <c r="P530" s="151"/>
      <c r="Q530" s="143"/>
      <c r="R530" s="143"/>
      <c r="S530" s="143"/>
      <c r="T530" s="143"/>
      <c r="U530" s="143"/>
      <c r="V530" s="143"/>
      <c r="W530" s="143"/>
      <c r="X530" s="143"/>
      <c r="Y530" s="143"/>
      <c r="Z530" s="143"/>
      <c r="AA530" s="143"/>
      <c r="AB530" s="143"/>
      <c r="AC530" s="143"/>
      <c r="AD530" s="143"/>
      <c r="AE530" s="143"/>
      <c r="AF530" s="143"/>
      <c r="AG530" s="143"/>
      <c r="AH530" s="143"/>
      <c r="AI530" s="143"/>
      <c r="AJ530" s="143"/>
    </row>
    <row r="531" spans="1:36" ht="12.75" customHeight="1" x14ac:dyDescent="0.25">
      <c r="A531" s="143"/>
      <c r="B531" s="145"/>
      <c r="C531" s="146"/>
      <c r="D531" s="114"/>
      <c r="E531" s="148"/>
      <c r="F531" s="148"/>
      <c r="G531" s="114"/>
      <c r="H531" s="149"/>
      <c r="I531" s="143"/>
      <c r="J531" s="143"/>
      <c r="K531" s="143"/>
      <c r="L531" s="143"/>
      <c r="M531" s="150"/>
      <c r="N531" s="143"/>
      <c r="O531" s="1"/>
      <c r="P531" s="151"/>
      <c r="Q531" s="143"/>
      <c r="R531" s="143"/>
      <c r="S531" s="143"/>
      <c r="T531" s="143"/>
      <c r="U531" s="143"/>
      <c r="V531" s="143"/>
      <c r="W531" s="143"/>
      <c r="X531" s="143"/>
      <c r="Y531" s="143"/>
      <c r="Z531" s="143"/>
      <c r="AA531" s="143"/>
      <c r="AB531" s="143"/>
      <c r="AC531" s="143"/>
      <c r="AD531" s="143"/>
      <c r="AE531" s="143"/>
      <c r="AF531" s="143"/>
      <c r="AG531" s="143"/>
      <c r="AH531" s="143"/>
      <c r="AI531" s="143"/>
      <c r="AJ531" s="143"/>
    </row>
    <row r="532" spans="1:36" ht="12.75" customHeight="1" x14ac:dyDescent="0.25">
      <c r="A532" s="143"/>
      <c r="B532" s="145"/>
      <c r="C532" s="146"/>
      <c r="D532" s="114"/>
      <c r="E532" s="148"/>
      <c r="F532" s="148"/>
      <c r="G532" s="114"/>
      <c r="H532" s="149"/>
      <c r="I532" s="143"/>
      <c r="J532" s="143"/>
      <c r="K532" s="143"/>
      <c r="L532" s="143"/>
      <c r="M532" s="150"/>
      <c r="N532" s="143"/>
      <c r="O532" s="1"/>
      <c r="P532" s="151"/>
      <c r="Q532" s="143"/>
      <c r="R532" s="143"/>
      <c r="S532" s="143"/>
      <c r="T532" s="143"/>
      <c r="U532" s="143"/>
      <c r="V532" s="143"/>
      <c r="W532" s="143"/>
      <c r="X532" s="143"/>
      <c r="Y532" s="143"/>
      <c r="Z532" s="143"/>
      <c r="AA532" s="143"/>
      <c r="AB532" s="143"/>
      <c r="AC532" s="143"/>
      <c r="AD532" s="143"/>
      <c r="AE532" s="143"/>
      <c r="AF532" s="143"/>
      <c r="AG532" s="143"/>
      <c r="AH532" s="143"/>
      <c r="AI532" s="143"/>
      <c r="AJ532" s="143"/>
    </row>
    <row r="533" spans="1:36" ht="12.75" customHeight="1" x14ac:dyDescent="0.25">
      <c r="A533" s="143"/>
      <c r="B533" s="145"/>
      <c r="C533" s="146"/>
      <c r="D533" s="114"/>
      <c r="E533" s="148"/>
      <c r="F533" s="148"/>
      <c r="G533" s="114"/>
      <c r="H533" s="149"/>
      <c r="I533" s="143"/>
      <c r="J533" s="143"/>
      <c r="K533" s="143"/>
      <c r="L533" s="143"/>
      <c r="M533" s="150"/>
      <c r="N533" s="143"/>
      <c r="O533" s="1"/>
      <c r="P533" s="151"/>
      <c r="Q533" s="143"/>
      <c r="R533" s="143"/>
      <c r="S533" s="143"/>
      <c r="T533" s="143"/>
      <c r="U533" s="143"/>
      <c r="V533" s="143"/>
      <c r="W533" s="143"/>
      <c r="X533" s="143"/>
      <c r="Y533" s="143"/>
      <c r="Z533" s="143"/>
      <c r="AA533" s="143"/>
      <c r="AB533" s="143"/>
      <c r="AC533" s="143"/>
      <c r="AD533" s="143"/>
      <c r="AE533" s="143"/>
      <c r="AF533" s="143"/>
      <c r="AG533" s="143"/>
      <c r="AH533" s="143"/>
      <c r="AI533" s="143"/>
      <c r="AJ533" s="143"/>
    </row>
    <row r="534" spans="1:36" ht="12.75" customHeight="1" x14ac:dyDescent="0.25">
      <c r="A534" s="143"/>
      <c r="B534" s="145"/>
      <c r="C534" s="146"/>
      <c r="D534" s="114"/>
      <c r="E534" s="148"/>
      <c r="F534" s="148"/>
      <c r="G534" s="114"/>
      <c r="H534" s="149"/>
      <c r="I534" s="143"/>
      <c r="J534" s="143"/>
      <c r="K534" s="143"/>
      <c r="L534" s="143"/>
      <c r="M534" s="150"/>
      <c r="N534" s="143"/>
      <c r="O534" s="1"/>
      <c r="P534" s="151"/>
      <c r="Q534" s="143"/>
      <c r="R534" s="143"/>
      <c r="S534" s="143"/>
      <c r="T534" s="143"/>
      <c r="U534" s="143"/>
      <c r="V534" s="143"/>
      <c r="W534" s="143"/>
      <c r="X534" s="143"/>
      <c r="Y534" s="143"/>
      <c r="Z534" s="143"/>
      <c r="AA534" s="143"/>
      <c r="AB534" s="143"/>
      <c r="AC534" s="143"/>
      <c r="AD534" s="143"/>
      <c r="AE534" s="143"/>
      <c r="AF534" s="143"/>
      <c r="AG534" s="143"/>
      <c r="AH534" s="143"/>
      <c r="AI534" s="143"/>
      <c r="AJ534" s="143"/>
    </row>
    <row r="535" spans="1:36" ht="12.75" customHeight="1" x14ac:dyDescent="0.25">
      <c r="A535" s="143"/>
      <c r="B535" s="145"/>
      <c r="C535" s="146"/>
      <c r="D535" s="114"/>
      <c r="E535" s="148"/>
      <c r="F535" s="148"/>
      <c r="G535" s="114"/>
      <c r="H535" s="149"/>
      <c r="I535" s="143"/>
      <c r="J535" s="143"/>
      <c r="K535" s="143"/>
      <c r="L535" s="143"/>
      <c r="M535" s="150"/>
      <c r="N535" s="143"/>
      <c r="O535" s="1"/>
      <c r="P535" s="151"/>
      <c r="Q535" s="143"/>
      <c r="R535" s="143"/>
      <c r="S535" s="143"/>
      <c r="T535" s="143"/>
      <c r="U535" s="143"/>
      <c r="V535" s="143"/>
      <c r="W535" s="143"/>
      <c r="X535" s="143"/>
      <c r="Y535" s="143"/>
      <c r="Z535" s="143"/>
      <c r="AA535" s="143"/>
      <c r="AB535" s="143"/>
      <c r="AC535" s="143"/>
      <c r="AD535" s="143"/>
      <c r="AE535" s="143"/>
      <c r="AF535" s="143"/>
      <c r="AG535" s="143"/>
      <c r="AH535" s="143"/>
      <c r="AI535" s="143"/>
      <c r="AJ535" s="143"/>
    </row>
    <row r="536" spans="1:36" ht="12.75" customHeight="1" x14ac:dyDescent="0.25">
      <c r="A536" s="143"/>
      <c r="B536" s="145"/>
      <c r="C536" s="146"/>
      <c r="D536" s="114"/>
      <c r="E536" s="148"/>
      <c r="F536" s="148"/>
      <c r="G536" s="114"/>
      <c r="H536" s="149"/>
      <c r="I536" s="143"/>
      <c r="J536" s="143"/>
      <c r="K536" s="143"/>
      <c r="L536" s="143"/>
      <c r="M536" s="150"/>
      <c r="N536" s="143"/>
      <c r="O536" s="1"/>
      <c r="P536" s="151"/>
      <c r="Q536" s="143"/>
      <c r="R536" s="143"/>
      <c r="S536" s="143"/>
      <c r="T536" s="143"/>
      <c r="U536" s="143"/>
      <c r="V536" s="143"/>
      <c r="W536" s="143"/>
      <c r="X536" s="143"/>
      <c r="Y536" s="143"/>
      <c r="Z536" s="143"/>
      <c r="AA536" s="143"/>
      <c r="AB536" s="143"/>
      <c r="AC536" s="143"/>
      <c r="AD536" s="143"/>
      <c r="AE536" s="143"/>
      <c r="AF536" s="143"/>
      <c r="AG536" s="143"/>
      <c r="AH536" s="143"/>
      <c r="AI536" s="143"/>
      <c r="AJ536" s="143"/>
    </row>
    <row r="537" spans="1:36" ht="12.75" customHeight="1" x14ac:dyDescent="0.25">
      <c r="A537" s="143"/>
      <c r="B537" s="145"/>
      <c r="C537" s="146"/>
      <c r="D537" s="114"/>
      <c r="E537" s="148"/>
      <c r="F537" s="148"/>
      <c r="G537" s="114"/>
      <c r="H537" s="149"/>
      <c r="I537" s="143"/>
      <c r="J537" s="143"/>
      <c r="K537" s="143"/>
      <c r="L537" s="143"/>
      <c r="M537" s="150"/>
      <c r="N537" s="143"/>
      <c r="O537" s="1"/>
      <c r="P537" s="151"/>
      <c r="Q537" s="143"/>
      <c r="R537" s="143"/>
      <c r="S537" s="143"/>
      <c r="T537" s="143"/>
      <c r="U537" s="143"/>
      <c r="V537" s="143"/>
      <c r="W537" s="143"/>
      <c r="X537" s="143"/>
      <c r="Y537" s="143"/>
      <c r="Z537" s="143"/>
      <c r="AA537" s="143"/>
      <c r="AB537" s="143"/>
      <c r="AC537" s="143"/>
      <c r="AD537" s="143"/>
      <c r="AE537" s="143"/>
      <c r="AF537" s="143"/>
      <c r="AG537" s="143"/>
      <c r="AH537" s="143"/>
      <c r="AI537" s="143"/>
      <c r="AJ537" s="143"/>
    </row>
    <row r="538" spans="1:36" ht="12.75" customHeight="1" x14ac:dyDescent="0.25">
      <c r="A538" s="143"/>
      <c r="B538" s="145"/>
      <c r="C538" s="146"/>
      <c r="D538" s="114"/>
      <c r="E538" s="148"/>
      <c r="F538" s="148"/>
      <c r="G538" s="114"/>
      <c r="H538" s="149"/>
      <c r="I538" s="143"/>
      <c r="J538" s="143"/>
      <c r="K538" s="143"/>
      <c r="L538" s="143"/>
      <c r="M538" s="150"/>
      <c r="N538" s="143"/>
      <c r="O538" s="1"/>
      <c r="P538" s="151"/>
      <c r="Q538" s="143"/>
      <c r="R538" s="143"/>
      <c r="S538" s="143"/>
      <c r="T538" s="143"/>
      <c r="U538" s="143"/>
      <c r="V538" s="143"/>
      <c r="W538" s="143"/>
      <c r="X538" s="143"/>
      <c r="Y538" s="143"/>
      <c r="Z538" s="143"/>
      <c r="AA538" s="143"/>
      <c r="AB538" s="143"/>
      <c r="AC538" s="143"/>
      <c r="AD538" s="143"/>
      <c r="AE538" s="143"/>
      <c r="AF538" s="143"/>
      <c r="AG538" s="143"/>
      <c r="AH538" s="143"/>
      <c r="AI538" s="143"/>
      <c r="AJ538" s="143"/>
    </row>
    <row r="539" spans="1:36" ht="12.75" customHeight="1" x14ac:dyDescent="0.25">
      <c r="A539" s="143"/>
      <c r="B539" s="145"/>
      <c r="C539" s="146"/>
      <c r="D539" s="114"/>
      <c r="E539" s="148"/>
      <c r="F539" s="148"/>
      <c r="G539" s="114"/>
      <c r="H539" s="149"/>
      <c r="I539" s="143"/>
      <c r="J539" s="143"/>
      <c r="K539" s="143"/>
      <c r="L539" s="143"/>
      <c r="M539" s="150"/>
      <c r="N539" s="143"/>
      <c r="O539" s="1"/>
      <c r="P539" s="151"/>
      <c r="Q539" s="143"/>
      <c r="R539" s="143"/>
      <c r="S539" s="143"/>
      <c r="T539" s="143"/>
      <c r="U539" s="143"/>
      <c r="V539" s="143"/>
      <c r="W539" s="143"/>
      <c r="X539" s="143"/>
      <c r="Y539" s="143"/>
      <c r="Z539" s="143"/>
      <c r="AA539" s="143"/>
      <c r="AB539" s="143"/>
      <c r="AC539" s="143"/>
      <c r="AD539" s="143"/>
      <c r="AE539" s="143"/>
      <c r="AF539" s="143"/>
      <c r="AG539" s="143"/>
      <c r="AH539" s="143"/>
      <c r="AI539" s="143"/>
      <c r="AJ539" s="143"/>
    </row>
    <row r="540" spans="1:36" ht="12.75" customHeight="1" x14ac:dyDescent="0.25">
      <c r="A540" s="143"/>
      <c r="B540" s="145"/>
      <c r="C540" s="146"/>
      <c r="D540" s="114"/>
      <c r="E540" s="148"/>
      <c r="F540" s="148"/>
      <c r="G540" s="114"/>
      <c r="H540" s="149"/>
      <c r="I540" s="143"/>
      <c r="J540" s="143"/>
      <c r="K540" s="143"/>
      <c r="L540" s="143"/>
      <c r="M540" s="150"/>
      <c r="N540" s="143"/>
      <c r="O540" s="1"/>
      <c r="P540" s="151"/>
      <c r="Q540" s="143"/>
      <c r="R540" s="143"/>
      <c r="S540" s="143"/>
      <c r="T540" s="143"/>
      <c r="U540" s="143"/>
      <c r="V540" s="143"/>
      <c r="W540" s="143"/>
      <c r="X540" s="143"/>
      <c r="Y540" s="143"/>
      <c r="Z540" s="143"/>
      <c r="AA540" s="143"/>
      <c r="AB540" s="143"/>
      <c r="AC540" s="143"/>
      <c r="AD540" s="143"/>
      <c r="AE540" s="143"/>
      <c r="AF540" s="143"/>
      <c r="AG540" s="143"/>
      <c r="AH540" s="143"/>
      <c r="AI540" s="143"/>
      <c r="AJ540" s="143"/>
    </row>
    <row r="541" spans="1:36" ht="12.75" customHeight="1" x14ac:dyDescent="0.25">
      <c r="A541" s="143"/>
      <c r="B541" s="145"/>
      <c r="C541" s="146"/>
      <c r="D541" s="114"/>
      <c r="E541" s="148"/>
      <c r="F541" s="148"/>
      <c r="G541" s="114"/>
      <c r="H541" s="149"/>
      <c r="I541" s="143"/>
      <c r="J541" s="143"/>
      <c r="K541" s="143"/>
      <c r="L541" s="143"/>
      <c r="M541" s="150"/>
      <c r="N541" s="143"/>
      <c r="O541" s="1"/>
      <c r="P541" s="151"/>
      <c r="Q541" s="143"/>
      <c r="R541" s="143"/>
      <c r="S541" s="143"/>
      <c r="T541" s="143"/>
      <c r="U541" s="143"/>
      <c r="V541" s="143"/>
      <c r="W541" s="143"/>
      <c r="X541" s="143"/>
      <c r="Y541" s="143"/>
      <c r="Z541" s="143"/>
      <c r="AA541" s="143"/>
      <c r="AB541" s="143"/>
      <c r="AC541" s="143"/>
      <c r="AD541" s="143"/>
      <c r="AE541" s="143"/>
      <c r="AF541" s="143"/>
      <c r="AG541" s="143"/>
      <c r="AH541" s="143"/>
      <c r="AI541" s="143"/>
      <c r="AJ541" s="143"/>
    </row>
    <row r="542" spans="1:36" ht="12.75" customHeight="1" x14ac:dyDescent="0.25">
      <c r="A542" s="143"/>
      <c r="B542" s="145"/>
      <c r="C542" s="146"/>
      <c r="D542" s="114"/>
      <c r="E542" s="148"/>
      <c r="F542" s="148"/>
      <c r="G542" s="114"/>
      <c r="H542" s="149"/>
      <c r="I542" s="143"/>
      <c r="J542" s="143"/>
      <c r="K542" s="143"/>
      <c r="L542" s="143"/>
      <c r="M542" s="150"/>
      <c r="N542" s="143"/>
      <c r="O542" s="1"/>
      <c r="P542" s="151"/>
      <c r="Q542" s="143"/>
      <c r="R542" s="143"/>
      <c r="S542" s="143"/>
      <c r="T542" s="143"/>
      <c r="U542" s="143"/>
      <c r="V542" s="143"/>
      <c r="W542" s="143"/>
      <c r="X542" s="143"/>
      <c r="Y542" s="143"/>
      <c r="Z542" s="143"/>
      <c r="AA542" s="143"/>
      <c r="AB542" s="143"/>
      <c r="AC542" s="143"/>
      <c r="AD542" s="143"/>
      <c r="AE542" s="143"/>
      <c r="AF542" s="143"/>
      <c r="AG542" s="143"/>
      <c r="AH542" s="143"/>
      <c r="AI542" s="143"/>
      <c r="AJ542" s="143"/>
    </row>
    <row r="543" spans="1:36" ht="12.75" customHeight="1" x14ac:dyDescent="0.25">
      <c r="A543" s="143"/>
      <c r="B543" s="145"/>
      <c r="C543" s="146"/>
      <c r="D543" s="114"/>
      <c r="E543" s="148"/>
      <c r="F543" s="148"/>
      <c r="G543" s="114"/>
      <c r="H543" s="149"/>
      <c r="I543" s="143"/>
      <c r="J543" s="143"/>
      <c r="K543" s="143"/>
      <c r="L543" s="143"/>
      <c r="M543" s="150"/>
      <c r="N543" s="143"/>
      <c r="O543" s="1"/>
      <c r="P543" s="151"/>
      <c r="Q543" s="143"/>
      <c r="R543" s="143"/>
      <c r="S543" s="143"/>
      <c r="T543" s="143"/>
      <c r="U543" s="143"/>
      <c r="V543" s="143"/>
      <c r="W543" s="143"/>
      <c r="X543" s="143"/>
      <c r="Y543" s="143"/>
      <c r="Z543" s="143"/>
      <c r="AA543" s="143"/>
      <c r="AB543" s="143"/>
      <c r="AC543" s="143"/>
      <c r="AD543" s="143"/>
      <c r="AE543" s="143"/>
      <c r="AF543" s="143"/>
      <c r="AG543" s="143"/>
      <c r="AH543" s="143"/>
      <c r="AI543" s="143"/>
      <c r="AJ543" s="143"/>
    </row>
    <row r="544" spans="1:36" ht="12.75" customHeight="1" x14ac:dyDescent="0.25">
      <c r="A544" s="143"/>
      <c r="B544" s="145"/>
      <c r="C544" s="146"/>
      <c r="D544" s="114"/>
      <c r="E544" s="148"/>
      <c r="F544" s="148"/>
      <c r="G544" s="114"/>
      <c r="H544" s="149"/>
      <c r="I544" s="143"/>
      <c r="J544" s="143"/>
      <c r="K544" s="143"/>
      <c r="L544" s="143"/>
      <c r="M544" s="150"/>
      <c r="N544" s="143"/>
      <c r="O544" s="1"/>
      <c r="P544" s="151"/>
      <c r="Q544" s="143"/>
      <c r="R544" s="143"/>
      <c r="S544" s="143"/>
      <c r="T544" s="143"/>
      <c r="U544" s="143"/>
      <c r="V544" s="143"/>
      <c r="W544" s="143"/>
      <c r="X544" s="143"/>
      <c r="Y544" s="143"/>
      <c r="Z544" s="143"/>
      <c r="AA544" s="143"/>
      <c r="AB544" s="143"/>
      <c r="AC544" s="143"/>
      <c r="AD544" s="143"/>
      <c r="AE544" s="143"/>
      <c r="AF544" s="143"/>
      <c r="AG544" s="143"/>
      <c r="AH544" s="143"/>
      <c r="AI544" s="143"/>
      <c r="AJ544" s="143"/>
    </row>
    <row r="545" spans="1:36" ht="12.75" customHeight="1" x14ac:dyDescent="0.25">
      <c r="A545" s="143"/>
      <c r="B545" s="145"/>
      <c r="C545" s="146"/>
      <c r="D545" s="114"/>
      <c r="E545" s="148"/>
      <c r="F545" s="148"/>
      <c r="G545" s="114"/>
      <c r="H545" s="149"/>
      <c r="I545" s="143"/>
      <c r="J545" s="143"/>
      <c r="K545" s="143"/>
      <c r="L545" s="143"/>
      <c r="M545" s="150"/>
      <c r="N545" s="143"/>
      <c r="O545" s="1"/>
      <c r="P545" s="151"/>
      <c r="Q545" s="143"/>
      <c r="R545" s="143"/>
      <c r="S545" s="143"/>
      <c r="T545" s="143"/>
      <c r="U545" s="143"/>
      <c r="V545" s="143"/>
      <c r="W545" s="143"/>
      <c r="X545" s="143"/>
      <c r="Y545" s="143"/>
      <c r="Z545" s="143"/>
      <c r="AA545" s="143"/>
      <c r="AB545" s="143"/>
      <c r="AC545" s="143"/>
      <c r="AD545" s="143"/>
      <c r="AE545" s="143"/>
      <c r="AF545" s="143"/>
      <c r="AG545" s="143"/>
      <c r="AH545" s="143"/>
      <c r="AI545" s="143"/>
      <c r="AJ545" s="143"/>
    </row>
    <row r="546" spans="1:36" ht="12.75" customHeight="1" x14ac:dyDescent="0.25">
      <c r="A546" s="143"/>
      <c r="B546" s="145"/>
      <c r="C546" s="146"/>
      <c r="D546" s="114"/>
      <c r="E546" s="148"/>
      <c r="F546" s="148"/>
      <c r="G546" s="114"/>
      <c r="H546" s="149"/>
      <c r="I546" s="143"/>
      <c r="J546" s="143"/>
      <c r="K546" s="143"/>
      <c r="L546" s="143"/>
      <c r="M546" s="150"/>
      <c r="N546" s="143"/>
      <c r="O546" s="1"/>
      <c r="P546" s="151"/>
      <c r="Q546" s="143"/>
      <c r="R546" s="143"/>
      <c r="S546" s="143"/>
      <c r="T546" s="143"/>
      <c r="U546" s="143"/>
      <c r="V546" s="143"/>
      <c r="W546" s="143"/>
      <c r="X546" s="143"/>
      <c r="Y546" s="143"/>
      <c r="Z546" s="143"/>
      <c r="AA546" s="143"/>
      <c r="AB546" s="143"/>
      <c r="AC546" s="143"/>
      <c r="AD546" s="143"/>
      <c r="AE546" s="143"/>
      <c r="AF546" s="143"/>
      <c r="AG546" s="143"/>
      <c r="AH546" s="143"/>
      <c r="AI546" s="143"/>
      <c r="AJ546" s="143"/>
    </row>
    <row r="547" spans="1:36" ht="12.75" customHeight="1" x14ac:dyDescent="0.25">
      <c r="A547" s="143"/>
      <c r="B547" s="145"/>
      <c r="C547" s="146"/>
      <c r="D547" s="114"/>
      <c r="E547" s="148"/>
      <c r="F547" s="148"/>
      <c r="G547" s="114"/>
      <c r="H547" s="149"/>
      <c r="I547" s="143"/>
      <c r="J547" s="143"/>
      <c r="K547" s="143"/>
      <c r="L547" s="143"/>
      <c r="M547" s="150"/>
      <c r="N547" s="143"/>
      <c r="O547" s="1"/>
      <c r="P547" s="151"/>
      <c r="Q547" s="143"/>
      <c r="R547" s="143"/>
      <c r="S547" s="143"/>
      <c r="T547" s="143"/>
      <c r="U547" s="143"/>
      <c r="V547" s="143"/>
      <c r="W547" s="143"/>
      <c r="X547" s="143"/>
      <c r="Y547" s="143"/>
      <c r="Z547" s="143"/>
      <c r="AA547" s="143"/>
      <c r="AB547" s="143"/>
      <c r="AC547" s="143"/>
      <c r="AD547" s="143"/>
      <c r="AE547" s="143"/>
      <c r="AF547" s="143"/>
      <c r="AG547" s="143"/>
      <c r="AH547" s="143"/>
      <c r="AI547" s="143"/>
      <c r="AJ547" s="143"/>
    </row>
    <row r="548" spans="1:36" ht="12.75" customHeight="1" x14ac:dyDescent="0.25">
      <c r="A548" s="143"/>
      <c r="B548" s="145"/>
      <c r="C548" s="146"/>
      <c r="D548" s="114"/>
      <c r="E548" s="148"/>
      <c r="F548" s="148"/>
      <c r="G548" s="114"/>
      <c r="H548" s="149"/>
      <c r="I548" s="143"/>
      <c r="J548" s="143"/>
      <c r="K548" s="143"/>
      <c r="L548" s="143"/>
      <c r="M548" s="150"/>
      <c r="N548" s="143"/>
      <c r="O548" s="1"/>
      <c r="P548" s="151"/>
      <c r="Q548" s="143"/>
      <c r="R548" s="143"/>
      <c r="S548" s="143"/>
      <c r="T548" s="143"/>
      <c r="U548" s="143"/>
      <c r="V548" s="143"/>
      <c r="W548" s="143"/>
      <c r="X548" s="143"/>
      <c r="Y548" s="143"/>
      <c r="Z548" s="143"/>
      <c r="AA548" s="143"/>
      <c r="AB548" s="143"/>
      <c r="AC548" s="143"/>
      <c r="AD548" s="143"/>
      <c r="AE548" s="143"/>
      <c r="AF548" s="143"/>
      <c r="AG548" s="143"/>
      <c r="AH548" s="143"/>
      <c r="AI548" s="143"/>
      <c r="AJ548" s="143"/>
    </row>
    <row r="549" spans="1:36" ht="12.75" customHeight="1" x14ac:dyDescent="0.25">
      <c r="A549" s="143"/>
      <c r="B549" s="145"/>
      <c r="C549" s="146"/>
      <c r="D549" s="114"/>
      <c r="E549" s="148"/>
      <c r="F549" s="148"/>
      <c r="G549" s="114"/>
      <c r="H549" s="149"/>
      <c r="I549" s="143"/>
      <c r="J549" s="143"/>
      <c r="K549" s="143"/>
      <c r="L549" s="143"/>
      <c r="M549" s="150"/>
      <c r="N549" s="143"/>
      <c r="O549" s="1"/>
      <c r="P549" s="151"/>
      <c r="Q549" s="143"/>
      <c r="R549" s="143"/>
      <c r="S549" s="143"/>
      <c r="T549" s="143"/>
      <c r="U549" s="143"/>
      <c r="V549" s="143"/>
      <c r="W549" s="143"/>
      <c r="X549" s="143"/>
      <c r="Y549" s="143"/>
      <c r="Z549" s="143"/>
      <c r="AA549" s="143"/>
      <c r="AB549" s="143"/>
      <c r="AC549" s="143"/>
      <c r="AD549" s="143"/>
      <c r="AE549" s="143"/>
      <c r="AF549" s="143"/>
      <c r="AG549" s="143"/>
      <c r="AH549" s="143"/>
      <c r="AI549" s="143"/>
      <c r="AJ549" s="143"/>
    </row>
    <row r="550" spans="1:36" ht="12.75" customHeight="1" x14ac:dyDescent="0.25">
      <c r="A550" s="143"/>
      <c r="B550" s="145"/>
      <c r="C550" s="146"/>
      <c r="D550" s="114"/>
      <c r="E550" s="148"/>
      <c r="F550" s="148"/>
      <c r="G550" s="114"/>
      <c r="H550" s="149"/>
      <c r="I550" s="143"/>
      <c r="J550" s="143"/>
      <c r="K550" s="143"/>
      <c r="L550" s="143"/>
      <c r="M550" s="150"/>
      <c r="N550" s="143"/>
      <c r="O550" s="1"/>
      <c r="P550" s="151"/>
      <c r="Q550" s="143"/>
      <c r="R550" s="143"/>
      <c r="S550" s="143"/>
      <c r="T550" s="143"/>
      <c r="U550" s="143"/>
      <c r="V550" s="143"/>
      <c r="W550" s="143"/>
      <c r="X550" s="143"/>
      <c r="Y550" s="143"/>
      <c r="Z550" s="143"/>
      <c r="AA550" s="143"/>
      <c r="AB550" s="143"/>
      <c r="AC550" s="143"/>
      <c r="AD550" s="143"/>
      <c r="AE550" s="143"/>
      <c r="AF550" s="143"/>
      <c r="AG550" s="143"/>
      <c r="AH550" s="143"/>
      <c r="AI550" s="143"/>
      <c r="AJ550" s="143"/>
    </row>
    <row r="551" spans="1:36" ht="12.75" customHeight="1" x14ac:dyDescent="0.25">
      <c r="A551" s="143"/>
      <c r="B551" s="145"/>
      <c r="C551" s="146"/>
      <c r="D551" s="114"/>
      <c r="E551" s="148"/>
      <c r="F551" s="148"/>
      <c r="G551" s="114"/>
      <c r="H551" s="149"/>
      <c r="I551" s="143"/>
      <c r="J551" s="143"/>
      <c r="K551" s="143"/>
      <c r="L551" s="143"/>
      <c r="M551" s="150"/>
      <c r="N551" s="143"/>
      <c r="O551" s="1"/>
      <c r="P551" s="151"/>
      <c r="Q551" s="143"/>
      <c r="R551" s="143"/>
      <c r="S551" s="143"/>
      <c r="T551" s="143"/>
      <c r="U551" s="143"/>
      <c r="V551" s="143"/>
      <c r="W551" s="143"/>
      <c r="X551" s="143"/>
      <c r="Y551" s="143"/>
      <c r="Z551" s="143"/>
      <c r="AA551" s="143"/>
      <c r="AB551" s="143"/>
      <c r="AC551" s="143"/>
      <c r="AD551" s="143"/>
      <c r="AE551" s="143"/>
      <c r="AF551" s="143"/>
      <c r="AG551" s="143"/>
      <c r="AH551" s="143"/>
      <c r="AI551" s="143"/>
      <c r="AJ551" s="143"/>
    </row>
    <row r="552" spans="1:36" ht="12.75" customHeight="1" x14ac:dyDescent="0.25">
      <c r="A552" s="143"/>
      <c r="B552" s="145"/>
      <c r="C552" s="146"/>
      <c r="D552" s="114"/>
      <c r="E552" s="148"/>
      <c r="F552" s="148"/>
      <c r="G552" s="114"/>
      <c r="H552" s="149"/>
      <c r="I552" s="143"/>
      <c r="J552" s="143"/>
      <c r="K552" s="143"/>
      <c r="L552" s="143"/>
      <c r="M552" s="150"/>
      <c r="N552" s="143"/>
      <c r="O552" s="1"/>
      <c r="P552" s="151"/>
      <c r="Q552" s="143"/>
      <c r="R552" s="143"/>
      <c r="S552" s="143"/>
      <c r="T552" s="143"/>
      <c r="U552" s="143"/>
      <c r="V552" s="143"/>
      <c r="W552" s="143"/>
      <c r="X552" s="143"/>
      <c r="Y552" s="143"/>
      <c r="Z552" s="143"/>
      <c r="AA552" s="143"/>
      <c r="AB552" s="143"/>
      <c r="AC552" s="143"/>
      <c r="AD552" s="143"/>
      <c r="AE552" s="143"/>
      <c r="AF552" s="143"/>
      <c r="AG552" s="143"/>
      <c r="AH552" s="143"/>
      <c r="AI552" s="143"/>
      <c r="AJ552" s="143"/>
    </row>
    <row r="553" spans="1:36" ht="12.75" customHeight="1" x14ac:dyDescent="0.25">
      <c r="A553" s="143"/>
      <c r="B553" s="145"/>
      <c r="C553" s="146"/>
      <c r="D553" s="114"/>
      <c r="E553" s="148"/>
      <c r="F553" s="148"/>
      <c r="G553" s="114"/>
      <c r="H553" s="149"/>
      <c r="I553" s="143"/>
      <c r="J553" s="143"/>
      <c r="K553" s="143"/>
      <c r="L553" s="143"/>
      <c r="M553" s="150"/>
      <c r="N553" s="143"/>
      <c r="O553" s="1"/>
      <c r="P553" s="151"/>
      <c r="Q553" s="143"/>
      <c r="R553" s="143"/>
      <c r="S553" s="143"/>
      <c r="T553" s="143"/>
      <c r="U553" s="143"/>
      <c r="V553" s="143"/>
      <c r="W553" s="143"/>
      <c r="X553" s="143"/>
      <c r="Y553" s="143"/>
      <c r="Z553" s="143"/>
      <c r="AA553" s="143"/>
      <c r="AB553" s="143"/>
      <c r="AC553" s="143"/>
      <c r="AD553" s="143"/>
      <c r="AE553" s="143"/>
      <c r="AF553" s="143"/>
      <c r="AG553" s="143"/>
      <c r="AH553" s="143"/>
      <c r="AI553" s="143"/>
      <c r="AJ553" s="143"/>
    </row>
    <row r="554" spans="1:36" ht="12.75" customHeight="1" x14ac:dyDescent="0.25">
      <c r="A554" s="143"/>
      <c r="B554" s="145"/>
      <c r="C554" s="146"/>
      <c r="D554" s="114"/>
      <c r="E554" s="148"/>
      <c r="F554" s="148"/>
      <c r="G554" s="114"/>
      <c r="H554" s="149"/>
      <c r="I554" s="143"/>
      <c r="J554" s="143"/>
      <c r="K554" s="143"/>
      <c r="L554" s="143"/>
      <c r="M554" s="150"/>
      <c r="N554" s="143"/>
      <c r="O554" s="1"/>
      <c r="P554" s="151"/>
      <c r="Q554" s="143"/>
      <c r="R554" s="143"/>
      <c r="S554" s="143"/>
      <c r="T554" s="143"/>
      <c r="U554" s="143"/>
      <c r="V554" s="143"/>
      <c r="W554" s="143"/>
      <c r="X554" s="143"/>
      <c r="Y554" s="143"/>
      <c r="Z554" s="143"/>
      <c r="AA554" s="143"/>
      <c r="AB554" s="143"/>
      <c r="AC554" s="143"/>
      <c r="AD554" s="143"/>
      <c r="AE554" s="143"/>
      <c r="AF554" s="143"/>
      <c r="AG554" s="143"/>
      <c r="AH554" s="143"/>
      <c r="AI554" s="143"/>
      <c r="AJ554" s="143"/>
    </row>
    <row r="555" spans="1:36" ht="12.75" customHeight="1" x14ac:dyDescent="0.25">
      <c r="A555" s="143"/>
      <c r="B555" s="145"/>
      <c r="C555" s="146"/>
      <c r="D555" s="114"/>
      <c r="E555" s="148"/>
      <c r="F555" s="148"/>
      <c r="G555" s="114"/>
      <c r="H555" s="149"/>
      <c r="I555" s="143"/>
      <c r="J555" s="143"/>
      <c r="K555" s="143"/>
      <c r="L555" s="143"/>
      <c r="M555" s="150"/>
      <c r="N555" s="143"/>
      <c r="O555" s="1"/>
      <c r="P555" s="151"/>
      <c r="Q555" s="143"/>
      <c r="R555" s="143"/>
      <c r="S555" s="143"/>
      <c r="T555" s="143"/>
      <c r="U555" s="143"/>
      <c r="V555" s="143"/>
      <c r="W555" s="143"/>
      <c r="X555" s="143"/>
      <c r="Y555" s="143"/>
      <c r="Z555" s="143"/>
      <c r="AA555" s="143"/>
      <c r="AB555" s="143"/>
      <c r="AC555" s="143"/>
      <c r="AD555" s="143"/>
      <c r="AE555" s="143"/>
      <c r="AF555" s="143"/>
      <c r="AG555" s="143"/>
      <c r="AH555" s="143"/>
      <c r="AI555" s="143"/>
      <c r="AJ555" s="143"/>
    </row>
    <row r="556" spans="1:36" ht="12.75" customHeight="1" x14ac:dyDescent="0.25">
      <c r="A556" s="143"/>
      <c r="B556" s="145"/>
      <c r="C556" s="146"/>
      <c r="D556" s="114"/>
      <c r="E556" s="148"/>
      <c r="F556" s="148"/>
      <c r="G556" s="114"/>
      <c r="H556" s="149"/>
      <c r="I556" s="143"/>
      <c r="J556" s="143"/>
      <c r="K556" s="143"/>
      <c r="L556" s="143"/>
      <c r="M556" s="150"/>
      <c r="N556" s="143"/>
      <c r="O556" s="1"/>
      <c r="P556" s="151"/>
      <c r="Q556" s="143"/>
      <c r="R556" s="143"/>
      <c r="S556" s="143"/>
      <c r="T556" s="143"/>
      <c r="U556" s="143"/>
      <c r="V556" s="143"/>
      <c r="W556" s="143"/>
      <c r="X556" s="143"/>
      <c r="Y556" s="143"/>
      <c r="Z556" s="143"/>
      <c r="AA556" s="143"/>
      <c r="AB556" s="143"/>
      <c r="AC556" s="143"/>
      <c r="AD556" s="143"/>
      <c r="AE556" s="143"/>
      <c r="AF556" s="143"/>
      <c r="AG556" s="143"/>
      <c r="AH556" s="143"/>
      <c r="AI556" s="143"/>
      <c r="AJ556" s="143"/>
    </row>
    <row r="557" spans="1:36" ht="12.75" customHeight="1" x14ac:dyDescent="0.25">
      <c r="A557" s="143"/>
      <c r="B557" s="145"/>
      <c r="C557" s="146"/>
      <c r="D557" s="114"/>
      <c r="E557" s="148"/>
      <c r="F557" s="148"/>
      <c r="G557" s="114"/>
      <c r="H557" s="149"/>
      <c r="I557" s="143"/>
      <c r="J557" s="143"/>
      <c r="K557" s="143"/>
      <c r="L557" s="143"/>
      <c r="M557" s="150"/>
      <c r="N557" s="143"/>
      <c r="O557" s="1"/>
      <c r="P557" s="151"/>
      <c r="Q557" s="143"/>
      <c r="R557" s="143"/>
      <c r="S557" s="143"/>
      <c r="T557" s="143"/>
      <c r="U557" s="143"/>
      <c r="V557" s="143"/>
      <c r="W557" s="143"/>
      <c r="X557" s="143"/>
      <c r="Y557" s="143"/>
      <c r="Z557" s="143"/>
      <c r="AA557" s="143"/>
      <c r="AB557" s="143"/>
      <c r="AC557" s="143"/>
      <c r="AD557" s="143"/>
      <c r="AE557" s="143"/>
      <c r="AF557" s="143"/>
      <c r="AG557" s="143"/>
      <c r="AH557" s="143"/>
      <c r="AI557" s="143"/>
      <c r="AJ557" s="143"/>
    </row>
    <row r="558" spans="1:36" ht="12.75" customHeight="1" x14ac:dyDescent="0.25">
      <c r="A558" s="143"/>
      <c r="B558" s="145"/>
      <c r="C558" s="146"/>
      <c r="D558" s="114"/>
      <c r="E558" s="148"/>
      <c r="F558" s="148"/>
      <c r="G558" s="114"/>
      <c r="H558" s="149"/>
      <c r="I558" s="143"/>
      <c r="J558" s="143"/>
      <c r="K558" s="143"/>
      <c r="L558" s="143"/>
      <c r="M558" s="150"/>
      <c r="N558" s="143"/>
      <c r="O558" s="1"/>
      <c r="P558" s="151"/>
      <c r="Q558" s="143"/>
      <c r="R558" s="143"/>
      <c r="S558" s="143"/>
      <c r="T558" s="143"/>
      <c r="U558" s="143"/>
      <c r="V558" s="143"/>
      <c r="W558" s="143"/>
      <c r="X558" s="143"/>
      <c r="Y558" s="143"/>
      <c r="Z558" s="143"/>
      <c r="AA558" s="143"/>
      <c r="AB558" s="143"/>
      <c r="AC558" s="143"/>
      <c r="AD558" s="143"/>
      <c r="AE558" s="143"/>
      <c r="AF558" s="143"/>
      <c r="AG558" s="143"/>
      <c r="AH558" s="143"/>
      <c r="AI558" s="143"/>
      <c r="AJ558" s="143"/>
    </row>
    <row r="559" spans="1:36" ht="12.75" customHeight="1" x14ac:dyDescent="0.25">
      <c r="A559" s="143"/>
      <c r="B559" s="145"/>
      <c r="C559" s="146"/>
      <c r="D559" s="114"/>
      <c r="E559" s="148"/>
      <c r="F559" s="148"/>
      <c r="G559" s="114"/>
      <c r="H559" s="149"/>
      <c r="I559" s="143"/>
      <c r="J559" s="143"/>
      <c r="K559" s="143"/>
      <c r="L559" s="143"/>
      <c r="M559" s="150"/>
      <c r="N559" s="143"/>
      <c r="O559" s="1"/>
      <c r="P559" s="151"/>
      <c r="Q559" s="143"/>
      <c r="R559" s="143"/>
      <c r="S559" s="143"/>
      <c r="T559" s="143"/>
      <c r="U559" s="143"/>
      <c r="V559" s="143"/>
      <c r="W559" s="143"/>
      <c r="X559" s="143"/>
      <c r="Y559" s="143"/>
      <c r="Z559" s="143"/>
      <c r="AA559" s="143"/>
      <c r="AB559" s="143"/>
      <c r="AC559" s="143"/>
      <c r="AD559" s="143"/>
      <c r="AE559" s="143"/>
      <c r="AF559" s="143"/>
      <c r="AG559" s="143"/>
      <c r="AH559" s="143"/>
      <c r="AI559" s="143"/>
      <c r="AJ559" s="143"/>
    </row>
    <row r="560" spans="1:36" ht="12.75" customHeight="1" x14ac:dyDescent="0.25">
      <c r="A560" s="143"/>
      <c r="B560" s="145"/>
      <c r="C560" s="146"/>
      <c r="D560" s="114"/>
      <c r="E560" s="148"/>
      <c r="F560" s="148"/>
      <c r="G560" s="114"/>
      <c r="H560" s="149"/>
      <c r="I560" s="143"/>
      <c r="J560" s="143"/>
      <c r="K560" s="143"/>
      <c r="L560" s="143"/>
      <c r="M560" s="150"/>
      <c r="N560" s="143"/>
      <c r="O560" s="1"/>
      <c r="P560" s="151"/>
      <c r="Q560" s="143"/>
      <c r="R560" s="143"/>
      <c r="S560" s="143"/>
      <c r="T560" s="143"/>
      <c r="U560" s="143"/>
      <c r="V560" s="143"/>
      <c r="W560" s="143"/>
      <c r="X560" s="143"/>
      <c r="Y560" s="143"/>
      <c r="Z560" s="143"/>
      <c r="AA560" s="143"/>
      <c r="AB560" s="143"/>
      <c r="AC560" s="143"/>
      <c r="AD560" s="143"/>
      <c r="AE560" s="143"/>
      <c r="AF560" s="143"/>
      <c r="AG560" s="143"/>
      <c r="AH560" s="143"/>
      <c r="AI560" s="143"/>
      <c r="AJ560" s="143"/>
    </row>
    <row r="561" spans="1:36" ht="12.75" customHeight="1" x14ac:dyDescent="0.25">
      <c r="A561" s="143"/>
      <c r="B561" s="145"/>
      <c r="C561" s="146"/>
      <c r="D561" s="114"/>
      <c r="E561" s="148"/>
      <c r="F561" s="148"/>
      <c r="G561" s="114"/>
      <c r="H561" s="149"/>
      <c r="I561" s="143"/>
      <c r="J561" s="143"/>
      <c r="K561" s="143"/>
      <c r="L561" s="143"/>
      <c r="M561" s="150"/>
      <c r="N561" s="143"/>
      <c r="O561" s="1"/>
      <c r="P561" s="151"/>
      <c r="Q561" s="143"/>
      <c r="R561" s="143"/>
      <c r="S561" s="143"/>
      <c r="T561" s="143"/>
      <c r="U561" s="143"/>
      <c r="V561" s="143"/>
      <c r="W561" s="143"/>
      <c r="X561" s="143"/>
      <c r="Y561" s="143"/>
      <c r="Z561" s="143"/>
      <c r="AA561" s="143"/>
      <c r="AB561" s="143"/>
      <c r="AC561" s="143"/>
      <c r="AD561" s="143"/>
      <c r="AE561" s="143"/>
      <c r="AF561" s="143"/>
      <c r="AG561" s="143"/>
      <c r="AH561" s="143"/>
      <c r="AI561" s="143"/>
      <c r="AJ561" s="143"/>
    </row>
    <row r="562" spans="1:36" ht="12.75" customHeight="1" x14ac:dyDescent="0.25">
      <c r="A562" s="143"/>
      <c r="B562" s="145"/>
      <c r="C562" s="146"/>
      <c r="D562" s="114"/>
      <c r="E562" s="148"/>
      <c r="F562" s="148"/>
      <c r="G562" s="114"/>
      <c r="H562" s="149"/>
      <c r="I562" s="143"/>
      <c r="J562" s="143"/>
      <c r="K562" s="143"/>
      <c r="L562" s="143"/>
      <c r="M562" s="150"/>
      <c r="N562" s="143"/>
      <c r="O562" s="1"/>
      <c r="P562" s="151"/>
      <c r="Q562" s="143"/>
      <c r="R562" s="143"/>
      <c r="S562" s="143"/>
      <c r="T562" s="143"/>
      <c r="U562" s="143"/>
      <c r="V562" s="143"/>
      <c r="W562" s="143"/>
      <c r="X562" s="143"/>
      <c r="Y562" s="143"/>
      <c r="Z562" s="143"/>
      <c r="AA562" s="143"/>
      <c r="AB562" s="143"/>
      <c r="AC562" s="143"/>
      <c r="AD562" s="143"/>
      <c r="AE562" s="143"/>
      <c r="AF562" s="143"/>
      <c r="AG562" s="143"/>
      <c r="AH562" s="143"/>
      <c r="AI562" s="143"/>
      <c r="AJ562" s="143"/>
    </row>
    <row r="563" spans="1:36" ht="12.75" customHeight="1" x14ac:dyDescent="0.25">
      <c r="A563" s="143"/>
      <c r="B563" s="145"/>
      <c r="C563" s="146"/>
      <c r="D563" s="114"/>
      <c r="E563" s="148"/>
      <c r="F563" s="148"/>
      <c r="G563" s="114"/>
      <c r="H563" s="149"/>
      <c r="I563" s="143"/>
      <c r="J563" s="143"/>
      <c r="K563" s="143"/>
      <c r="L563" s="143"/>
      <c r="M563" s="150"/>
      <c r="N563" s="143"/>
      <c r="O563" s="1"/>
      <c r="P563" s="151"/>
      <c r="Q563" s="143"/>
      <c r="R563" s="143"/>
      <c r="S563" s="143"/>
      <c r="T563" s="143"/>
      <c r="U563" s="143"/>
      <c r="V563" s="143"/>
      <c r="W563" s="143"/>
      <c r="X563" s="143"/>
      <c r="Y563" s="143"/>
      <c r="Z563" s="143"/>
      <c r="AA563" s="143"/>
      <c r="AB563" s="143"/>
      <c r="AC563" s="143"/>
      <c r="AD563" s="143"/>
      <c r="AE563" s="143"/>
      <c r="AF563" s="143"/>
      <c r="AG563" s="143"/>
      <c r="AH563" s="143"/>
      <c r="AI563" s="143"/>
      <c r="AJ563" s="143"/>
    </row>
    <row r="564" spans="1:36" ht="12.75" customHeight="1" x14ac:dyDescent="0.25">
      <c r="A564" s="143"/>
      <c r="B564" s="145"/>
      <c r="C564" s="146"/>
      <c r="D564" s="114"/>
      <c r="E564" s="148"/>
      <c r="F564" s="148"/>
      <c r="G564" s="114"/>
      <c r="H564" s="149"/>
      <c r="I564" s="143"/>
      <c r="J564" s="143"/>
      <c r="K564" s="143"/>
      <c r="L564" s="143"/>
      <c r="M564" s="150"/>
      <c r="N564" s="143"/>
      <c r="O564" s="1"/>
      <c r="P564" s="151"/>
      <c r="Q564" s="143"/>
      <c r="R564" s="143"/>
      <c r="S564" s="143"/>
      <c r="T564" s="143"/>
      <c r="U564" s="143"/>
      <c r="V564" s="143"/>
      <c r="W564" s="143"/>
      <c r="X564" s="143"/>
      <c r="Y564" s="143"/>
      <c r="Z564" s="143"/>
      <c r="AA564" s="143"/>
      <c r="AB564" s="143"/>
      <c r="AC564" s="143"/>
      <c r="AD564" s="143"/>
      <c r="AE564" s="143"/>
      <c r="AF564" s="143"/>
      <c r="AG564" s="143"/>
      <c r="AH564" s="143"/>
      <c r="AI564" s="143"/>
      <c r="AJ564" s="143"/>
    </row>
    <row r="565" spans="1:36" ht="12.75" customHeight="1" x14ac:dyDescent="0.25">
      <c r="A565" s="143"/>
      <c r="B565" s="145"/>
      <c r="C565" s="146"/>
      <c r="D565" s="114"/>
      <c r="E565" s="148"/>
      <c r="F565" s="148"/>
      <c r="G565" s="114"/>
      <c r="H565" s="149"/>
      <c r="I565" s="143"/>
      <c r="J565" s="143"/>
      <c r="K565" s="143"/>
      <c r="L565" s="143"/>
      <c r="M565" s="150"/>
      <c r="N565" s="143"/>
      <c r="O565" s="1"/>
      <c r="P565" s="151"/>
      <c r="Q565" s="143"/>
      <c r="R565" s="143"/>
      <c r="S565" s="143"/>
      <c r="T565" s="143"/>
      <c r="U565" s="143"/>
      <c r="V565" s="143"/>
      <c r="W565" s="143"/>
      <c r="X565" s="143"/>
      <c r="Y565" s="143"/>
      <c r="Z565" s="143"/>
      <c r="AA565" s="143"/>
      <c r="AB565" s="143"/>
      <c r="AC565" s="143"/>
      <c r="AD565" s="143"/>
      <c r="AE565" s="143"/>
      <c r="AF565" s="143"/>
      <c r="AG565" s="143"/>
      <c r="AH565" s="143"/>
      <c r="AI565" s="143"/>
      <c r="AJ565" s="143"/>
    </row>
    <row r="566" spans="1:36" ht="12.75" customHeight="1" x14ac:dyDescent="0.25">
      <c r="A566" s="143"/>
      <c r="B566" s="145"/>
      <c r="C566" s="146"/>
      <c r="D566" s="114"/>
      <c r="E566" s="148"/>
      <c r="F566" s="148"/>
      <c r="G566" s="114"/>
      <c r="H566" s="149"/>
      <c r="I566" s="143"/>
      <c r="J566" s="143"/>
      <c r="K566" s="143"/>
      <c r="L566" s="143"/>
      <c r="M566" s="150"/>
      <c r="N566" s="143"/>
      <c r="O566" s="1"/>
      <c r="P566" s="151"/>
      <c r="Q566" s="143"/>
      <c r="R566" s="143"/>
      <c r="S566" s="143"/>
      <c r="T566" s="143"/>
      <c r="U566" s="143"/>
      <c r="V566" s="143"/>
      <c r="W566" s="143"/>
      <c r="X566" s="143"/>
      <c r="Y566" s="143"/>
      <c r="Z566" s="143"/>
      <c r="AA566" s="143"/>
      <c r="AB566" s="143"/>
      <c r="AC566" s="143"/>
      <c r="AD566" s="143"/>
      <c r="AE566" s="143"/>
      <c r="AF566" s="143"/>
      <c r="AG566" s="143"/>
      <c r="AH566" s="143"/>
      <c r="AI566" s="143"/>
      <c r="AJ566" s="143"/>
    </row>
    <row r="567" spans="1:36" ht="12.75" customHeight="1" x14ac:dyDescent="0.25">
      <c r="A567" s="143"/>
      <c r="B567" s="145"/>
      <c r="C567" s="146"/>
      <c r="D567" s="114"/>
      <c r="E567" s="148"/>
      <c r="F567" s="148"/>
      <c r="G567" s="114"/>
      <c r="H567" s="149"/>
      <c r="I567" s="143"/>
      <c r="J567" s="143"/>
      <c r="K567" s="143"/>
      <c r="L567" s="143"/>
      <c r="M567" s="150"/>
      <c r="N567" s="143"/>
      <c r="O567" s="1"/>
      <c r="P567" s="151"/>
      <c r="Q567" s="143"/>
      <c r="R567" s="143"/>
      <c r="S567" s="143"/>
      <c r="T567" s="143"/>
      <c r="U567" s="143"/>
      <c r="V567" s="143"/>
      <c r="W567" s="143"/>
      <c r="X567" s="143"/>
      <c r="Y567" s="143"/>
      <c r="Z567" s="143"/>
      <c r="AA567" s="143"/>
      <c r="AB567" s="143"/>
      <c r="AC567" s="143"/>
      <c r="AD567" s="143"/>
      <c r="AE567" s="143"/>
      <c r="AF567" s="143"/>
      <c r="AG567" s="143"/>
      <c r="AH567" s="143"/>
      <c r="AI567" s="143"/>
      <c r="AJ567" s="143"/>
    </row>
    <row r="568" spans="1:36" ht="12.75" customHeight="1" x14ac:dyDescent="0.25">
      <c r="A568" s="143"/>
      <c r="B568" s="145"/>
      <c r="C568" s="146"/>
      <c r="D568" s="114"/>
      <c r="E568" s="148"/>
      <c r="F568" s="148"/>
      <c r="G568" s="114"/>
      <c r="H568" s="149"/>
      <c r="I568" s="143"/>
      <c r="J568" s="143"/>
      <c r="K568" s="143"/>
      <c r="L568" s="143"/>
      <c r="M568" s="150"/>
      <c r="N568" s="143"/>
      <c r="O568" s="1"/>
      <c r="P568" s="151"/>
      <c r="Q568" s="143"/>
      <c r="R568" s="143"/>
      <c r="S568" s="143"/>
      <c r="T568" s="143"/>
      <c r="U568" s="143"/>
      <c r="V568" s="143"/>
      <c r="W568" s="143"/>
      <c r="X568" s="143"/>
      <c r="Y568" s="143"/>
      <c r="Z568" s="143"/>
      <c r="AA568" s="143"/>
      <c r="AB568" s="143"/>
      <c r="AC568" s="143"/>
      <c r="AD568" s="143"/>
      <c r="AE568" s="143"/>
      <c r="AF568" s="143"/>
      <c r="AG568" s="143"/>
      <c r="AH568" s="143"/>
      <c r="AI568" s="143"/>
      <c r="AJ568" s="143"/>
    </row>
    <row r="569" spans="1:36" ht="12.75" customHeight="1" x14ac:dyDescent="0.25">
      <c r="A569" s="143"/>
      <c r="B569" s="145"/>
      <c r="C569" s="146"/>
      <c r="D569" s="114"/>
      <c r="E569" s="148"/>
      <c r="F569" s="148"/>
      <c r="G569" s="114"/>
      <c r="H569" s="149"/>
      <c r="I569" s="143"/>
      <c r="J569" s="143"/>
      <c r="K569" s="143"/>
      <c r="L569" s="143"/>
      <c r="M569" s="150"/>
      <c r="N569" s="143"/>
      <c r="O569" s="1"/>
      <c r="P569" s="151"/>
      <c r="Q569" s="143"/>
      <c r="R569" s="143"/>
      <c r="S569" s="143"/>
      <c r="T569" s="143"/>
      <c r="U569" s="143"/>
      <c r="V569" s="143"/>
      <c r="W569" s="143"/>
      <c r="X569" s="143"/>
      <c r="Y569" s="143"/>
      <c r="Z569" s="143"/>
      <c r="AA569" s="143"/>
      <c r="AB569" s="143"/>
      <c r="AC569" s="143"/>
      <c r="AD569" s="143"/>
      <c r="AE569" s="143"/>
      <c r="AF569" s="143"/>
      <c r="AG569" s="143"/>
      <c r="AH569" s="143"/>
      <c r="AI569" s="143"/>
      <c r="AJ569" s="143"/>
    </row>
    <row r="570" spans="1:36" ht="12.75" customHeight="1" x14ac:dyDescent="0.25">
      <c r="A570" s="143"/>
      <c r="B570" s="145"/>
      <c r="C570" s="146"/>
      <c r="D570" s="114"/>
      <c r="E570" s="148"/>
      <c r="F570" s="148"/>
      <c r="G570" s="114"/>
      <c r="H570" s="149"/>
      <c r="I570" s="143"/>
      <c r="J570" s="143"/>
      <c r="K570" s="143"/>
      <c r="L570" s="143"/>
      <c r="M570" s="150"/>
      <c r="N570" s="143"/>
      <c r="O570" s="1"/>
      <c r="P570" s="151"/>
      <c r="Q570" s="143"/>
      <c r="R570" s="143"/>
      <c r="S570" s="143"/>
      <c r="T570" s="143"/>
      <c r="U570" s="143"/>
      <c r="V570" s="143"/>
      <c r="W570" s="143"/>
      <c r="X570" s="143"/>
      <c r="Y570" s="143"/>
      <c r="Z570" s="143"/>
      <c r="AA570" s="143"/>
      <c r="AB570" s="143"/>
      <c r="AC570" s="143"/>
      <c r="AD570" s="143"/>
      <c r="AE570" s="143"/>
      <c r="AF570" s="143"/>
      <c r="AG570" s="143"/>
      <c r="AH570" s="143"/>
      <c r="AI570" s="143"/>
      <c r="AJ570" s="143"/>
    </row>
    <row r="571" spans="1:36" ht="12.75" customHeight="1" x14ac:dyDescent="0.25">
      <c r="A571" s="143"/>
      <c r="B571" s="145"/>
      <c r="C571" s="146"/>
      <c r="D571" s="114"/>
      <c r="E571" s="148"/>
      <c r="F571" s="148"/>
      <c r="G571" s="114"/>
      <c r="H571" s="149"/>
      <c r="I571" s="143"/>
      <c r="J571" s="143"/>
      <c r="K571" s="143"/>
      <c r="L571" s="143"/>
      <c r="M571" s="150"/>
      <c r="N571" s="143"/>
      <c r="O571" s="1"/>
      <c r="P571" s="151"/>
      <c r="Q571" s="143"/>
      <c r="R571" s="143"/>
      <c r="S571" s="143"/>
      <c r="T571" s="143"/>
      <c r="U571" s="143"/>
      <c r="V571" s="143"/>
      <c r="W571" s="143"/>
      <c r="X571" s="143"/>
      <c r="Y571" s="143"/>
      <c r="Z571" s="143"/>
      <c r="AA571" s="143"/>
      <c r="AB571" s="143"/>
      <c r="AC571" s="143"/>
      <c r="AD571" s="143"/>
      <c r="AE571" s="143"/>
      <c r="AF571" s="143"/>
      <c r="AG571" s="143"/>
      <c r="AH571" s="143"/>
      <c r="AI571" s="143"/>
      <c r="AJ571" s="143"/>
    </row>
    <row r="572" spans="1:36" ht="12.75" customHeight="1" x14ac:dyDescent="0.25">
      <c r="A572" s="143"/>
      <c r="B572" s="145"/>
      <c r="C572" s="146"/>
      <c r="D572" s="114"/>
      <c r="E572" s="148"/>
      <c r="F572" s="148"/>
      <c r="G572" s="114"/>
      <c r="H572" s="149"/>
      <c r="I572" s="143"/>
      <c r="J572" s="143"/>
      <c r="K572" s="143"/>
      <c r="L572" s="143"/>
      <c r="M572" s="150"/>
      <c r="N572" s="143"/>
      <c r="O572" s="1"/>
      <c r="P572" s="151"/>
      <c r="Q572" s="143"/>
      <c r="R572" s="143"/>
      <c r="S572" s="143"/>
      <c r="T572" s="143"/>
      <c r="U572" s="143"/>
      <c r="V572" s="143"/>
      <c r="W572" s="143"/>
      <c r="X572" s="143"/>
      <c r="Y572" s="143"/>
      <c r="Z572" s="143"/>
      <c r="AA572" s="143"/>
      <c r="AB572" s="143"/>
      <c r="AC572" s="143"/>
      <c r="AD572" s="143"/>
      <c r="AE572" s="143"/>
      <c r="AF572" s="143"/>
      <c r="AG572" s="143"/>
      <c r="AH572" s="143"/>
      <c r="AI572" s="143"/>
      <c r="AJ572" s="143"/>
    </row>
    <row r="573" spans="1:36" ht="12.75" customHeight="1" x14ac:dyDescent="0.25">
      <c r="A573" s="143"/>
      <c r="B573" s="145"/>
      <c r="C573" s="146"/>
      <c r="D573" s="114"/>
      <c r="E573" s="148"/>
      <c r="F573" s="148"/>
      <c r="G573" s="114"/>
      <c r="H573" s="149"/>
      <c r="I573" s="143"/>
      <c r="J573" s="143"/>
      <c r="K573" s="143"/>
      <c r="L573" s="143"/>
      <c r="M573" s="150"/>
      <c r="N573" s="143"/>
      <c r="O573" s="1"/>
      <c r="P573" s="151"/>
      <c r="Q573" s="143"/>
      <c r="R573" s="143"/>
      <c r="S573" s="143"/>
      <c r="T573" s="143"/>
      <c r="U573" s="143"/>
      <c r="V573" s="143"/>
      <c r="W573" s="143"/>
      <c r="X573" s="143"/>
      <c r="Y573" s="143"/>
      <c r="Z573" s="143"/>
      <c r="AA573" s="143"/>
      <c r="AB573" s="143"/>
      <c r="AC573" s="143"/>
      <c r="AD573" s="143"/>
      <c r="AE573" s="143"/>
      <c r="AF573" s="143"/>
      <c r="AG573" s="143"/>
      <c r="AH573" s="143"/>
      <c r="AI573" s="143"/>
      <c r="AJ573" s="143"/>
    </row>
    <row r="574" spans="1:36" ht="12.75" customHeight="1" x14ac:dyDescent="0.25">
      <c r="A574" s="143"/>
      <c r="B574" s="145"/>
      <c r="C574" s="146"/>
      <c r="D574" s="114"/>
      <c r="E574" s="148"/>
      <c r="F574" s="148"/>
      <c r="G574" s="114"/>
      <c r="H574" s="149"/>
      <c r="I574" s="143"/>
      <c r="J574" s="143"/>
      <c r="K574" s="143"/>
      <c r="L574" s="143"/>
      <c r="M574" s="150"/>
      <c r="N574" s="143"/>
      <c r="O574" s="1"/>
      <c r="P574" s="151"/>
      <c r="Q574" s="143"/>
      <c r="R574" s="143"/>
      <c r="S574" s="143"/>
      <c r="T574" s="143"/>
      <c r="U574" s="143"/>
      <c r="V574" s="143"/>
      <c r="W574" s="143"/>
      <c r="X574" s="143"/>
      <c r="Y574" s="143"/>
      <c r="Z574" s="143"/>
      <c r="AA574" s="143"/>
      <c r="AB574" s="143"/>
      <c r="AC574" s="143"/>
      <c r="AD574" s="143"/>
      <c r="AE574" s="143"/>
      <c r="AF574" s="143"/>
      <c r="AG574" s="143"/>
      <c r="AH574" s="143"/>
      <c r="AI574" s="143"/>
      <c r="AJ574" s="143"/>
    </row>
    <row r="575" spans="1:36" ht="12.75" customHeight="1" x14ac:dyDescent="0.25">
      <c r="A575" s="143"/>
      <c r="B575" s="145"/>
      <c r="C575" s="146"/>
      <c r="D575" s="114"/>
      <c r="E575" s="148"/>
      <c r="F575" s="148"/>
      <c r="G575" s="114"/>
      <c r="H575" s="149"/>
      <c r="I575" s="143"/>
      <c r="J575" s="143"/>
      <c r="K575" s="143"/>
      <c r="L575" s="143"/>
      <c r="M575" s="150"/>
      <c r="N575" s="143"/>
      <c r="O575" s="1"/>
      <c r="P575" s="151"/>
      <c r="Q575" s="143"/>
      <c r="R575" s="143"/>
      <c r="S575" s="143"/>
      <c r="T575" s="143"/>
      <c r="U575" s="143"/>
      <c r="V575" s="143"/>
      <c r="W575" s="143"/>
      <c r="X575" s="143"/>
      <c r="Y575" s="143"/>
      <c r="Z575" s="143"/>
      <c r="AA575" s="143"/>
      <c r="AB575" s="143"/>
      <c r="AC575" s="143"/>
      <c r="AD575" s="143"/>
      <c r="AE575" s="143"/>
      <c r="AF575" s="143"/>
      <c r="AG575" s="143"/>
      <c r="AH575" s="143"/>
      <c r="AI575" s="143"/>
      <c r="AJ575" s="143"/>
    </row>
    <row r="576" spans="1:36" ht="12.75" customHeight="1" x14ac:dyDescent="0.25">
      <c r="A576" s="143"/>
      <c r="B576" s="145"/>
      <c r="C576" s="146"/>
      <c r="D576" s="114"/>
      <c r="E576" s="148"/>
      <c r="F576" s="148"/>
      <c r="G576" s="114"/>
      <c r="H576" s="149"/>
      <c r="I576" s="143"/>
      <c r="J576" s="143"/>
      <c r="K576" s="143"/>
      <c r="L576" s="143"/>
      <c r="M576" s="150"/>
      <c r="N576" s="143"/>
      <c r="O576" s="1"/>
      <c r="P576" s="151"/>
      <c r="Q576" s="143"/>
      <c r="R576" s="143"/>
      <c r="S576" s="143"/>
      <c r="T576" s="143"/>
      <c r="U576" s="143"/>
      <c r="V576" s="143"/>
      <c r="W576" s="143"/>
      <c r="X576" s="143"/>
      <c r="Y576" s="143"/>
      <c r="Z576" s="143"/>
      <c r="AA576" s="143"/>
      <c r="AB576" s="143"/>
      <c r="AC576" s="143"/>
      <c r="AD576" s="143"/>
      <c r="AE576" s="143"/>
      <c r="AF576" s="143"/>
      <c r="AG576" s="143"/>
      <c r="AH576" s="143"/>
      <c r="AI576" s="143"/>
      <c r="AJ576" s="143"/>
    </row>
    <row r="577" spans="1:36" ht="12.75" customHeight="1" x14ac:dyDescent="0.25">
      <c r="A577" s="143"/>
      <c r="B577" s="145"/>
      <c r="C577" s="146"/>
      <c r="D577" s="114"/>
      <c r="E577" s="148"/>
      <c r="F577" s="148"/>
      <c r="G577" s="114"/>
      <c r="H577" s="149"/>
      <c r="I577" s="143"/>
      <c r="J577" s="143"/>
      <c r="K577" s="143"/>
      <c r="L577" s="143"/>
      <c r="M577" s="150"/>
      <c r="N577" s="143"/>
      <c r="O577" s="1"/>
      <c r="P577" s="151"/>
      <c r="Q577" s="143"/>
      <c r="R577" s="143"/>
      <c r="S577" s="143"/>
      <c r="T577" s="143"/>
      <c r="U577" s="143"/>
      <c r="V577" s="143"/>
      <c r="W577" s="143"/>
      <c r="X577" s="143"/>
      <c r="Y577" s="143"/>
      <c r="Z577" s="143"/>
      <c r="AA577" s="143"/>
      <c r="AB577" s="143"/>
      <c r="AC577" s="143"/>
      <c r="AD577" s="143"/>
      <c r="AE577" s="143"/>
      <c r="AF577" s="143"/>
      <c r="AG577" s="143"/>
      <c r="AH577" s="143"/>
      <c r="AI577" s="143"/>
      <c r="AJ577" s="143"/>
    </row>
    <row r="578" spans="1:36" ht="12.75" customHeight="1" x14ac:dyDescent="0.25">
      <c r="A578" s="143"/>
      <c r="B578" s="145"/>
      <c r="C578" s="146"/>
      <c r="D578" s="114"/>
      <c r="E578" s="148"/>
      <c r="F578" s="148"/>
      <c r="G578" s="114"/>
      <c r="H578" s="149"/>
      <c r="I578" s="143"/>
      <c r="J578" s="143"/>
      <c r="K578" s="143"/>
      <c r="L578" s="143"/>
      <c r="M578" s="150"/>
      <c r="N578" s="143"/>
      <c r="O578" s="1"/>
      <c r="P578" s="151"/>
      <c r="Q578" s="143"/>
      <c r="R578" s="143"/>
      <c r="S578" s="143"/>
      <c r="T578" s="143"/>
      <c r="U578" s="143"/>
      <c r="V578" s="143"/>
      <c r="W578" s="143"/>
      <c r="X578" s="143"/>
      <c r="Y578" s="143"/>
      <c r="Z578" s="143"/>
      <c r="AA578" s="143"/>
      <c r="AB578" s="143"/>
      <c r="AC578" s="143"/>
      <c r="AD578" s="143"/>
      <c r="AE578" s="143"/>
      <c r="AF578" s="143"/>
      <c r="AG578" s="143"/>
      <c r="AH578" s="143"/>
      <c r="AI578" s="143"/>
      <c r="AJ578" s="143"/>
    </row>
    <row r="579" spans="1:36" ht="12.75" customHeight="1" x14ac:dyDescent="0.25">
      <c r="A579" s="143"/>
      <c r="B579" s="145"/>
      <c r="C579" s="146"/>
      <c r="D579" s="114"/>
      <c r="E579" s="148"/>
      <c r="F579" s="148"/>
      <c r="G579" s="114"/>
      <c r="H579" s="149"/>
      <c r="I579" s="143"/>
      <c r="J579" s="143"/>
      <c r="K579" s="143"/>
      <c r="L579" s="143"/>
      <c r="M579" s="150"/>
      <c r="N579" s="143"/>
      <c r="O579" s="1"/>
      <c r="P579" s="151"/>
      <c r="Q579" s="143"/>
      <c r="R579" s="143"/>
      <c r="S579" s="143"/>
      <c r="T579" s="143"/>
      <c r="U579" s="143"/>
      <c r="V579" s="143"/>
      <c r="W579" s="143"/>
      <c r="X579" s="143"/>
      <c r="Y579" s="143"/>
      <c r="Z579" s="143"/>
      <c r="AA579" s="143"/>
      <c r="AB579" s="143"/>
      <c r="AC579" s="143"/>
      <c r="AD579" s="143"/>
      <c r="AE579" s="143"/>
      <c r="AF579" s="143"/>
      <c r="AG579" s="143"/>
      <c r="AH579" s="143"/>
      <c r="AI579" s="143"/>
      <c r="AJ579" s="143"/>
    </row>
    <row r="580" spans="1:36" ht="12.75" customHeight="1" x14ac:dyDescent="0.25">
      <c r="A580" s="143"/>
      <c r="B580" s="145"/>
      <c r="C580" s="146"/>
      <c r="D580" s="114"/>
      <c r="E580" s="148"/>
      <c r="F580" s="148"/>
      <c r="G580" s="114"/>
      <c r="H580" s="149"/>
      <c r="I580" s="143"/>
      <c r="J580" s="143"/>
      <c r="K580" s="143"/>
      <c r="L580" s="143"/>
      <c r="M580" s="150"/>
      <c r="N580" s="143"/>
      <c r="O580" s="1"/>
      <c r="P580" s="151"/>
      <c r="Q580" s="143"/>
      <c r="R580" s="143"/>
      <c r="S580" s="143"/>
      <c r="T580" s="143"/>
      <c r="U580" s="143"/>
      <c r="V580" s="143"/>
      <c r="W580" s="143"/>
      <c r="X580" s="143"/>
      <c r="Y580" s="143"/>
      <c r="Z580" s="143"/>
      <c r="AA580" s="143"/>
      <c r="AB580" s="143"/>
      <c r="AC580" s="143"/>
      <c r="AD580" s="143"/>
      <c r="AE580" s="143"/>
      <c r="AF580" s="143"/>
      <c r="AG580" s="143"/>
      <c r="AH580" s="143"/>
      <c r="AI580" s="143"/>
      <c r="AJ580" s="143"/>
    </row>
    <row r="581" spans="1:36" ht="12.75" customHeight="1" x14ac:dyDescent="0.25">
      <c r="A581" s="143"/>
      <c r="B581" s="145"/>
      <c r="C581" s="146"/>
      <c r="D581" s="114"/>
      <c r="E581" s="148"/>
      <c r="F581" s="148"/>
      <c r="G581" s="114"/>
      <c r="H581" s="149"/>
      <c r="I581" s="143"/>
      <c r="J581" s="143"/>
      <c r="K581" s="143"/>
      <c r="L581" s="143"/>
      <c r="M581" s="150"/>
      <c r="N581" s="143"/>
      <c r="O581" s="1"/>
      <c r="P581" s="151"/>
      <c r="Q581" s="143"/>
      <c r="R581" s="143"/>
      <c r="S581" s="143"/>
      <c r="T581" s="143"/>
      <c r="U581" s="143"/>
      <c r="V581" s="143"/>
      <c r="W581" s="143"/>
      <c r="X581" s="143"/>
      <c r="Y581" s="143"/>
      <c r="Z581" s="143"/>
      <c r="AA581" s="143"/>
      <c r="AB581" s="143"/>
      <c r="AC581" s="143"/>
      <c r="AD581" s="143"/>
      <c r="AE581" s="143"/>
      <c r="AF581" s="143"/>
      <c r="AG581" s="143"/>
      <c r="AH581" s="143"/>
      <c r="AI581" s="143"/>
      <c r="AJ581" s="143"/>
    </row>
    <row r="582" spans="1:36" ht="12.75" customHeight="1" x14ac:dyDescent="0.25">
      <c r="A582" s="143"/>
      <c r="B582" s="145"/>
      <c r="C582" s="146"/>
      <c r="D582" s="114"/>
      <c r="E582" s="148"/>
      <c r="F582" s="148"/>
      <c r="G582" s="114"/>
      <c r="H582" s="149"/>
      <c r="I582" s="143"/>
      <c r="J582" s="143"/>
      <c r="K582" s="143"/>
      <c r="L582" s="143"/>
      <c r="M582" s="150"/>
      <c r="N582" s="143"/>
      <c r="O582" s="1"/>
      <c r="P582" s="151"/>
      <c r="Q582" s="143"/>
      <c r="R582" s="143"/>
      <c r="S582" s="143"/>
      <c r="T582" s="143"/>
      <c r="U582" s="143"/>
      <c r="V582" s="143"/>
      <c r="W582" s="143"/>
      <c r="X582" s="143"/>
      <c r="Y582" s="143"/>
      <c r="Z582" s="143"/>
      <c r="AA582" s="143"/>
      <c r="AB582" s="143"/>
      <c r="AC582" s="143"/>
      <c r="AD582" s="143"/>
      <c r="AE582" s="143"/>
      <c r="AF582" s="143"/>
      <c r="AG582" s="143"/>
      <c r="AH582" s="143"/>
      <c r="AI582" s="143"/>
      <c r="AJ582" s="143"/>
    </row>
    <row r="583" spans="1:36" ht="12.75" customHeight="1" x14ac:dyDescent="0.25">
      <c r="A583" s="143"/>
      <c r="B583" s="145"/>
      <c r="C583" s="146"/>
      <c r="D583" s="114"/>
      <c r="E583" s="148"/>
      <c r="F583" s="148"/>
      <c r="G583" s="114"/>
      <c r="H583" s="149"/>
      <c r="I583" s="143"/>
      <c r="J583" s="143"/>
      <c r="K583" s="143"/>
      <c r="L583" s="143"/>
      <c r="M583" s="150"/>
      <c r="N583" s="143"/>
      <c r="O583" s="1"/>
      <c r="P583" s="151"/>
      <c r="Q583" s="143"/>
      <c r="R583" s="143"/>
      <c r="S583" s="143"/>
      <c r="T583" s="143"/>
      <c r="U583" s="143"/>
      <c r="V583" s="143"/>
      <c r="W583" s="143"/>
      <c r="X583" s="143"/>
      <c r="Y583" s="143"/>
      <c r="Z583" s="143"/>
      <c r="AA583" s="143"/>
      <c r="AB583" s="143"/>
      <c r="AC583" s="143"/>
      <c r="AD583" s="143"/>
      <c r="AE583" s="143"/>
      <c r="AF583" s="143"/>
      <c r="AG583" s="143"/>
      <c r="AH583" s="143"/>
      <c r="AI583" s="143"/>
      <c r="AJ583" s="143"/>
    </row>
    <row r="584" spans="1:36" ht="12.75" customHeight="1" x14ac:dyDescent="0.25">
      <c r="A584" s="143"/>
      <c r="B584" s="145"/>
      <c r="C584" s="146"/>
      <c r="D584" s="114"/>
      <c r="E584" s="148"/>
      <c r="F584" s="148"/>
      <c r="G584" s="114"/>
      <c r="H584" s="149"/>
      <c r="I584" s="143"/>
      <c r="J584" s="143"/>
      <c r="K584" s="143"/>
      <c r="L584" s="143"/>
      <c r="M584" s="150"/>
      <c r="N584" s="143"/>
      <c r="O584" s="1"/>
      <c r="P584" s="151"/>
      <c r="Q584" s="143"/>
      <c r="R584" s="143"/>
      <c r="S584" s="143"/>
      <c r="T584" s="143"/>
      <c r="U584" s="143"/>
      <c r="V584" s="143"/>
      <c r="W584" s="143"/>
      <c r="X584" s="143"/>
      <c r="Y584" s="143"/>
      <c r="Z584" s="143"/>
      <c r="AA584" s="143"/>
      <c r="AB584" s="143"/>
      <c r="AC584" s="143"/>
      <c r="AD584" s="143"/>
      <c r="AE584" s="143"/>
      <c r="AF584" s="143"/>
      <c r="AG584" s="143"/>
      <c r="AH584" s="143"/>
      <c r="AI584" s="143"/>
      <c r="AJ584" s="143"/>
    </row>
    <row r="585" spans="1:36" ht="12.75" customHeight="1" x14ac:dyDescent="0.25">
      <c r="A585" s="143"/>
      <c r="B585" s="145"/>
      <c r="C585" s="146"/>
      <c r="D585" s="114"/>
      <c r="E585" s="148"/>
      <c r="F585" s="148"/>
      <c r="G585" s="114"/>
      <c r="H585" s="149"/>
      <c r="I585" s="143"/>
      <c r="J585" s="143"/>
      <c r="K585" s="143"/>
      <c r="L585" s="143"/>
      <c r="M585" s="150"/>
      <c r="N585" s="143"/>
      <c r="O585" s="1"/>
      <c r="P585" s="151"/>
      <c r="Q585" s="143"/>
      <c r="R585" s="143"/>
      <c r="S585" s="143"/>
      <c r="T585" s="143"/>
      <c r="U585" s="143"/>
      <c r="V585" s="143"/>
      <c r="W585" s="143"/>
      <c r="X585" s="143"/>
      <c r="Y585" s="143"/>
      <c r="Z585" s="143"/>
      <c r="AA585" s="143"/>
      <c r="AB585" s="143"/>
      <c r="AC585" s="143"/>
      <c r="AD585" s="143"/>
      <c r="AE585" s="143"/>
      <c r="AF585" s="143"/>
      <c r="AG585" s="143"/>
      <c r="AH585" s="143"/>
      <c r="AI585" s="143"/>
      <c r="AJ585" s="143"/>
    </row>
    <row r="586" spans="1:36" ht="12.75" customHeight="1" x14ac:dyDescent="0.25">
      <c r="A586" s="143"/>
      <c r="B586" s="145"/>
      <c r="C586" s="146"/>
      <c r="D586" s="114"/>
      <c r="E586" s="148"/>
      <c r="F586" s="148"/>
      <c r="G586" s="114"/>
      <c r="H586" s="149"/>
      <c r="I586" s="143"/>
      <c r="J586" s="143"/>
      <c r="K586" s="143"/>
      <c r="L586" s="143"/>
      <c r="M586" s="150"/>
      <c r="N586" s="143"/>
      <c r="O586" s="1"/>
      <c r="P586" s="151"/>
      <c r="Q586" s="143"/>
      <c r="R586" s="143"/>
      <c r="S586" s="143"/>
      <c r="T586" s="143"/>
      <c r="U586" s="143"/>
      <c r="V586" s="143"/>
      <c r="W586" s="143"/>
      <c r="X586" s="143"/>
      <c r="Y586" s="143"/>
      <c r="Z586" s="143"/>
      <c r="AA586" s="143"/>
      <c r="AB586" s="143"/>
      <c r="AC586" s="143"/>
      <c r="AD586" s="143"/>
      <c r="AE586" s="143"/>
      <c r="AF586" s="143"/>
      <c r="AG586" s="143"/>
      <c r="AH586" s="143"/>
      <c r="AI586" s="143"/>
      <c r="AJ586" s="143"/>
    </row>
    <row r="587" spans="1:36" ht="12.75" customHeight="1" x14ac:dyDescent="0.25">
      <c r="A587" s="143"/>
      <c r="B587" s="145"/>
      <c r="C587" s="146"/>
      <c r="D587" s="114"/>
      <c r="E587" s="148"/>
      <c r="F587" s="148"/>
      <c r="G587" s="114"/>
      <c r="H587" s="149"/>
      <c r="I587" s="143"/>
      <c r="J587" s="143"/>
      <c r="K587" s="143"/>
      <c r="L587" s="143"/>
      <c r="M587" s="150"/>
      <c r="N587" s="143"/>
      <c r="O587" s="1"/>
      <c r="P587" s="151"/>
      <c r="Q587" s="143"/>
      <c r="R587" s="143"/>
      <c r="S587" s="143"/>
      <c r="T587" s="143"/>
      <c r="U587" s="143"/>
      <c r="V587" s="143"/>
      <c r="W587" s="143"/>
      <c r="X587" s="143"/>
      <c r="Y587" s="143"/>
      <c r="Z587" s="143"/>
      <c r="AA587" s="143"/>
      <c r="AB587" s="143"/>
      <c r="AC587" s="143"/>
      <c r="AD587" s="143"/>
      <c r="AE587" s="143"/>
      <c r="AF587" s="143"/>
      <c r="AG587" s="143"/>
      <c r="AH587" s="143"/>
      <c r="AI587" s="143"/>
      <c r="AJ587" s="143"/>
    </row>
    <row r="588" spans="1:36" ht="12.75" customHeight="1" x14ac:dyDescent="0.25">
      <c r="A588" s="143"/>
      <c r="B588" s="145"/>
      <c r="C588" s="146"/>
      <c r="D588" s="114"/>
      <c r="E588" s="148"/>
      <c r="F588" s="148"/>
      <c r="G588" s="114"/>
      <c r="H588" s="149"/>
      <c r="I588" s="143"/>
      <c r="J588" s="143"/>
      <c r="K588" s="143"/>
      <c r="L588" s="143"/>
      <c r="M588" s="150"/>
      <c r="N588" s="143"/>
      <c r="O588" s="1"/>
      <c r="P588" s="151"/>
      <c r="Q588" s="143"/>
      <c r="R588" s="143"/>
      <c r="S588" s="143"/>
      <c r="T588" s="143"/>
      <c r="U588" s="143"/>
      <c r="V588" s="143"/>
      <c r="W588" s="143"/>
      <c r="X588" s="143"/>
      <c r="Y588" s="143"/>
      <c r="Z588" s="143"/>
      <c r="AA588" s="143"/>
      <c r="AB588" s="143"/>
      <c r="AC588" s="143"/>
      <c r="AD588" s="143"/>
      <c r="AE588" s="143"/>
      <c r="AF588" s="143"/>
      <c r="AG588" s="143"/>
      <c r="AH588" s="143"/>
      <c r="AI588" s="143"/>
      <c r="AJ588" s="143"/>
    </row>
    <row r="589" spans="1:36" ht="12.75" customHeight="1" x14ac:dyDescent="0.25">
      <c r="A589" s="143"/>
      <c r="B589" s="145"/>
      <c r="C589" s="146"/>
      <c r="D589" s="114"/>
      <c r="E589" s="148"/>
      <c r="F589" s="148"/>
      <c r="G589" s="114"/>
      <c r="H589" s="149"/>
      <c r="I589" s="143"/>
      <c r="J589" s="143"/>
      <c r="K589" s="143"/>
      <c r="L589" s="143"/>
      <c r="M589" s="150"/>
      <c r="N589" s="143"/>
      <c r="O589" s="1"/>
      <c r="P589" s="151"/>
      <c r="Q589" s="143"/>
      <c r="R589" s="143"/>
      <c r="S589" s="143"/>
      <c r="T589" s="143"/>
      <c r="U589" s="143"/>
      <c r="V589" s="143"/>
      <c r="W589" s="143"/>
      <c r="X589" s="143"/>
      <c r="Y589" s="143"/>
      <c r="Z589" s="143"/>
      <c r="AA589" s="143"/>
      <c r="AB589" s="143"/>
      <c r="AC589" s="143"/>
      <c r="AD589" s="143"/>
      <c r="AE589" s="143"/>
      <c r="AF589" s="143"/>
      <c r="AG589" s="143"/>
      <c r="AH589" s="143"/>
      <c r="AI589" s="143"/>
      <c r="AJ589" s="143"/>
    </row>
    <row r="590" spans="1:36" ht="12.75" customHeight="1" x14ac:dyDescent="0.25">
      <c r="A590" s="143"/>
      <c r="B590" s="145"/>
      <c r="C590" s="146"/>
      <c r="D590" s="114"/>
      <c r="E590" s="148"/>
      <c r="F590" s="148"/>
      <c r="G590" s="114"/>
      <c r="H590" s="149"/>
      <c r="I590" s="143"/>
      <c r="J590" s="143"/>
      <c r="K590" s="143"/>
      <c r="L590" s="143"/>
      <c r="M590" s="150"/>
      <c r="N590" s="143"/>
      <c r="O590" s="1"/>
      <c r="P590" s="151"/>
      <c r="Q590" s="143"/>
      <c r="R590" s="143"/>
      <c r="S590" s="143"/>
      <c r="T590" s="143"/>
      <c r="U590" s="143"/>
      <c r="V590" s="143"/>
      <c r="W590" s="143"/>
      <c r="X590" s="143"/>
      <c r="Y590" s="143"/>
      <c r="Z590" s="143"/>
      <c r="AA590" s="143"/>
      <c r="AB590" s="143"/>
      <c r="AC590" s="143"/>
      <c r="AD590" s="143"/>
      <c r="AE590" s="143"/>
      <c r="AF590" s="143"/>
      <c r="AG590" s="143"/>
      <c r="AH590" s="143"/>
      <c r="AI590" s="143"/>
      <c r="AJ590" s="143"/>
    </row>
    <row r="591" spans="1:36" ht="12.75" customHeight="1" x14ac:dyDescent="0.25">
      <c r="A591" s="143"/>
      <c r="B591" s="145"/>
      <c r="C591" s="146"/>
      <c r="D591" s="114"/>
      <c r="E591" s="148"/>
      <c r="F591" s="148"/>
      <c r="G591" s="114"/>
      <c r="H591" s="149"/>
      <c r="I591" s="143"/>
      <c r="J591" s="143"/>
      <c r="K591" s="143"/>
      <c r="L591" s="143"/>
      <c r="M591" s="150"/>
      <c r="N591" s="143"/>
      <c r="O591" s="1"/>
      <c r="P591" s="151"/>
      <c r="Q591" s="143"/>
      <c r="R591" s="143"/>
      <c r="S591" s="143"/>
      <c r="T591" s="143"/>
      <c r="U591" s="143"/>
      <c r="V591" s="143"/>
      <c r="W591" s="143"/>
      <c r="X591" s="143"/>
      <c r="Y591" s="143"/>
      <c r="Z591" s="143"/>
      <c r="AA591" s="143"/>
      <c r="AB591" s="143"/>
      <c r="AC591" s="143"/>
      <c r="AD591" s="143"/>
      <c r="AE591" s="143"/>
      <c r="AF591" s="143"/>
      <c r="AG591" s="143"/>
      <c r="AH591" s="143"/>
      <c r="AI591" s="143"/>
      <c r="AJ591" s="143"/>
    </row>
    <row r="592" spans="1:36" ht="12.75" customHeight="1" x14ac:dyDescent="0.25">
      <c r="A592" s="143"/>
      <c r="B592" s="145"/>
      <c r="C592" s="146"/>
      <c r="D592" s="114"/>
      <c r="E592" s="148"/>
      <c r="F592" s="148"/>
      <c r="G592" s="114"/>
      <c r="H592" s="149"/>
      <c r="I592" s="143"/>
      <c r="J592" s="143"/>
      <c r="K592" s="143"/>
      <c r="L592" s="143"/>
      <c r="M592" s="150"/>
      <c r="N592" s="143"/>
      <c r="O592" s="1"/>
      <c r="P592" s="151"/>
      <c r="Q592" s="143"/>
      <c r="R592" s="143"/>
      <c r="S592" s="143"/>
      <c r="T592" s="143"/>
      <c r="U592" s="143"/>
      <c r="V592" s="143"/>
      <c r="W592" s="143"/>
      <c r="X592" s="143"/>
      <c r="Y592" s="143"/>
      <c r="Z592" s="143"/>
      <c r="AA592" s="143"/>
      <c r="AB592" s="143"/>
      <c r="AC592" s="143"/>
      <c r="AD592" s="143"/>
      <c r="AE592" s="143"/>
      <c r="AF592" s="143"/>
      <c r="AG592" s="143"/>
      <c r="AH592" s="143"/>
      <c r="AI592" s="143"/>
      <c r="AJ592" s="143"/>
    </row>
    <row r="593" spans="1:36" ht="12.75" customHeight="1" x14ac:dyDescent="0.25">
      <c r="A593" s="143"/>
      <c r="B593" s="145"/>
      <c r="C593" s="146"/>
      <c r="D593" s="114"/>
      <c r="E593" s="148"/>
      <c r="F593" s="148"/>
      <c r="G593" s="114"/>
      <c r="H593" s="149"/>
      <c r="I593" s="143"/>
      <c r="J593" s="143"/>
      <c r="K593" s="143"/>
      <c r="L593" s="143"/>
      <c r="M593" s="150"/>
      <c r="N593" s="143"/>
      <c r="O593" s="1"/>
      <c r="P593" s="151"/>
      <c r="Q593" s="143"/>
      <c r="R593" s="143"/>
      <c r="S593" s="143"/>
      <c r="T593" s="143"/>
      <c r="U593" s="143"/>
      <c r="V593" s="143"/>
      <c r="W593" s="143"/>
      <c r="X593" s="143"/>
      <c r="Y593" s="143"/>
      <c r="Z593" s="143"/>
      <c r="AA593" s="143"/>
      <c r="AB593" s="143"/>
      <c r="AC593" s="143"/>
      <c r="AD593" s="143"/>
      <c r="AE593" s="143"/>
      <c r="AF593" s="143"/>
      <c r="AG593" s="143"/>
      <c r="AH593" s="143"/>
      <c r="AI593" s="143"/>
      <c r="AJ593" s="143"/>
    </row>
    <row r="594" spans="1:36" ht="12.75" customHeight="1" x14ac:dyDescent="0.25">
      <c r="A594" s="143"/>
      <c r="B594" s="145"/>
      <c r="C594" s="146"/>
      <c r="D594" s="114"/>
      <c r="E594" s="148"/>
      <c r="F594" s="148"/>
      <c r="G594" s="114"/>
      <c r="H594" s="149"/>
      <c r="I594" s="143"/>
      <c r="J594" s="143"/>
      <c r="K594" s="143"/>
      <c r="L594" s="143"/>
      <c r="M594" s="150"/>
      <c r="N594" s="143"/>
      <c r="O594" s="1"/>
      <c r="P594" s="151"/>
      <c r="Q594" s="143"/>
      <c r="R594" s="143"/>
      <c r="S594" s="143"/>
      <c r="T594" s="143"/>
      <c r="U594" s="143"/>
      <c r="V594" s="143"/>
      <c r="W594" s="143"/>
      <c r="X594" s="143"/>
      <c r="Y594" s="143"/>
      <c r="Z594" s="143"/>
      <c r="AA594" s="143"/>
      <c r="AB594" s="143"/>
      <c r="AC594" s="143"/>
      <c r="AD594" s="143"/>
      <c r="AE594" s="143"/>
      <c r="AF594" s="143"/>
      <c r="AG594" s="143"/>
      <c r="AH594" s="143"/>
      <c r="AI594" s="143"/>
      <c r="AJ594" s="143"/>
    </row>
    <row r="595" spans="1:36" ht="12.75" customHeight="1" x14ac:dyDescent="0.25">
      <c r="A595" s="143"/>
      <c r="B595" s="145"/>
      <c r="C595" s="146"/>
      <c r="D595" s="114"/>
      <c r="E595" s="148"/>
      <c r="F595" s="148"/>
      <c r="G595" s="114"/>
      <c r="H595" s="149"/>
      <c r="I595" s="143"/>
      <c r="J595" s="143"/>
      <c r="K595" s="143"/>
      <c r="L595" s="143"/>
      <c r="M595" s="150"/>
      <c r="N595" s="143"/>
      <c r="O595" s="1"/>
      <c r="P595" s="151"/>
      <c r="Q595" s="143"/>
      <c r="R595" s="143"/>
      <c r="S595" s="143"/>
      <c r="T595" s="143"/>
      <c r="U595" s="143"/>
      <c r="V595" s="143"/>
      <c r="W595" s="143"/>
      <c r="X595" s="143"/>
      <c r="Y595" s="143"/>
      <c r="Z595" s="143"/>
      <c r="AA595" s="143"/>
      <c r="AB595" s="143"/>
      <c r="AC595" s="143"/>
      <c r="AD595" s="143"/>
      <c r="AE595" s="143"/>
      <c r="AF595" s="143"/>
      <c r="AG595" s="143"/>
      <c r="AH595" s="143"/>
      <c r="AI595" s="143"/>
      <c r="AJ595" s="143"/>
    </row>
    <row r="596" spans="1:36" ht="12.75" customHeight="1" x14ac:dyDescent="0.25">
      <c r="A596" s="143"/>
      <c r="B596" s="145"/>
      <c r="C596" s="146"/>
      <c r="D596" s="114"/>
      <c r="E596" s="148"/>
      <c r="F596" s="148"/>
      <c r="G596" s="114"/>
      <c r="H596" s="149"/>
      <c r="I596" s="143"/>
      <c r="J596" s="143"/>
      <c r="K596" s="143"/>
      <c r="L596" s="143"/>
      <c r="M596" s="150"/>
      <c r="N596" s="143"/>
      <c r="O596" s="1"/>
      <c r="P596" s="151"/>
      <c r="Q596" s="143"/>
      <c r="R596" s="143"/>
      <c r="S596" s="143"/>
      <c r="T596" s="143"/>
      <c r="U596" s="143"/>
      <c r="V596" s="143"/>
      <c r="W596" s="143"/>
      <c r="X596" s="143"/>
      <c r="Y596" s="143"/>
      <c r="Z596" s="143"/>
      <c r="AA596" s="143"/>
      <c r="AB596" s="143"/>
      <c r="AC596" s="143"/>
      <c r="AD596" s="143"/>
      <c r="AE596" s="143"/>
      <c r="AF596" s="143"/>
      <c r="AG596" s="143"/>
      <c r="AH596" s="143"/>
      <c r="AI596" s="143"/>
      <c r="AJ596" s="143"/>
    </row>
    <row r="597" spans="1:36" ht="12.75" customHeight="1" x14ac:dyDescent="0.25">
      <c r="A597" s="143"/>
      <c r="B597" s="145"/>
      <c r="C597" s="146"/>
      <c r="D597" s="114"/>
      <c r="E597" s="148"/>
      <c r="F597" s="148"/>
      <c r="G597" s="114"/>
      <c r="H597" s="149"/>
      <c r="I597" s="143"/>
      <c r="J597" s="143"/>
      <c r="K597" s="143"/>
      <c r="L597" s="143"/>
      <c r="M597" s="150"/>
      <c r="N597" s="143"/>
      <c r="O597" s="1"/>
      <c r="P597" s="151"/>
      <c r="Q597" s="143"/>
      <c r="R597" s="143"/>
      <c r="S597" s="143"/>
      <c r="T597" s="143"/>
      <c r="U597" s="143"/>
      <c r="V597" s="143"/>
      <c r="W597" s="143"/>
      <c r="X597" s="143"/>
      <c r="Y597" s="143"/>
      <c r="Z597" s="143"/>
      <c r="AA597" s="143"/>
      <c r="AB597" s="143"/>
      <c r="AC597" s="143"/>
      <c r="AD597" s="143"/>
      <c r="AE597" s="143"/>
      <c r="AF597" s="143"/>
      <c r="AG597" s="143"/>
      <c r="AH597" s="143"/>
      <c r="AI597" s="143"/>
      <c r="AJ597" s="143"/>
    </row>
    <row r="598" spans="1:36" ht="12.75" customHeight="1" x14ac:dyDescent="0.25">
      <c r="A598" s="143"/>
      <c r="B598" s="145"/>
      <c r="C598" s="146"/>
      <c r="D598" s="114"/>
      <c r="E598" s="148"/>
      <c r="F598" s="148"/>
      <c r="G598" s="114"/>
      <c r="H598" s="149"/>
      <c r="I598" s="143"/>
      <c r="J598" s="143"/>
      <c r="K598" s="143"/>
      <c r="L598" s="143"/>
      <c r="M598" s="150"/>
      <c r="N598" s="143"/>
      <c r="O598" s="1"/>
      <c r="P598" s="151"/>
      <c r="Q598" s="143"/>
      <c r="R598" s="143"/>
      <c r="S598" s="143"/>
      <c r="T598" s="143"/>
      <c r="U598" s="143"/>
      <c r="V598" s="143"/>
      <c r="W598" s="143"/>
      <c r="X598" s="143"/>
      <c r="Y598" s="143"/>
      <c r="Z598" s="143"/>
      <c r="AA598" s="143"/>
      <c r="AB598" s="143"/>
      <c r="AC598" s="143"/>
      <c r="AD598" s="143"/>
      <c r="AE598" s="143"/>
      <c r="AF598" s="143"/>
      <c r="AG598" s="143"/>
      <c r="AH598" s="143"/>
      <c r="AI598" s="143"/>
      <c r="AJ598" s="143"/>
    </row>
    <row r="599" spans="1:36" ht="12.75" customHeight="1" x14ac:dyDescent="0.25">
      <c r="A599" s="143"/>
      <c r="B599" s="145"/>
      <c r="C599" s="146"/>
      <c r="D599" s="114"/>
      <c r="E599" s="148"/>
      <c r="F599" s="148"/>
      <c r="G599" s="114"/>
      <c r="H599" s="149"/>
      <c r="I599" s="143"/>
      <c r="J599" s="143"/>
      <c r="K599" s="143"/>
      <c r="L599" s="143"/>
      <c r="M599" s="150"/>
      <c r="N599" s="143"/>
      <c r="O599" s="1"/>
      <c r="P599" s="151"/>
      <c r="Q599" s="143"/>
      <c r="R599" s="143"/>
      <c r="S599" s="143"/>
      <c r="T599" s="143"/>
      <c r="U599" s="143"/>
      <c r="V599" s="143"/>
      <c r="W599" s="143"/>
      <c r="X599" s="143"/>
      <c r="Y599" s="143"/>
      <c r="Z599" s="143"/>
      <c r="AA599" s="143"/>
      <c r="AB599" s="143"/>
      <c r="AC599" s="143"/>
      <c r="AD599" s="143"/>
      <c r="AE599" s="143"/>
      <c r="AF599" s="143"/>
      <c r="AG599" s="143"/>
      <c r="AH599" s="143"/>
      <c r="AI599" s="143"/>
      <c r="AJ599" s="143"/>
    </row>
    <row r="600" spans="1:36" ht="12.75" customHeight="1" x14ac:dyDescent="0.25">
      <c r="A600" s="143"/>
      <c r="B600" s="145"/>
      <c r="C600" s="146"/>
      <c r="D600" s="114"/>
      <c r="E600" s="148"/>
      <c r="F600" s="148"/>
      <c r="G600" s="114"/>
      <c r="H600" s="149"/>
      <c r="I600" s="143"/>
      <c r="J600" s="143"/>
      <c r="K600" s="143"/>
      <c r="L600" s="143"/>
      <c r="M600" s="150"/>
      <c r="N600" s="143"/>
      <c r="O600" s="1"/>
      <c r="P600" s="151"/>
      <c r="Q600" s="143"/>
      <c r="R600" s="143"/>
      <c r="S600" s="143"/>
      <c r="T600" s="143"/>
      <c r="U600" s="143"/>
      <c r="V600" s="143"/>
      <c r="W600" s="143"/>
      <c r="X600" s="143"/>
      <c r="Y600" s="143"/>
      <c r="Z600" s="143"/>
      <c r="AA600" s="143"/>
      <c r="AB600" s="143"/>
      <c r="AC600" s="143"/>
      <c r="AD600" s="143"/>
      <c r="AE600" s="143"/>
      <c r="AF600" s="143"/>
      <c r="AG600" s="143"/>
      <c r="AH600" s="143"/>
      <c r="AI600" s="143"/>
      <c r="AJ600" s="143"/>
    </row>
    <row r="601" spans="1:36" ht="12.75" customHeight="1" x14ac:dyDescent="0.25">
      <c r="A601" s="143"/>
      <c r="B601" s="145"/>
      <c r="C601" s="146"/>
      <c r="D601" s="114"/>
      <c r="E601" s="148"/>
      <c r="F601" s="148"/>
      <c r="G601" s="114"/>
      <c r="H601" s="149"/>
      <c r="I601" s="143"/>
      <c r="J601" s="143"/>
      <c r="K601" s="143"/>
      <c r="L601" s="143"/>
      <c r="M601" s="150"/>
      <c r="N601" s="143"/>
      <c r="O601" s="1"/>
      <c r="P601" s="151"/>
      <c r="Q601" s="143"/>
      <c r="R601" s="143"/>
      <c r="S601" s="143"/>
      <c r="T601" s="143"/>
      <c r="U601" s="143"/>
      <c r="V601" s="143"/>
      <c r="W601" s="143"/>
      <c r="X601" s="143"/>
      <c r="Y601" s="143"/>
      <c r="Z601" s="143"/>
      <c r="AA601" s="143"/>
      <c r="AB601" s="143"/>
      <c r="AC601" s="143"/>
      <c r="AD601" s="143"/>
      <c r="AE601" s="143"/>
      <c r="AF601" s="143"/>
      <c r="AG601" s="143"/>
      <c r="AH601" s="143"/>
      <c r="AI601" s="143"/>
      <c r="AJ601" s="143"/>
    </row>
    <row r="602" spans="1:36" ht="12.75" customHeight="1" x14ac:dyDescent="0.25">
      <c r="A602" s="143"/>
      <c r="B602" s="145"/>
      <c r="C602" s="146"/>
      <c r="D602" s="114"/>
      <c r="E602" s="148"/>
      <c r="F602" s="148"/>
      <c r="G602" s="114"/>
      <c r="H602" s="149"/>
      <c r="I602" s="143"/>
      <c r="J602" s="143"/>
      <c r="K602" s="143"/>
      <c r="L602" s="143"/>
      <c r="M602" s="150"/>
      <c r="N602" s="143"/>
      <c r="O602" s="1"/>
      <c r="P602" s="151"/>
      <c r="Q602" s="143"/>
      <c r="R602" s="143"/>
      <c r="S602" s="143"/>
      <c r="T602" s="143"/>
      <c r="U602" s="143"/>
      <c r="V602" s="143"/>
      <c r="W602" s="143"/>
      <c r="X602" s="143"/>
      <c r="Y602" s="143"/>
      <c r="Z602" s="143"/>
      <c r="AA602" s="143"/>
      <c r="AB602" s="143"/>
      <c r="AC602" s="143"/>
      <c r="AD602" s="143"/>
      <c r="AE602" s="143"/>
      <c r="AF602" s="143"/>
      <c r="AG602" s="143"/>
      <c r="AH602" s="143"/>
      <c r="AI602" s="143"/>
      <c r="AJ602" s="143"/>
    </row>
    <row r="603" spans="1:36" ht="12.75" customHeight="1" x14ac:dyDescent="0.25">
      <c r="A603" s="143"/>
      <c r="B603" s="145"/>
      <c r="C603" s="146"/>
      <c r="D603" s="114"/>
      <c r="E603" s="148"/>
      <c r="F603" s="148"/>
      <c r="G603" s="114"/>
      <c r="H603" s="149"/>
      <c r="I603" s="143"/>
      <c r="J603" s="143"/>
      <c r="K603" s="143"/>
      <c r="L603" s="143"/>
      <c r="M603" s="150"/>
      <c r="N603" s="143"/>
      <c r="O603" s="1"/>
      <c r="P603" s="151"/>
      <c r="Q603" s="143"/>
      <c r="R603" s="143"/>
      <c r="S603" s="143"/>
      <c r="T603" s="143"/>
      <c r="U603" s="143"/>
      <c r="V603" s="143"/>
      <c r="W603" s="143"/>
      <c r="X603" s="143"/>
      <c r="Y603" s="143"/>
      <c r="Z603" s="143"/>
      <c r="AA603" s="143"/>
      <c r="AB603" s="143"/>
      <c r="AC603" s="143"/>
      <c r="AD603" s="143"/>
      <c r="AE603" s="143"/>
      <c r="AF603" s="143"/>
      <c r="AG603" s="143"/>
      <c r="AH603" s="143"/>
      <c r="AI603" s="143"/>
      <c r="AJ603" s="143"/>
    </row>
    <row r="604" spans="1:36" ht="12.75" customHeight="1" x14ac:dyDescent="0.25">
      <c r="A604" s="143"/>
      <c r="B604" s="145"/>
      <c r="C604" s="146"/>
      <c r="D604" s="114"/>
      <c r="E604" s="148"/>
      <c r="F604" s="148"/>
      <c r="G604" s="114"/>
      <c r="H604" s="149"/>
      <c r="I604" s="143"/>
      <c r="J604" s="143"/>
      <c r="K604" s="143"/>
      <c r="L604" s="143"/>
      <c r="M604" s="150"/>
      <c r="N604" s="143"/>
      <c r="O604" s="1"/>
      <c r="P604" s="151"/>
      <c r="Q604" s="143"/>
      <c r="R604" s="143"/>
      <c r="S604" s="143"/>
      <c r="T604" s="143"/>
      <c r="U604" s="143"/>
      <c r="V604" s="143"/>
      <c r="W604" s="143"/>
      <c r="X604" s="143"/>
      <c r="Y604" s="143"/>
      <c r="Z604" s="143"/>
      <c r="AA604" s="143"/>
      <c r="AB604" s="143"/>
      <c r="AC604" s="143"/>
      <c r="AD604" s="143"/>
      <c r="AE604" s="143"/>
      <c r="AF604" s="143"/>
      <c r="AG604" s="143"/>
      <c r="AH604" s="143"/>
      <c r="AI604" s="143"/>
      <c r="AJ604" s="143"/>
    </row>
    <row r="605" spans="1:36" ht="12.75" customHeight="1" x14ac:dyDescent="0.25">
      <c r="A605" s="143"/>
      <c r="B605" s="145"/>
      <c r="C605" s="146"/>
      <c r="D605" s="114"/>
      <c r="E605" s="148"/>
      <c r="F605" s="148"/>
      <c r="G605" s="114"/>
      <c r="H605" s="149"/>
      <c r="I605" s="143"/>
      <c r="J605" s="143"/>
      <c r="K605" s="143"/>
      <c r="L605" s="143"/>
      <c r="M605" s="150"/>
      <c r="N605" s="143"/>
      <c r="O605" s="1"/>
      <c r="P605" s="151"/>
      <c r="Q605" s="143"/>
      <c r="R605" s="143"/>
      <c r="S605" s="143"/>
      <c r="T605" s="143"/>
      <c r="U605" s="143"/>
      <c r="V605" s="143"/>
      <c r="W605" s="143"/>
      <c r="X605" s="143"/>
      <c r="Y605" s="143"/>
      <c r="Z605" s="143"/>
      <c r="AA605" s="143"/>
      <c r="AB605" s="143"/>
      <c r="AC605" s="143"/>
      <c r="AD605" s="143"/>
      <c r="AE605" s="143"/>
      <c r="AF605" s="143"/>
      <c r="AG605" s="143"/>
      <c r="AH605" s="143"/>
      <c r="AI605" s="143"/>
      <c r="AJ605" s="143"/>
    </row>
    <row r="606" spans="1:36" ht="12.75" customHeight="1" x14ac:dyDescent="0.25">
      <c r="A606" s="143"/>
      <c r="B606" s="145"/>
      <c r="C606" s="146"/>
      <c r="D606" s="114"/>
      <c r="E606" s="148"/>
      <c r="F606" s="148"/>
      <c r="G606" s="114"/>
      <c r="H606" s="149"/>
      <c r="I606" s="143"/>
      <c r="J606" s="143"/>
      <c r="K606" s="143"/>
      <c r="L606" s="143"/>
      <c r="M606" s="150"/>
      <c r="N606" s="143"/>
      <c r="O606" s="1"/>
      <c r="P606" s="151"/>
      <c r="Q606" s="143"/>
      <c r="R606" s="143"/>
      <c r="S606" s="143"/>
      <c r="T606" s="143"/>
      <c r="U606" s="143"/>
      <c r="V606" s="143"/>
      <c r="W606" s="143"/>
      <c r="X606" s="143"/>
      <c r="Y606" s="143"/>
      <c r="Z606" s="143"/>
      <c r="AA606" s="143"/>
      <c r="AB606" s="143"/>
      <c r="AC606" s="143"/>
      <c r="AD606" s="143"/>
      <c r="AE606" s="143"/>
      <c r="AF606" s="143"/>
      <c r="AG606" s="143"/>
      <c r="AH606" s="143"/>
      <c r="AI606" s="143"/>
      <c r="AJ606" s="143"/>
    </row>
    <row r="607" spans="1:36" ht="12.75" customHeight="1" x14ac:dyDescent="0.25">
      <c r="A607" s="143"/>
      <c r="B607" s="145"/>
      <c r="C607" s="146"/>
      <c r="D607" s="114"/>
      <c r="E607" s="148"/>
      <c r="F607" s="148"/>
      <c r="G607" s="114"/>
      <c r="H607" s="149"/>
      <c r="I607" s="143"/>
      <c r="J607" s="143"/>
      <c r="K607" s="143"/>
      <c r="L607" s="143"/>
      <c r="M607" s="150"/>
      <c r="N607" s="143"/>
      <c r="O607" s="1"/>
      <c r="P607" s="151"/>
      <c r="Q607" s="143"/>
      <c r="R607" s="143"/>
      <c r="S607" s="143"/>
      <c r="T607" s="143"/>
      <c r="U607" s="143"/>
      <c r="V607" s="143"/>
      <c r="W607" s="143"/>
      <c r="X607" s="143"/>
      <c r="Y607" s="143"/>
      <c r="Z607" s="143"/>
      <c r="AA607" s="143"/>
      <c r="AB607" s="143"/>
      <c r="AC607" s="143"/>
      <c r="AD607" s="143"/>
      <c r="AE607" s="143"/>
      <c r="AF607" s="143"/>
      <c r="AG607" s="143"/>
      <c r="AH607" s="143"/>
      <c r="AI607" s="143"/>
      <c r="AJ607" s="143"/>
    </row>
    <row r="608" spans="1:36" ht="12.75" customHeight="1" x14ac:dyDescent="0.25">
      <c r="A608" s="143"/>
      <c r="B608" s="145"/>
      <c r="C608" s="146"/>
      <c r="D608" s="114"/>
      <c r="E608" s="148"/>
      <c r="F608" s="148"/>
      <c r="G608" s="114"/>
      <c r="H608" s="149"/>
      <c r="I608" s="143"/>
      <c r="J608" s="143"/>
      <c r="K608" s="143"/>
      <c r="L608" s="143"/>
      <c r="M608" s="150"/>
      <c r="N608" s="143"/>
      <c r="O608" s="1"/>
      <c r="P608" s="151"/>
      <c r="Q608" s="143"/>
      <c r="R608" s="143"/>
      <c r="S608" s="143"/>
      <c r="T608" s="143"/>
      <c r="U608" s="143"/>
      <c r="V608" s="143"/>
      <c r="W608" s="143"/>
      <c r="X608" s="143"/>
      <c r="Y608" s="143"/>
      <c r="Z608" s="143"/>
      <c r="AA608" s="143"/>
      <c r="AB608" s="143"/>
      <c r="AC608" s="143"/>
      <c r="AD608" s="143"/>
      <c r="AE608" s="143"/>
      <c r="AF608" s="143"/>
      <c r="AG608" s="143"/>
      <c r="AH608" s="143"/>
      <c r="AI608" s="143"/>
      <c r="AJ608" s="143"/>
    </row>
    <row r="609" spans="1:36" ht="12.75" customHeight="1" x14ac:dyDescent="0.25">
      <c r="A609" s="143"/>
      <c r="B609" s="145"/>
      <c r="C609" s="146"/>
      <c r="D609" s="114"/>
      <c r="E609" s="148"/>
      <c r="F609" s="148"/>
      <c r="G609" s="114"/>
      <c r="H609" s="149"/>
      <c r="I609" s="143"/>
      <c r="J609" s="143"/>
      <c r="K609" s="143"/>
      <c r="L609" s="143"/>
      <c r="M609" s="150"/>
      <c r="N609" s="143"/>
      <c r="O609" s="1"/>
      <c r="P609" s="151"/>
      <c r="Q609" s="143"/>
      <c r="R609" s="143"/>
      <c r="S609" s="143"/>
      <c r="T609" s="143"/>
      <c r="U609" s="143"/>
      <c r="V609" s="143"/>
      <c r="W609" s="143"/>
      <c r="X609" s="143"/>
      <c r="Y609" s="143"/>
      <c r="Z609" s="143"/>
      <c r="AA609" s="143"/>
      <c r="AB609" s="143"/>
      <c r="AC609" s="143"/>
      <c r="AD609" s="143"/>
      <c r="AE609" s="143"/>
      <c r="AF609" s="143"/>
      <c r="AG609" s="143"/>
      <c r="AH609" s="143"/>
      <c r="AI609" s="143"/>
      <c r="AJ609" s="143"/>
    </row>
    <row r="610" spans="1:36" ht="12.75" customHeight="1" x14ac:dyDescent="0.25">
      <c r="A610" s="143"/>
      <c r="B610" s="145"/>
      <c r="C610" s="146"/>
      <c r="D610" s="114"/>
      <c r="E610" s="148"/>
      <c r="F610" s="148"/>
      <c r="G610" s="114"/>
      <c r="H610" s="149"/>
      <c r="I610" s="143"/>
      <c r="J610" s="143"/>
      <c r="K610" s="143"/>
      <c r="L610" s="143"/>
      <c r="M610" s="150"/>
      <c r="N610" s="143"/>
      <c r="O610" s="1"/>
      <c r="P610" s="151"/>
      <c r="Q610" s="143"/>
      <c r="R610" s="143"/>
      <c r="S610" s="143"/>
      <c r="T610" s="143"/>
      <c r="U610" s="143"/>
      <c r="V610" s="143"/>
      <c r="W610" s="143"/>
      <c r="X610" s="143"/>
      <c r="Y610" s="143"/>
      <c r="Z610" s="143"/>
      <c r="AA610" s="143"/>
      <c r="AB610" s="143"/>
      <c r="AC610" s="143"/>
      <c r="AD610" s="143"/>
      <c r="AE610" s="143"/>
      <c r="AF610" s="143"/>
      <c r="AG610" s="143"/>
      <c r="AH610" s="143"/>
      <c r="AI610" s="143"/>
      <c r="AJ610" s="143"/>
    </row>
    <row r="611" spans="1:36" ht="12.75" customHeight="1" x14ac:dyDescent="0.25">
      <c r="A611" s="143"/>
      <c r="B611" s="145"/>
      <c r="C611" s="146"/>
      <c r="D611" s="114"/>
      <c r="E611" s="148"/>
      <c r="F611" s="148"/>
      <c r="G611" s="114"/>
      <c r="H611" s="149"/>
      <c r="I611" s="143"/>
      <c r="J611" s="143"/>
      <c r="K611" s="143"/>
      <c r="L611" s="143"/>
      <c r="M611" s="150"/>
      <c r="N611" s="143"/>
      <c r="O611" s="1"/>
      <c r="P611" s="151"/>
      <c r="Q611" s="143"/>
      <c r="R611" s="143"/>
      <c r="S611" s="143"/>
      <c r="T611" s="143"/>
      <c r="U611" s="143"/>
      <c r="V611" s="143"/>
      <c r="W611" s="143"/>
      <c r="X611" s="143"/>
      <c r="Y611" s="143"/>
      <c r="Z611" s="143"/>
      <c r="AA611" s="143"/>
      <c r="AB611" s="143"/>
      <c r="AC611" s="143"/>
      <c r="AD611" s="143"/>
      <c r="AE611" s="143"/>
      <c r="AF611" s="143"/>
      <c r="AG611" s="143"/>
      <c r="AH611" s="143"/>
      <c r="AI611" s="143"/>
      <c r="AJ611" s="143"/>
    </row>
    <row r="612" spans="1:36" ht="12.75" customHeight="1" x14ac:dyDescent="0.25">
      <c r="A612" s="143"/>
      <c r="B612" s="145"/>
      <c r="C612" s="146"/>
      <c r="D612" s="114"/>
      <c r="E612" s="148"/>
      <c r="F612" s="148"/>
      <c r="G612" s="114"/>
      <c r="H612" s="149"/>
      <c r="I612" s="143"/>
      <c r="J612" s="143"/>
      <c r="K612" s="143"/>
      <c r="L612" s="143"/>
      <c r="M612" s="150"/>
      <c r="N612" s="143"/>
      <c r="O612" s="1"/>
      <c r="P612" s="151"/>
      <c r="Q612" s="143"/>
      <c r="R612" s="143"/>
      <c r="S612" s="143"/>
      <c r="T612" s="143"/>
      <c r="U612" s="143"/>
      <c r="V612" s="143"/>
      <c r="W612" s="143"/>
      <c r="X612" s="143"/>
      <c r="Y612" s="143"/>
      <c r="Z612" s="143"/>
      <c r="AA612" s="143"/>
      <c r="AB612" s="143"/>
      <c r="AC612" s="143"/>
      <c r="AD612" s="143"/>
      <c r="AE612" s="143"/>
      <c r="AF612" s="143"/>
      <c r="AG612" s="143"/>
      <c r="AH612" s="143"/>
      <c r="AI612" s="143"/>
      <c r="AJ612" s="143"/>
    </row>
    <row r="613" spans="1:36" ht="12.75" customHeight="1" x14ac:dyDescent="0.25">
      <c r="A613" s="143"/>
      <c r="B613" s="145"/>
      <c r="C613" s="146"/>
      <c r="D613" s="114"/>
      <c r="E613" s="148"/>
      <c r="F613" s="148"/>
      <c r="G613" s="114"/>
      <c r="H613" s="149"/>
      <c r="I613" s="143"/>
      <c r="J613" s="143"/>
      <c r="K613" s="143"/>
      <c r="L613" s="143"/>
      <c r="M613" s="150"/>
      <c r="N613" s="143"/>
      <c r="O613" s="1"/>
      <c r="P613" s="151"/>
      <c r="Q613" s="143"/>
      <c r="R613" s="143"/>
      <c r="S613" s="143"/>
      <c r="T613" s="143"/>
      <c r="U613" s="143"/>
      <c r="V613" s="143"/>
      <c r="W613" s="143"/>
      <c r="X613" s="143"/>
      <c r="Y613" s="143"/>
      <c r="Z613" s="143"/>
      <c r="AA613" s="143"/>
      <c r="AB613" s="143"/>
      <c r="AC613" s="143"/>
      <c r="AD613" s="143"/>
      <c r="AE613" s="143"/>
      <c r="AF613" s="143"/>
      <c r="AG613" s="143"/>
      <c r="AH613" s="143"/>
      <c r="AI613" s="143"/>
      <c r="AJ613" s="143"/>
    </row>
    <row r="614" spans="1:36" ht="12.75" customHeight="1" x14ac:dyDescent="0.25">
      <c r="A614" s="143"/>
      <c r="B614" s="145"/>
      <c r="C614" s="146"/>
      <c r="D614" s="114"/>
      <c r="E614" s="148"/>
      <c r="F614" s="148"/>
      <c r="G614" s="114"/>
      <c r="H614" s="149"/>
      <c r="I614" s="143"/>
      <c r="J614" s="143"/>
      <c r="K614" s="143"/>
      <c r="L614" s="143"/>
      <c r="M614" s="150"/>
      <c r="N614" s="143"/>
      <c r="O614" s="1"/>
      <c r="P614" s="151"/>
      <c r="Q614" s="143"/>
      <c r="R614" s="143"/>
      <c r="S614" s="143"/>
      <c r="T614" s="143"/>
      <c r="U614" s="143"/>
      <c r="V614" s="143"/>
      <c r="W614" s="143"/>
      <c r="X614" s="143"/>
      <c r="Y614" s="143"/>
      <c r="Z614" s="143"/>
      <c r="AA614" s="143"/>
      <c r="AB614" s="143"/>
      <c r="AC614" s="143"/>
      <c r="AD614" s="143"/>
      <c r="AE614" s="143"/>
      <c r="AF614" s="143"/>
      <c r="AG614" s="143"/>
      <c r="AH614" s="143"/>
      <c r="AI614" s="143"/>
      <c r="AJ614" s="143"/>
    </row>
    <row r="615" spans="1:36" ht="12.75" customHeight="1" x14ac:dyDescent="0.25">
      <c r="A615" s="143"/>
      <c r="B615" s="145"/>
      <c r="C615" s="146"/>
      <c r="D615" s="114"/>
      <c r="E615" s="148"/>
      <c r="F615" s="148"/>
      <c r="G615" s="114"/>
      <c r="H615" s="149"/>
      <c r="I615" s="143"/>
      <c r="J615" s="143"/>
      <c r="K615" s="143"/>
      <c r="L615" s="143"/>
      <c r="M615" s="150"/>
      <c r="N615" s="143"/>
      <c r="O615" s="1"/>
      <c r="P615" s="151"/>
      <c r="Q615" s="143"/>
      <c r="R615" s="143"/>
      <c r="S615" s="143"/>
      <c r="T615" s="143"/>
      <c r="U615" s="143"/>
      <c r="V615" s="143"/>
      <c r="W615" s="143"/>
      <c r="X615" s="143"/>
      <c r="Y615" s="143"/>
      <c r="Z615" s="143"/>
      <c r="AA615" s="143"/>
      <c r="AB615" s="143"/>
      <c r="AC615" s="143"/>
      <c r="AD615" s="143"/>
      <c r="AE615" s="143"/>
      <c r="AF615" s="143"/>
      <c r="AG615" s="143"/>
      <c r="AH615" s="143"/>
      <c r="AI615" s="143"/>
      <c r="AJ615" s="143"/>
    </row>
    <row r="616" spans="1:36" ht="12.75" customHeight="1" x14ac:dyDescent="0.25">
      <c r="A616" s="143"/>
      <c r="B616" s="145"/>
      <c r="C616" s="146"/>
      <c r="D616" s="114"/>
      <c r="E616" s="148"/>
      <c r="F616" s="148"/>
      <c r="G616" s="114"/>
      <c r="H616" s="149"/>
      <c r="I616" s="143"/>
      <c r="J616" s="143"/>
      <c r="K616" s="143"/>
      <c r="L616" s="143"/>
      <c r="M616" s="150"/>
      <c r="N616" s="143"/>
      <c r="O616" s="1"/>
      <c r="P616" s="151"/>
      <c r="Q616" s="143"/>
      <c r="R616" s="143"/>
      <c r="S616" s="143"/>
      <c r="T616" s="143"/>
      <c r="U616" s="143"/>
      <c r="V616" s="143"/>
      <c r="W616" s="143"/>
      <c r="X616" s="143"/>
      <c r="Y616" s="143"/>
      <c r="Z616" s="143"/>
      <c r="AA616" s="143"/>
      <c r="AB616" s="143"/>
      <c r="AC616" s="143"/>
      <c r="AD616" s="143"/>
      <c r="AE616" s="143"/>
      <c r="AF616" s="143"/>
      <c r="AG616" s="143"/>
      <c r="AH616" s="143"/>
      <c r="AI616" s="143"/>
      <c r="AJ616" s="143"/>
    </row>
    <row r="617" spans="1:36" ht="12.75" customHeight="1" x14ac:dyDescent="0.25">
      <c r="A617" s="143"/>
      <c r="B617" s="145"/>
      <c r="C617" s="146"/>
      <c r="D617" s="114"/>
      <c r="E617" s="148"/>
      <c r="F617" s="148"/>
      <c r="G617" s="114"/>
      <c r="H617" s="149"/>
      <c r="I617" s="143"/>
      <c r="J617" s="143"/>
      <c r="K617" s="143"/>
      <c r="L617" s="143"/>
      <c r="M617" s="150"/>
      <c r="N617" s="143"/>
      <c r="O617" s="1"/>
      <c r="P617" s="151"/>
      <c r="Q617" s="143"/>
      <c r="R617" s="143"/>
      <c r="S617" s="143"/>
      <c r="T617" s="143"/>
      <c r="U617" s="143"/>
      <c r="V617" s="143"/>
      <c r="W617" s="143"/>
      <c r="X617" s="143"/>
      <c r="Y617" s="143"/>
      <c r="Z617" s="143"/>
      <c r="AA617" s="143"/>
      <c r="AB617" s="143"/>
      <c r="AC617" s="143"/>
      <c r="AD617" s="143"/>
      <c r="AE617" s="143"/>
      <c r="AF617" s="143"/>
      <c r="AG617" s="143"/>
      <c r="AH617" s="143"/>
      <c r="AI617" s="143"/>
      <c r="AJ617" s="143"/>
    </row>
    <row r="618" spans="1:36" ht="12.75" customHeight="1" x14ac:dyDescent="0.25">
      <c r="A618" s="143"/>
      <c r="B618" s="145"/>
      <c r="C618" s="146"/>
      <c r="D618" s="114"/>
      <c r="E618" s="148"/>
      <c r="F618" s="148"/>
      <c r="G618" s="114"/>
      <c r="H618" s="149"/>
      <c r="I618" s="143"/>
      <c r="J618" s="143"/>
      <c r="K618" s="143"/>
      <c r="L618" s="143"/>
      <c r="M618" s="150"/>
      <c r="N618" s="143"/>
      <c r="O618" s="1"/>
      <c r="P618" s="151"/>
      <c r="Q618" s="143"/>
      <c r="R618" s="143"/>
      <c r="S618" s="143"/>
      <c r="T618" s="143"/>
      <c r="U618" s="143"/>
      <c r="V618" s="143"/>
      <c r="W618" s="143"/>
      <c r="X618" s="143"/>
      <c r="Y618" s="143"/>
      <c r="Z618" s="143"/>
      <c r="AA618" s="143"/>
      <c r="AB618" s="143"/>
      <c r="AC618" s="143"/>
      <c r="AD618" s="143"/>
      <c r="AE618" s="143"/>
      <c r="AF618" s="143"/>
      <c r="AG618" s="143"/>
      <c r="AH618" s="143"/>
      <c r="AI618" s="143"/>
      <c r="AJ618" s="143"/>
    </row>
    <row r="619" spans="1:36" ht="12.75" customHeight="1" x14ac:dyDescent="0.25">
      <c r="A619" s="143"/>
      <c r="B619" s="145"/>
      <c r="C619" s="146"/>
      <c r="D619" s="114"/>
      <c r="E619" s="148"/>
      <c r="F619" s="148"/>
      <c r="G619" s="114"/>
      <c r="H619" s="149"/>
      <c r="I619" s="143"/>
      <c r="J619" s="143"/>
      <c r="K619" s="143"/>
      <c r="L619" s="143"/>
      <c r="M619" s="150"/>
      <c r="N619" s="143"/>
      <c r="O619" s="1"/>
      <c r="P619" s="151"/>
      <c r="Q619" s="143"/>
      <c r="R619" s="143"/>
      <c r="S619" s="143"/>
      <c r="T619" s="143"/>
      <c r="U619" s="143"/>
      <c r="V619" s="143"/>
      <c r="W619" s="143"/>
      <c r="X619" s="143"/>
      <c r="Y619" s="143"/>
      <c r="Z619" s="143"/>
      <c r="AA619" s="143"/>
      <c r="AB619" s="143"/>
      <c r="AC619" s="143"/>
      <c r="AD619" s="143"/>
      <c r="AE619" s="143"/>
      <c r="AF619" s="143"/>
      <c r="AG619" s="143"/>
      <c r="AH619" s="143"/>
      <c r="AI619" s="143"/>
      <c r="AJ619" s="143"/>
    </row>
    <row r="620" spans="1:36" ht="12.75" customHeight="1" x14ac:dyDescent="0.25">
      <c r="A620" s="143"/>
      <c r="B620" s="145"/>
      <c r="C620" s="146"/>
      <c r="D620" s="114"/>
      <c r="E620" s="148"/>
      <c r="F620" s="148"/>
      <c r="G620" s="114"/>
      <c r="H620" s="149"/>
      <c r="I620" s="143"/>
      <c r="J620" s="143"/>
      <c r="K620" s="143"/>
      <c r="L620" s="143"/>
      <c r="M620" s="150"/>
      <c r="N620" s="143"/>
      <c r="O620" s="1"/>
      <c r="P620" s="151"/>
      <c r="Q620" s="143"/>
      <c r="R620" s="143"/>
      <c r="S620" s="143"/>
      <c r="T620" s="143"/>
      <c r="U620" s="143"/>
      <c r="V620" s="143"/>
      <c r="W620" s="143"/>
      <c r="X620" s="143"/>
      <c r="Y620" s="143"/>
      <c r="Z620" s="143"/>
      <c r="AA620" s="143"/>
      <c r="AB620" s="143"/>
      <c r="AC620" s="143"/>
      <c r="AD620" s="143"/>
      <c r="AE620" s="143"/>
      <c r="AF620" s="143"/>
      <c r="AG620" s="143"/>
      <c r="AH620" s="143"/>
      <c r="AI620" s="143"/>
      <c r="AJ620" s="143"/>
    </row>
    <row r="621" spans="1:36" ht="12.75" customHeight="1" x14ac:dyDescent="0.25">
      <c r="A621" s="143"/>
      <c r="B621" s="145"/>
      <c r="C621" s="146"/>
      <c r="D621" s="114"/>
      <c r="E621" s="148"/>
      <c r="F621" s="148"/>
      <c r="G621" s="114"/>
      <c r="H621" s="149"/>
      <c r="I621" s="143"/>
      <c r="J621" s="143"/>
      <c r="K621" s="143"/>
      <c r="L621" s="143"/>
      <c r="M621" s="150"/>
      <c r="N621" s="143"/>
      <c r="O621" s="1"/>
      <c r="P621" s="151"/>
      <c r="Q621" s="143"/>
      <c r="R621" s="143"/>
      <c r="S621" s="143"/>
      <c r="T621" s="143"/>
      <c r="U621" s="143"/>
      <c r="V621" s="143"/>
      <c r="W621" s="143"/>
      <c r="X621" s="143"/>
      <c r="Y621" s="143"/>
      <c r="Z621" s="143"/>
      <c r="AA621" s="143"/>
      <c r="AB621" s="143"/>
      <c r="AC621" s="143"/>
      <c r="AD621" s="143"/>
      <c r="AE621" s="143"/>
      <c r="AF621" s="143"/>
      <c r="AG621" s="143"/>
      <c r="AH621" s="143"/>
      <c r="AI621" s="143"/>
      <c r="AJ621" s="143"/>
    </row>
    <row r="622" spans="1:36" ht="12.75" customHeight="1" x14ac:dyDescent="0.25">
      <c r="A622" s="143"/>
      <c r="B622" s="145"/>
      <c r="C622" s="146"/>
      <c r="D622" s="114"/>
      <c r="E622" s="148"/>
      <c r="F622" s="148"/>
      <c r="G622" s="114"/>
      <c r="H622" s="149"/>
      <c r="I622" s="143"/>
      <c r="J622" s="143"/>
      <c r="K622" s="143"/>
      <c r="L622" s="143"/>
      <c r="M622" s="150"/>
      <c r="N622" s="143"/>
      <c r="O622" s="1"/>
      <c r="P622" s="151"/>
      <c r="Q622" s="143"/>
      <c r="R622" s="143"/>
      <c r="S622" s="143"/>
      <c r="T622" s="143"/>
      <c r="U622" s="143"/>
      <c r="V622" s="143"/>
      <c r="W622" s="143"/>
      <c r="X622" s="143"/>
      <c r="Y622" s="143"/>
      <c r="Z622" s="143"/>
      <c r="AA622" s="143"/>
      <c r="AB622" s="143"/>
      <c r="AC622" s="143"/>
      <c r="AD622" s="143"/>
      <c r="AE622" s="143"/>
      <c r="AF622" s="143"/>
      <c r="AG622" s="143"/>
      <c r="AH622" s="143"/>
      <c r="AI622" s="143"/>
      <c r="AJ622" s="143"/>
    </row>
    <row r="623" spans="1:36" ht="12.75" customHeight="1" x14ac:dyDescent="0.25">
      <c r="A623" s="143"/>
      <c r="B623" s="145"/>
      <c r="C623" s="146"/>
      <c r="D623" s="114"/>
      <c r="E623" s="148"/>
      <c r="F623" s="148"/>
      <c r="G623" s="114"/>
      <c r="H623" s="149"/>
      <c r="I623" s="143"/>
      <c r="J623" s="143"/>
      <c r="K623" s="143"/>
      <c r="L623" s="143"/>
      <c r="M623" s="150"/>
      <c r="N623" s="143"/>
      <c r="O623" s="1"/>
      <c r="P623" s="151"/>
      <c r="Q623" s="143"/>
      <c r="R623" s="143"/>
      <c r="S623" s="143"/>
      <c r="T623" s="143"/>
      <c r="U623" s="143"/>
      <c r="V623" s="143"/>
      <c r="W623" s="143"/>
      <c r="X623" s="143"/>
      <c r="Y623" s="143"/>
      <c r="Z623" s="143"/>
      <c r="AA623" s="143"/>
      <c r="AB623" s="143"/>
      <c r="AC623" s="143"/>
      <c r="AD623" s="143"/>
      <c r="AE623" s="143"/>
      <c r="AF623" s="143"/>
      <c r="AG623" s="143"/>
      <c r="AH623" s="143"/>
      <c r="AI623" s="143"/>
      <c r="AJ623" s="143"/>
    </row>
    <row r="624" spans="1:36" ht="12.75" customHeight="1" x14ac:dyDescent="0.25">
      <c r="A624" s="143"/>
      <c r="B624" s="145"/>
      <c r="C624" s="146"/>
      <c r="D624" s="114"/>
      <c r="E624" s="148"/>
      <c r="F624" s="148"/>
      <c r="G624" s="114"/>
      <c r="H624" s="149"/>
      <c r="I624" s="143"/>
      <c r="J624" s="143"/>
      <c r="K624" s="143"/>
      <c r="L624" s="143"/>
      <c r="M624" s="150"/>
      <c r="N624" s="143"/>
      <c r="O624" s="1"/>
      <c r="P624" s="151"/>
      <c r="Q624" s="143"/>
      <c r="R624" s="143"/>
      <c r="S624" s="143"/>
      <c r="T624" s="143"/>
      <c r="U624" s="143"/>
      <c r="V624" s="143"/>
      <c r="W624" s="143"/>
      <c r="X624" s="143"/>
      <c r="Y624" s="143"/>
      <c r="Z624" s="143"/>
      <c r="AA624" s="143"/>
      <c r="AB624" s="143"/>
      <c r="AC624" s="143"/>
      <c r="AD624" s="143"/>
      <c r="AE624" s="143"/>
      <c r="AF624" s="143"/>
      <c r="AG624" s="143"/>
      <c r="AH624" s="143"/>
      <c r="AI624" s="143"/>
      <c r="AJ624" s="143"/>
    </row>
    <row r="625" spans="1:36" ht="12.75" customHeight="1" x14ac:dyDescent="0.25">
      <c r="A625" s="143"/>
      <c r="B625" s="145"/>
      <c r="C625" s="146"/>
      <c r="D625" s="114"/>
      <c r="E625" s="148"/>
      <c r="F625" s="148"/>
      <c r="G625" s="114"/>
      <c r="H625" s="149"/>
      <c r="I625" s="143"/>
      <c r="J625" s="143"/>
      <c r="K625" s="143"/>
      <c r="L625" s="143"/>
      <c r="M625" s="150"/>
      <c r="N625" s="143"/>
      <c r="O625" s="1"/>
      <c r="P625" s="151"/>
      <c r="Q625" s="143"/>
      <c r="R625" s="143"/>
      <c r="S625" s="143"/>
      <c r="T625" s="143"/>
      <c r="U625" s="143"/>
      <c r="V625" s="143"/>
      <c r="W625" s="143"/>
      <c r="X625" s="143"/>
      <c r="Y625" s="143"/>
      <c r="Z625" s="143"/>
      <c r="AA625" s="143"/>
      <c r="AB625" s="143"/>
      <c r="AC625" s="143"/>
      <c r="AD625" s="143"/>
      <c r="AE625" s="143"/>
      <c r="AF625" s="143"/>
      <c r="AG625" s="143"/>
      <c r="AH625" s="143"/>
      <c r="AI625" s="143"/>
      <c r="AJ625" s="143"/>
    </row>
    <row r="626" spans="1:36" ht="12.75" customHeight="1" x14ac:dyDescent="0.25">
      <c r="A626" s="143"/>
      <c r="B626" s="145"/>
      <c r="C626" s="146"/>
      <c r="D626" s="114"/>
      <c r="E626" s="148"/>
      <c r="F626" s="148"/>
      <c r="G626" s="114"/>
      <c r="H626" s="149"/>
      <c r="I626" s="143"/>
      <c r="J626" s="143"/>
      <c r="K626" s="143"/>
      <c r="L626" s="143"/>
      <c r="M626" s="150"/>
      <c r="N626" s="143"/>
      <c r="O626" s="1"/>
      <c r="P626" s="151"/>
      <c r="Q626" s="143"/>
      <c r="R626" s="143"/>
      <c r="S626" s="143"/>
      <c r="T626" s="143"/>
      <c r="U626" s="143"/>
      <c r="V626" s="143"/>
      <c r="W626" s="143"/>
      <c r="X626" s="143"/>
      <c r="Y626" s="143"/>
      <c r="Z626" s="143"/>
      <c r="AA626" s="143"/>
      <c r="AB626" s="143"/>
      <c r="AC626" s="143"/>
      <c r="AD626" s="143"/>
      <c r="AE626" s="143"/>
      <c r="AF626" s="143"/>
      <c r="AG626" s="143"/>
      <c r="AH626" s="143"/>
      <c r="AI626" s="143"/>
      <c r="AJ626" s="143"/>
    </row>
    <row r="627" spans="1:36" ht="12.75" customHeight="1" x14ac:dyDescent="0.25">
      <c r="A627" s="143"/>
      <c r="B627" s="145"/>
      <c r="C627" s="146"/>
      <c r="D627" s="114"/>
      <c r="E627" s="148"/>
      <c r="F627" s="148"/>
      <c r="G627" s="114"/>
      <c r="H627" s="149"/>
      <c r="I627" s="143"/>
      <c r="J627" s="143"/>
      <c r="K627" s="143"/>
      <c r="L627" s="143"/>
      <c r="M627" s="150"/>
      <c r="N627" s="143"/>
      <c r="O627" s="1"/>
      <c r="P627" s="151"/>
      <c r="Q627" s="143"/>
      <c r="R627" s="143"/>
      <c r="S627" s="143"/>
      <c r="T627" s="143"/>
      <c r="U627" s="143"/>
      <c r="V627" s="143"/>
      <c r="W627" s="143"/>
      <c r="X627" s="143"/>
      <c r="Y627" s="143"/>
      <c r="Z627" s="143"/>
      <c r="AA627" s="143"/>
      <c r="AB627" s="143"/>
      <c r="AC627" s="143"/>
      <c r="AD627" s="143"/>
      <c r="AE627" s="143"/>
      <c r="AF627" s="143"/>
      <c r="AG627" s="143"/>
      <c r="AH627" s="143"/>
      <c r="AI627" s="143"/>
      <c r="AJ627" s="143"/>
    </row>
    <row r="628" spans="1:36" ht="12.75" customHeight="1" x14ac:dyDescent="0.25">
      <c r="A628" s="143"/>
      <c r="B628" s="145"/>
      <c r="C628" s="146"/>
      <c r="D628" s="114"/>
      <c r="E628" s="148"/>
      <c r="F628" s="148"/>
      <c r="G628" s="114"/>
      <c r="H628" s="149"/>
      <c r="I628" s="143"/>
      <c r="J628" s="143"/>
      <c r="K628" s="143"/>
      <c r="L628" s="143"/>
      <c r="M628" s="150"/>
      <c r="N628" s="143"/>
      <c r="O628" s="1"/>
      <c r="P628" s="151"/>
      <c r="Q628" s="143"/>
      <c r="R628" s="143"/>
      <c r="S628" s="143"/>
      <c r="T628" s="143"/>
      <c r="U628" s="143"/>
      <c r="V628" s="143"/>
      <c r="W628" s="143"/>
      <c r="X628" s="143"/>
      <c r="Y628" s="143"/>
      <c r="Z628" s="143"/>
      <c r="AA628" s="143"/>
      <c r="AB628" s="143"/>
      <c r="AC628" s="143"/>
      <c r="AD628" s="143"/>
      <c r="AE628" s="143"/>
      <c r="AF628" s="143"/>
      <c r="AG628" s="143"/>
      <c r="AH628" s="143"/>
      <c r="AI628" s="143"/>
      <c r="AJ628" s="143"/>
    </row>
    <row r="629" spans="1:36" ht="12.75" customHeight="1" x14ac:dyDescent="0.25">
      <c r="A629" s="143"/>
      <c r="B629" s="145"/>
      <c r="C629" s="146"/>
      <c r="D629" s="114"/>
      <c r="E629" s="148"/>
      <c r="F629" s="148"/>
      <c r="G629" s="114"/>
      <c r="H629" s="149"/>
      <c r="I629" s="143"/>
      <c r="J629" s="143"/>
      <c r="K629" s="143"/>
      <c r="L629" s="143"/>
      <c r="M629" s="150"/>
      <c r="N629" s="143"/>
      <c r="O629" s="1"/>
      <c r="P629" s="151"/>
      <c r="Q629" s="143"/>
      <c r="R629" s="143"/>
      <c r="S629" s="143"/>
      <c r="T629" s="143"/>
      <c r="U629" s="143"/>
      <c r="V629" s="143"/>
      <c r="W629" s="143"/>
      <c r="X629" s="143"/>
      <c r="Y629" s="143"/>
      <c r="Z629" s="143"/>
      <c r="AA629" s="143"/>
      <c r="AB629" s="143"/>
      <c r="AC629" s="143"/>
      <c r="AD629" s="143"/>
      <c r="AE629" s="143"/>
      <c r="AF629" s="143"/>
      <c r="AG629" s="143"/>
      <c r="AH629" s="143"/>
      <c r="AI629" s="143"/>
      <c r="AJ629" s="143"/>
    </row>
    <row r="630" spans="1:36" ht="12.75" customHeight="1" x14ac:dyDescent="0.25">
      <c r="A630" s="143"/>
      <c r="B630" s="145"/>
      <c r="C630" s="146"/>
      <c r="D630" s="114"/>
      <c r="E630" s="148"/>
      <c r="F630" s="148"/>
      <c r="G630" s="114"/>
      <c r="H630" s="149"/>
      <c r="I630" s="143"/>
      <c r="J630" s="143"/>
      <c r="K630" s="143"/>
      <c r="L630" s="143"/>
      <c r="M630" s="150"/>
      <c r="N630" s="143"/>
      <c r="O630" s="1"/>
      <c r="P630" s="151"/>
      <c r="Q630" s="143"/>
      <c r="R630" s="143"/>
      <c r="S630" s="143"/>
      <c r="T630" s="143"/>
      <c r="U630" s="143"/>
      <c r="V630" s="143"/>
      <c r="W630" s="143"/>
      <c r="X630" s="143"/>
      <c r="Y630" s="143"/>
      <c r="Z630" s="143"/>
      <c r="AA630" s="143"/>
      <c r="AB630" s="143"/>
      <c r="AC630" s="143"/>
      <c r="AD630" s="143"/>
      <c r="AE630" s="143"/>
      <c r="AF630" s="143"/>
      <c r="AG630" s="143"/>
      <c r="AH630" s="143"/>
      <c r="AI630" s="143"/>
      <c r="AJ630" s="143"/>
    </row>
    <row r="631" spans="1:36" ht="12.75" customHeight="1" x14ac:dyDescent="0.25">
      <c r="A631" s="143"/>
      <c r="B631" s="145"/>
      <c r="C631" s="146"/>
      <c r="D631" s="114"/>
      <c r="E631" s="148"/>
      <c r="F631" s="148"/>
      <c r="G631" s="114"/>
      <c r="H631" s="149"/>
      <c r="I631" s="143"/>
      <c r="J631" s="143"/>
      <c r="K631" s="143"/>
      <c r="L631" s="143"/>
      <c r="M631" s="150"/>
      <c r="N631" s="143"/>
      <c r="O631" s="1"/>
      <c r="P631" s="151"/>
      <c r="Q631" s="143"/>
      <c r="R631" s="143"/>
      <c r="S631" s="143"/>
      <c r="T631" s="143"/>
      <c r="U631" s="143"/>
      <c r="V631" s="143"/>
      <c r="W631" s="143"/>
      <c r="X631" s="143"/>
      <c r="Y631" s="143"/>
      <c r="Z631" s="143"/>
      <c r="AA631" s="143"/>
      <c r="AB631" s="143"/>
      <c r="AC631" s="143"/>
      <c r="AD631" s="143"/>
      <c r="AE631" s="143"/>
      <c r="AF631" s="143"/>
      <c r="AG631" s="143"/>
      <c r="AH631" s="143"/>
      <c r="AI631" s="143"/>
      <c r="AJ631" s="143"/>
    </row>
    <row r="632" spans="1:36" ht="12.75" customHeight="1" x14ac:dyDescent="0.25">
      <c r="A632" s="143"/>
      <c r="B632" s="145"/>
      <c r="C632" s="146"/>
      <c r="D632" s="114"/>
      <c r="E632" s="148"/>
      <c r="F632" s="148"/>
      <c r="G632" s="114"/>
      <c r="H632" s="149"/>
      <c r="I632" s="143"/>
      <c r="J632" s="143"/>
      <c r="K632" s="143"/>
      <c r="L632" s="143"/>
      <c r="M632" s="150"/>
      <c r="N632" s="143"/>
      <c r="O632" s="1"/>
      <c r="P632" s="151"/>
      <c r="Q632" s="143"/>
      <c r="R632" s="143"/>
      <c r="S632" s="143"/>
      <c r="T632" s="143"/>
      <c r="U632" s="143"/>
      <c r="V632" s="143"/>
      <c r="W632" s="143"/>
      <c r="X632" s="143"/>
      <c r="Y632" s="143"/>
      <c r="Z632" s="143"/>
      <c r="AA632" s="143"/>
      <c r="AB632" s="143"/>
      <c r="AC632" s="143"/>
      <c r="AD632" s="143"/>
      <c r="AE632" s="143"/>
      <c r="AF632" s="143"/>
      <c r="AG632" s="143"/>
      <c r="AH632" s="143"/>
      <c r="AI632" s="143"/>
      <c r="AJ632" s="143"/>
    </row>
    <row r="633" spans="1:36" ht="12.75" customHeight="1" x14ac:dyDescent="0.25">
      <c r="A633" s="143"/>
      <c r="B633" s="145"/>
      <c r="C633" s="146"/>
      <c r="D633" s="114"/>
      <c r="E633" s="148"/>
      <c r="F633" s="148"/>
      <c r="G633" s="114"/>
      <c r="H633" s="149"/>
      <c r="I633" s="143"/>
      <c r="J633" s="143"/>
      <c r="K633" s="143"/>
      <c r="L633" s="143"/>
      <c r="M633" s="150"/>
      <c r="N633" s="143"/>
      <c r="O633" s="1"/>
      <c r="P633" s="151"/>
      <c r="Q633" s="143"/>
      <c r="R633" s="143"/>
      <c r="S633" s="143"/>
      <c r="T633" s="143"/>
      <c r="U633" s="143"/>
      <c r="V633" s="143"/>
      <c r="W633" s="143"/>
      <c r="X633" s="143"/>
      <c r="Y633" s="143"/>
      <c r="Z633" s="143"/>
      <c r="AA633" s="143"/>
      <c r="AB633" s="143"/>
      <c r="AC633" s="143"/>
      <c r="AD633" s="143"/>
      <c r="AE633" s="143"/>
      <c r="AF633" s="143"/>
      <c r="AG633" s="143"/>
      <c r="AH633" s="143"/>
      <c r="AI633" s="143"/>
      <c r="AJ633" s="143"/>
    </row>
    <row r="634" spans="1:36" ht="12.75" customHeight="1" x14ac:dyDescent="0.25">
      <c r="A634" s="143"/>
      <c r="B634" s="145"/>
      <c r="C634" s="146"/>
      <c r="D634" s="114"/>
      <c r="E634" s="148"/>
      <c r="F634" s="148"/>
      <c r="G634" s="114"/>
      <c r="H634" s="149"/>
      <c r="I634" s="143"/>
      <c r="J634" s="143"/>
      <c r="K634" s="143"/>
      <c r="L634" s="143"/>
      <c r="M634" s="150"/>
      <c r="N634" s="143"/>
      <c r="O634" s="1"/>
      <c r="P634" s="151"/>
      <c r="Q634" s="143"/>
      <c r="R634" s="143"/>
      <c r="S634" s="143"/>
      <c r="T634" s="143"/>
      <c r="U634" s="143"/>
      <c r="V634" s="143"/>
      <c r="W634" s="143"/>
      <c r="X634" s="143"/>
      <c r="Y634" s="143"/>
      <c r="Z634" s="143"/>
      <c r="AA634" s="143"/>
      <c r="AB634" s="143"/>
      <c r="AC634" s="143"/>
      <c r="AD634" s="143"/>
      <c r="AE634" s="143"/>
      <c r="AF634" s="143"/>
      <c r="AG634" s="143"/>
      <c r="AH634" s="143"/>
      <c r="AI634" s="143"/>
      <c r="AJ634" s="143"/>
    </row>
    <row r="635" spans="1:36" ht="12.75" customHeight="1" x14ac:dyDescent="0.25">
      <c r="A635" s="143"/>
      <c r="B635" s="145"/>
      <c r="C635" s="146"/>
      <c r="D635" s="114"/>
      <c r="E635" s="148"/>
      <c r="F635" s="148"/>
      <c r="G635" s="114"/>
      <c r="H635" s="149"/>
      <c r="I635" s="143"/>
      <c r="J635" s="143"/>
      <c r="K635" s="143"/>
      <c r="L635" s="143"/>
      <c r="M635" s="150"/>
      <c r="N635" s="143"/>
      <c r="O635" s="1"/>
      <c r="P635" s="151"/>
      <c r="Q635" s="143"/>
      <c r="R635" s="143"/>
      <c r="S635" s="143"/>
      <c r="T635" s="143"/>
      <c r="U635" s="143"/>
      <c r="V635" s="143"/>
      <c r="W635" s="143"/>
      <c r="X635" s="143"/>
      <c r="Y635" s="143"/>
      <c r="Z635" s="143"/>
      <c r="AA635" s="143"/>
      <c r="AB635" s="143"/>
      <c r="AC635" s="143"/>
      <c r="AD635" s="143"/>
      <c r="AE635" s="143"/>
      <c r="AF635" s="143"/>
      <c r="AG635" s="143"/>
      <c r="AH635" s="143"/>
      <c r="AI635" s="143"/>
      <c r="AJ635" s="143"/>
    </row>
    <row r="636" spans="1:36" ht="12.75" customHeight="1" x14ac:dyDescent="0.25">
      <c r="A636" s="143"/>
      <c r="B636" s="145"/>
      <c r="C636" s="146"/>
      <c r="D636" s="114"/>
      <c r="E636" s="148"/>
      <c r="F636" s="148"/>
      <c r="G636" s="114"/>
      <c r="H636" s="149"/>
      <c r="I636" s="143"/>
      <c r="J636" s="143"/>
      <c r="K636" s="143"/>
      <c r="L636" s="143"/>
      <c r="M636" s="150"/>
      <c r="N636" s="143"/>
      <c r="O636" s="1"/>
      <c r="P636" s="151"/>
      <c r="Q636" s="143"/>
      <c r="R636" s="143"/>
      <c r="S636" s="143"/>
      <c r="T636" s="143"/>
      <c r="U636" s="143"/>
      <c r="V636" s="143"/>
      <c r="W636" s="143"/>
      <c r="X636" s="143"/>
      <c r="Y636" s="143"/>
      <c r="Z636" s="143"/>
      <c r="AA636" s="143"/>
      <c r="AB636" s="143"/>
      <c r="AC636" s="143"/>
      <c r="AD636" s="143"/>
      <c r="AE636" s="143"/>
      <c r="AF636" s="143"/>
      <c r="AG636" s="143"/>
      <c r="AH636" s="143"/>
      <c r="AI636" s="143"/>
      <c r="AJ636" s="143"/>
    </row>
    <row r="637" spans="1:36" ht="12.75" customHeight="1" x14ac:dyDescent="0.25">
      <c r="A637" s="143"/>
      <c r="B637" s="145"/>
      <c r="C637" s="146"/>
      <c r="D637" s="114"/>
      <c r="E637" s="148"/>
      <c r="F637" s="148"/>
      <c r="G637" s="114"/>
      <c r="H637" s="149"/>
      <c r="I637" s="143"/>
      <c r="J637" s="143"/>
      <c r="K637" s="143"/>
      <c r="L637" s="143"/>
      <c r="M637" s="150"/>
      <c r="N637" s="143"/>
      <c r="O637" s="1"/>
      <c r="P637" s="151"/>
      <c r="Q637" s="143"/>
      <c r="R637" s="143"/>
      <c r="S637" s="143"/>
      <c r="T637" s="143"/>
      <c r="U637" s="143"/>
      <c r="V637" s="143"/>
      <c r="W637" s="143"/>
      <c r="X637" s="143"/>
      <c r="Y637" s="143"/>
      <c r="Z637" s="143"/>
      <c r="AA637" s="143"/>
      <c r="AB637" s="143"/>
      <c r="AC637" s="143"/>
      <c r="AD637" s="143"/>
      <c r="AE637" s="143"/>
      <c r="AF637" s="143"/>
      <c r="AG637" s="143"/>
      <c r="AH637" s="143"/>
      <c r="AI637" s="143"/>
      <c r="AJ637" s="143"/>
    </row>
    <row r="638" spans="1:36" ht="12.75" customHeight="1" x14ac:dyDescent="0.25">
      <c r="A638" s="143"/>
      <c r="B638" s="145"/>
      <c r="C638" s="146"/>
      <c r="D638" s="114"/>
      <c r="E638" s="148"/>
      <c r="F638" s="148"/>
      <c r="G638" s="114"/>
      <c r="H638" s="149"/>
      <c r="I638" s="143"/>
      <c r="J638" s="143"/>
      <c r="K638" s="143"/>
      <c r="L638" s="143"/>
      <c r="M638" s="150"/>
      <c r="N638" s="143"/>
      <c r="O638" s="1"/>
      <c r="P638" s="151"/>
      <c r="Q638" s="143"/>
      <c r="R638" s="143"/>
      <c r="S638" s="143"/>
      <c r="T638" s="143"/>
      <c r="U638" s="143"/>
      <c r="V638" s="143"/>
      <c r="W638" s="143"/>
      <c r="X638" s="143"/>
      <c r="Y638" s="143"/>
      <c r="Z638" s="143"/>
      <c r="AA638" s="143"/>
      <c r="AB638" s="143"/>
      <c r="AC638" s="143"/>
      <c r="AD638" s="143"/>
      <c r="AE638" s="143"/>
      <c r="AF638" s="143"/>
      <c r="AG638" s="143"/>
      <c r="AH638" s="143"/>
      <c r="AI638" s="143"/>
      <c r="AJ638" s="143"/>
    </row>
    <row r="639" spans="1:36" ht="12.75" customHeight="1" x14ac:dyDescent="0.25">
      <c r="A639" s="143"/>
      <c r="B639" s="145"/>
      <c r="C639" s="146"/>
      <c r="D639" s="114"/>
      <c r="E639" s="148"/>
      <c r="F639" s="148"/>
      <c r="G639" s="114"/>
      <c r="H639" s="149"/>
      <c r="I639" s="143"/>
      <c r="J639" s="143"/>
      <c r="K639" s="143"/>
      <c r="L639" s="143"/>
      <c r="M639" s="150"/>
      <c r="N639" s="143"/>
      <c r="O639" s="1"/>
      <c r="P639" s="151"/>
      <c r="Q639" s="143"/>
      <c r="R639" s="143"/>
      <c r="S639" s="143"/>
      <c r="T639" s="143"/>
      <c r="U639" s="143"/>
      <c r="V639" s="143"/>
      <c r="W639" s="143"/>
      <c r="X639" s="143"/>
      <c r="Y639" s="143"/>
      <c r="Z639" s="143"/>
      <c r="AA639" s="143"/>
      <c r="AB639" s="143"/>
      <c r="AC639" s="143"/>
      <c r="AD639" s="143"/>
      <c r="AE639" s="143"/>
      <c r="AF639" s="143"/>
      <c r="AG639" s="143"/>
      <c r="AH639" s="143"/>
      <c r="AI639" s="143"/>
      <c r="AJ639" s="143"/>
    </row>
    <row r="640" spans="1:36" ht="12.75" customHeight="1" x14ac:dyDescent="0.25">
      <c r="A640" s="143"/>
      <c r="B640" s="145"/>
      <c r="C640" s="146"/>
      <c r="D640" s="114"/>
      <c r="E640" s="148"/>
      <c r="F640" s="148"/>
      <c r="G640" s="114"/>
      <c r="H640" s="149"/>
      <c r="I640" s="143"/>
      <c r="J640" s="143"/>
      <c r="K640" s="143"/>
      <c r="L640" s="143"/>
      <c r="M640" s="150"/>
      <c r="N640" s="143"/>
      <c r="O640" s="1"/>
      <c r="P640" s="151"/>
      <c r="Q640" s="143"/>
      <c r="R640" s="143"/>
      <c r="S640" s="143"/>
      <c r="T640" s="143"/>
      <c r="U640" s="143"/>
      <c r="V640" s="143"/>
      <c r="W640" s="143"/>
      <c r="X640" s="143"/>
      <c r="Y640" s="143"/>
      <c r="Z640" s="143"/>
      <c r="AA640" s="143"/>
      <c r="AB640" s="143"/>
      <c r="AC640" s="143"/>
      <c r="AD640" s="143"/>
      <c r="AE640" s="143"/>
      <c r="AF640" s="143"/>
      <c r="AG640" s="143"/>
      <c r="AH640" s="143"/>
      <c r="AI640" s="143"/>
      <c r="AJ640" s="143"/>
    </row>
    <row r="641" spans="1:36" ht="12.75" customHeight="1" x14ac:dyDescent="0.25">
      <c r="A641" s="143"/>
      <c r="B641" s="145"/>
      <c r="C641" s="146"/>
      <c r="D641" s="114"/>
      <c r="E641" s="148"/>
      <c r="F641" s="148"/>
      <c r="G641" s="114"/>
      <c r="H641" s="149"/>
      <c r="I641" s="143"/>
      <c r="J641" s="143"/>
      <c r="K641" s="143"/>
      <c r="L641" s="143"/>
      <c r="M641" s="150"/>
      <c r="N641" s="143"/>
      <c r="O641" s="1"/>
      <c r="P641" s="151"/>
      <c r="Q641" s="143"/>
      <c r="R641" s="143"/>
      <c r="S641" s="143"/>
      <c r="T641" s="143"/>
      <c r="U641" s="143"/>
      <c r="V641" s="143"/>
      <c r="W641" s="143"/>
      <c r="X641" s="143"/>
      <c r="Y641" s="143"/>
      <c r="Z641" s="143"/>
      <c r="AA641" s="143"/>
      <c r="AB641" s="143"/>
      <c r="AC641" s="143"/>
      <c r="AD641" s="143"/>
      <c r="AE641" s="143"/>
      <c r="AF641" s="143"/>
      <c r="AG641" s="143"/>
      <c r="AH641" s="143"/>
      <c r="AI641" s="143"/>
      <c r="AJ641" s="143"/>
    </row>
    <row r="642" spans="1:36" ht="12.75" customHeight="1" x14ac:dyDescent="0.25">
      <c r="A642" s="143"/>
      <c r="B642" s="145"/>
      <c r="C642" s="146"/>
      <c r="D642" s="114"/>
      <c r="E642" s="148"/>
      <c r="F642" s="148"/>
      <c r="G642" s="114"/>
      <c r="H642" s="149"/>
      <c r="I642" s="143"/>
      <c r="J642" s="143"/>
      <c r="K642" s="143"/>
      <c r="L642" s="143"/>
      <c r="M642" s="150"/>
      <c r="N642" s="143"/>
      <c r="O642" s="1"/>
      <c r="P642" s="151"/>
      <c r="Q642" s="143"/>
      <c r="R642" s="143"/>
      <c r="S642" s="143"/>
      <c r="T642" s="143"/>
      <c r="U642" s="143"/>
      <c r="V642" s="143"/>
      <c r="W642" s="143"/>
      <c r="X642" s="143"/>
      <c r="Y642" s="143"/>
      <c r="Z642" s="143"/>
      <c r="AA642" s="143"/>
      <c r="AB642" s="143"/>
      <c r="AC642" s="143"/>
      <c r="AD642" s="143"/>
      <c r="AE642" s="143"/>
      <c r="AF642" s="143"/>
      <c r="AG642" s="143"/>
      <c r="AH642" s="143"/>
      <c r="AI642" s="143"/>
      <c r="AJ642" s="143"/>
    </row>
    <row r="643" spans="1:36" ht="12.75" customHeight="1" x14ac:dyDescent="0.25">
      <c r="A643" s="143"/>
      <c r="B643" s="145"/>
      <c r="C643" s="146"/>
      <c r="D643" s="114"/>
      <c r="E643" s="148"/>
      <c r="F643" s="148"/>
      <c r="G643" s="114"/>
      <c r="H643" s="149"/>
      <c r="I643" s="143"/>
      <c r="J643" s="143"/>
      <c r="K643" s="143"/>
      <c r="L643" s="143"/>
      <c r="M643" s="150"/>
      <c r="N643" s="143"/>
      <c r="O643" s="1"/>
      <c r="P643" s="151"/>
      <c r="Q643" s="143"/>
      <c r="R643" s="143"/>
      <c r="S643" s="143"/>
      <c r="T643" s="143"/>
      <c r="U643" s="143"/>
      <c r="V643" s="143"/>
      <c r="W643" s="143"/>
      <c r="X643" s="143"/>
      <c r="Y643" s="143"/>
      <c r="Z643" s="143"/>
      <c r="AA643" s="143"/>
      <c r="AB643" s="143"/>
      <c r="AC643" s="143"/>
      <c r="AD643" s="143"/>
      <c r="AE643" s="143"/>
      <c r="AF643" s="143"/>
      <c r="AG643" s="143"/>
      <c r="AH643" s="143"/>
      <c r="AI643" s="143"/>
      <c r="AJ643" s="143"/>
    </row>
    <row r="644" spans="1:36" ht="12.75" customHeight="1" x14ac:dyDescent="0.25">
      <c r="A644" s="143"/>
      <c r="B644" s="145"/>
      <c r="C644" s="146"/>
      <c r="D644" s="114"/>
      <c r="E644" s="148"/>
      <c r="F644" s="148"/>
      <c r="G644" s="114"/>
      <c r="H644" s="149"/>
      <c r="I644" s="143"/>
      <c r="J644" s="143"/>
      <c r="K644" s="143"/>
      <c r="L644" s="143"/>
      <c r="M644" s="150"/>
      <c r="N644" s="143"/>
      <c r="O644" s="1"/>
      <c r="P644" s="151"/>
      <c r="Q644" s="143"/>
      <c r="R644" s="143"/>
      <c r="S644" s="143"/>
      <c r="T644" s="143"/>
      <c r="U644" s="143"/>
      <c r="V644" s="143"/>
      <c r="W644" s="143"/>
      <c r="X644" s="143"/>
      <c r="Y644" s="143"/>
      <c r="Z644" s="143"/>
      <c r="AA644" s="143"/>
      <c r="AB644" s="143"/>
      <c r="AC644" s="143"/>
      <c r="AD644" s="143"/>
      <c r="AE644" s="143"/>
      <c r="AF644" s="143"/>
      <c r="AG644" s="143"/>
      <c r="AH644" s="143"/>
      <c r="AI644" s="143"/>
      <c r="AJ644" s="143"/>
    </row>
    <row r="645" spans="1:36" ht="12.75" customHeight="1" x14ac:dyDescent="0.25">
      <c r="A645" s="143"/>
      <c r="B645" s="145"/>
      <c r="C645" s="146"/>
      <c r="D645" s="114"/>
      <c r="E645" s="148"/>
      <c r="F645" s="148"/>
      <c r="G645" s="114"/>
      <c r="H645" s="149"/>
      <c r="I645" s="143"/>
      <c r="J645" s="143"/>
      <c r="K645" s="143"/>
      <c r="L645" s="143"/>
      <c r="M645" s="150"/>
      <c r="N645" s="143"/>
      <c r="O645" s="1"/>
      <c r="P645" s="151"/>
      <c r="Q645" s="143"/>
      <c r="R645" s="143"/>
      <c r="S645" s="143"/>
      <c r="T645" s="143"/>
      <c r="U645" s="143"/>
      <c r="V645" s="143"/>
      <c r="W645" s="143"/>
      <c r="X645" s="143"/>
      <c r="Y645" s="143"/>
      <c r="Z645" s="143"/>
      <c r="AA645" s="143"/>
      <c r="AB645" s="143"/>
      <c r="AC645" s="143"/>
      <c r="AD645" s="143"/>
      <c r="AE645" s="143"/>
      <c r="AF645" s="143"/>
      <c r="AG645" s="143"/>
      <c r="AH645" s="143"/>
      <c r="AI645" s="143"/>
      <c r="AJ645" s="143"/>
    </row>
    <row r="646" spans="1:36" ht="12.75" customHeight="1" x14ac:dyDescent="0.25">
      <c r="A646" s="143"/>
      <c r="B646" s="145"/>
      <c r="C646" s="146"/>
      <c r="D646" s="114"/>
      <c r="E646" s="148"/>
      <c r="F646" s="148"/>
      <c r="G646" s="114"/>
      <c r="H646" s="149"/>
      <c r="I646" s="143"/>
      <c r="J646" s="143"/>
      <c r="K646" s="143"/>
      <c r="L646" s="143"/>
      <c r="M646" s="150"/>
      <c r="N646" s="143"/>
      <c r="O646" s="1"/>
      <c r="P646" s="151"/>
      <c r="Q646" s="143"/>
      <c r="R646" s="143"/>
      <c r="S646" s="143"/>
      <c r="T646" s="143"/>
      <c r="U646" s="143"/>
      <c r="V646" s="143"/>
      <c r="W646" s="143"/>
      <c r="X646" s="143"/>
      <c r="Y646" s="143"/>
      <c r="Z646" s="143"/>
      <c r="AA646" s="143"/>
      <c r="AB646" s="143"/>
      <c r="AC646" s="143"/>
      <c r="AD646" s="143"/>
      <c r="AE646" s="143"/>
      <c r="AF646" s="143"/>
      <c r="AG646" s="143"/>
      <c r="AH646" s="143"/>
      <c r="AI646" s="143"/>
      <c r="AJ646" s="143"/>
    </row>
    <row r="647" spans="1:36" ht="12.75" customHeight="1" x14ac:dyDescent="0.25">
      <c r="A647" s="143"/>
      <c r="B647" s="145"/>
      <c r="C647" s="146"/>
      <c r="D647" s="114"/>
      <c r="E647" s="148"/>
      <c r="F647" s="148"/>
      <c r="G647" s="114"/>
      <c r="H647" s="149"/>
      <c r="I647" s="143"/>
      <c r="J647" s="143"/>
      <c r="K647" s="143"/>
      <c r="L647" s="143"/>
      <c r="M647" s="150"/>
      <c r="N647" s="143"/>
      <c r="O647" s="1"/>
      <c r="P647" s="151"/>
      <c r="Q647" s="143"/>
      <c r="R647" s="143"/>
      <c r="S647" s="143"/>
      <c r="T647" s="143"/>
      <c r="U647" s="143"/>
      <c r="V647" s="143"/>
      <c r="W647" s="143"/>
      <c r="X647" s="143"/>
      <c r="Y647" s="143"/>
      <c r="Z647" s="143"/>
      <c r="AA647" s="143"/>
      <c r="AB647" s="143"/>
      <c r="AC647" s="143"/>
      <c r="AD647" s="143"/>
      <c r="AE647" s="143"/>
      <c r="AF647" s="143"/>
      <c r="AG647" s="143"/>
      <c r="AH647" s="143"/>
      <c r="AI647" s="143"/>
      <c r="AJ647" s="143"/>
    </row>
    <row r="648" spans="1:36" ht="12.75" customHeight="1" x14ac:dyDescent="0.25">
      <c r="A648" s="143"/>
      <c r="B648" s="145"/>
      <c r="C648" s="146"/>
      <c r="D648" s="114"/>
      <c r="E648" s="148"/>
      <c r="F648" s="148"/>
      <c r="G648" s="114"/>
      <c r="H648" s="149"/>
      <c r="I648" s="143"/>
      <c r="J648" s="143"/>
      <c r="K648" s="143"/>
      <c r="L648" s="143"/>
      <c r="M648" s="150"/>
      <c r="N648" s="143"/>
      <c r="O648" s="1"/>
      <c r="P648" s="151"/>
      <c r="Q648" s="143"/>
      <c r="R648" s="143"/>
      <c r="S648" s="143"/>
      <c r="T648" s="143"/>
      <c r="U648" s="143"/>
      <c r="V648" s="143"/>
      <c r="W648" s="143"/>
      <c r="X648" s="143"/>
      <c r="Y648" s="143"/>
      <c r="Z648" s="143"/>
      <c r="AA648" s="143"/>
      <c r="AB648" s="143"/>
      <c r="AC648" s="143"/>
      <c r="AD648" s="143"/>
      <c r="AE648" s="143"/>
      <c r="AF648" s="143"/>
      <c r="AG648" s="143"/>
      <c r="AH648" s="143"/>
      <c r="AI648" s="143"/>
      <c r="AJ648" s="143"/>
    </row>
    <row r="649" spans="1:36" ht="12.75" customHeight="1" x14ac:dyDescent="0.25">
      <c r="A649" s="143"/>
      <c r="B649" s="145"/>
      <c r="C649" s="146"/>
      <c r="D649" s="114"/>
      <c r="E649" s="148"/>
      <c r="F649" s="148"/>
      <c r="G649" s="114"/>
      <c r="H649" s="149"/>
      <c r="I649" s="143"/>
      <c r="J649" s="143"/>
      <c r="K649" s="143"/>
      <c r="L649" s="143"/>
      <c r="M649" s="150"/>
      <c r="N649" s="143"/>
      <c r="O649" s="1"/>
      <c r="P649" s="151"/>
      <c r="Q649" s="143"/>
      <c r="R649" s="143"/>
      <c r="S649" s="143"/>
      <c r="T649" s="143"/>
      <c r="U649" s="143"/>
      <c r="V649" s="143"/>
      <c r="W649" s="143"/>
      <c r="X649" s="143"/>
      <c r="Y649" s="143"/>
      <c r="Z649" s="143"/>
      <c r="AA649" s="143"/>
      <c r="AB649" s="143"/>
      <c r="AC649" s="143"/>
      <c r="AD649" s="143"/>
      <c r="AE649" s="143"/>
      <c r="AF649" s="143"/>
      <c r="AG649" s="143"/>
      <c r="AH649" s="143"/>
      <c r="AI649" s="143"/>
      <c r="AJ649" s="143"/>
    </row>
    <row r="650" spans="1:36" ht="12.75" customHeight="1" x14ac:dyDescent="0.25">
      <c r="A650" s="143"/>
      <c r="B650" s="145"/>
      <c r="C650" s="146"/>
      <c r="D650" s="114"/>
      <c r="E650" s="148"/>
      <c r="F650" s="148"/>
      <c r="G650" s="114"/>
      <c r="H650" s="149"/>
      <c r="I650" s="143"/>
      <c r="J650" s="143"/>
      <c r="K650" s="143"/>
      <c r="L650" s="143"/>
      <c r="M650" s="150"/>
      <c r="N650" s="143"/>
      <c r="O650" s="1"/>
      <c r="P650" s="151"/>
      <c r="Q650" s="143"/>
      <c r="R650" s="143"/>
      <c r="S650" s="143"/>
      <c r="T650" s="143"/>
      <c r="U650" s="143"/>
      <c r="V650" s="143"/>
      <c r="W650" s="143"/>
      <c r="X650" s="143"/>
      <c r="Y650" s="143"/>
      <c r="Z650" s="143"/>
      <c r="AA650" s="143"/>
      <c r="AB650" s="143"/>
      <c r="AC650" s="143"/>
      <c r="AD650" s="143"/>
      <c r="AE650" s="143"/>
      <c r="AF650" s="143"/>
      <c r="AG650" s="143"/>
      <c r="AH650" s="143"/>
      <c r="AI650" s="143"/>
      <c r="AJ650" s="143"/>
    </row>
    <row r="651" spans="1:36" ht="12.75" customHeight="1" x14ac:dyDescent="0.25">
      <c r="A651" s="143"/>
      <c r="B651" s="145"/>
      <c r="C651" s="146"/>
      <c r="D651" s="114"/>
      <c r="E651" s="148"/>
      <c r="F651" s="148"/>
      <c r="G651" s="114"/>
      <c r="H651" s="149"/>
      <c r="I651" s="143"/>
      <c r="J651" s="143"/>
      <c r="K651" s="143"/>
      <c r="L651" s="143"/>
      <c r="M651" s="150"/>
      <c r="N651" s="143"/>
      <c r="O651" s="1"/>
      <c r="P651" s="151"/>
      <c r="Q651" s="143"/>
      <c r="R651" s="143"/>
      <c r="S651" s="143"/>
      <c r="T651" s="143"/>
      <c r="U651" s="143"/>
      <c r="V651" s="143"/>
      <c r="W651" s="143"/>
      <c r="X651" s="143"/>
      <c r="Y651" s="143"/>
      <c r="Z651" s="143"/>
      <c r="AA651" s="143"/>
      <c r="AB651" s="143"/>
      <c r="AC651" s="143"/>
      <c r="AD651" s="143"/>
      <c r="AE651" s="143"/>
      <c r="AF651" s="143"/>
      <c r="AG651" s="143"/>
      <c r="AH651" s="143"/>
      <c r="AI651" s="143"/>
      <c r="AJ651" s="143"/>
    </row>
    <row r="652" spans="1:36" ht="12.75" customHeight="1" x14ac:dyDescent="0.25">
      <c r="A652" s="143"/>
      <c r="B652" s="145"/>
      <c r="C652" s="146"/>
      <c r="D652" s="114"/>
      <c r="E652" s="148"/>
      <c r="F652" s="148"/>
      <c r="G652" s="114"/>
      <c r="H652" s="149"/>
      <c r="I652" s="143"/>
      <c r="J652" s="143"/>
      <c r="K652" s="143"/>
      <c r="L652" s="143"/>
      <c r="M652" s="150"/>
      <c r="N652" s="143"/>
      <c r="O652" s="1"/>
      <c r="P652" s="151"/>
      <c r="Q652" s="143"/>
      <c r="R652" s="143"/>
      <c r="S652" s="143"/>
      <c r="T652" s="143"/>
      <c r="U652" s="143"/>
      <c r="V652" s="143"/>
      <c r="W652" s="143"/>
      <c r="X652" s="143"/>
      <c r="Y652" s="143"/>
      <c r="Z652" s="143"/>
      <c r="AA652" s="143"/>
      <c r="AB652" s="143"/>
      <c r="AC652" s="143"/>
      <c r="AD652" s="143"/>
      <c r="AE652" s="143"/>
      <c r="AF652" s="143"/>
      <c r="AG652" s="143"/>
      <c r="AH652" s="143"/>
      <c r="AI652" s="143"/>
      <c r="AJ652" s="143"/>
    </row>
    <row r="653" spans="1:36" ht="12.75" customHeight="1" x14ac:dyDescent="0.25">
      <c r="A653" s="143"/>
      <c r="B653" s="145"/>
      <c r="C653" s="146"/>
      <c r="D653" s="114"/>
      <c r="E653" s="148"/>
      <c r="F653" s="148"/>
      <c r="G653" s="114"/>
      <c r="H653" s="149"/>
      <c r="I653" s="143"/>
      <c r="J653" s="143"/>
      <c r="K653" s="143"/>
      <c r="L653" s="143"/>
      <c r="M653" s="150"/>
      <c r="N653" s="143"/>
      <c r="O653" s="1"/>
      <c r="P653" s="151"/>
      <c r="Q653" s="143"/>
      <c r="R653" s="143"/>
      <c r="S653" s="143"/>
      <c r="T653" s="143"/>
      <c r="U653" s="143"/>
      <c r="V653" s="143"/>
      <c r="W653" s="143"/>
      <c r="X653" s="143"/>
      <c r="Y653" s="143"/>
      <c r="Z653" s="143"/>
      <c r="AA653" s="143"/>
      <c r="AB653" s="143"/>
      <c r="AC653" s="143"/>
      <c r="AD653" s="143"/>
      <c r="AE653" s="143"/>
      <c r="AF653" s="143"/>
      <c r="AG653" s="143"/>
      <c r="AH653" s="143"/>
      <c r="AI653" s="143"/>
      <c r="AJ653" s="143"/>
    </row>
    <row r="654" spans="1:36" ht="12.75" customHeight="1" x14ac:dyDescent="0.25">
      <c r="A654" s="143"/>
      <c r="B654" s="145"/>
      <c r="C654" s="146"/>
      <c r="D654" s="114"/>
      <c r="E654" s="148"/>
      <c r="F654" s="148"/>
      <c r="G654" s="114"/>
      <c r="H654" s="149"/>
      <c r="I654" s="143"/>
      <c r="J654" s="143"/>
      <c r="K654" s="143"/>
      <c r="L654" s="143"/>
      <c r="M654" s="150"/>
      <c r="N654" s="143"/>
      <c r="O654" s="1"/>
      <c r="P654" s="151"/>
      <c r="Q654" s="143"/>
      <c r="R654" s="143"/>
      <c r="S654" s="143"/>
      <c r="T654" s="143"/>
      <c r="U654" s="143"/>
      <c r="V654" s="143"/>
      <c r="W654" s="143"/>
      <c r="X654" s="143"/>
      <c r="Y654" s="143"/>
      <c r="Z654" s="143"/>
      <c r="AA654" s="143"/>
      <c r="AB654" s="143"/>
      <c r="AC654" s="143"/>
      <c r="AD654" s="143"/>
      <c r="AE654" s="143"/>
      <c r="AF654" s="143"/>
      <c r="AG654" s="143"/>
      <c r="AH654" s="143"/>
      <c r="AI654" s="143"/>
      <c r="AJ654" s="143"/>
    </row>
    <row r="655" spans="1:36" ht="12.75" customHeight="1" x14ac:dyDescent="0.25">
      <c r="A655" s="143"/>
      <c r="B655" s="145"/>
      <c r="C655" s="146"/>
      <c r="D655" s="114"/>
      <c r="E655" s="148"/>
      <c r="F655" s="148"/>
      <c r="G655" s="114"/>
      <c r="H655" s="149"/>
      <c r="I655" s="143"/>
      <c r="J655" s="143"/>
      <c r="K655" s="143"/>
      <c r="L655" s="143"/>
      <c r="M655" s="150"/>
      <c r="N655" s="143"/>
      <c r="O655" s="1"/>
      <c r="P655" s="151"/>
      <c r="Q655" s="143"/>
      <c r="R655" s="143"/>
      <c r="S655" s="143"/>
      <c r="T655" s="143"/>
      <c r="U655" s="143"/>
      <c r="V655" s="143"/>
      <c r="W655" s="143"/>
      <c r="X655" s="143"/>
      <c r="Y655" s="143"/>
      <c r="Z655" s="143"/>
      <c r="AA655" s="143"/>
      <c r="AB655" s="143"/>
      <c r="AC655" s="143"/>
      <c r="AD655" s="143"/>
      <c r="AE655" s="143"/>
      <c r="AF655" s="143"/>
      <c r="AG655" s="143"/>
      <c r="AH655" s="143"/>
      <c r="AI655" s="143"/>
      <c r="AJ655" s="143"/>
    </row>
    <row r="656" spans="1:36" ht="12.75" customHeight="1" x14ac:dyDescent="0.25">
      <c r="A656" s="143"/>
      <c r="B656" s="145"/>
      <c r="C656" s="146"/>
      <c r="D656" s="114"/>
      <c r="E656" s="148"/>
      <c r="F656" s="148"/>
      <c r="G656" s="114"/>
      <c r="H656" s="149"/>
      <c r="I656" s="143"/>
      <c r="J656" s="143"/>
      <c r="K656" s="143"/>
      <c r="L656" s="143"/>
      <c r="M656" s="150"/>
      <c r="N656" s="143"/>
      <c r="O656" s="1"/>
      <c r="P656" s="151"/>
      <c r="Q656" s="143"/>
      <c r="R656" s="143"/>
      <c r="S656" s="143"/>
      <c r="T656" s="143"/>
      <c r="U656" s="143"/>
      <c r="V656" s="143"/>
      <c r="W656" s="143"/>
      <c r="X656" s="143"/>
      <c r="Y656" s="143"/>
      <c r="Z656" s="143"/>
      <c r="AA656" s="143"/>
      <c r="AB656" s="143"/>
      <c r="AC656" s="143"/>
      <c r="AD656" s="143"/>
      <c r="AE656" s="143"/>
      <c r="AF656" s="143"/>
      <c r="AG656" s="143"/>
      <c r="AH656" s="143"/>
      <c r="AI656" s="143"/>
      <c r="AJ656" s="143"/>
    </row>
    <row r="657" spans="1:36" ht="12.75" customHeight="1" x14ac:dyDescent="0.25">
      <c r="A657" s="143"/>
      <c r="B657" s="145"/>
      <c r="C657" s="146"/>
      <c r="D657" s="114"/>
      <c r="E657" s="148"/>
      <c r="F657" s="148"/>
      <c r="G657" s="114"/>
      <c r="H657" s="149"/>
      <c r="I657" s="143"/>
      <c r="J657" s="143"/>
      <c r="K657" s="143"/>
      <c r="L657" s="143"/>
      <c r="M657" s="150"/>
      <c r="N657" s="143"/>
      <c r="O657" s="1"/>
      <c r="P657" s="151"/>
      <c r="Q657" s="143"/>
      <c r="R657" s="143"/>
      <c r="S657" s="143"/>
      <c r="T657" s="143"/>
      <c r="U657" s="143"/>
      <c r="V657" s="143"/>
      <c r="W657" s="143"/>
      <c r="X657" s="143"/>
      <c r="Y657" s="143"/>
      <c r="Z657" s="143"/>
      <c r="AA657" s="143"/>
      <c r="AB657" s="143"/>
      <c r="AC657" s="143"/>
      <c r="AD657" s="143"/>
      <c r="AE657" s="143"/>
      <c r="AF657" s="143"/>
      <c r="AG657" s="143"/>
      <c r="AH657" s="143"/>
      <c r="AI657" s="143"/>
      <c r="AJ657" s="143"/>
    </row>
    <row r="658" spans="1:36" ht="12.75" customHeight="1" x14ac:dyDescent="0.25">
      <c r="A658" s="143"/>
      <c r="B658" s="145"/>
      <c r="C658" s="146"/>
      <c r="D658" s="114"/>
      <c r="E658" s="148"/>
      <c r="F658" s="148"/>
      <c r="G658" s="114"/>
      <c r="H658" s="149"/>
      <c r="I658" s="143"/>
      <c r="J658" s="143"/>
      <c r="K658" s="143"/>
      <c r="L658" s="143"/>
      <c r="M658" s="150"/>
      <c r="N658" s="143"/>
      <c r="O658" s="1"/>
      <c r="P658" s="151"/>
      <c r="Q658" s="143"/>
      <c r="R658" s="143"/>
      <c r="S658" s="143"/>
      <c r="T658" s="143"/>
      <c r="U658" s="143"/>
      <c r="V658" s="143"/>
      <c r="W658" s="143"/>
      <c r="X658" s="143"/>
      <c r="Y658" s="143"/>
      <c r="Z658" s="143"/>
      <c r="AA658" s="143"/>
      <c r="AB658" s="143"/>
      <c r="AC658" s="143"/>
      <c r="AD658" s="143"/>
      <c r="AE658" s="143"/>
      <c r="AF658" s="143"/>
      <c r="AG658" s="143"/>
      <c r="AH658" s="143"/>
      <c r="AI658" s="143"/>
      <c r="AJ658" s="143"/>
    </row>
    <row r="659" spans="1:36" ht="12.75" customHeight="1" x14ac:dyDescent="0.25">
      <c r="A659" s="143"/>
      <c r="B659" s="145"/>
      <c r="C659" s="146"/>
      <c r="D659" s="114"/>
      <c r="E659" s="148"/>
      <c r="F659" s="148"/>
      <c r="G659" s="114"/>
      <c r="H659" s="149"/>
      <c r="I659" s="143"/>
      <c r="J659" s="143"/>
      <c r="K659" s="143"/>
      <c r="L659" s="143"/>
      <c r="M659" s="150"/>
      <c r="N659" s="143"/>
      <c r="O659" s="1"/>
      <c r="P659" s="151"/>
      <c r="Q659" s="143"/>
      <c r="R659" s="143"/>
      <c r="S659" s="143"/>
      <c r="T659" s="143"/>
      <c r="U659" s="143"/>
      <c r="V659" s="143"/>
      <c r="W659" s="143"/>
      <c r="X659" s="143"/>
      <c r="Y659" s="143"/>
      <c r="Z659" s="143"/>
      <c r="AA659" s="143"/>
      <c r="AB659" s="143"/>
      <c r="AC659" s="143"/>
      <c r="AD659" s="143"/>
      <c r="AE659" s="143"/>
      <c r="AF659" s="143"/>
      <c r="AG659" s="143"/>
      <c r="AH659" s="143"/>
      <c r="AI659" s="143"/>
      <c r="AJ659" s="143"/>
    </row>
    <row r="660" spans="1:36" ht="12.75" customHeight="1" x14ac:dyDescent="0.25">
      <c r="A660" s="143"/>
      <c r="B660" s="145"/>
      <c r="C660" s="146"/>
      <c r="D660" s="114"/>
      <c r="E660" s="148"/>
      <c r="F660" s="148"/>
      <c r="G660" s="114"/>
      <c r="H660" s="149"/>
      <c r="I660" s="143"/>
      <c r="J660" s="143"/>
      <c r="K660" s="143"/>
      <c r="L660" s="143"/>
      <c r="M660" s="150"/>
      <c r="N660" s="143"/>
      <c r="O660" s="1"/>
      <c r="P660" s="151"/>
      <c r="Q660" s="143"/>
      <c r="R660" s="143"/>
      <c r="S660" s="143"/>
      <c r="T660" s="143"/>
      <c r="U660" s="143"/>
      <c r="V660" s="143"/>
      <c r="W660" s="143"/>
      <c r="X660" s="143"/>
      <c r="Y660" s="143"/>
      <c r="Z660" s="143"/>
      <c r="AA660" s="143"/>
      <c r="AB660" s="143"/>
      <c r="AC660" s="143"/>
      <c r="AD660" s="143"/>
      <c r="AE660" s="143"/>
      <c r="AF660" s="143"/>
      <c r="AG660" s="143"/>
      <c r="AH660" s="143"/>
      <c r="AI660" s="143"/>
      <c r="AJ660" s="143"/>
    </row>
    <row r="661" spans="1:36" ht="12.75" customHeight="1" x14ac:dyDescent="0.25">
      <c r="A661" s="143"/>
      <c r="B661" s="145"/>
      <c r="C661" s="146"/>
      <c r="D661" s="114"/>
      <c r="E661" s="148"/>
      <c r="F661" s="148"/>
      <c r="G661" s="114"/>
      <c r="H661" s="149"/>
      <c r="I661" s="143"/>
      <c r="J661" s="143"/>
      <c r="K661" s="143"/>
      <c r="L661" s="143"/>
      <c r="M661" s="150"/>
      <c r="N661" s="143"/>
      <c r="O661" s="1"/>
      <c r="P661" s="151"/>
      <c r="Q661" s="143"/>
      <c r="R661" s="143"/>
      <c r="S661" s="143"/>
      <c r="T661" s="143"/>
      <c r="U661" s="143"/>
      <c r="V661" s="143"/>
      <c r="W661" s="143"/>
      <c r="X661" s="143"/>
      <c r="Y661" s="143"/>
      <c r="Z661" s="143"/>
      <c r="AA661" s="143"/>
      <c r="AB661" s="143"/>
      <c r="AC661" s="143"/>
      <c r="AD661" s="143"/>
      <c r="AE661" s="143"/>
      <c r="AF661" s="143"/>
      <c r="AG661" s="143"/>
      <c r="AH661" s="143"/>
      <c r="AI661" s="143"/>
      <c r="AJ661" s="143"/>
    </row>
    <row r="662" spans="1:36" ht="12.75" customHeight="1" x14ac:dyDescent="0.25">
      <c r="A662" s="143"/>
      <c r="B662" s="145"/>
      <c r="C662" s="146"/>
      <c r="D662" s="114"/>
      <c r="E662" s="148"/>
      <c r="F662" s="148"/>
      <c r="G662" s="114"/>
      <c r="H662" s="149"/>
      <c r="I662" s="143"/>
      <c r="J662" s="143"/>
      <c r="K662" s="143"/>
      <c r="L662" s="143"/>
      <c r="M662" s="150"/>
      <c r="N662" s="143"/>
      <c r="O662" s="1"/>
      <c r="P662" s="151"/>
      <c r="Q662" s="143"/>
      <c r="R662" s="143"/>
      <c r="S662" s="143"/>
      <c r="T662" s="143"/>
      <c r="U662" s="143"/>
      <c r="V662" s="143"/>
      <c r="W662" s="143"/>
      <c r="X662" s="143"/>
      <c r="Y662" s="143"/>
      <c r="Z662" s="143"/>
      <c r="AA662" s="143"/>
      <c r="AB662" s="143"/>
      <c r="AC662" s="143"/>
      <c r="AD662" s="143"/>
      <c r="AE662" s="143"/>
      <c r="AF662" s="143"/>
      <c r="AG662" s="143"/>
      <c r="AH662" s="143"/>
      <c r="AI662" s="143"/>
      <c r="AJ662" s="143"/>
    </row>
    <row r="663" spans="1:36" ht="12.75" customHeight="1" x14ac:dyDescent="0.25">
      <c r="A663" s="143"/>
      <c r="B663" s="145"/>
      <c r="C663" s="146"/>
      <c r="D663" s="114"/>
      <c r="E663" s="148"/>
      <c r="F663" s="148"/>
      <c r="G663" s="114"/>
      <c r="H663" s="149"/>
      <c r="I663" s="143"/>
      <c r="J663" s="143"/>
      <c r="K663" s="143"/>
      <c r="L663" s="143"/>
      <c r="M663" s="150"/>
      <c r="N663" s="143"/>
      <c r="O663" s="1"/>
      <c r="P663" s="151"/>
      <c r="Q663" s="143"/>
      <c r="R663" s="143"/>
      <c r="S663" s="143"/>
      <c r="T663" s="143"/>
      <c r="U663" s="143"/>
      <c r="V663" s="143"/>
      <c r="W663" s="143"/>
      <c r="X663" s="143"/>
      <c r="Y663" s="143"/>
      <c r="Z663" s="143"/>
      <c r="AA663" s="143"/>
      <c r="AB663" s="143"/>
      <c r="AC663" s="143"/>
      <c r="AD663" s="143"/>
      <c r="AE663" s="143"/>
      <c r="AF663" s="143"/>
      <c r="AG663" s="143"/>
      <c r="AH663" s="143"/>
      <c r="AI663" s="143"/>
      <c r="AJ663" s="143"/>
    </row>
    <row r="664" spans="1:36" ht="12.75" customHeight="1" x14ac:dyDescent="0.25">
      <c r="A664" s="143"/>
      <c r="B664" s="145"/>
      <c r="C664" s="146"/>
      <c r="D664" s="114"/>
      <c r="E664" s="148"/>
      <c r="F664" s="148"/>
      <c r="G664" s="114"/>
      <c r="H664" s="149"/>
      <c r="I664" s="143"/>
      <c r="J664" s="143"/>
      <c r="K664" s="143"/>
      <c r="L664" s="143"/>
      <c r="M664" s="150"/>
      <c r="N664" s="143"/>
      <c r="O664" s="1"/>
      <c r="P664" s="151"/>
      <c r="Q664" s="143"/>
      <c r="R664" s="143"/>
      <c r="S664" s="143"/>
      <c r="T664" s="143"/>
      <c r="U664" s="143"/>
      <c r="V664" s="143"/>
      <c r="W664" s="143"/>
      <c r="X664" s="143"/>
      <c r="Y664" s="143"/>
      <c r="Z664" s="143"/>
      <c r="AA664" s="143"/>
      <c r="AB664" s="143"/>
      <c r="AC664" s="143"/>
      <c r="AD664" s="143"/>
      <c r="AE664" s="143"/>
      <c r="AF664" s="143"/>
      <c r="AG664" s="143"/>
      <c r="AH664" s="143"/>
      <c r="AI664" s="143"/>
      <c r="AJ664" s="143"/>
    </row>
    <row r="665" spans="1:36" ht="12.75" customHeight="1" x14ac:dyDescent="0.25">
      <c r="A665" s="143"/>
      <c r="B665" s="145"/>
      <c r="C665" s="146"/>
      <c r="D665" s="114"/>
      <c r="E665" s="148"/>
      <c r="F665" s="148"/>
      <c r="G665" s="114"/>
      <c r="H665" s="149"/>
      <c r="I665" s="143"/>
      <c r="J665" s="143"/>
      <c r="K665" s="143"/>
      <c r="L665" s="143"/>
      <c r="M665" s="150"/>
      <c r="N665" s="143"/>
      <c r="O665" s="1"/>
      <c r="P665" s="151"/>
      <c r="Q665" s="143"/>
      <c r="R665" s="143"/>
      <c r="S665" s="143"/>
      <c r="T665" s="143"/>
      <c r="U665" s="143"/>
      <c r="V665" s="143"/>
      <c r="W665" s="143"/>
      <c r="X665" s="143"/>
      <c r="Y665" s="143"/>
      <c r="Z665" s="143"/>
      <c r="AA665" s="143"/>
      <c r="AB665" s="143"/>
      <c r="AC665" s="143"/>
      <c r="AD665" s="143"/>
      <c r="AE665" s="143"/>
      <c r="AF665" s="143"/>
      <c r="AG665" s="143"/>
      <c r="AH665" s="143"/>
      <c r="AI665" s="143"/>
      <c r="AJ665" s="143"/>
    </row>
    <row r="666" spans="1:36" ht="12.75" customHeight="1" x14ac:dyDescent="0.25">
      <c r="A666" s="143"/>
      <c r="B666" s="145"/>
      <c r="C666" s="146"/>
      <c r="D666" s="114"/>
      <c r="E666" s="148"/>
      <c r="F666" s="148"/>
      <c r="G666" s="114"/>
      <c r="H666" s="149"/>
      <c r="I666" s="143"/>
      <c r="J666" s="143"/>
      <c r="K666" s="143"/>
      <c r="L666" s="143"/>
      <c r="M666" s="150"/>
      <c r="N666" s="143"/>
      <c r="O666" s="1"/>
      <c r="P666" s="151"/>
      <c r="Q666" s="143"/>
      <c r="R666" s="143"/>
      <c r="S666" s="143"/>
      <c r="T666" s="143"/>
      <c r="U666" s="143"/>
      <c r="V666" s="143"/>
      <c r="W666" s="143"/>
      <c r="X666" s="143"/>
      <c r="Y666" s="143"/>
      <c r="Z666" s="143"/>
      <c r="AA666" s="143"/>
      <c r="AB666" s="143"/>
      <c r="AC666" s="143"/>
      <c r="AD666" s="143"/>
      <c r="AE666" s="143"/>
      <c r="AF666" s="143"/>
      <c r="AG666" s="143"/>
      <c r="AH666" s="143"/>
      <c r="AI666" s="143"/>
      <c r="AJ666" s="143"/>
    </row>
    <row r="667" spans="1:36" ht="12.75" customHeight="1" x14ac:dyDescent="0.25">
      <c r="A667" s="143"/>
      <c r="B667" s="145"/>
      <c r="C667" s="146"/>
      <c r="D667" s="114"/>
      <c r="E667" s="148"/>
      <c r="F667" s="148"/>
      <c r="G667" s="114"/>
      <c r="H667" s="149"/>
      <c r="I667" s="143"/>
      <c r="J667" s="143"/>
      <c r="K667" s="143"/>
      <c r="L667" s="143"/>
      <c r="M667" s="150"/>
      <c r="N667" s="143"/>
      <c r="O667" s="1"/>
      <c r="P667" s="151"/>
      <c r="Q667" s="143"/>
      <c r="R667" s="143"/>
      <c r="S667" s="143"/>
      <c r="T667" s="143"/>
      <c r="U667" s="143"/>
      <c r="V667" s="143"/>
      <c r="W667" s="143"/>
      <c r="X667" s="143"/>
      <c r="Y667" s="143"/>
      <c r="Z667" s="143"/>
      <c r="AA667" s="143"/>
      <c r="AB667" s="143"/>
      <c r="AC667" s="143"/>
      <c r="AD667" s="143"/>
      <c r="AE667" s="143"/>
      <c r="AF667" s="143"/>
      <c r="AG667" s="143"/>
      <c r="AH667" s="143"/>
      <c r="AI667" s="143"/>
      <c r="AJ667" s="143"/>
    </row>
    <row r="668" spans="1:36" ht="12.75" customHeight="1" x14ac:dyDescent="0.25">
      <c r="A668" s="143"/>
      <c r="B668" s="145"/>
      <c r="C668" s="146"/>
      <c r="D668" s="114"/>
      <c r="E668" s="148"/>
      <c r="F668" s="148"/>
      <c r="G668" s="114"/>
      <c r="H668" s="149"/>
      <c r="I668" s="143"/>
      <c r="J668" s="143"/>
      <c r="K668" s="143"/>
      <c r="L668" s="143"/>
      <c r="M668" s="150"/>
      <c r="N668" s="143"/>
      <c r="O668" s="1"/>
      <c r="P668" s="151"/>
      <c r="Q668" s="143"/>
      <c r="R668" s="143"/>
      <c r="S668" s="143"/>
      <c r="T668" s="143"/>
      <c r="U668" s="143"/>
      <c r="V668" s="143"/>
      <c r="W668" s="143"/>
      <c r="X668" s="143"/>
      <c r="Y668" s="143"/>
      <c r="Z668" s="143"/>
      <c r="AA668" s="143"/>
      <c r="AB668" s="143"/>
      <c r="AC668" s="143"/>
      <c r="AD668" s="143"/>
      <c r="AE668" s="143"/>
      <c r="AF668" s="143"/>
      <c r="AG668" s="143"/>
      <c r="AH668" s="143"/>
      <c r="AI668" s="143"/>
      <c r="AJ668" s="143"/>
    </row>
    <row r="669" spans="1:36" ht="12.75" customHeight="1" x14ac:dyDescent="0.25">
      <c r="A669" s="143"/>
      <c r="B669" s="145"/>
      <c r="C669" s="146"/>
      <c r="D669" s="114"/>
      <c r="E669" s="148"/>
      <c r="F669" s="148"/>
      <c r="G669" s="114"/>
      <c r="H669" s="149"/>
      <c r="I669" s="143"/>
      <c r="J669" s="143"/>
      <c r="K669" s="143"/>
      <c r="L669" s="143"/>
      <c r="M669" s="150"/>
      <c r="N669" s="143"/>
      <c r="O669" s="1"/>
      <c r="P669" s="151"/>
      <c r="Q669" s="143"/>
      <c r="R669" s="143"/>
      <c r="S669" s="143"/>
      <c r="T669" s="143"/>
      <c r="U669" s="143"/>
      <c r="V669" s="143"/>
      <c r="W669" s="143"/>
      <c r="X669" s="143"/>
      <c r="Y669" s="143"/>
      <c r="Z669" s="143"/>
      <c r="AA669" s="143"/>
      <c r="AB669" s="143"/>
      <c r="AC669" s="143"/>
      <c r="AD669" s="143"/>
      <c r="AE669" s="143"/>
      <c r="AF669" s="143"/>
      <c r="AG669" s="143"/>
      <c r="AH669" s="143"/>
      <c r="AI669" s="143"/>
      <c r="AJ669" s="143"/>
    </row>
    <row r="670" spans="1:36" ht="12.75" customHeight="1" x14ac:dyDescent="0.25">
      <c r="A670" s="143"/>
      <c r="B670" s="145"/>
      <c r="C670" s="146"/>
      <c r="D670" s="114"/>
      <c r="E670" s="148"/>
      <c r="F670" s="148"/>
      <c r="G670" s="114"/>
      <c r="H670" s="149"/>
      <c r="I670" s="143"/>
      <c r="J670" s="143"/>
      <c r="K670" s="143"/>
      <c r="L670" s="143"/>
      <c r="M670" s="150"/>
      <c r="N670" s="143"/>
      <c r="O670" s="1"/>
      <c r="P670" s="151"/>
      <c r="Q670" s="143"/>
      <c r="R670" s="143"/>
      <c r="S670" s="143"/>
      <c r="T670" s="143"/>
      <c r="U670" s="143"/>
      <c r="V670" s="143"/>
      <c r="W670" s="143"/>
      <c r="X670" s="143"/>
      <c r="Y670" s="143"/>
      <c r="Z670" s="143"/>
      <c r="AA670" s="143"/>
      <c r="AB670" s="143"/>
      <c r="AC670" s="143"/>
      <c r="AD670" s="143"/>
      <c r="AE670" s="143"/>
      <c r="AF670" s="143"/>
      <c r="AG670" s="143"/>
      <c r="AH670" s="143"/>
      <c r="AI670" s="143"/>
      <c r="AJ670" s="143"/>
    </row>
    <row r="671" spans="1:36" ht="12.75" customHeight="1" x14ac:dyDescent="0.25">
      <c r="A671" s="143"/>
      <c r="B671" s="145"/>
      <c r="C671" s="146"/>
      <c r="D671" s="114"/>
      <c r="E671" s="148"/>
      <c r="F671" s="148"/>
      <c r="G671" s="114"/>
      <c r="H671" s="149"/>
      <c r="I671" s="143"/>
      <c r="J671" s="143"/>
      <c r="K671" s="143"/>
      <c r="L671" s="143"/>
      <c r="M671" s="150"/>
      <c r="N671" s="143"/>
      <c r="O671" s="1"/>
      <c r="P671" s="151"/>
      <c r="Q671" s="143"/>
      <c r="R671" s="143"/>
      <c r="S671" s="143"/>
      <c r="T671" s="143"/>
      <c r="U671" s="143"/>
      <c r="V671" s="143"/>
      <c r="W671" s="143"/>
      <c r="X671" s="143"/>
      <c r="Y671" s="143"/>
      <c r="Z671" s="143"/>
      <c r="AA671" s="143"/>
      <c r="AB671" s="143"/>
      <c r="AC671" s="143"/>
      <c r="AD671" s="143"/>
      <c r="AE671" s="143"/>
      <c r="AF671" s="143"/>
      <c r="AG671" s="143"/>
      <c r="AH671" s="143"/>
      <c r="AI671" s="143"/>
      <c r="AJ671" s="143"/>
    </row>
    <row r="672" spans="1:36" ht="12.75" customHeight="1" x14ac:dyDescent="0.25">
      <c r="A672" s="143"/>
      <c r="B672" s="145"/>
      <c r="C672" s="146"/>
      <c r="D672" s="114"/>
      <c r="E672" s="148"/>
      <c r="F672" s="148"/>
      <c r="G672" s="114"/>
      <c r="H672" s="149"/>
      <c r="I672" s="143"/>
      <c r="J672" s="143"/>
      <c r="K672" s="143"/>
      <c r="L672" s="143"/>
      <c r="M672" s="150"/>
      <c r="N672" s="143"/>
      <c r="O672" s="1"/>
      <c r="P672" s="151"/>
      <c r="Q672" s="143"/>
      <c r="R672" s="143"/>
      <c r="S672" s="143"/>
      <c r="T672" s="143"/>
      <c r="U672" s="143"/>
      <c r="V672" s="143"/>
      <c r="W672" s="143"/>
      <c r="X672" s="143"/>
      <c r="Y672" s="143"/>
      <c r="Z672" s="143"/>
      <c r="AA672" s="143"/>
      <c r="AB672" s="143"/>
      <c r="AC672" s="143"/>
      <c r="AD672" s="143"/>
      <c r="AE672" s="143"/>
      <c r="AF672" s="143"/>
      <c r="AG672" s="143"/>
      <c r="AH672" s="143"/>
      <c r="AI672" s="143"/>
      <c r="AJ672" s="143"/>
    </row>
    <row r="673" spans="1:36" ht="12.75" customHeight="1" x14ac:dyDescent="0.25">
      <c r="A673" s="143"/>
      <c r="B673" s="145"/>
      <c r="C673" s="146"/>
      <c r="D673" s="114"/>
      <c r="E673" s="148"/>
      <c r="F673" s="148"/>
      <c r="G673" s="114"/>
      <c r="H673" s="149"/>
      <c r="I673" s="143"/>
      <c r="J673" s="143"/>
      <c r="K673" s="143"/>
      <c r="L673" s="143"/>
      <c r="M673" s="150"/>
      <c r="N673" s="143"/>
      <c r="O673" s="1"/>
      <c r="P673" s="151"/>
      <c r="Q673" s="143"/>
      <c r="R673" s="143"/>
      <c r="S673" s="143"/>
      <c r="T673" s="143"/>
      <c r="U673" s="143"/>
      <c r="V673" s="143"/>
      <c r="W673" s="143"/>
      <c r="X673" s="143"/>
      <c r="Y673" s="143"/>
      <c r="Z673" s="143"/>
      <c r="AA673" s="143"/>
      <c r="AB673" s="143"/>
      <c r="AC673" s="143"/>
      <c r="AD673" s="143"/>
      <c r="AE673" s="143"/>
      <c r="AF673" s="143"/>
      <c r="AG673" s="143"/>
      <c r="AH673" s="143"/>
      <c r="AI673" s="143"/>
      <c r="AJ673" s="143"/>
    </row>
    <row r="674" spans="1:36" ht="12.75" customHeight="1" x14ac:dyDescent="0.25">
      <c r="A674" s="143"/>
      <c r="B674" s="145"/>
      <c r="C674" s="146"/>
      <c r="D674" s="114"/>
      <c r="E674" s="148"/>
      <c r="F674" s="148"/>
      <c r="G674" s="114"/>
      <c r="H674" s="149"/>
      <c r="I674" s="143"/>
      <c r="J674" s="143"/>
      <c r="K674" s="143"/>
      <c r="L674" s="143"/>
      <c r="M674" s="150"/>
      <c r="N674" s="143"/>
      <c r="O674" s="1"/>
      <c r="P674" s="151"/>
      <c r="Q674" s="143"/>
      <c r="R674" s="143"/>
      <c r="S674" s="143"/>
      <c r="T674" s="143"/>
      <c r="U674" s="143"/>
      <c r="V674" s="143"/>
      <c r="W674" s="143"/>
      <c r="X674" s="143"/>
      <c r="Y674" s="143"/>
      <c r="Z674" s="143"/>
      <c r="AA674" s="143"/>
      <c r="AB674" s="143"/>
      <c r="AC674" s="143"/>
      <c r="AD674" s="143"/>
      <c r="AE674" s="143"/>
      <c r="AF674" s="143"/>
      <c r="AG674" s="143"/>
      <c r="AH674" s="143"/>
      <c r="AI674" s="143"/>
      <c r="AJ674" s="143"/>
    </row>
    <row r="675" spans="1:36" ht="12.75" customHeight="1" x14ac:dyDescent="0.25">
      <c r="A675" s="143"/>
      <c r="B675" s="145"/>
      <c r="C675" s="146"/>
      <c r="D675" s="114"/>
      <c r="E675" s="148"/>
      <c r="F675" s="148"/>
      <c r="G675" s="114"/>
      <c r="H675" s="149"/>
      <c r="I675" s="143"/>
      <c r="J675" s="143"/>
      <c r="K675" s="143"/>
      <c r="L675" s="143"/>
      <c r="M675" s="150"/>
      <c r="N675" s="143"/>
      <c r="O675" s="1"/>
      <c r="P675" s="151"/>
      <c r="Q675" s="143"/>
      <c r="R675" s="143"/>
      <c r="S675" s="143"/>
      <c r="T675" s="143"/>
      <c r="U675" s="143"/>
      <c r="V675" s="143"/>
      <c r="W675" s="143"/>
      <c r="X675" s="143"/>
      <c r="Y675" s="143"/>
      <c r="Z675" s="143"/>
      <c r="AA675" s="143"/>
      <c r="AB675" s="143"/>
      <c r="AC675" s="143"/>
      <c r="AD675" s="143"/>
      <c r="AE675" s="143"/>
      <c r="AF675" s="143"/>
      <c r="AG675" s="143"/>
      <c r="AH675" s="143"/>
      <c r="AI675" s="143"/>
      <c r="AJ675" s="143"/>
    </row>
    <row r="676" spans="1:36" ht="12.75" customHeight="1" x14ac:dyDescent="0.25">
      <c r="A676" s="143"/>
      <c r="B676" s="145"/>
      <c r="C676" s="146"/>
      <c r="D676" s="114"/>
      <c r="E676" s="148"/>
      <c r="F676" s="148"/>
      <c r="G676" s="114"/>
      <c r="H676" s="149"/>
      <c r="I676" s="143"/>
      <c r="J676" s="143"/>
      <c r="K676" s="143"/>
      <c r="L676" s="143"/>
      <c r="M676" s="150"/>
      <c r="N676" s="143"/>
      <c r="O676" s="1"/>
      <c r="P676" s="151"/>
      <c r="Q676" s="143"/>
      <c r="R676" s="143"/>
      <c r="S676" s="143"/>
      <c r="T676" s="143"/>
      <c r="U676" s="143"/>
      <c r="V676" s="143"/>
      <c r="W676" s="143"/>
      <c r="X676" s="143"/>
      <c r="Y676" s="143"/>
      <c r="Z676" s="143"/>
      <c r="AA676" s="143"/>
      <c r="AB676" s="143"/>
      <c r="AC676" s="143"/>
      <c r="AD676" s="143"/>
      <c r="AE676" s="143"/>
      <c r="AF676" s="143"/>
      <c r="AG676" s="143"/>
      <c r="AH676" s="143"/>
      <c r="AI676" s="143"/>
      <c r="AJ676" s="143"/>
    </row>
    <row r="677" spans="1:36" ht="12.75" customHeight="1" x14ac:dyDescent="0.25">
      <c r="A677" s="143"/>
      <c r="B677" s="145"/>
      <c r="C677" s="146"/>
      <c r="D677" s="114"/>
      <c r="E677" s="148"/>
      <c r="F677" s="148"/>
      <c r="G677" s="114"/>
      <c r="H677" s="149"/>
      <c r="I677" s="143"/>
      <c r="J677" s="143"/>
      <c r="K677" s="143"/>
      <c r="L677" s="143"/>
      <c r="M677" s="150"/>
      <c r="N677" s="143"/>
      <c r="O677" s="1"/>
      <c r="P677" s="151"/>
      <c r="Q677" s="143"/>
      <c r="R677" s="143"/>
      <c r="S677" s="143"/>
      <c r="T677" s="143"/>
      <c r="U677" s="143"/>
      <c r="V677" s="143"/>
      <c r="W677" s="143"/>
      <c r="X677" s="143"/>
      <c r="Y677" s="143"/>
      <c r="Z677" s="143"/>
      <c r="AA677" s="143"/>
      <c r="AB677" s="143"/>
      <c r="AC677" s="143"/>
      <c r="AD677" s="143"/>
      <c r="AE677" s="143"/>
      <c r="AF677" s="143"/>
      <c r="AG677" s="143"/>
      <c r="AH677" s="143"/>
      <c r="AI677" s="143"/>
      <c r="AJ677" s="143"/>
    </row>
    <row r="678" spans="1:36" ht="12.75" customHeight="1" x14ac:dyDescent="0.25">
      <c r="A678" s="143"/>
      <c r="B678" s="145"/>
      <c r="C678" s="146"/>
      <c r="D678" s="114"/>
      <c r="E678" s="148"/>
      <c r="F678" s="148"/>
      <c r="G678" s="114"/>
      <c r="H678" s="149"/>
      <c r="I678" s="143"/>
      <c r="J678" s="143"/>
      <c r="K678" s="143"/>
      <c r="L678" s="143"/>
      <c r="M678" s="150"/>
      <c r="N678" s="143"/>
      <c r="O678" s="1"/>
      <c r="P678" s="151"/>
      <c r="Q678" s="143"/>
      <c r="R678" s="143"/>
      <c r="S678" s="143"/>
      <c r="T678" s="143"/>
      <c r="U678" s="143"/>
      <c r="V678" s="143"/>
      <c r="W678" s="143"/>
      <c r="X678" s="143"/>
      <c r="Y678" s="143"/>
      <c r="Z678" s="143"/>
      <c r="AA678" s="143"/>
      <c r="AB678" s="143"/>
      <c r="AC678" s="143"/>
      <c r="AD678" s="143"/>
      <c r="AE678" s="143"/>
      <c r="AF678" s="143"/>
      <c r="AG678" s="143"/>
      <c r="AH678" s="143"/>
      <c r="AI678" s="143"/>
      <c r="AJ678" s="143"/>
    </row>
    <row r="679" spans="1:36" ht="12.75" customHeight="1" x14ac:dyDescent="0.25">
      <c r="A679" s="143"/>
      <c r="B679" s="145"/>
      <c r="C679" s="146"/>
      <c r="D679" s="114"/>
      <c r="E679" s="148"/>
      <c r="F679" s="148"/>
      <c r="G679" s="114"/>
      <c r="H679" s="149"/>
      <c r="I679" s="143"/>
      <c r="J679" s="143"/>
      <c r="K679" s="143"/>
      <c r="L679" s="143"/>
      <c r="M679" s="150"/>
      <c r="N679" s="143"/>
      <c r="O679" s="1"/>
      <c r="P679" s="151"/>
      <c r="Q679" s="143"/>
      <c r="R679" s="143"/>
      <c r="S679" s="143"/>
      <c r="T679" s="143"/>
      <c r="U679" s="143"/>
      <c r="V679" s="143"/>
      <c r="W679" s="143"/>
      <c r="X679" s="143"/>
      <c r="Y679" s="143"/>
      <c r="Z679" s="143"/>
      <c r="AA679" s="143"/>
      <c r="AB679" s="143"/>
      <c r="AC679" s="143"/>
      <c r="AD679" s="143"/>
      <c r="AE679" s="143"/>
      <c r="AF679" s="143"/>
      <c r="AG679" s="143"/>
      <c r="AH679" s="143"/>
      <c r="AI679" s="143"/>
      <c r="AJ679" s="143"/>
    </row>
    <row r="680" spans="1:36" ht="12.75" customHeight="1" x14ac:dyDescent="0.25">
      <c r="A680" s="143"/>
      <c r="B680" s="145"/>
      <c r="C680" s="146"/>
      <c r="D680" s="114"/>
      <c r="E680" s="148"/>
      <c r="F680" s="148"/>
      <c r="G680" s="114"/>
      <c r="H680" s="149"/>
      <c r="I680" s="143"/>
      <c r="J680" s="143"/>
      <c r="K680" s="143"/>
      <c r="L680" s="143"/>
      <c r="M680" s="150"/>
      <c r="N680" s="143"/>
      <c r="O680" s="1"/>
      <c r="P680" s="151"/>
      <c r="Q680" s="143"/>
      <c r="R680" s="143"/>
      <c r="S680" s="143"/>
      <c r="T680" s="143"/>
      <c r="U680" s="143"/>
      <c r="V680" s="143"/>
      <c r="W680" s="143"/>
      <c r="X680" s="143"/>
      <c r="Y680" s="143"/>
      <c r="Z680" s="143"/>
      <c r="AA680" s="143"/>
      <c r="AB680" s="143"/>
      <c r="AC680" s="143"/>
      <c r="AD680" s="143"/>
      <c r="AE680" s="143"/>
      <c r="AF680" s="143"/>
      <c r="AG680" s="143"/>
      <c r="AH680" s="143"/>
      <c r="AI680" s="143"/>
      <c r="AJ680" s="143"/>
    </row>
    <row r="681" spans="1:36" ht="12.75" customHeight="1" x14ac:dyDescent="0.25">
      <c r="A681" s="143"/>
      <c r="B681" s="145"/>
      <c r="C681" s="146"/>
      <c r="D681" s="114"/>
      <c r="E681" s="148"/>
      <c r="F681" s="148"/>
      <c r="G681" s="114"/>
      <c r="H681" s="149"/>
      <c r="I681" s="143"/>
      <c r="J681" s="143"/>
      <c r="K681" s="143"/>
      <c r="L681" s="143"/>
      <c r="M681" s="150"/>
      <c r="N681" s="143"/>
      <c r="O681" s="1"/>
      <c r="P681" s="151"/>
      <c r="Q681" s="143"/>
      <c r="R681" s="143"/>
      <c r="S681" s="143"/>
      <c r="T681" s="143"/>
      <c r="U681" s="143"/>
      <c r="V681" s="143"/>
      <c r="W681" s="143"/>
      <c r="X681" s="143"/>
      <c r="Y681" s="143"/>
      <c r="Z681" s="143"/>
      <c r="AA681" s="143"/>
      <c r="AB681" s="143"/>
      <c r="AC681" s="143"/>
      <c r="AD681" s="143"/>
      <c r="AE681" s="143"/>
      <c r="AF681" s="143"/>
      <c r="AG681" s="143"/>
      <c r="AH681" s="143"/>
      <c r="AI681" s="143"/>
      <c r="AJ681" s="143"/>
    </row>
    <row r="682" spans="1:36" ht="12.75" customHeight="1" x14ac:dyDescent="0.25">
      <c r="A682" s="143"/>
      <c r="B682" s="145"/>
      <c r="C682" s="146"/>
      <c r="D682" s="114"/>
      <c r="E682" s="148"/>
      <c r="F682" s="148"/>
      <c r="G682" s="114"/>
      <c r="H682" s="149"/>
      <c r="I682" s="143"/>
      <c r="J682" s="143"/>
      <c r="K682" s="143"/>
      <c r="L682" s="143"/>
      <c r="M682" s="150"/>
      <c r="N682" s="143"/>
      <c r="O682" s="1"/>
      <c r="P682" s="151"/>
      <c r="Q682" s="143"/>
      <c r="R682" s="143"/>
      <c r="S682" s="143"/>
      <c r="T682" s="143"/>
      <c r="U682" s="143"/>
      <c r="V682" s="143"/>
      <c r="W682" s="143"/>
      <c r="X682" s="143"/>
      <c r="Y682" s="143"/>
      <c r="Z682" s="143"/>
      <c r="AA682" s="143"/>
      <c r="AB682" s="143"/>
      <c r="AC682" s="143"/>
      <c r="AD682" s="143"/>
      <c r="AE682" s="143"/>
      <c r="AF682" s="143"/>
      <c r="AG682" s="143"/>
      <c r="AH682" s="143"/>
      <c r="AI682" s="143"/>
      <c r="AJ682" s="143"/>
    </row>
    <row r="683" spans="1:36" ht="12.75" customHeight="1" x14ac:dyDescent="0.25">
      <c r="A683" s="143"/>
      <c r="B683" s="145"/>
      <c r="C683" s="146"/>
      <c r="D683" s="114"/>
      <c r="E683" s="148"/>
      <c r="F683" s="148"/>
      <c r="G683" s="114"/>
      <c r="H683" s="149"/>
      <c r="I683" s="143"/>
      <c r="J683" s="143"/>
      <c r="K683" s="143"/>
      <c r="L683" s="143"/>
      <c r="M683" s="150"/>
      <c r="N683" s="143"/>
      <c r="O683" s="1"/>
      <c r="P683" s="151"/>
      <c r="Q683" s="143"/>
      <c r="R683" s="143"/>
      <c r="S683" s="143"/>
      <c r="T683" s="143"/>
      <c r="U683" s="143"/>
      <c r="V683" s="143"/>
      <c r="W683" s="143"/>
      <c r="X683" s="143"/>
      <c r="Y683" s="143"/>
      <c r="Z683" s="143"/>
      <c r="AA683" s="143"/>
      <c r="AB683" s="143"/>
      <c r="AC683" s="143"/>
      <c r="AD683" s="143"/>
      <c r="AE683" s="143"/>
      <c r="AF683" s="143"/>
      <c r="AG683" s="143"/>
      <c r="AH683" s="143"/>
      <c r="AI683" s="143"/>
      <c r="AJ683" s="143"/>
    </row>
    <row r="684" spans="1:36" ht="12.75" customHeight="1" x14ac:dyDescent="0.25">
      <c r="A684" s="143"/>
      <c r="B684" s="145"/>
      <c r="C684" s="146"/>
      <c r="D684" s="114"/>
      <c r="E684" s="148"/>
      <c r="F684" s="148"/>
      <c r="G684" s="114"/>
      <c r="H684" s="149"/>
      <c r="I684" s="143"/>
      <c r="J684" s="143"/>
      <c r="K684" s="143"/>
      <c r="L684" s="143"/>
      <c r="M684" s="150"/>
      <c r="N684" s="143"/>
      <c r="O684" s="1"/>
      <c r="P684" s="151"/>
      <c r="Q684" s="143"/>
      <c r="R684" s="143"/>
      <c r="S684" s="143"/>
      <c r="T684" s="143"/>
      <c r="U684" s="143"/>
      <c r="V684" s="143"/>
      <c r="W684" s="143"/>
      <c r="X684" s="143"/>
      <c r="Y684" s="143"/>
      <c r="Z684" s="143"/>
      <c r="AA684" s="143"/>
      <c r="AB684" s="143"/>
      <c r="AC684" s="143"/>
      <c r="AD684" s="143"/>
      <c r="AE684" s="143"/>
      <c r="AF684" s="143"/>
      <c r="AG684" s="143"/>
      <c r="AH684" s="143"/>
      <c r="AI684" s="143"/>
      <c r="AJ684" s="143"/>
    </row>
    <row r="685" spans="1:36" ht="12.75" customHeight="1" x14ac:dyDescent="0.25">
      <c r="A685" s="143"/>
      <c r="B685" s="145"/>
      <c r="C685" s="146"/>
      <c r="D685" s="114"/>
      <c r="E685" s="148"/>
      <c r="F685" s="148"/>
      <c r="G685" s="114"/>
      <c r="H685" s="149"/>
      <c r="I685" s="143"/>
      <c r="J685" s="143"/>
      <c r="K685" s="143"/>
      <c r="L685" s="143"/>
      <c r="M685" s="150"/>
      <c r="N685" s="143"/>
      <c r="O685" s="1"/>
      <c r="P685" s="151"/>
      <c r="Q685" s="143"/>
      <c r="R685" s="143"/>
      <c r="S685" s="143"/>
      <c r="T685" s="143"/>
      <c r="U685" s="143"/>
      <c r="V685" s="143"/>
      <c r="W685" s="143"/>
      <c r="X685" s="143"/>
      <c r="Y685" s="143"/>
      <c r="Z685" s="143"/>
      <c r="AA685" s="143"/>
      <c r="AB685" s="143"/>
      <c r="AC685" s="143"/>
      <c r="AD685" s="143"/>
      <c r="AE685" s="143"/>
      <c r="AF685" s="143"/>
      <c r="AG685" s="143"/>
      <c r="AH685" s="143"/>
      <c r="AI685" s="143"/>
      <c r="AJ685" s="143"/>
    </row>
    <row r="686" spans="1:36" ht="12.75" customHeight="1" x14ac:dyDescent="0.25">
      <c r="A686" s="143"/>
      <c r="B686" s="145"/>
      <c r="C686" s="146"/>
      <c r="D686" s="114"/>
      <c r="E686" s="148"/>
      <c r="F686" s="148"/>
      <c r="G686" s="114"/>
      <c r="H686" s="149"/>
      <c r="I686" s="143"/>
      <c r="J686" s="143"/>
      <c r="K686" s="143"/>
      <c r="L686" s="143"/>
      <c r="M686" s="150"/>
      <c r="N686" s="143"/>
      <c r="O686" s="1"/>
      <c r="P686" s="151"/>
      <c r="Q686" s="143"/>
      <c r="R686" s="143"/>
      <c r="S686" s="143"/>
      <c r="T686" s="143"/>
      <c r="U686" s="143"/>
      <c r="V686" s="143"/>
      <c r="W686" s="143"/>
      <c r="X686" s="143"/>
      <c r="Y686" s="143"/>
      <c r="Z686" s="143"/>
      <c r="AA686" s="143"/>
      <c r="AB686" s="143"/>
      <c r="AC686" s="143"/>
      <c r="AD686" s="143"/>
      <c r="AE686" s="143"/>
      <c r="AF686" s="143"/>
      <c r="AG686" s="143"/>
      <c r="AH686" s="143"/>
      <c r="AI686" s="143"/>
      <c r="AJ686" s="143"/>
    </row>
    <row r="687" spans="1:36" ht="12.75" customHeight="1" x14ac:dyDescent="0.25">
      <c r="A687" s="143"/>
      <c r="B687" s="145"/>
      <c r="C687" s="146"/>
      <c r="D687" s="114"/>
      <c r="E687" s="148"/>
      <c r="F687" s="148"/>
      <c r="G687" s="114"/>
      <c r="H687" s="149"/>
      <c r="I687" s="143"/>
      <c r="J687" s="143"/>
      <c r="K687" s="143"/>
      <c r="L687" s="143"/>
      <c r="M687" s="150"/>
      <c r="N687" s="143"/>
      <c r="O687" s="1"/>
      <c r="P687" s="151"/>
      <c r="Q687" s="143"/>
      <c r="R687" s="143"/>
      <c r="S687" s="143"/>
      <c r="T687" s="143"/>
      <c r="U687" s="143"/>
      <c r="V687" s="143"/>
      <c r="W687" s="143"/>
      <c r="X687" s="143"/>
      <c r="Y687" s="143"/>
      <c r="Z687" s="143"/>
      <c r="AA687" s="143"/>
      <c r="AB687" s="143"/>
      <c r="AC687" s="143"/>
      <c r="AD687" s="143"/>
      <c r="AE687" s="143"/>
      <c r="AF687" s="143"/>
      <c r="AG687" s="143"/>
      <c r="AH687" s="143"/>
      <c r="AI687" s="143"/>
      <c r="AJ687" s="143"/>
    </row>
    <row r="688" spans="1:36" ht="12.75" customHeight="1" x14ac:dyDescent="0.25">
      <c r="A688" s="143"/>
      <c r="B688" s="145"/>
      <c r="C688" s="146"/>
      <c r="D688" s="114"/>
      <c r="E688" s="148"/>
      <c r="F688" s="148"/>
      <c r="G688" s="114"/>
      <c r="H688" s="149"/>
      <c r="I688" s="143"/>
      <c r="J688" s="143"/>
      <c r="K688" s="143"/>
      <c r="L688" s="143"/>
      <c r="M688" s="150"/>
      <c r="N688" s="143"/>
      <c r="O688" s="1"/>
      <c r="P688" s="151"/>
      <c r="Q688" s="143"/>
      <c r="R688" s="143"/>
      <c r="S688" s="143"/>
      <c r="T688" s="143"/>
      <c r="U688" s="143"/>
      <c r="V688" s="143"/>
      <c r="W688" s="143"/>
      <c r="X688" s="143"/>
      <c r="Y688" s="143"/>
      <c r="Z688" s="143"/>
      <c r="AA688" s="143"/>
      <c r="AB688" s="143"/>
      <c r="AC688" s="143"/>
      <c r="AD688" s="143"/>
      <c r="AE688" s="143"/>
      <c r="AF688" s="143"/>
      <c r="AG688" s="143"/>
      <c r="AH688" s="143"/>
      <c r="AI688" s="143"/>
      <c r="AJ688" s="143"/>
    </row>
    <row r="689" spans="1:36" ht="12.75" customHeight="1" x14ac:dyDescent="0.25">
      <c r="A689" s="143"/>
      <c r="B689" s="145"/>
      <c r="C689" s="146"/>
      <c r="D689" s="114"/>
      <c r="E689" s="148"/>
      <c r="F689" s="148"/>
      <c r="G689" s="114"/>
      <c r="H689" s="149"/>
      <c r="I689" s="143"/>
      <c r="J689" s="143"/>
      <c r="K689" s="143"/>
      <c r="L689" s="143"/>
      <c r="M689" s="150"/>
      <c r="N689" s="143"/>
      <c r="O689" s="1"/>
      <c r="P689" s="151"/>
      <c r="Q689" s="143"/>
      <c r="R689" s="143"/>
      <c r="S689" s="143"/>
      <c r="T689" s="143"/>
      <c r="U689" s="143"/>
      <c r="V689" s="143"/>
      <c r="W689" s="143"/>
      <c r="X689" s="143"/>
      <c r="Y689" s="143"/>
      <c r="Z689" s="143"/>
      <c r="AA689" s="143"/>
      <c r="AB689" s="143"/>
      <c r="AC689" s="143"/>
      <c r="AD689" s="143"/>
      <c r="AE689" s="143"/>
      <c r="AF689" s="143"/>
      <c r="AG689" s="143"/>
      <c r="AH689" s="143"/>
      <c r="AI689" s="143"/>
      <c r="AJ689" s="143"/>
    </row>
    <row r="690" spans="1:36" ht="12.75" customHeight="1" x14ac:dyDescent="0.25">
      <c r="A690" s="143"/>
      <c r="B690" s="145"/>
      <c r="C690" s="146"/>
      <c r="D690" s="114"/>
      <c r="E690" s="148"/>
      <c r="F690" s="148"/>
      <c r="G690" s="114"/>
      <c r="H690" s="149"/>
      <c r="I690" s="143"/>
      <c r="J690" s="143"/>
      <c r="K690" s="143"/>
      <c r="L690" s="143"/>
      <c r="M690" s="150"/>
      <c r="N690" s="143"/>
      <c r="O690" s="1"/>
      <c r="P690" s="151"/>
      <c r="Q690" s="143"/>
      <c r="R690" s="143"/>
      <c r="S690" s="143"/>
      <c r="T690" s="143"/>
      <c r="U690" s="143"/>
      <c r="V690" s="143"/>
      <c r="W690" s="143"/>
      <c r="X690" s="143"/>
      <c r="Y690" s="143"/>
      <c r="Z690" s="143"/>
      <c r="AA690" s="143"/>
      <c r="AB690" s="143"/>
      <c r="AC690" s="143"/>
      <c r="AD690" s="143"/>
      <c r="AE690" s="143"/>
      <c r="AF690" s="143"/>
      <c r="AG690" s="143"/>
      <c r="AH690" s="143"/>
      <c r="AI690" s="143"/>
      <c r="AJ690" s="143"/>
    </row>
    <row r="691" spans="1:36" ht="12.75" customHeight="1" x14ac:dyDescent="0.25">
      <c r="A691" s="143"/>
      <c r="B691" s="145"/>
      <c r="C691" s="146"/>
      <c r="D691" s="114"/>
      <c r="E691" s="148"/>
      <c r="F691" s="148"/>
      <c r="G691" s="114"/>
      <c r="H691" s="149"/>
      <c r="I691" s="143"/>
      <c r="J691" s="143"/>
      <c r="K691" s="143"/>
      <c r="L691" s="143"/>
      <c r="M691" s="150"/>
      <c r="N691" s="143"/>
      <c r="O691" s="1"/>
      <c r="P691" s="151"/>
      <c r="Q691" s="143"/>
      <c r="R691" s="143"/>
      <c r="S691" s="143"/>
      <c r="T691" s="143"/>
      <c r="U691" s="143"/>
      <c r="V691" s="143"/>
      <c r="W691" s="143"/>
      <c r="X691" s="143"/>
      <c r="Y691" s="143"/>
      <c r="Z691" s="143"/>
      <c r="AA691" s="143"/>
      <c r="AB691" s="143"/>
      <c r="AC691" s="143"/>
      <c r="AD691" s="143"/>
      <c r="AE691" s="143"/>
      <c r="AF691" s="143"/>
      <c r="AG691" s="143"/>
      <c r="AH691" s="143"/>
      <c r="AI691" s="143"/>
      <c r="AJ691" s="143"/>
    </row>
    <row r="692" spans="1:36" ht="12.75" customHeight="1" x14ac:dyDescent="0.25">
      <c r="A692" s="143"/>
      <c r="B692" s="145"/>
      <c r="C692" s="146"/>
      <c r="D692" s="114"/>
      <c r="E692" s="148"/>
      <c r="F692" s="148"/>
      <c r="G692" s="114"/>
      <c r="H692" s="149"/>
      <c r="I692" s="143"/>
      <c r="J692" s="143"/>
      <c r="K692" s="143"/>
      <c r="L692" s="143"/>
      <c r="M692" s="150"/>
      <c r="N692" s="143"/>
      <c r="O692" s="1"/>
      <c r="P692" s="151"/>
      <c r="Q692" s="143"/>
      <c r="R692" s="143"/>
      <c r="S692" s="143"/>
      <c r="T692" s="143"/>
      <c r="U692" s="143"/>
      <c r="V692" s="143"/>
      <c r="W692" s="143"/>
      <c r="X692" s="143"/>
      <c r="Y692" s="143"/>
      <c r="Z692" s="143"/>
      <c r="AA692" s="143"/>
      <c r="AB692" s="143"/>
      <c r="AC692" s="143"/>
      <c r="AD692" s="143"/>
      <c r="AE692" s="143"/>
      <c r="AF692" s="143"/>
      <c r="AG692" s="143"/>
      <c r="AH692" s="143"/>
      <c r="AI692" s="143"/>
      <c r="AJ692" s="143"/>
    </row>
    <row r="693" spans="1:36" ht="12.75" customHeight="1" x14ac:dyDescent="0.25">
      <c r="A693" s="143"/>
      <c r="B693" s="145"/>
      <c r="C693" s="146"/>
      <c r="D693" s="114"/>
      <c r="E693" s="148"/>
      <c r="F693" s="148"/>
      <c r="G693" s="114"/>
      <c r="H693" s="149"/>
      <c r="I693" s="143"/>
      <c r="J693" s="143"/>
      <c r="K693" s="143"/>
      <c r="L693" s="143"/>
      <c r="M693" s="150"/>
      <c r="N693" s="143"/>
      <c r="O693" s="1"/>
      <c r="P693" s="151"/>
      <c r="Q693" s="143"/>
      <c r="R693" s="143"/>
      <c r="S693" s="143"/>
      <c r="T693" s="143"/>
      <c r="U693" s="143"/>
      <c r="V693" s="143"/>
      <c r="W693" s="143"/>
      <c r="X693" s="143"/>
      <c r="Y693" s="143"/>
      <c r="Z693" s="143"/>
      <c r="AA693" s="143"/>
      <c r="AB693" s="143"/>
      <c r="AC693" s="143"/>
      <c r="AD693" s="143"/>
      <c r="AE693" s="143"/>
      <c r="AF693" s="143"/>
      <c r="AG693" s="143"/>
      <c r="AH693" s="143"/>
      <c r="AI693" s="143"/>
      <c r="AJ693" s="143"/>
    </row>
    <row r="694" spans="1:36" ht="12.75" customHeight="1" x14ac:dyDescent="0.25">
      <c r="A694" s="143"/>
      <c r="B694" s="145"/>
      <c r="C694" s="146"/>
      <c r="D694" s="114"/>
      <c r="E694" s="148"/>
      <c r="F694" s="148"/>
      <c r="G694" s="114"/>
      <c r="H694" s="149"/>
      <c r="I694" s="143"/>
      <c r="J694" s="143"/>
      <c r="K694" s="143"/>
      <c r="L694" s="143"/>
      <c r="M694" s="150"/>
      <c r="N694" s="143"/>
      <c r="O694" s="1"/>
      <c r="P694" s="151"/>
      <c r="Q694" s="143"/>
      <c r="R694" s="143"/>
      <c r="S694" s="143"/>
      <c r="T694" s="143"/>
      <c r="U694" s="143"/>
      <c r="V694" s="143"/>
      <c r="W694" s="143"/>
      <c r="X694" s="143"/>
      <c r="Y694" s="143"/>
      <c r="Z694" s="143"/>
      <c r="AA694" s="143"/>
      <c r="AB694" s="143"/>
      <c r="AC694" s="143"/>
      <c r="AD694" s="143"/>
      <c r="AE694" s="143"/>
      <c r="AF694" s="143"/>
      <c r="AG694" s="143"/>
      <c r="AH694" s="143"/>
      <c r="AI694" s="143"/>
      <c r="AJ694" s="143"/>
    </row>
    <row r="695" spans="1:36" ht="12.75" customHeight="1" x14ac:dyDescent="0.25">
      <c r="A695" s="143"/>
      <c r="B695" s="145"/>
      <c r="C695" s="146"/>
      <c r="D695" s="114"/>
      <c r="E695" s="148"/>
      <c r="F695" s="148"/>
      <c r="G695" s="114"/>
      <c r="H695" s="149"/>
      <c r="I695" s="143"/>
      <c r="J695" s="143"/>
      <c r="K695" s="143"/>
      <c r="L695" s="143"/>
      <c r="M695" s="150"/>
      <c r="N695" s="143"/>
      <c r="O695" s="1"/>
      <c r="P695" s="151"/>
      <c r="Q695" s="143"/>
      <c r="R695" s="143"/>
      <c r="S695" s="143"/>
      <c r="T695" s="143"/>
      <c r="U695" s="143"/>
      <c r="V695" s="143"/>
      <c r="W695" s="143"/>
      <c r="X695" s="143"/>
      <c r="Y695" s="143"/>
      <c r="Z695" s="143"/>
      <c r="AA695" s="143"/>
      <c r="AB695" s="143"/>
      <c r="AC695" s="143"/>
      <c r="AD695" s="143"/>
      <c r="AE695" s="143"/>
      <c r="AF695" s="143"/>
      <c r="AG695" s="143"/>
      <c r="AH695" s="143"/>
      <c r="AI695" s="143"/>
      <c r="AJ695" s="143"/>
    </row>
    <row r="696" spans="1:36" ht="12.75" customHeight="1" x14ac:dyDescent="0.25">
      <c r="A696" s="143"/>
      <c r="B696" s="145"/>
      <c r="C696" s="146"/>
      <c r="D696" s="114"/>
      <c r="E696" s="148"/>
      <c r="F696" s="148"/>
      <c r="G696" s="114"/>
      <c r="H696" s="149"/>
      <c r="I696" s="143"/>
      <c r="J696" s="143"/>
      <c r="K696" s="143"/>
      <c r="L696" s="143"/>
      <c r="M696" s="150"/>
      <c r="N696" s="143"/>
      <c r="O696" s="1"/>
      <c r="P696" s="151"/>
      <c r="Q696" s="143"/>
      <c r="R696" s="143"/>
      <c r="S696" s="143"/>
      <c r="T696" s="143"/>
      <c r="U696" s="143"/>
      <c r="V696" s="143"/>
      <c r="W696" s="143"/>
      <c r="X696" s="143"/>
      <c r="Y696" s="143"/>
      <c r="Z696" s="143"/>
      <c r="AA696" s="143"/>
      <c r="AB696" s="143"/>
      <c r="AC696" s="143"/>
      <c r="AD696" s="143"/>
      <c r="AE696" s="143"/>
      <c r="AF696" s="143"/>
      <c r="AG696" s="143"/>
      <c r="AH696" s="143"/>
      <c r="AI696" s="143"/>
      <c r="AJ696" s="143"/>
    </row>
    <row r="697" spans="1:36" ht="12.75" customHeight="1" x14ac:dyDescent="0.25">
      <c r="A697" s="143"/>
      <c r="B697" s="145"/>
      <c r="C697" s="146"/>
      <c r="D697" s="114"/>
      <c r="E697" s="148"/>
      <c r="F697" s="148"/>
      <c r="G697" s="114"/>
      <c r="H697" s="149"/>
      <c r="I697" s="143"/>
      <c r="J697" s="143"/>
      <c r="K697" s="143"/>
      <c r="L697" s="143"/>
      <c r="M697" s="150"/>
      <c r="N697" s="143"/>
      <c r="O697" s="1"/>
      <c r="P697" s="151"/>
      <c r="Q697" s="143"/>
      <c r="R697" s="143"/>
      <c r="S697" s="143"/>
      <c r="T697" s="143"/>
      <c r="U697" s="143"/>
      <c r="V697" s="143"/>
      <c r="W697" s="143"/>
      <c r="X697" s="143"/>
      <c r="Y697" s="143"/>
      <c r="Z697" s="143"/>
      <c r="AA697" s="143"/>
      <c r="AB697" s="143"/>
      <c r="AC697" s="143"/>
      <c r="AD697" s="143"/>
      <c r="AE697" s="143"/>
      <c r="AF697" s="143"/>
      <c r="AG697" s="143"/>
      <c r="AH697" s="143"/>
      <c r="AI697" s="143"/>
      <c r="AJ697" s="143"/>
    </row>
    <row r="698" spans="1:36" ht="12.75" customHeight="1" x14ac:dyDescent="0.25">
      <c r="A698" s="143"/>
      <c r="B698" s="145"/>
      <c r="C698" s="146"/>
      <c r="D698" s="114"/>
      <c r="E698" s="148"/>
      <c r="F698" s="148"/>
      <c r="G698" s="114"/>
      <c r="H698" s="149"/>
      <c r="I698" s="143"/>
      <c r="J698" s="143"/>
      <c r="K698" s="143"/>
      <c r="L698" s="143"/>
      <c r="M698" s="150"/>
      <c r="N698" s="143"/>
      <c r="O698" s="1"/>
      <c r="P698" s="151"/>
      <c r="Q698" s="143"/>
      <c r="R698" s="143"/>
      <c r="S698" s="143"/>
      <c r="T698" s="143"/>
      <c r="U698" s="143"/>
      <c r="V698" s="143"/>
      <c r="W698" s="143"/>
      <c r="X698" s="143"/>
      <c r="Y698" s="143"/>
      <c r="Z698" s="143"/>
      <c r="AA698" s="143"/>
      <c r="AB698" s="143"/>
      <c r="AC698" s="143"/>
      <c r="AD698" s="143"/>
      <c r="AE698" s="143"/>
      <c r="AF698" s="143"/>
      <c r="AG698" s="143"/>
      <c r="AH698" s="143"/>
      <c r="AI698" s="143"/>
      <c r="AJ698" s="143"/>
    </row>
    <row r="699" spans="1:36" ht="12.75" customHeight="1" x14ac:dyDescent="0.25">
      <c r="A699" s="143"/>
      <c r="B699" s="145"/>
      <c r="C699" s="146"/>
      <c r="D699" s="114"/>
      <c r="E699" s="148"/>
      <c r="F699" s="148"/>
      <c r="G699" s="114"/>
      <c r="H699" s="149"/>
      <c r="I699" s="143"/>
      <c r="J699" s="143"/>
      <c r="K699" s="143"/>
      <c r="L699" s="143"/>
      <c r="M699" s="150"/>
      <c r="N699" s="143"/>
      <c r="O699" s="1"/>
      <c r="P699" s="151"/>
      <c r="Q699" s="143"/>
      <c r="R699" s="143"/>
      <c r="S699" s="143"/>
      <c r="T699" s="143"/>
      <c r="U699" s="143"/>
      <c r="V699" s="143"/>
      <c r="W699" s="143"/>
      <c r="X699" s="143"/>
      <c r="Y699" s="143"/>
      <c r="Z699" s="143"/>
      <c r="AA699" s="143"/>
      <c r="AB699" s="143"/>
      <c r="AC699" s="143"/>
      <c r="AD699" s="143"/>
      <c r="AE699" s="143"/>
      <c r="AF699" s="143"/>
      <c r="AG699" s="143"/>
      <c r="AH699" s="143"/>
      <c r="AI699" s="143"/>
      <c r="AJ699" s="143"/>
    </row>
    <row r="700" spans="1:36" ht="12.75" customHeight="1" x14ac:dyDescent="0.25">
      <c r="A700" s="143"/>
      <c r="B700" s="145"/>
      <c r="C700" s="146"/>
      <c r="D700" s="114"/>
      <c r="E700" s="148"/>
      <c r="F700" s="148"/>
      <c r="G700" s="114"/>
      <c r="H700" s="149"/>
      <c r="I700" s="143"/>
      <c r="J700" s="143"/>
      <c r="K700" s="143"/>
      <c r="L700" s="143"/>
      <c r="M700" s="150"/>
      <c r="N700" s="143"/>
      <c r="O700" s="1"/>
      <c r="P700" s="151"/>
      <c r="Q700" s="143"/>
      <c r="R700" s="143"/>
      <c r="S700" s="143"/>
      <c r="T700" s="143"/>
      <c r="U700" s="143"/>
      <c r="V700" s="143"/>
      <c r="W700" s="143"/>
      <c r="X700" s="143"/>
      <c r="Y700" s="143"/>
      <c r="Z700" s="143"/>
      <c r="AA700" s="143"/>
      <c r="AB700" s="143"/>
      <c r="AC700" s="143"/>
      <c r="AD700" s="143"/>
      <c r="AE700" s="143"/>
      <c r="AF700" s="143"/>
      <c r="AG700" s="143"/>
      <c r="AH700" s="143"/>
      <c r="AI700" s="143"/>
      <c r="AJ700" s="143"/>
    </row>
    <row r="701" spans="1:36" ht="12.75" customHeight="1" x14ac:dyDescent="0.25">
      <c r="A701" s="143"/>
      <c r="B701" s="145"/>
      <c r="C701" s="146"/>
      <c r="D701" s="114"/>
      <c r="E701" s="148"/>
      <c r="F701" s="148"/>
      <c r="G701" s="114"/>
      <c r="H701" s="149"/>
      <c r="I701" s="143"/>
      <c r="J701" s="143"/>
      <c r="K701" s="143"/>
      <c r="L701" s="143"/>
      <c r="M701" s="150"/>
      <c r="N701" s="143"/>
      <c r="O701" s="1"/>
      <c r="P701" s="151"/>
      <c r="Q701" s="143"/>
      <c r="R701" s="143"/>
      <c r="S701" s="143"/>
      <c r="T701" s="143"/>
      <c r="U701" s="143"/>
      <c r="V701" s="143"/>
      <c r="W701" s="143"/>
      <c r="X701" s="143"/>
      <c r="Y701" s="143"/>
      <c r="Z701" s="143"/>
      <c r="AA701" s="143"/>
      <c r="AB701" s="143"/>
      <c r="AC701" s="143"/>
      <c r="AD701" s="143"/>
      <c r="AE701" s="143"/>
      <c r="AF701" s="143"/>
      <c r="AG701" s="143"/>
      <c r="AH701" s="143"/>
      <c r="AI701" s="143"/>
      <c r="AJ701" s="143"/>
    </row>
    <row r="702" spans="1:36" ht="12.75" customHeight="1" x14ac:dyDescent="0.25">
      <c r="A702" s="143"/>
      <c r="B702" s="145"/>
      <c r="C702" s="146"/>
      <c r="D702" s="114"/>
      <c r="E702" s="148"/>
      <c r="F702" s="148"/>
      <c r="G702" s="114"/>
      <c r="H702" s="149"/>
      <c r="I702" s="143"/>
      <c r="J702" s="143"/>
      <c r="K702" s="143"/>
      <c r="L702" s="143"/>
      <c r="M702" s="150"/>
      <c r="N702" s="143"/>
      <c r="O702" s="1"/>
      <c r="P702" s="151"/>
      <c r="Q702" s="143"/>
      <c r="R702" s="143"/>
      <c r="S702" s="143"/>
      <c r="T702" s="143"/>
      <c r="U702" s="143"/>
      <c r="V702" s="143"/>
      <c r="W702" s="143"/>
      <c r="X702" s="143"/>
      <c r="Y702" s="143"/>
      <c r="Z702" s="143"/>
      <c r="AA702" s="143"/>
      <c r="AB702" s="143"/>
      <c r="AC702" s="143"/>
      <c r="AD702" s="143"/>
      <c r="AE702" s="143"/>
      <c r="AF702" s="143"/>
      <c r="AG702" s="143"/>
      <c r="AH702" s="143"/>
      <c r="AI702" s="143"/>
      <c r="AJ702" s="143"/>
    </row>
    <row r="703" spans="1:36" ht="12.75" customHeight="1" x14ac:dyDescent="0.25">
      <c r="A703" s="143"/>
      <c r="B703" s="145"/>
      <c r="C703" s="146"/>
      <c r="D703" s="114"/>
      <c r="E703" s="148"/>
      <c r="F703" s="148"/>
      <c r="G703" s="114"/>
      <c r="H703" s="149"/>
      <c r="I703" s="143"/>
      <c r="J703" s="143"/>
      <c r="K703" s="143"/>
      <c r="L703" s="143"/>
      <c r="M703" s="150"/>
      <c r="N703" s="143"/>
      <c r="O703" s="1"/>
      <c r="P703" s="151"/>
      <c r="Q703" s="143"/>
      <c r="R703" s="143"/>
      <c r="S703" s="143"/>
      <c r="T703" s="143"/>
      <c r="U703" s="143"/>
      <c r="V703" s="143"/>
      <c r="W703" s="143"/>
      <c r="X703" s="143"/>
      <c r="Y703" s="143"/>
      <c r="Z703" s="143"/>
      <c r="AA703" s="143"/>
      <c r="AB703" s="143"/>
      <c r="AC703" s="143"/>
      <c r="AD703" s="143"/>
      <c r="AE703" s="143"/>
      <c r="AF703" s="143"/>
      <c r="AG703" s="143"/>
      <c r="AH703" s="143"/>
      <c r="AI703" s="143"/>
      <c r="AJ703" s="143"/>
    </row>
    <row r="704" spans="1:36" ht="12.75" customHeight="1" x14ac:dyDescent="0.25">
      <c r="A704" s="143"/>
      <c r="B704" s="145"/>
      <c r="C704" s="146"/>
      <c r="D704" s="114"/>
      <c r="E704" s="148"/>
      <c r="F704" s="148"/>
      <c r="G704" s="114"/>
      <c r="H704" s="149"/>
      <c r="I704" s="143"/>
      <c r="J704" s="143"/>
      <c r="K704" s="143"/>
      <c r="L704" s="143"/>
      <c r="M704" s="150"/>
      <c r="N704" s="143"/>
      <c r="O704" s="1"/>
      <c r="P704" s="151"/>
      <c r="Q704" s="143"/>
      <c r="R704" s="143"/>
      <c r="S704" s="143"/>
      <c r="T704" s="143"/>
      <c r="U704" s="143"/>
      <c r="V704" s="143"/>
      <c r="W704" s="143"/>
      <c r="X704" s="143"/>
      <c r="Y704" s="143"/>
      <c r="Z704" s="143"/>
      <c r="AA704" s="143"/>
      <c r="AB704" s="143"/>
      <c r="AC704" s="143"/>
      <c r="AD704" s="143"/>
      <c r="AE704" s="143"/>
      <c r="AF704" s="143"/>
      <c r="AG704" s="143"/>
      <c r="AH704" s="143"/>
      <c r="AI704" s="143"/>
      <c r="AJ704" s="143"/>
    </row>
    <row r="705" spans="1:36" ht="12.75" customHeight="1" x14ac:dyDescent="0.25">
      <c r="A705" s="143"/>
      <c r="B705" s="145"/>
      <c r="C705" s="146"/>
      <c r="D705" s="114"/>
      <c r="E705" s="148"/>
      <c r="F705" s="148"/>
      <c r="G705" s="114"/>
      <c r="H705" s="149"/>
      <c r="I705" s="143"/>
      <c r="J705" s="143"/>
      <c r="K705" s="143"/>
      <c r="L705" s="143"/>
      <c r="M705" s="150"/>
      <c r="N705" s="143"/>
      <c r="O705" s="1"/>
      <c r="P705" s="151"/>
      <c r="Q705" s="143"/>
      <c r="R705" s="143"/>
      <c r="S705" s="143"/>
      <c r="T705" s="143"/>
      <c r="U705" s="143"/>
      <c r="V705" s="143"/>
      <c r="W705" s="143"/>
      <c r="X705" s="143"/>
      <c r="Y705" s="143"/>
      <c r="Z705" s="143"/>
      <c r="AA705" s="143"/>
      <c r="AB705" s="143"/>
      <c r="AC705" s="143"/>
      <c r="AD705" s="143"/>
      <c r="AE705" s="143"/>
      <c r="AF705" s="143"/>
      <c r="AG705" s="143"/>
      <c r="AH705" s="143"/>
      <c r="AI705" s="143"/>
      <c r="AJ705" s="143"/>
    </row>
    <row r="706" spans="1:36" ht="12.75" customHeight="1" x14ac:dyDescent="0.25">
      <c r="A706" s="143"/>
      <c r="B706" s="145"/>
      <c r="C706" s="146"/>
      <c r="D706" s="114"/>
      <c r="E706" s="148"/>
      <c r="F706" s="148"/>
      <c r="G706" s="114"/>
      <c r="H706" s="149"/>
      <c r="I706" s="143"/>
      <c r="J706" s="143"/>
      <c r="K706" s="143"/>
      <c r="L706" s="143"/>
      <c r="M706" s="150"/>
      <c r="N706" s="143"/>
      <c r="O706" s="1"/>
      <c r="P706" s="151"/>
      <c r="Q706" s="143"/>
      <c r="R706" s="143"/>
      <c r="S706" s="143"/>
      <c r="T706" s="143"/>
      <c r="U706" s="143"/>
      <c r="V706" s="143"/>
      <c r="W706" s="143"/>
      <c r="X706" s="143"/>
      <c r="Y706" s="143"/>
      <c r="Z706" s="143"/>
      <c r="AA706" s="143"/>
      <c r="AB706" s="143"/>
      <c r="AC706" s="143"/>
      <c r="AD706" s="143"/>
      <c r="AE706" s="143"/>
      <c r="AF706" s="143"/>
      <c r="AG706" s="143"/>
      <c r="AH706" s="143"/>
      <c r="AI706" s="143"/>
      <c r="AJ706" s="143"/>
    </row>
    <row r="707" spans="1:36" ht="12.75" customHeight="1" x14ac:dyDescent="0.25">
      <c r="A707" s="143"/>
      <c r="B707" s="145"/>
      <c r="C707" s="146"/>
      <c r="D707" s="114"/>
      <c r="E707" s="148"/>
      <c r="F707" s="148"/>
      <c r="G707" s="114"/>
      <c r="H707" s="149"/>
      <c r="I707" s="143"/>
      <c r="J707" s="143"/>
      <c r="K707" s="143"/>
      <c r="L707" s="143"/>
      <c r="M707" s="150"/>
      <c r="N707" s="143"/>
      <c r="O707" s="1"/>
      <c r="P707" s="151"/>
      <c r="Q707" s="143"/>
      <c r="R707" s="143"/>
      <c r="S707" s="143"/>
      <c r="T707" s="143"/>
      <c r="U707" s="143"/>
      <c r="V707" s="143"/>
      <c r="W707" s="143"/>
      <c r="X707" s="143"/>
      <c r="Y707" s="143"/>
      <c r="Z707" s="143"/>
      <c r="AA707" s="143"/>
      <c r="AB707" s="143"/>
      <c r="AC707" s="143"/>
      <c r="AD707" s="143"/>
      <c r="AE707" s="143"/>
      <c r="AF707" s="143"/>
      <c r="AG707" s="143"/>
      <c r="AH707" s="143"/>
      <c r="AI707" s="143"/>
      <c r="AJ707" s="143"/>
    </row>
    <row r="708" spans="1:36" ht="12.75" customHeight="1" x14ac:dyDescent="0.25">
      <c r="A708" s="143"/>
      <c r="B708" s="145"/>
      <c r="C708" s="146"/>
      <c r="D708" s="114"/>
      <c r="E708" s="148"/>
      <c r="F708" s="148"/>
      <c r="G708" s="114"/>
      <c r="H708" s="149"/>
      <c r="I708" s="143"/>
      <c r="J708" s="143"/>
      <c r="K708" s="143"/>
      <c r="L708" s="143"/>
      <c r="M708" s="150"/>
      <c r="N708" s="143"/>
      <c r="O708" s="1"/>
      <c r="P708" s="151"/>
      <c r="Q708" s="143"/>
      <c r="R708" s="143"/>
      <c r="S708" s="143"/>
      <c r="T708" s="143"/>
      <c r="U708" s="143"/>
      <c r="V708" s="143"/>
      <c r="W708" s="143"/>
      <c r="X708" s="143"/>
      <c r="Y708" s="143"/>
      <c r="Z708" s="143"/>
      <c r="AA708" s="143"/>
      <c r="AB708" s="143"/>
      <c r="AC708" s="143"/>
      <c r="AD708" s="143"/>
      <c r="AE708" s="143"/>
      <c r="AF708" s="143"/>
      <c r="AG708" s="143"/>
      <c r="AH708" s="143"/>
      <c r="AI708" s="143"/>
      <c r="AJ708" s="143"/>
    </row>
    <row r="709" spans="1:36" ht="12.75" customHeight="1" x14ac:dyDescent="0.25">
      <c r="A709" s="143"/>
      <c r="B709" s="145"/>
      <c r="C709" s="146"/>
      <c r="D709" s="114"/>
      <c r="E709" s="148"/>
      <c r="F709" s="148"/>
      <c r="G709" s="114"/>
      <c r="H709" s="149"/>
      <c r="I709" s="143"/>
      <c r="J709" s="143"/>
      <c r="K709" s="143"/>
      <c r="L709" s="143"/>
      <c r="M709" s="150"/>
      <c r="N709" s="143"/>
      <c r="O709" s="1"/>
      <c r="P709" s="151"/>
      <c r="Q709" s="143"/>
      <c r="R709" s="143"/>
      <c r="S709" s="143"/>
      <c r="T709" s="143"/>
      <c r="U709" s="143"/>
      <c r="V709" s="143"/>
      <c r="W709" s="143"/>
      <c r="X709" s="143"/>
      <c r="Y709" s="143"/>
      <c r="Z709" s="143"/>
      <c r="AA709" s="143"/>
      <c r="AB709" s="143"/>
      <c r="AC709" s="143"/>
      <c r="AD709" s="143"/>
      <c r="AE709" s="143"/>
      <c r="AF709" s="143"/>
      <c r="AG709" s="143"/>
      <c r="AH709" s="143"/>
      <c r="AI709" s="143"/>
      <c r="AJ709" s="143"/>
    </row>
    <row r="710" spans="1:36" ht="12.75" customHeight="1" x14ac:dyDescent="0.25">
      <c r="A710" s="143"/>
      <c r="B710" s="145"/>
      <c r="C710" s="146"/>
      <c r="D710" s="114"/>
      <c r="E710" s="148"/>
      <c r="F710" s="148"/>
      <c r="G710" s="114"/>
      <c r="H710" s="149"/>
      <c r="I710" s="143"/>
      <c r="J710" s="143"/>
      <c r="K710" s="143"/>
      <c r="L710" s="143"/>
      <c r="M710" s="150"/>
      <c r="N710" s="143"/>
      <c r="O710" s="1"/>
      <c r="P710" s="151"/>
      <c r="Q710" s="143"/>
      <c r="R710" s="143"/>
      <c r="S710" s="143"/>
      <c r="T710" s="143"/>
      <c r="U710" s="143"/>
      <c r="V710" s="143"/>
      <c r="W710" s="143"/>
      <c r="X710" s="143"/>
      <c r="Y710" s="143"/>
      <c r="Z710" s="143"/>
      <c r="AA710" s="143"/>
      <c r="AB710" s="143"/>
      <c r="AC710" s="143"/>
      <c r="AD710" s="143"/>
      <c r="AE710" s="143"/>
      <c r="AF710" s="143"/>
      <c r="AG710" s="143"/>
      <c r="AH710" s="143"/>
      <c r="AI710" s="143"/>
      <c r="AJ710" s="143"/>
    </row>
    <row r="711" spans="1:36" ht="12.75" customHeight="1" x14ac:dyDescent="0.25">
      <c r="A711" s="143"/>
      <c r="B711" s="145"/>
      <c r="C711" s="146"/>
      <c r="D711" s="114"/>
      <c r="E711" s="148"/>
      <c r="F711" s="148"/>
      <c r="G711" s="114"/>
      <c r="H711" s="149"/>
      <c r="I711" s="143"/>
      <c r="J711" s="143"/>
      <c r="K711" s="143"/>
      <c r="L711" s="143"/>
      <c r="M711" s="150"/>
      <c r="N711" s="143"/>
      <c r="O711" s="1"/>
      <c r="P711" s="151"/>
      <c r="Q711" s="143"/>
      <c r="R711" s="143"/>
      <c r="S711" s="143"/>
      <c r="T711" s="143"/>
      <c r="U711" s="143"/>
      <c r="V711" s="143"/>
      <c r="W711" s="143"/>
      <c r="X711" s="143"/>
      <c r="Y711" s="143"/>
      <c r="Z711" s="143"/>
      <c r="AA711" s="143"/>
      <c r="AB711" s="143"/>
      <c r="AC711" s="143"/>
      <c r="AD711" s="143"/>
      <c r="AE711" s="143"/>
      <c r="AF711" s="143"/>
      <c r="AG711" s="143"/>
      <c r="AH711" s="143"/>
      <c r="AI711" s="143"/>
      <c r="AJ711" s="143"/>
    </row>
    <row r="712" spans="1:36" ht="12.75" customHeight="1" x14ac:dyDescent="0.25">
      <c r="A712" s="143"/>
      <c r="B712" s="145"/>
      <c r="C712" s="146"/>
      <c r="D712" s="114"/>
      <c r="E712" s="148"/>
      <c r="F712" s="148"/>
      <c r="G712" s="114"/>
      <c r="H712" s="149"/>
      <c r="I712" s="143"/>
      <c r="J712" s="143"/>
      <c r="K712" s="143"/>
      <c r="L712" s="143"/>
      <c r="M712" s="150"/>
      <c r="N712" s="143"/>
      <c r="O712" s="1"/>
      <c r="P712" s="151"/>
      <c r="Q712" s="143"/>
      <c r="R712" s="143"/>
      <c r="S712" s="143"/>
      <c r="T712" s="143"/>
      <c r="U712" s="143"/>
      <c r="V712" s="143"/>
      <c r="W712" s="143"/>
      <c r="X712" s="143"/>
      <c r="Y712" s="143"/>
      <c r="Z712" s="143"/>
      <c r="AA712" s="143"/>
      <c r="AB712" s="143"/>
      <c r="AC712" s="143"/>
      <c r="AD712" s="143"/>
      <c r="AE712" s="143"/>
      <c r="AF712" s="143"/>
      <c r="AG712" s="143"/>
      <c r="AH712" s="143"/>
      <c r="AI712" s="143"/>
      <c r="AJ712" s="143"/>
    </row>
    <row r="713" spans="1:36" ht="12.75" customHeight="1" x14ac:dyDescent="0.25">
      <c r="A713" s="143"/>
      <c r="B713" s="145"/>
      <c r="C713" s="146"/>
      <c r="D713" s="114"/>
      <c r="E713" s="148"/>
      <c r="F713" s="148"/>
      <c r="G713" s="114"/>
      <c r="H713" s="149"/>
      <c r="I713" s="143"/>
      <c r="J713" s="143"/>
      <c r="K713" s="143"/>
      <c r="L713" s="143"/>
      <c r="M713" s="150"/>
      <c r="N713" s="143"/>
      <c r="O713" s="1"/>
      <c r="P713" s="151"/>
      <c r="Q713" s="143"/>
      <c r="R713" s="143"/>
      <c r="S713" s="143"/>
      <c r="T713" s="143"/>
      <c r="U713" s="143"/>
      <c r="V713" s="143"/>
      <c r="W713" s="143"/>
      <c r="X713" s="143"/>
      <c r="Y713" s="143"/>
      <c r="Z713" s="143"/>
      <c r="AA713" s="143"/>
      <c r="AB713" s="143"/>
      <c r="AC713" s="143"/>
      <c r="AD713" s="143"/>
      <c r="AE713" s="143"/>
      <c r="AF713" s="143"/>
      <c r="AG713" s="143"/>
      <c r="AH713" s="143"/>
      <c r="AI713" s="143"/>
      <c r="AJ713" s="143"/>
    </row>
    <row r="714" spans="1:36" ht="12.75" customHeight="1" x14ac:dyDescent="0.25">
      <c r="A714" s="143"/>
      <c r="B714" s="145"/>
      <c r="C714" s="146"/>
      <c r="D714" s="114"/>
      <c r="E714" s="148"/>
      <c r="F714" s="148"/>
      <c r="G714" s="114"/>
      <c r="H714" s="149"/>
      <c r="I714" s="143"/>
      <c r="J714" s="143"/>
      <c r="K714" s="143"/>
      <c r="L714" s="143"/>
      <c r="M714" s="150"/>
      <c r="N714" s="143"/>
      <c r="O714" s="1"/>
      <c r="P714" s="151"/>
      <c r="Q714" s="143"/>
      <c r="R714" s="143"/>
      <c r="S714" s="143"/>
      <c r="T714" s="143"/>
      <c r="U714" s="143"/>
      <c r="V714" s="143"/>
      <c r="W714" s="143"/>
      <c r="X714" s="143"/>
      <c r="Y714" s="143"/>
      <c r="Z714" s="143"/>
      <c r="AA714" s="143"/>
      <c r="AB714" s="143"/>
      <c r="AC714" s="143"/>
      <c r="AD714" s="143"/>
      <c r="AE714" s="143"/>
      <c r="AF714" s="143"/>
      <c r="AG714" s="143"/>
      <c r="AH714" s="143"/>
      <c r="AI714" s="143"/>
      <c r="AJ714" s="143"/>
    </row>
    <row r="715" spans="1:36" ht="12.75" customHeight="1" x14ac:dyDescent="0.25">
      <c r="A715" s="143"/>
      <c r="B715" s="145"/>
      <c r="C715" s="146"/>
      <c r="D715" s="114"/>
      <c r="E715" s="148"/>
      <c r="F715" s="148"/>
      <c r="G715" s="114"/>
      <c r="H715" s="149"/>
      <c r="I715" s="143"/>
      <c r="J715" s="143"/>
      <c r="K715" s="143"/>
      <c r="L715" s="143"/>
      <c r="M715" s="150"/>
      <c r="N715" s="143"/>
      <c r="O715" s="1"/>
      <c r="P715" s="151"/>
      <c r="Q715" s="143"/>
      <c r="R715" s="143"/>
      <c r="S715" s="143"/>
      <c r="T715" s="143"/>
      <c r="U715" s="143"/>
      <c r="V715" s="143"/>
      <c r="W715" s="143"/>
      <c r="X715" s="143"/>
      <c r="Y715" s="143"/>
      <c r="Z715" s="143"/>
      <c r="AA715" s="143"/>
      <c r="AB715" s="143"/>
      <c r="AC715" s="143"/>
      <c r="AD715" s="143"/>
      <c r="AE715" s="143"/>
      <c r="AF715" s="143"/>
      <c r="AG715" s="143"/>
      <c r="AH715" s="143"/>
      <c r="AI715" s="143"/>
      <c r="AJ715" s="143"/>
    </row>
    <row r="716" spans="1:36" ht="12.75" customHeight="1" x14ac:dyDescent="0.25">
      <c r="A716" s="143"/>
      <c r="B716" s="145"/>
      <c r="C716" s="146"/>
      <c r="D716" s="114"/>
      <c r="E716" s="148"/>
      <c r="F716" s="148"/>
      <c r="G716" s="114"/>
      <c r="H716" s="149"/>
      <c r="I716" s="143"/>
      <c r="J716" s="143"/>
      <c r="K716" s="143"/>
      <c r="L716" s="143"/>
      <c r="M716" s="150"/>
      <c r="N716" s="143"/>
      <c r="O716" s="1"/>
      <c r="P716" s="151"/>
      <c r="Q716" s="143"/>
      <c r="R716" s="143"/>
      <c r="S716" s="143"/>
      <c r="T716" s="143"/>
      <c r="U716" s="143"/>
      <c r="V716" s="143"/>
      <c r="W716" s="143"/>
      <c r="X716" s="143"/>
      <c r="Y716" s="143"/>
      <c r="Z716" s="143"/>
      <c r="AA716" s="143"/>
      <c r="AB716" s="143"/>
      <c r="AC716" s="143"/>
      <c r="AD716" s="143"/>
      <c r="AE716" s="143"/>
      <c r="AF716" s="143"/>
      <c r="AG716" s="143"/>
      <c r="AH716" s="143"/>
      <c r="AI716" s="143"/>
      <c r="AJ716" s="143"/>
    </row>
    <row r="717" spans="1:36" ht="12.75" customHeight="1" x14ac:dyDescent="0.25">
      <c r="A717" s="143"/>
      <c r="B717" s="145"/>
      <c r="C717" s="146"/>
      <c r="D717" s="114"/>
      <c r="E717" s="148"/>
      <c r="F717" s="148"/>
      <c r="G717" s="114"/>
      <c r="H717" s="149"/>
      <c r="I717" s="143"/>
      <c r="J717" s="143"/>
      <c r="K717" s="143"/>
      <c r="L717" s="143"/>
      <c r="M717" s="150"/>
      <c r="N717" s="143"/>
      <c r="O717" s="1"/>
      <c r="P717" s="151"/>
      <c r="Q717" s="143"/>
      <c r="R717" s="143"/>
      <c r="S717" s="143"/>
      <c r="T717" s="143"/>
      <c r="U717" s="143"/>
      <c r="V717" s="143"/>
      <c r="W717" s="143"/>
      <c r="X717" s="143"/>
      <c r="Y717" s="143"/>
      <c r="Z717" s="143"/>
      <c r="AA717" s="143"/>
      <c r="AB717" s="143"/>
      <c r="AC717" s="143"/>
      <c r="AD717" s="143"/>
      <c r="AE717" s="143"/>
      <c r="AF717" s="143"/>
      <c r="AG717" s="143"/>
      <c r="AH717" s="143"/>
      <c r="AI717" s="143"/>
      <c r="AJ717" s="143"/>
    </row>
    <row r="718" spans="1:36" ht="12.75" customHeight="1" x14ac:dyDescent="0.25">
      <c r="A718" s="143"/>
      <c r="B718" s="145"/>
      <c r="C718" s="146"/>
      <c r="D718" s="114"/>
      <c r="E718" s="148"/>
      <c r="F718" s="148"/>
      <c r="G718" s="114"/>
      <c r="H718" s="149"/>
      <c r="I718" s="143"/>
      <c r="J718" s="143"/>
      <c r="K718" s="143"/>
      <c r="L718" s="143"/>
      <c r="M718" s="150"/>
      <c r="N718" s="143"/>
      <c r="O718" s="1"/>
      <c r="P718" s="151"/>
      <c r="Q718" s="143"/>
      <c r="R718" s="143"/>
      <c r="S718" s="143"/>
      <c r="T718" s="143"/>
      <c r="U718" s="143"/>
      <c r="V718" s="143"/>
      <c r="W718" s="143"/>
      <c r="X718" s="143"/>
      <c r="Y718" s="143"/>
      <c r="Z718" s="143"/>
      <c r="AA718" s="143"/>
      <c r="AB718" s="143"/>
      <c r="AC718" s="143"/>
      <c r="AD718" s="143"/>
      <c r="AE718" s="143"/>
      <c r="AF718" s="143"/>
      <c r="AG718" s="143"/>
      <c r="AH718" s="143"/>
      <c r="AI718" s="143"/>
      <c r="AJ718" s="143"/>
    </row>
    <row r="719" spans="1:36" ht="12.75" customHeight="1" x14ac:dyDescent="0.25">
      <c r="A719" s="143"/>
      <c r="B719" s="145"/>
      <c r="C719" s="146"/>
      <c r="D719" s="114"/>
      <c r="E719" s="148"/>
      <c r="F719" s="148"/>
      <c r="G719" s="114"/>
      <c r="H719" s="149"/>
      <c r="I719" s="143"/>
      <c r="J719" s="143"/>
      <c r="K719" s="143"/>
      <c r="L719" s="143"/>
      <c r="M719" s="150"/>
      <c r="N719" s="143"/>
      <c r="O719" s="1"/>
      <c r="P719" s="151"/>
      <c r="Q719" s="143"/>
      <c r="R719" s="143"/>
      <c r="S719" s="143"/>
      <c r="T719" s="143"/>
      <c r="U719" s="143"/>
      <c r="V719" s="143"/>
      <c r="W719" s="143"/>
      <c r="X719" s="143"/>
      <c r="Y719" s="143"/>
      <c r="Z719" s="143"/>
      <c r="AA719" s="143"/>
      <c r="AB719" s="143"/>
      <c r="AC719" s="143"/>
      <c r="AD719" s="143"/>
      <c r="AE719" s="143"/>
      <c r="AF719" s="143"/>
      <c r="AG719" s="143"/>
      <c r="AH719" s="143"/>
      <c r="AI719" s="143"/>
      <c r="AJ719" s="143"/>
    </row>
    <row r="720" spans="1:36" ht="12.75" customHeight="1" x14ac:dyDescent="0.25">
      <c r="A720" s="143"/>
      <c r="B720" s="145"/>
      <c r="C720" s="146"/>
      <c r="D720" s="114"/>
      <c r="E720" s="148"/>
      <c r="F720" s="148"/>
      <c r="G720" s="114"/>
      <c r="H720" s="149"/>
      <c r="I720" s="143"/>
      <c r="J720" s="143"/>
      <c r="K720" s="143"/>
      <c r="L720" s="143"/>
      <c r="M720" s="150"/>
      <c r="N720" s="143"/>
      <c r="O720" s="1"/>
      <c r="P720" s="151"/>
      <c r="Q720" s="143"/>
      <c r="R720" s="143"/>
      <c r="S720" s="143"/>
      <c r="T720" s="143"/>
      <c r="U720" s="143"/>
      <c r="V720" s="143"/>
      <c r="W720" s="143"/>
      <c r="X720" s="143"/>
      <c r="Y720" s="143"/>
      <c r="Z720" s="143"/>
      <c r="AA720" s="143"/>
      <c r="AB720" s="143"/>
      <c r="AC720" s="143"/>
      <c r="AD720" s="143"/>
      <c r="AE720" s="143"/>
      <c r="AF720" s="143"/>
      <c r="AG720" s="143"/>
      <c r="AH720" s="143"/>
      <c r="AI720" s="143"/>
      <c r="AJ720" s="143"/>
    </row>
    <row r="721" spans="1:36" ht="12.75" customHeight="1" x14ac:dyDescent="0.25">
      <c r="A721" s="143"/>
      <c r="B721" s="145"/>
      <c r="C721" s="146"/>
      <c r="D721" s="114"/>
      <c r="E721" s="148"/>
      <c r="F721" s="148"/>
      <c r="G721" s="114"/>
      <c r="H721" s="149"/>
      <c r="I721" s="143"/>
      <c r="J721" s="143"/>
      <c r="K721" s="143"/>
      <c r="L721" s="143"/>
      <c r="M721" s="150"/>
      <c r="N721" s="143"/>
      <c r="O721" s="1"/>
      <c r="P721" s="151"/>
      <c r="Q721" s="143"/>
      <c r="R721" s="143"/>
      <c r="S721" s="143"/>
      <c r="T721" s="143"/>
      <c r="U721" s="143"/>
      <c r="V721" s="143"/>
      <c r="W721" s="143"/>
      <c r="X721" s="143"/>
      <c r="Y721" s="143"/>
      <c r="Z721" s="143"/>
      <c r="AA721" s="143"/>
      <c r="AB721" s="143"/>
      <c r="AC721" s="143"/>
      <c r="AD721" s="143"/>
      <c r="AE721" s="143"/>
      <c r="AF721" s="143"/>
      <c r="AG721" s="143"/>
      <c r="AH721" s="143"/>
      <c r="AI721" s="143"/>
      <c r="AJ721" s="143"/>
    </row>
    <row r="722" spans="1:36" ht="12.75" customHeight="1" x14ac:dyDescent="0.25">
      <c r="A722" s="143"/>
      <c r="B722" s="145"/>
      <c r="C722" s="146"/>
      <c r="D722" s="114"/>
      <c r="E722" s="148"/>
      <c r="F722" s="148"/>
      <c r="G722" s="114"/>
      <c r="H722" s="149"/>
      <c r="I722" s="143"/>
      <c r="J722" s="143"/>
      <c r="K722" s="143"/>
      <c r="L722" s="143"/>
      <c r="M722" s="150"/>
      <c r="N722" s="143"/>
      <c r="O722" s="1"/>
      <c r="P722" s="151"/>
      <c r="Q722" s="143"/>
      <c r="R722" s="143"/>
      <c r="S722" s="143"/>
      <c r="T722" s="143"/>
      <c r="U722" s="143"/>
      <c r="V722" s="143"/>
      <c r="W722" s="143"/>
      <c r="X722" s="143"/>
      <c r="Y722" s="143"/>
      <c r="Z722" s="143"/>
      <c r="AA722" s="143"/>
      <c r="AB722" s="143"/>
      <c r="AC722" s="143"/>
      <c r="AD722" s="143"/>
      <c r="AE722" s="143"/>
      <c r="AF722" s="143"/>
      <c r="AG722" s="143"/>
      <c r="AH722" s="143"/>
      <c r="AI722" s="143"/>
      <c r="AJ722" s="143"/>
    </row>
    <row r="723" spans="1:36" ht="12.75" customHeight="1" x14ac:dyDescent="0.25">
      <c r="A723" s="143"/>
      <c r="B723" s="145"/>
      <c r="C723" s="146"/>
      <c r="D723" s="114"/>
      <c r="E723" s="148"/>
      <c r="F723" s="148"/>
      <c r="G723" s="114"/>
      <c r="H723" s="149"/>
      <c r="I723" s="143"/>
      <c r="J723" s="143"/>
      <c r="K723" s="143"/>
      <c r="L723" s="143"/>
      <c r="M723" s="150"/>
      <c r="N723" s="143"/>
      <c r="O723" s="1"/>
      <c r="P723" s="151"/>
      <c r="Q723" s="143"/>
      <c r="R723" s="143"/>
      <c r="S723" s="143"/>
      <c r="T723" s="143"/>
      <c r="U723" s="143"/>
      <c r="V723" s="143"/>
      <c r="W723" s="143"/>
      <c r="X723" s="143"/>
      <c r="Y723" s="143"/>
      <c r="Z723" s="143"/>
      <c r="AA723" s="143"/>
      <c r="AB723" s="143"/>
      <c r="AC723" s="143"/>
      <c r="AD723" s="143"/>
      <c r="AE723" s="143"/>
      <c r="AF723" s="143"/>
      <c r="AG723" s="143"/>
      <c r="AH723" s="143"/>
      <c r="AI723" s="143"/>
      <c r="AJ723" s="143"/>
    </row>
    <row r="724" spans="1:36" ht="12.75" customHeight="1" x14ac:dyDescent="0.25">
      <c r="A724" s="143"/>
      <c r="B724" s="145"/>
      <c r="C724" s="146"/>
      <c r="D724" s="114"/>
      <c r="E724" s="148"/>
      <c r="F724" s="148"/>
      <c r="G724" s="114"/>
      <c r="H724" s="149"/>
      <c r="I724" s="143"/>
      <c r="J724" s="143"/>
      <c r="K724" s="143"/>
      <c r="L724" s="143"/>
      <c r="M724" s="150"/>
      <c r="N724" s="143"/>
      <c r="O724" s="1"/>
      <c r="P724" s="151"/>
      <c r="Q724" s="143"/>
      <c r="R724" s="143"/>
      <c r="S724" s="143"/>
      <c r="T724" s="143"/>
      <c r="U724" s="143"/>
      <c r="V724" s="143"/>
      <c r="W724" s="143"/>
      <c r="X724" s="143"/>
      <c r="Y724" s="143"/>
      <c r="Z724" s="143"/>
      <c r="AA724" s="143"/>
      <c r="AB724" s="143"/>
      <c r="AC724" s="143"/>
      <c r="AD724" s="143"/>
      <c r="AE724" s="143"/>
      <c r="AF724" s="143"/>
      <c r="AG724" s="143"/>
      <c r="AH724" s="143"/>
      <c r="AI724" s="143"/>
      <c r="AJ724" s="143"/>
    </row>
    <row r="725" spans="1:36" ht="12.75" customHeight="1" x14ac:dyDescent="0.25">
      <c r="A725" s="143"/>
      <c r="B725" s="145"/>
      <c r="C725" s="146"/>
      <c r="D725" s="114"/>
      <c r="E725" s="148"/>
      <c r="F725" s="148"/>
      <c r="G725" s="114"/>
      <c r="H725" s="149"/>
      <c r="I725" s="143"/>
      <c r="J725" s="143"/>
      <c r="K725" s="143"/>
      <c r="L725" s="143"/>
      <c r="M725" s="150"/>
      <c r="N725" s="143"/>
      <c r="O725" s="1"/>
      <c r="P725" s="151"/>
      <c r="Q725" s="143"/>
      <c r="R725" s="143"/>
      <c r="S725" s="143"/>
      <c r="T725" s="143"/>
      <c r="U725" s="143"/>
      <c r="V725" s="143"/>
      <c r="W725" s="143"/>
      <c r="X725" s="143"/>
      <c r="Y725" s="143"/>
      <c r="Z725" s="143"/>
      <c r="AA725" s="143"/>
      <c r="AB725" s="143"/>
      <c r="AC725" s="143"/>
      <c r="AD725" s="143"/>
      <c r="AE725" s="143"/>
      <c r="AF725" s="143"/>
      <c r="AG725" s="143"/>
      <c r="AH725" s="143"/>
      <c r="AI725" s="143"/>
      <c r="AJ725" s="143"/>
    </row>
    <row r="726" spans="1:36" ht="12.75" customHeight="1" x14ac:dyDescent="0.25">
      <c r="A726" s="143"/>
      <c r="B726" s="145"/>
      <c r="C726" s="146"/>
      <c r="D726" s="114"/>
      <c r="E726" s="148"/>
      <c r="F726" s="148"/>
      <c r="G726" s="114"/>
      <c r="H726" s="149"/>
      <c r="I726" s="143"/>
      <c r="J726" s="143"/>
      <c r="K726" s="143"/>
      <c r="L726" s="143"/>
      <c r="M726" s="150"/>
      <c r="N726" s="143"/>
      <c r="O726" s="1"/>
      <c r="P726" s="151"/>
      <c r="Q726" s="143"/>
      <c r="R726" s="143"/>
      <c r="S726" s="143"/>
      <c r="T726" s="143"/>
      <c r="U726" s="143"/>
      <c r="V726" s="143"/>
      <c r="W726" s="143"/>
      <c r="X726" s="143"/>
      <c r="Y726" s="143"/>
      <c r="Z726" s="143"/>
      <c r="AA726" s="143"/>
      <c r="AB726" s="143"/>
      <c r="AC726" s="143"/>
      <c r="AD726" s="143"/>
      <c r="AE726" s="143"/>
      <c r="AF726" s="143"/>
      <c r="AG726" s="143"/>
      <c r="AH726" s="143"/>
      <c r="AI726" s="143"/>
      <c r="AJ726" s="143"/>
    </row>
    <row r="727" spans="1:36" ht="12.75" customHeight="1" x14ac:dyDescent="0.25">
      <c r="A727" s="143"/>
      <c r="B727" s="145"/>
      <c r="C727" s="146"/>
      <c r="D727" s="114"/>
      <c r="E727" s="148"/>
      <c r="F727" s="148"/>
      <c r="G727" s="114"/>
      <c r="H727" s="149"/>
      <c r="I727" s="143"/>
      <c r="J727" s="143"/>
      <c r="K727" s="143"/>
      <c r="L727" s="143"/>
      <c r="M727" s="150"/>
      <c r="N727" s="143"/>
      <c r="O727" s="1"/>
      <c r="P727" s="151"/>
      <c r="Q727" s="143"/>
      <c r="R727" s="143"/>
      <c r="S727" s="143"/>
      <c r="T727" s="143"/>
      <c r="U727" s="143"/>
      <c r="V727" s="143"/>
      <c r="W727" s="143"/>
      <c r="X727" s="143"/>
      <c r="Y727" s="143"/>
      <c r="Z727" s="143"/>
      <c r="AA727" s="143"/>
      <c r="AB727" s="143"/>
      <c r="AC727" s="143"/>
      <c r="AD727" s="143"/>
      <c r="AE727" s="143"/>
      <c r="AF727" s="143"/>
      <c r="AG727" s="143"/>
      <c r="AH727" s="143"/>
      <c r="AI727" s="143"/>
      <c r="AJ727" s="143"/>
    </row>
    <row r="728" spans="1:36" ht="12.75" customHeight="1" x14ac:dyDescent="0.25">
      <c r="A728" s="143"/>
      <c r="B728" s="145"/>
      <c r="C728" s="146"/>
      <c r="D728" s="114"/>
      <c r="E728" s="148"/>
      <c r="F728" s="148"/>
      <c r="G728" s="114"/>
      <c r="H728" s="149"/>
      <c r="I728" s="143"/>
      <c r="J728" s="143"/>
      <c r="K728" s="143"/>
      <c r="L728" s="143"/>
      <c r="M728" s="150"/>
      <c r="N728" s="143"/>
      <c r="O728" s="1"/>
      <c r="P728" s="151"/>
      <c r="Q728" s="143"/>
      <c r="R728" s="143"/>
      <c r="S728" s="143"/>
      <c r="T728" s="143"/>
      <c r="U728" s="143"/>
      <c r="V728" s="143"/>
      <c r="W728" s="143"/>
      <c r="X728" s="143"/>
      <c r="Y728" s="143"/>
      <c r="Z728" s="143"/>
      <c r="AA728" s="143"/>
      <c r="AB728" s="143"/>
      <c r="AC728" s="143"/>
      <c r="AD728" s="143"/>
      <c r="AE728" s="143"/>
      <c r="AF728" s="143"/>
      <c r="AG728" s="143"/>
      <c r="AH728" s="143"/>
      <c r="AI728" s="143"/>
      <c r="AJ728" s="143"/>
    </row>
    <row r="729" spans="1:36" ht="12.75" customHeight="1" x14ac:dyDescent="0.25">
      <c r="A729" s="143"/>
      <c r="B729" s="145"/>
      <c r="C729" s="146"/>
      <c r="D729" s="114"/>
      <c r="E729" s="148"/>
      <c r="F729" s="148"/>
      <c r="G729" s="114"/>
      <c r="H729" s="149"/>
      <c r="I729" s="143"/>
      <c r="J729" s="143"/>
      <c r="K729" s="143"/>
      <c r="L729" s="143"/>
      <c r="M729" s="150"/>
      <c r="N729" s="143"/>
      <c r="O729" s="1"/>
      <c r="P729" s="151"/>
      <c r="Q729" s="143"/>
      <c r="R729" s="143"/>
      <c r="S729" s="143"/>
      <c r="T729" s="143"/>
      <c r="U729" s="143"/>
      <c r="V729" s="143"/>
      <c r="W729" s="143"/>
      <c r="X729" s="143"/>
      <c r="Y729" s="143"/>
      <c r="Z729" s="143"/>
      <c r="AA729" s="143"/>
      <c r="AB729" s="143"/>
      <c r="AC729" s="143"/>
      <c r="AD729" s="143"/>
      <c r="AE729" s="143"/>
      <c r="AF729" s="143"/>
      <c r="AG729" s="143"/>
      <c r="AH729" s="143"/>
      <c r="AI729" s="143"/>
      <c r="AJ729" s="143"/>
    </row>
    <row r="730" spans="1:36" ht="12.75" customHeight="1" x14ac:dyDescent="0.25">
      <c r="A730" s="143"/>
      <c r="B730" s="145"/>
      <c r="C730" s="146"/>
      <c r="D730" s="114"/>
      <c r="E730" s="148"/>
      <c r="F730" s="148"/>
      <c r="G730" s="114"/>
      <c r="H730" s="149"/>
      <c r="I730" s="143"/>
      <c r="J730" s="143"/>
      <c r="K730" s="143"/>
      <c r="L730" s="143"/>
      <c r="M730" s="150"/>
      <c r="N730" s="143"/>
      <c r="O730" s="1"/>
      <c r="P730" s="151"/>
      <c r="Q730" s="143"/>
      <c r="R730" s="143"/>
      <c r="S730" s="143"/>
      <c r="T730" s="143"/>
      <c r="U730" s="143"/>
      <c r="V730" s="143"/>
      <c r="W730" s="143"/>
      <c r="X730" s="143"/>
      <c r="Y730" s="143"/>
      <c r="Z730" s="143"/>
      <c r="AA730" s="143"/>
      <c r="AB730" s="143"/>
      <c r="AC730" s="143"/>
      <c r="AD730" s="143"/>
      <c r="AE730" s="143"/>
      <c r="AF730" s="143"/>
      <c r="AG730" s="143"/>
      <c r="AH730" s="143"/>
      <c r="AI730" s="143"/>
      <c r="AJ730" s="143"/>
    </row>
    <row r="731" spans="1:36" ht="12.75" customHeight="1" x14ac:dyDescent="0.25">
      <c r="A731" s="143"/>
      <c r="B731" s="145"/>
      <c r="C731" s="146"/>
      <c r="D731" s="114"/>
      <c r="E731" s="148"/>
      <c r="F731" s="148"/>
      <c r="G731" s="114"/>
      <c r="H731" s="149"/>
      <c r="I731" s="143"/>
      <c r="J731" s="143"/>
      <c r="K731" s="143"/>
      <c r="L731" s="143"/>
      <c r="M731" s="150"/>
      <c r="N731" s="143"/>
      <c r="O731" s="1"/>
      <c r="P731" s="151"/>
      <c r="Q731" s="143"/>
      <c r="R731" s="143"/>
      <c r="S731" s="143"/>
      <c r="T731" s="143"/>
      <c r="U731" s="143"/>
      <c r="V731" s="143"/>
      <c r="W731" s="143"/>
      <c r="X731" s="143"/>
      <c r="Y731" s="143"/>
      <c r="Z731" s="143"/>
      <c r="AA731" s="143"/>
      <c r="AB731" s="143"/>
      <c r="AC731" s="143"/>
      <c r="AD731" s="143"/>
      <c r="AE731" s="143"/>
      <c r="AF731" s="143"/>
      <c r="AG731" s="143"/>
      <c r="AH731" s="143"/>
      <c r="AI731" s="143"/>
      <c r="AJ731" s="143"/>
    </row>
    <row r="732" spans="1:36" ht="12.75" customHeight="1" x14ac:dyDescent="0.25">
      <c r="A732" s="143"/>
      <c r="B732" s="145"/>
      <c r="C732" s="146"/>
      <c r="D732" s="114"/>
      <c r="E732" s="148"/>
      <c r="F732" s="148"/>
      <c r="G732" s="114"/>
      <c r="H732" s="149"/>
      <c r="I732" s="143"/>
      <c r="J732" s="143"/>
      <c r="K732" s="143"/>
      <c r="L732" s="143"/>
      <c r="M732" s="150"/>
      <c r="N732" s="143"/>
      <c r="O732" s="1"/>
      <c r="P732" s="151"/>
      <c r="Q732" s="143"/>
      <c r="R732" s="143"/>
      <c r="S732" s="143"/>
      <c r="T732" s="143"/>
      <c r="U732" s="143"/>
      <c r="V732" s="143"/>
      <c r="W732" s="143"/>
      <c r="X732" s="143"/>
      <c r="Y732" s="143"/>
      <c r="Z732" s="143"/>
      <c r="AA732" s="143"/>
      <c r="AB732" s="143"/>
      <c r="AC732" s="143"/>
      <c r="AD732" s="143"/>
      <c r="AE732" s="143"/>
      <c r="AF732" s="143"/>
      <c r="AG732" s="143"/>
      <c r="AH732" s="143"/>
      <c r="AI732" s="143"/>
      <c r="AJ732" s="143"/>
    </row>
    <row r="733" spans="1:36" ht="12.75" customHeight="1" x14ac:dyDescent="0.25">
      <c r="A733" s="143"/>
      <c r="B733" s="145"/>
      <c r="C733" s="146"/>
      <c r="D733" s="114"/>
      <c r="E733" s="148"/>
      <c r="F733" s="148"/>
      <c r="G733" s="114"/>
      <c r="H733" s="149"/>
      <c r="I733" s="143"/>
      <c r="J733" s="143"/>
      <c r="K733" s="143"/>
      <c r="L733" s="143"/>
      <c r="M733" s="150"/>
      <c r="N733" s="143"/>
      <c r="O733" s="1"/>
      <c r="P733" s="151"/>
      <c r="Q733" s="143"/>
      <c r="R733" s="143"/>
      <c r="S733" s="143"/>
      <c r="T733" s="143"/>
      <c r="U733" s="143"/>
      <c r="V733" s="143"/>
      <c r="W733" s="143"/>
      <c r="X733" s="143"/>
      <c r="Y733" s="143"/>
      <c r="Z733" s="143"/>
      <c r="AA733" s="143"/>
      <c r="AB733" s="143"/>
      <c r="AC733" s="143"/>
      <c r="AD733" s="143"/>
      <c r="AE733" s="143"/>
      <c r="AF733" s="143"/>
      <c r="AG733" s="143"/>
      <c r="AH733" s="143"/>
      <c r="AI733" s="143"/>
      <c r="AJ733" s="143"/>
    </row>
    <row r="734" spans="1:36" ht="12.75" customHeight="1" x14ac:dyDescent="0.25">
      <c r="A734" s="143"/>
      <c r="B734" s="145"/>
      <c r="C734" s="146"/>
      <c r="D734" s="114"/>
      <c r="E734" s="148"/>
      <c r="F734" s="148"/>
      <c r="G734" s="114"/>
      <c r="H734" s="149"/>
      <c r="I734" s="143"/>
      <c r="J734" s="143"/>
      <c r="K734" s="143"/>
      <c r="L734" s="143"/>
      <c r="M734" s="150"/>
      <c r="N734" s="143"/>
      <c r="O734" s="1"/>
      <c r="P734" s="151"/>
      <c r="Q734" s="143"/>
      <c r="R734" s="143"/>
      <c r="S734" s="143"/>
      <c r="T734" s="143"/>
      <c r="U734" s="143"/>
      <c r="V734" s="143"/>
      <c r="W734" s="143"/>
      <c r="X734" s="143"/>
      <c r="Y734" s="143"/>
      <c r="Z734" s="143"/>
      <c r="AA734" s="143"/>
      <c r="AB734" s="143"/>
      <c r="AC734" s="143"/>
      <c r="AD734" s="143"/>
      <c r="AE734" s="143"/>
      <c r="AF734" s="143"/>
      <c r="AG734" s="143"/>
      <c r="AH734" s="143"/>
      <c r="AI734" s="143"/>
      <c r="AJ734" s="143"/>
    </row>
    <row r="735" spans="1:36" ht="12.75" customHeight="1" x14ac:dyDescent="0.25">
      <c r="A735" s="143"/>
      <c r="B735" s="145"/>
      <c r="C735" s="146"/>
      <c r="D735" s="114"/>
      <c r="E735" s="148"/>
      <c r="F735" s="148"/>
      <c r="G735" s="114"/>
      <c r="H735" s="149"/>
      <c r="I735" s="143"/>
      <c r="J735" s="143"/>
      <c r="K735" s="143"/>
      <c r="L735" s="143"/>
      <c r="M735" s="150"/>
      <c r="N735" s="143"/>
      <c r="O735" s="1"/>
      <c r="P735" s="151"/>
      <c r="Q735" s="143"/>
      <c r="R735" s="143"/>
      <c r="S735" s="143"/>
      <c r="T735" s="143"/>
      <c r="U735" s="143"/>
      <c r="V735" s="143"/>
      <c r="W735" s="143"/>
      <c r="X735" s="143"/>
      <c r="Y735" s="143"/>
      <c r="Z735" s="143"/>
      <c r="AA735" s="143"/>
      <c r="AB735" s="143"/>
      <c r="AC735" s="143"/>
      <c r="AD735" s="143"/>
      <c r="AE735" s="143"/>
      <c r="AF735" s="143"/>
      <c r="AG735" s="143"/>
      <c r="AH735" s="143"/>
      <c r="AI735" s="143"/>
      <c r="AJ735" s="143"/>
    </row>
    <row r="736" spans="1:36" ht="12.75" customHeight="1" x14ac:dyDescent="0.25">
      <c r="A736" s="143"/>
      <c r="B736" s="145"/>
      <c r="C736" s="146"/>
      <c r="D736" s="114"/>
      <c r="E736" s="148"/>
      <c r="F736" s="148"/>
      <c r="G736" s="114"/>
      <c r="H736" s="149"/>
      <c r="I736" s="143"/>
      <c r="J736" s="143"/>
      <c r="K736" s="143"/>
      <c r="L736" s="143"/>
      <c r="M736" s="150"/>
      <c r="N736" s="143"/>
      <c r="O736" s="1"/>
      <c r="P736" s="151"/>
      <c r="Q736" s="143"/>
      <c r="R736" s="143"/>
      <c r="S736" s="143"/>
      <c r="T736" s="143"/>
      <c r="U736" s="143"/>
      <c r="V736" s="143"/>
      <c r="W736" s="143"/>
      <c r="X736" s="143"/>
      <c r="Y736" s="143"/>
      <c r="Z736" s="143"/>
      <c r="AA736" s="143"/>
      <c r="AB736" s="143"/>
      <c r="AC736" s="143"/>
      <c r="AD736" s="143"/>
      <c r="AE736" s="143"/>
      <c r="AF736" s="143"/>
      <c r="AG736" s="143"/>
      <c r="AH736" s="143"/>
      <c r="AI736" s="143"/>
      <c r="AJ736" s="143"/>
    </row>
    <row r="737" spans="1:36" ht="12.75" customHeight="1" x14ac:dyDescent="0.25">
      <c r="A737" s="143"/>
      <c r="B737" s="145"/>
      <c r="C737" s="146"/>
      <c r="D737" s="114"/>
      <c r="E737" s="148"/>
      <c r="F737" s="148"/>
      <c r="G737" s="114"/>
      <c r="H737" s="149"/>
      <c r="I737" s="143"/>
      <c r="J737" s="143"/>
      <c r="K737" s="143"/>
      <c r="L737" s="143"/>
      <c r="M737" s="150"/>
      <c r="N737" s="143"/>
      <c r="O737" s="1"/>
      <c r="P737" s="151"/>
      <c r="Q737" s="143"/>
      <c r="R737" s="143"/>
      <c r="S737" s="143"/>
      <c r="T737" s="143"/>
      <c r="U737" s="143"/>
      <c r="V737" s="143"/>
      <c r="W737" s="143"/>
      <c r="X737" s="143"/>
      <c r="Y737" s="143"/>
      <c r="Z737" s="143"/>
      <c r="AA737" s="143"/>
      <c r="AB737" s="143"/>
      <c r="AC737" s="143"/>
      <c r="AD737" s="143"/>
      <c r="AE737" s="143"/>
      <c r="AF737" s="143"/>
      <c r="AG737" s="143"/>
      <c r="AH737" s="143"/>
      <c r="AI737" s="143"/>
      <c r="AJ737" s="143"/>
    </row>
    <row r="738" spans="1:36" ht="12.75" customHeight="1" x14ac:dyDescent="0.25">
      <c r="A738" s="143"/>
      <c r="B738" s="145"/>
      <c r="C738" s="146"/>
      <c r="D738" s="114"/>
      <c r="E738" s="148"/>
      <c r="F738" s="148"/>
      <c r="G738" s="114"/>
      <c r="H738" s="149"/>
      <c r="I738" s="143"/>
      <c r="J738" s="143"/>
      <c r="K738" s="143"/>
      <c r="L738" s="143"/>
      <c r="M738" s="150"/>
      <c r="N738" s="143"/>
      <c r="O738" s="1"/>
      <c r="P738" s="151"/>
      <c r="Q738" s="143"/>
      <c r="R738" s="143"/>
      <c r="S738" s="143"/>
      <c r="T738" s="143"/>
      <c r="U738" s="143"/>
      <c r="V738" s="143"/>
      <c r="W738" s="143"/>
      <c r="X738" s="143"/>
      <c r="Y738" s="143"/>
      <c r="Z738" s="143"/>
      <c r="AA738" s="143"/>
      <c r="AB738" s="143"/>
      <c r="AC738" s="143"/>
      <c r="AD738" s="143"/>
      <c r="AE738" s="143"/>
      <c r="AF738" s="143"/>
      <c r="AG738" s="143"/>
      <c r="AH738" s="143"/>
      <c r="AI738" s="143"/>
      <c r="AJ738" s="143"/>
    </row>
    <row r="739" spans="1:36" ht="12.75" customHeight="1" x14ac:dyDescent="0.25">
      <c r="A739" s="143"/>
      <c r="B739" s="145"/>
      <c r="C739" s="146"/>
      <c r="D739" s="114"/>
      <c r="E739" s="148"/>
      <c r="F739" s="148"/>
      <c r="G739" s="114"/>
      <c r="H739" s="149"/>
      <c r="I739" s="143"/>
      <c r="J739" s="143"/>
      <c r="K739" s="143"/>
      <c r="L739" s="143"/>
      <c r="M739" s="150"/>
      <c r="N739" s="143"/>
      <c r="O739" s="1"/>
      <c r="P739" s="151"/>
      <c r="Q739" s="143"/>
      <c r="R739" s="143"/>
      <c r="S739" s="143"/>
      <c r="T739" s="143"/>
      <c r="U739" s="143"/>
      <c r="V739" s="143"/>
      <c r="W739" s="143"/>
      <c r="X739" s="143"/>
      <c r="Y739" s="143"/>
      <c r="Z739" s="143"/>
      <c r="AA739" s="143"/>
      <c r="AB739" s="143"/>
      <c r="AC739" s="143"/>
      <c r="AD739" s="143"/>
      <c r="AE739" s="143"/>
      <c r="AF739" s="143"/>
      <c r="AG739" s="143"/>
      <c r="AH739" s="143"/>
      <c r="AI739" s="143"/>
      <c r="AJ739" s="143"/>
    </row>
    <row r="740" spans="1:36" ht="12.75" customHeight="1" x14ac:dyDescent="0.25">
      <c r="A740" s="143"/>
      <c r="B740" s="145"/>
      <c r="C740" s="146"/>
      <c r="D740" s="114"/>
      <c r="E740" s="148"/>
      <c r="F740" s="148"/>
      <c r="G740" s="114"/>
      <c r="H740" s="149"/>
      <c r="I740" s="143"/>
      <c r="J740" s="143"/>
      <c r="K740" s="143"/>
      <c r="L740" s="143"/>
      <c r="M740" s="150"/>
      <c r="N740" s="143"/>
      <c r="O740" s="1"/>
      <c r="P740" s="151"/>
      <c r="Q740" s="143"/>
      <c r="R740" s="143"/>
      <c r="S740" s="143"/>
      <c r="T740" s="143"/>
      <c r="U740" s="143"/>
      <c r="V740" s="143"/>
      <c r="W740" s="143"/>
      <c r="X740" s="143"/>
      <c r="Y740" s="143"/>
      <c r="Z740" s="143"/>
      <c r="AA740" s="143"/>
      <c r="AB740" s="143"/>
      <c r="AC740" s="143"/>
      <c r="AD740" s="143"/>
      <c r="AE740" s="143"/>
      <c r="AF740" s="143"/>
      <c r="AG740" s="143"/>
      <c r="AH740" s="143"/>
      <c r="AI740" s="143"/>
      <c r="AJ740" s="143"/>
    </row>
    <row r="741" spans="1:36" ht="12.75" customHeight="1" x14ac:dyDescent="0.25">
      <c r="A741" s="143"/>
      <c r="B741" s="145"/>
      <c r="C741" s="146"/>
      <c r="D741" s="114"/>
      <c r="E741" s="148"/>
      <c r="F741" s="148"/>
      <c r="G741" s="114"/>
      <c r="H741" s="149"/>
      <c r="I741" s="143"/>
      <c r="J741" s="143"/>
      <c r="K741" s="143"/>
      <c r="L741" s="143"/>
      <c r="M741" s="150"/>
      <c r="N741" s="143"/>
      <c r="O741" s="1"/>
      <c r="P741" s="151"/>
      <c r="Q741" s="143"/>
      <c r="R741" s="143"/>
      <c r="S741" s="143"/>
      <c r="T741" s="143"/>
      <c r="U741" s="143"/>
      <c r="V741" s="143"/>
      <c r="W741" s="143"/>
      <c r="X741" s="143"/>
      <c r="Y741" s="143"/>
      <c r="Z741" s="143"/>
      <c r="AA741" s="143"/>
      <c r="AB741" s="143"/>
      <c r="AC741" s="143"/>
      <c r="AD741" s="143"/>
      <c r="AE741" s="143"/>
      <c r="AF741" s="143"/>
      <c r="AG741" s="143"/>
      <c r="AH741" s="143"/>
      <c r="AI741" s="143"/>
      <c r="AJ741" s="143"/>
    </row>
    <row r="742" spans="1:36" ht="12.75" customHeight="1" x14ac:dyDescent="0.25">
      <c r="A742" s="143"/>
      <c r="B742" s="145"/>
      <c r="C742" s="146"/>
      <c r="D742" s="114"/>
      <c r="E742" s="148"/>
      <c r="F742" s="148"/>
      <c r="G742" s="114"/>
      <c r="H742" s="149"/>
      <c r="I742" s="143"/>
      <c r="J742" s="143"/>
      <c r="K742" s="143"/>
      <c r="L742" s="143"/>
      <c r="M742" s="150"/>
      <c r="N742" s="143"/>
      <c r="O742" s="1"/>
      <c r="P742" s="151"/>
      <c r="Q742" s="143"/>
      <c r="R742" s="143"/>
      <c r="S742" s="143"/>
      <c r="T742" s="143"/>
      <c r="U742" s="143"/>
      <c r="V742" s="143"/>
      <c r="W742" s="143"/>
      <c r="X742" s="143"/>
      <c r="Y742" s="143"/>
      <c r="Z742" s="143"/>
      <c r="AA742" s="143"/>
      <c r="AB742" s="143"/>
      <c r="AC742" s="143"/>
      <c r="AD742" s="143"/>
      <c r="AE742" s="143"/>
      <c r="AF742" s="143"/>
      <c r="AG742" s="143"/>
      <c r="AH742" s="143"/>
      <c r="AI742" s="143"/>
      <c r="AJ742" s="143"/>
    </row>
    <row r="743" spans="1:36" ht="12.75" customHeight="1" x14ac:dyDescent="0.25">
      <c r="A743" s="143"/>
      <c r="B743" s="145"/>
      <c r="C743" s="146"/>
      <c r="D743" s="114"/>
      <c r="E743" s="148"/>
      <c r="F743" s="148"/>
      <c r="G743" s="114"/>
      <c r="H743" s="149"/>
      <c r="I743" s="143"/>
      <c r="J743" s="143"/>
      <c r="K743" s="143"/>
      <c r="L743" s="143"/>
      <c r="M743" s="150"/>
      <c r="N743" s="143"/>
      <c r="O743" s="1"/>
      <c r="P743" s="151"/>
      <c r="Q743" s="143"/>
      <c r="R743" s="143"/>
      <c r="S743" s="143"/>
      <c r="T743" s="143"/>
      <c r="U743" s="143"/>
      <c r="V743" s="143"/>
      <c r="W743" s="143"/>
      <c r="X743" s="143"/>
      <c r="Y743" s="143"/>
      <c r="Z743" s="143"/>
      <c r="AA743" s="143"/>
      <c r="AB743" s="143"/>
      <c r="AC743" s="143"/>
      <c r="AD743" s="143"/>
      <c r="AE743" s="143"/>
      <c r="AF743" s="143"/>
      <c r="AG743" s="143"/>
      <c r="AH743" s="143"/>
      <c r="AI743" s="143"/>
      <c r="AJ743" s="143"/>
    </row>
    <row r="744" spans="1:36" ht="12.75" customHeight="1" x14ac:dyDescent="0.25">
      <c r="A744" s="143"/>
      <c r="B744" s="145"/>
      <c r="C744" s="146"/>
      <c r="D744" s="114"/>
      <c r="E744" s="148"/>
      <c r="F744" s="148"/>
      <c r="G744" s="114"/>
      <c r="H744" s="149"/>
      <c r="I744" s="143"/>
      <c r="J744" s="143"/>
      <c r="K744" s="143"/>
      <c r="L744" s="143"/>
      <c r="M744" s="150"/>
      <c r="N744" s="143"/>
      <c r="O744" s="1"/>
      <c r="P744" s="151"/>
      <c r="Q744" s="143"/>
      <c r="R744" s="143"/>
      <c r="S744" s="143"/>
      <c r="T744" s="143"/>
      <c r="U744" s="143"/>
      <c r="V744" s="143"/>
      <c r="W744" s="143"/>
      <c r="X744" s="143"/>
      <c r="Y744" s="143"/>
      <c r="Z744" s="143"/>
      <c r="AA744" s="143"/>
      <c r="AB744" s="143"/>
      <c r="AC744" s="143"/>
      <c r="AD744" s="143"/>
      <c r="AE744" s="143"/>
      <c r="AF744" s="143"/>
      <c r="AG744" s="143"/>
      <c r="AH744" s="143"/>
      <c r="AI744" s="143"/>
      <c r="AJ744" s="143"/>
    </row>
    <row r="745" spans="1:36" ht="12.75" customHeight="1" x14ac:dyDescent="0.25">
      <c r="A745" s="143"/>
      <c r="B745" s="145"/>
      <c r="C745" s="146"/>
      <c r="D745" s="114"/>
      <c r="E745" s="148"/>
      <c r="F745" s="148"/>
      <c r="G745" s="114"/>
      <c r="H745" s="149"/>
      <c r="I745" s="143"/>
      <c r="J745" s="143"/>
      <c r="K745" s="143"/>
      <c r="L745" s="143"/>
      <c r="M745" s="150"/>
      <c r="N745" s="143"/>
      <c r="O745" s="1"/>
      <c r="P745" s="151"/>
      <c r="Q745" s="143"/>
      <c r="R745" s="143"/>
      <c r="S745" s="143"/>
      <c r="T745" s="143"/>
      <c r="U745" s="143"/>
      <c r="V745" s="143"/>
      <c r="W745" s="143"/>
      <c r="X745" s="143"/>
      <c r="Y745" s="143"/>
      <c r="Z745" s="143"/>
      <c r="AA745" s="143"/>
      <c r="AB745" s="143"/>
      <c r="AC745" s="143"/>
      <c r="AD745" s="143"/>
      <c r="AE745" s="143"/>
      <c r="AF745" s="143"/>
      <c r="AG745" s="143"/>
      <c r="AH745" s="143"/>
      <c r="AI745" s="143"/>
      <c r="AJ745" s="143"/>
    </row>
    <row r="746" spans="1:36" ht="12.75" customHeight="1" x14ac:dyDescent="0.25">
      <c r="A746" s="143"/>
      <c r="B746" s="145"/>
      <c r="C746" s="146"/>
      <c r="D746" s="114"/>
      <c r="E746" s="148"/>
      <c r="F746" s="148"/>
      <c r="G746" s="114"/>
      <c r="H746" s="149"/>
      <c r="I746" s="143"/>
      <c r="J746" s="143"/>
      <c r="K746" s="143"/>
      <c r="L746" s="143"/>
      <c r="M746" s="150"/>
      <c r="N746" s="143"/>
      <c r="O746" s="1"/>
      <c r="P746" s="151"/>
      <c r="Q746" s="143"/>
      <c r="R746" s="143"/>
      <c r="S746" s="143"/>
      <c r="T746" s="143"/>
      <c r="U746" s="143"/>
      <c r="V746" s="143"/>
      <c r="W746" s="143"/>
      <c r="X746" s="143"/>
      <c r="Y746" s="143"/>
      <c r="Z746" s="143"/>
      <c r="AA746" s="143"/>
      <c r="AB746" s="143"/>
      <c r="AC746" s="143"/>
      <c r="AD746" s="143"/>
      <c r="AE746" s="143"/>
      <c r="AF746" s="143"/>
      <c r="AG746" s="143"/>
      <c r="AH746" s="143"/>
      <c r="AI746" s="143"/>
      <c r="AJ746" s="143"/>
    </row>
    <row r="747" spans="1:36" ht="12.75" customHeight="1" x14ac:dyDescent="0.25">
      <c r="A747" s="143"/>
      <c r="B747" s="145"/>
      <c r="C747" s="146"/>
      <c r="D747" s="114"/>
      <c r="E747" s="148"/>
      <c r="F747" s="148"/>
      <c r="G747" s="114"/>
      <c r="H747" s="149"/>
      <c r="I747" s="143"/>
      <c r="J747" s="143"/>
      <c r="K747" s="143"/>
      <c r="L747" s="143"/>
      <c r="M747" s="150"/>
      <c r="N747" s="143"/>
      <c r="O747" s="1"/>
      <c r="P747" s="151"/>
      <c r="Q747" s="143"/>
      <c r="R747" s="143"/>
      <c r="S747" s="143"/>
      <c r="T747" s="143"/>
      <c r="U747" s="143"/>
      <c r="V747" s="143"/>
      <c r="W747" s="143"/>
      <c r="X747" s="143"/>
      <c r="Y747" s="143"/>
      <c r="Z747" s="143"/>
      <c r="AA747" s="143"/>
      <c r="AB747" s="143"/>
      <c r="AC747" s="143"/>
      <c r="AD747" s="143"/>
      <c r="AE747" s="143"/>
      <c r="AF747" s="143"/>
      <c r="AG747" s="143"/>
      <c r="AH747" s="143"/>
      <c r="AI747" s="143"/>
      <c r="AJ747" s="143"/>
    </row>
    <row r="748" spans="1:36" ht="12.75" customHeight="1" x14ac:dyDescent="0.25">
      <c r="A748" s="143"/>
      <c r="B748" s="145"/>
      <c r="C748" s="146"/>
      <c r="D748" s="114"/>
      <c r="E748" s="148"/>
      <c r="F748" s="148"/>
      <c r="G748" s="114"/>
      <c r="H748" s="149"/>
      <c r="I748" s="143"/>
      <c r="J748" s="143"/>
      <c r="K748" s="143"/>
      <c r="L748" s="143"/>
      <c r="M748" s="150"/>
      <c r="N748" s="143"/>
      <c r="O748" s="1"/>
      <c r="P748" s="151"/>
      <c r="Q748" s="143"/>
      <c r="R748" s="143"/>
      <c r="S748" s="143"/>
      <c r="T748" s="143"/>
      <c r="U748" s="143"/>
      <c r="V748" s="143"/>
      <c r="W748" s="143"/>
      <c r="X748" s="143"/>
      <c r="Y748" s="143"/>
      <c r="Z748" s="143"/>
      <c r="AA748" s="143"/>
      <c r="AB748" s="143"/>
      <c r="AC748" s="143"/>
      <c r="AD748" s="143"/>
      <c r="AE748" s="143"/>
      <c r="AF748" s="143"/>
      <c r="AG748" s="143"/>
      <c r="AH748" s="143"/>
      <c r="AI748" s="143"/>
      <c r="AJ748" s="143"/>
    </row>
    <row r="749" spans="1:36" ht="12.75" customHeight="1" x14ac:dyDescent="0.25">
      <c r="A749" s="143"/>
      <c r="B749" s="145"/>
      <c r="C749" s="146"/>
      <c r="D749" s="114"/>
      <c r="E749" s="148"/>
      <c r="F749" s="148"/>
      <c r="G749" s="114"/>
      <c r="H749" s="149"/>
      <c r="I749" s="143"/>
      <c r="J749" s="143"/>
      <c r="K749" s="143"/>
      <c r="L749" s="143"/>
      <c r="M749" s="150"/>
      <c r="N749" s="143"/>
      <c r="O749" s="1"/>
      <c r="P749" s="151"/>
      <c r="Q749" s="143"/>
      <c r="R749" s="143"/>
      <c r="S749" s="143"/>
      <c r="T749" s="143"/>
      <c r="U749" s="143"/>
      <c r="V749" s="143"/>
      <c r="W749" s="143"/>
      <c r="X749" s="143"/>
      <c r="Y749" s="143"/>
      <c r="Z749" s="143"/>
      <c r="AA749" s="143"/>
      <c r="AB749" s="143"/>
      <c r="AC749" s="143"/>
      <c r="AD749" s="143"/>
      <c r="AE749" s="143"/>
      <c r="AF749" s="143"/>
      <c r="AG749" s="143"/>
      <c r="AH749" s="143"/>
      <c r="AI749" s="143"/>
      <c r="AJ749" s="143"/>
    </row>
    <row r="750" spans="1:36" ht="12.75" customHeight="1" x14ac:dyDescent="0.25">
      <c r="A750" s="143"/>
      <c r="B750" s="145"/>
      <c r="C750" s="146"/>
      <c r="D750" s="114"/>
      <c r="E750" s="148"/>
      <c r="F750" s="148"/>
      <c r="G750" s="114"/>
      <c r="H750" s="149"/>
      <c r="I750" s="143"/>
      <c r="J750" s="143"/>
      <c r="K750" s="143"/>
      <c r="L750" s="143"/>
      <c r="M750" s="150"/>
      <c r="N750" s="143"/>
      <c r="O750" s="1"/>
      <c r="P750" s="151"/>
      <c r="Q750" s="143"/>
      <c r="R750" s="143"/>
      <c r="S750" s="143"/>
      <c r="T750" s="143"/>
      <c r="U750" s="143"/>
      <c r="V750" s="143"/>
      <c r="W750" s="143"/>
      <c r="X750" s="143"/>
      <c r="Y750" s="143"/>
      <c r="Z750" s="143"/>
      <c r="AA750" s="143"/>
      <c r="AB750" s="143"/>
      <c r="AC750" s="143"/>
      <c r="AD750" s="143"/>
      <c r="AE750" s="143"/>
      <c r="AF750" s="143"/>
      <c r="AG750" s="143"/>
      <c r="AH750" s="143"/>
      <c r="AI750" s="143"/>
      <c r="AJ750" s="143"/>
    </row>
    <row r="751" spans="1:36" ht="12.75" customHeight="1" x14ac:dyDescent="0.25">
      <c r="A751" s="143"/>
      <c r="B751" s="145"/>
      <c r="C751" s="146"/>
      <c r="D751" s="114"/>
      <c r="E751" s="148"/>
      <c r="F751" s="148"/>
      <c r="G751" s="114"/>
      <c r="H751" s="149"/>
      <c r="I751" s="143"/>
      <c r="J751" s="143"/>
      <c r="K751" s="143"/>
      <c r="L751" s="143"/>
      <c r="M751" s="150"/>
      <c r="N751" s="143"/>
      <c r="O751" s="1"/>
      <c r="P751" s="151"/>
      <c r="Q751" s="143"/>
      <c r="R751" s="143"/>
      <c r="S751" s="143"/>
      <c r="T751" s="143"/>
      <c r="U751" s="143"/>
      <c r="V751" s="143"/>
      <c r="W751" s="143"/>
      <c r="X751" s="143"/>
      <c r="Y751" s="143"/>
      <c r="Z751" s="143"/>
      <c r="AA751" s="143"/>
      <c r="AB751" s="143"/>
      <c r="AC751" s="143"/>
      <c r="AD751" s="143"/>
      <c r="AE751" s="143"/>
      <c r="AF751" s="143"/>
      <c r="AG751" s="143"/>
      <c r="AH751" s="143"/>
      <c r="AI751" s="143"/>
      <c r="AJ751" s="143"/>
    </row>
    <row r="752" spans="1:36" ht="12.75" customHeight="1" x14ac:dyDescent="0.25">
      <c r="A752" s="143"/>
      <c r="B752" s="145"/>
      <c r="C752" s="146"/>
      <c r="D752" s="114"/>
      <c r="E752" s="148"/>
      <c r="F752" s="148"/>
      <c r="G752" s="114"/>
      <c r="H752" s="149"/>
      <c r="I752" s="143"/>
      <c r="J752" s="143"/>
      <c r="K752" s="143"/>
      <c r="L752" s="143"/>
      <c r="M752" s="150"/>
      <c r="N752" s="143"/>
      <c r="O752" s="1"/>
      <c r="P752" s="151"/>
      <c r="Q752" s="143"/>
      <c r="R752" s="143"/>
      <c r="S752" s="143"/>
      <c r="T752" s="143"/>
      <c r="U752" s="143"/>
      <c r="V752" s="143"/>
      <c r="W752" s="143"/>
      <c r="X752" s="143"/>
      <c r="Y752" s="143"/>
      <c r="Z752" s="143"/>
      <c r="AA752" s="143"/>
      <c r="AB752" s="143"/>
      <c r="AC752" s="143"/>
      <c r="AD752" s="143"/>
      <c r="AE752" s="143"/>
      <c r="AF752" s="143"/>
      <c r="AG752" s="143"/>
      <c r="AH752" s="143"/>
      <c r="AI752" s="143"/>
      <c r="AJ752" s="143"/>
    </row>
    <row r="753" spans="1:36" ht="12.75" customHeight="1" x14ac:dyDescent="0.25">
      <c r="A753" s="143"/>
      <c r="B753" s="145"/>
      <c r="C753" s="146"/>
      <c r="D753" s="114"/>
      <c r="E753" s="148"/>
      <c r="F753" s="148"/>
      <c r="G753" s="114"/>
      <c r="H753" s="149"/>
      <c r="I753" s="143"/>
      <c r="J753" s="143"/>
      <c r="K753" s="143"/>
      <c r="L753" s="143"/>
      <c r="M753" s="150"/>
      <c r="N753" s="143"/>
      <c r="O753" s="1"/>
      <c r="P753" s="151"/>
      <c r="Q753" s="143"/>
      <c r="R753" s="143"/>
      <c r="S753" s="143"/>
      <c r="T753" s="143"/>
      <c r="U753" s="143"/>
      <c r="V753" s="143"/>
      <c r="W753" s="143"/>
      <c r="X753" s="143"/>
      <c r="Y753" s="143"/>
      <c r="Z753" s="143"/>
      <c r="AA753" s="143"/>
      <c r="AB753" s="143"/>
      <c r="AC753" s="143"/>
      <c r="AD753" s="143"/>
      <c r="AE753" s="143"/>
      <c r="AF753" s="143"/>
      <c r="AG753" s="143"/>
      <c r="AH753" s="143"/>
      <c r="AI753" s="143"/>
      <c r="AJ753" s="143"/>
    </row>
    <row r="754" spans="1:36" ht="12.75" customHeight="1" x14ac:dyDescent="0.25">
      <c r="A754" s="143"/>
      <c r="B754" s="145"/>
      <c r="C754" s="146"/>
      <c r="D754" s="114"/>
      <c r="E754" s="148"/>
      <c r="F754" s="148"/>
      <c r="G754" s="114"/>
      <c r="H754" s="149"/>
      <c r="I754" s="143"/>
      <c r="J754" s="143"/>
      <c r="K754" s="143"/>
      <c r="L754" s="143"/>
      <c r="M754" s="150"/>
      <c r="N754" s="143"/>
      <c r="O754" s="1"/>
      <c r="P754" s="151"/>
      <c r="Q754" s="143"/>
      <c r="R754" s="143"/>
      <c r="S754" s="143"/>
      <c r="T754" s="143"/>
      <c r="U754" s="143"/>
      <c r="V754" s="143"/>
      <c r="W754" s="143"/>
      <c r="X754" s="143"/>
      <c r="Y754" s="143"/>
      <c r="Z754" s="143"/>
      <c r="AA754" s="143"/>
      <c r="AB754" s="143"/>
      <c r="AC754" s="143"/>
      <c r="AD754" s="143"/>
      <c r="AE754" s="143"/>
      <c r="AF754" s="143"/>
      <c r="AG754" s="143"/>
      <c r="AH754" s="143"/>
      <c r="AI754" s="143"/>
      <c r="AJ754" s="143"/>
    </row>
    <row r="755" spans="1:36" ht="12.75" customHeight="1" x14ac:dyDescent="0.25">
      <c r="A755" s="143"/>
      <c r="B755" s="145"/>
      <c r="C755" s="146"/>
      <c r="D755" s="114"/>
      <c r="E755" s="148"/>
      <c r="F755" s="148"/>
      <c r="G755" s="114"/>
      <c r="H755" s="149"/>
      <c r="I755" s="143"/>
      <c r="J755" s="143"/>
      <c r="K755" s="143"/>
      <c r="L755" s="143"/>
      <c r="M755" s="150"/>
      <c r="N755" s="143"/>
      <c r="O755" s="1"/>
      <c r="P755" s="151"/>
      <c r="Q755" s="143"/>
      <c r="R755" s="143"/>
      <c r="S755" s="143"/>
      <c r="T755" s="143"/>
      <c r="U755" s="143"/>
      <c r="V755" s="143"/>
      <c r="W755" s="143"/>
      <c r="X755" s="143"/>
      <c r="Y755" s="143"/>
      <c r="Z755" s="143"/>
      <c r="AA755" s="143"/>
      <c r="AB755" s="143"/>
      <c r="AC755" s="143"/>
      <c r="AD755" s="143"/>
      <c r="AE755" s="143"/>
      <c r="AF755" s="143"/>
      <c r="AG755" s="143"/>
      <c r="AH755" s="143"/>
      <c r="AI755" s="143"/>
      <c r="AJ755" s="143"/>
    </row>
    <row r="756" spans="1:36" ht="12.75" customHeight="1" x14ac:dyDescent="0.25">
      <c r="A756" s="143"/>
      <c r="B756" s="145"/>
      <c r="C756" s="146"/>
      <c r="D756" s="114"/>
      <c r="E756" s="148"/>
      <c r="F756" s="148"/>
      <c r="G756" s="114"/>
      <c r="H756" s="149"/>
      <c r="I756" s="143"/>
      <c r="J756" s="143"/>
      <c r="K756" s="143"/>
      <c r="L756" s="143"/>
      <c r="M756" s="150"/>
      <c r="N756" s="143"/>
      <c r="O756" s="1"/>
      <c r="P756" s="151"/>
      <c r="Q756" s="143"/>
      <c r="R756" s="143"/>
      <c r="S756" s="143"/>
      <c r="T756" s="143"/>
      <c r="U756" s="143"/>
      <c r="V756" s="143"/>
      <c r="W756" s="143"/>
      <c r="X756" s="143"/>
      <c r="Y756" s="143"/>
      <c r="Z756" s="143"/>
      <c r="AA756" s="143"/>
      <c r="AB756" s="143"/>
      <c r="AC756" s="143"/>
      <c r="AD756" s="143"/>
      <c r="AE756" s="143"/>
      <c r="AF756" s="143"/>
      <c r="AG756" s="143"/>
      <c r="AH756" s="143"/>
      <c r="AI756" s="143"/>
      <c r="AJ756" s="143"/>
    </row>
    <row r="757" spans="1:36" ht="12.75" customHeight="1" x14ac:dyDescent="0.25">
      <c r="A757" s="143"/>
      <c r="B757" s="145"/>
      <c r="C757" s="146"/>
      <c r="D757" s="114"/>
      <c r="E757" s="148"/>
      <c r="F757" s="148"/>
      <c r="G757" s="114"/>
      <c r="H757" s="149"/>
      <c r="I757" s="143"/>
      <c r="J757" s="143"/>
      <c r="K757" s="143"/>
      <c r="L757" s="143"/>
      <c r="M757" s="150"/>
      <c r="N757" s="143"/>
      <c r="O757" s="1"/>
      <c r="P757" s="151"/>
      <c r="Q757" s="143"/>
      <c r="R757" s="143"/>
      <c r="S757" s="143"/>
      <c r="T757" s="143"/>
      <c r="U757" s="143"/>
      <c r="V757" s="143"/>
      <c r="W757" s="143"/>
      <c r="X757" s="143"/>
      <c r="Y757" s="143"/>
      <c r="Z757" s="143"/>
      <c r="AA757" s="143"/>
      <c r="AB757" s="143"/>
      <c r="AC757" s="143"/>
      <c r="AD757" s="143"/>
      <c r="AE757" s="143"/>
      <c r="AF757" s="143"/>
      <c r="AG757" s="143"/>
      <c r="AH757" s="143"/>
      <c r="AI757" s="143"/>
      <c r="AJ757" s="143"/>
    </row>
    <row r="758" spans="1:36" ht="12.75" customHeight="1" x14ac:dyDescent="0.25">
      <c r="A758" s="143"/>
      <c r="B758" s="145"/>
      <c r="C758" s="146"/>
      <c r="D758" s="114"/>
      <c r="E758" s="148"/>
      <c r="F758" s="148"/>
      <c r="G758" s="114"/>
      <c r="H758" s="149"/>
      <c r="I758" s="143"/>
      <c r="J758" s="143"/>
      <c r="K758" s="143"/>
      <c r="L758" s="143"/>
      <c r="M758" s="150"/>
      <c r="N758" s="143"/>
      <c r="O758" s="1"/>
      <c r="P758" s="151"/>
      <c r="Q758" s="143"/>
      <c r="R758" s="143"/>
      <c r="S758" s="143"/>
      <c r="T758" s="143"/>
      <c r="U758" s="143"/>
      <c r="V758" s="143"/>
      <c r="W758" s="143"/>
      <c r="X758" s="143"/>
      <c r="Y758" s="143"/>
      <c r="Z758" s="143"/>
      <c r="AA758" s="143"/>
      <c r="AB758" s="143"/>
      <c r="AC758" s="143"/>
      <c r="AD758" s="143"/>
      <c r="AE758" s="143"/>
      <c r="AF758" s="143"/>
      <c r="AG758" s="143"/>
      <c r="AH758" s="143"/>
      <c r="AI758" s="143"/>
      <c r="AJ758" s="143"/>
    </row>
    <row r="759" spans="1:36" ht="12.75" customHeight="1" x14ac:dyDescent="0.25">
      <c r="A759" s="143"/>
      <c r="B759" s="145"/>
      <c r="C759" s="146"/>
      <c r="D759" s="114"/>
      <c r="E759" s="148"/>
      <c r="F759" s="148"/>
      <c r="G759" s="114"/>
      <c r="H759" s="149"/>
      <c r="I759" s="143"/>
      <c r="J759" s="143"/>
      <c r="K759" s="143"/>
      <c r="L759" s="143"/>
      <c r="M759" s="150"/>
      <c r="N759" s="143"/>
      <c r="O759" s="1"/>
      <c r="P759" s="151"/>
      <c r="Q759" s="143"/>
      <c r="R759" s="143"/>
      <c r="S759" s="143"/>
      <c r="T759" s="143"/>
      <c r="U759" s="143"/>
      <c r="V759" s="143"/>
      <c r="W759" s="143"/>
      <c r="X759" s="143"/>
      <c r="Y759" s="143"/>
      <c r="Z759" s="143"/>
      <c r="AA759" s="143"/>
      <c r="AB759" s="143"/>
      <c r="AC759" s="143"/>
      <c r="AD759" s="143"/>
      <c r="AE759" s="143"/>
      <c r="AF759" s="143"/>
      <c r="AG759" s="143"/>
      <c r="AH759" s="143"/>
      <c r="AI759" s="143"/>
      <c r="AJ759" s="143"/>
    </row>
    <row r="760" spans="1:36" ht="12.75" customHeight="1" x14ac:dyDescent="0.25">
      <c r="A760" s="143"/>
      <c r="B760" s="145"/>
      <c r="C760" s="146"/>
      <c r="D760" s="114"/>
      <c r="E760" s="148"/>
      <c r="F760" s="148"/>
      <c r="G760" s="114"/>
      <c r="H760" s="149"/>
      <c r="I760" s="143"/>
      <c r="J760" s="143"/>
      <c r="K760" s="143"/>
      <c r="L760" s="143"/>
      <c r="M760" s="150"/>
      <c r="N760" s="143"/>
      <c r="O760" s="1"/>
      <c r="P760" s="151"/>
      <c r="Q760" s="143"/>
      <c r="R760" s="143"/>
      <c r="S760" s="143"/>
      <c r="T760" s="143"/>
      <c r="U760" s="143"/>
      <c r="V760" s="143"/>
      <c r="W760" s="143"/>
      <c r="X760" s="143"/>
      <c r="Y760" s="143"/>
      <c r="Z760" s="143"/>
      <c r="AA760" s="143"/>
      <c r="AB760" s="143"/>
      <c r="AC760" s="143"/>
      <c r="AD760" s="143"/>
      <c r="AE760" s="143"/>
      <c r="AF760" s="143"/>
      <c r="AG760" s="143"/>
      <c r="AH760" s="143"/>
      <c r="AI760" s="143"/>
      <c r="AJ760" s="143"/>
    </row>
    <row r="761" spans="1:36" ht="12.75" customHeight="1" x14ac:dyDescent="0.25">
      <c r="A761" s="143"/>
      <c r="B761" s="145"/>
      <c r="C761" s="146"/>
      <c r="D761" s="114"/>
      <c r="E761" s="148"/>
      <c r="F761" s="148"/>
      <c r="G761" s="114"/>
      <c r="H761" s="149"/>
      <c r="I761" s="143"/>
      <c r="J761" s="143"/>
      <c r="K761" s="143"/>
      <c r="L761" s="143"/>
      <c r="M761" s="150"/>
      <c r="N761" s="143"/>
      <c r="O761" s="1"/>
      <c r="P761" s="151"/>
      <c r="Q761" s="143"/>
      <c r="R761" s="143"/>
      <c r="S761" s="143"/>
      <c r="T761" s="143"/>
      <c r="U761" s="143"/>
      <c r="V761" s="143"/>
      <c r="W761" s="143"/>
      <c r="X761" s="143"/>
      <c r="Y761" s="143"/>
      <c r="Z761" s="143"/>
      <c r="AA761" s="143"/>
      <c r="AB761" s="143"/>
      <c r="AC761" s="143"/>
      <c r="AD761" s="143"/>
      <c r="AE761" s="143"/>
      <c r="AF761" s="143"/>
      <c r="AG761" s="143"/>
      <c r="AH761" s="143"/>
      <c r="AI761" s="143"/>
      <c r="AJ761" s="143"/>
    </row>
    <row r="762" spans="1:36" ht="12.75" customHeight="1" x14ac:dyDescent="0.25">
      <c r="A762" s="143"/>
      <c r="B762" s="145"/>
      <c r="C762" s="146"/>
      <c r="D762" s="114"/>
      <c r="E762" s="148"/>
      <c r="F762" s="148"/>
      <c r="G762" s="114"/>
      <c r="H762" s="149"/>
      <c r="I762" s="143"/>
      <c r="J762" s="143"/>
      <c r="K762" s="143"/>
      <c r="L762" s="143"/>
      <c r="M762" s="150"/>
      <c r="N762" s="143"/>
      <c r="O762" s="1"/>
      <c r="P762" s="151"/>
      <c r="Q762" s="143"/>
      <c r="R762" s="143"/>
      <c r="S762" s="143"/>
      <c r="T762" s="143"/>
      <c r="U762" s="143"/>
      <c r="V762" s="143"/>
      <c r="W762" s="143"/>
      <c r="X762" s="143"/>
      <c r="Y762" s="143"/>
      <c r="Z762" s="143"/>
      <c r="AA762" s="143"/>
      <c r="AB762" s="143"/>
      <c r="AC762" s="143"/>
      <c r="AD762" s="143"/>
      <c r="AE762" s="143"/>
      <c r="AF762" s="143"/>
      <c r="AG762" s="143"/>
      <c r="AH762" s="143"/>
      <c r="AI762" s="143"/>
      <c r="AJ762" s="143"/>
    </row>
    <row r="763" spans="1:36" ht="12.75" customHeight="1" x14ac:dyDescent="0.25">
      <c r="A763" s="143"/>
      <c r="B763" s="145"/>
      <c r="C763" s="146"/>
      <c r="D763" s="114"/>
      <c r="E763" s="148"/>
      <c r="F763" s="148"/>
      <c r="G763" s="114"/>
      <c r="H763" s="149"/>
      <c r="I763" s="143"/>
      <c r="J763" s="143"/>
      <c r="K763" s="143"/>
      <c r="L763" s="143"/>
      <c r="M763" s="150"/>
      <c r="N763" s="143"/>
      <c r="O763" s="1"/>
      <c r="P763" s="151"/>
      <c r="Q763" s="143"/>
      <c r="R763" s="143"/>
      <c r="S763" s="143"/>
      <c r="T763" s="143"/>
      <c r="U763" s="143"/>
      <c r="V763" s="143"/>
      <c r="W763" s="143"/>
      <c r="X763" s="143"/>
      <c r="Y763" s="143"/>
      <c r="Z763" s="143"/>
      <c r="AA763" s="143"/>
      <c r="AB763" s="143"/>
      <c r="AC763" s="143"/>
      <c r="AD763" s="143"/>
      <c r="AE763" s="143"/>
      <c r="AF763" s="143"/>
      <c r="AG763" s="143"/>
      <c r="AH763" s="143"/>
      <c r="AI763" s="143"/>
      <c r="AJ763" s="143"/>
    </row>
    <row r="764" spans="1:36" ht="12.75" customHeight="1" x14ac:dyDescent="0.25">
      <c r="A764" s="143"/>
      <c r="B764" s="145"/>
      <c r="C764" s="146"/>
      <c r="D764" s="114"/>
      <c r="E764" s="148"/>
      <c r="F764" s="148"/>
      <c r="G764" s="114"/>
      <c r="H764" s="149"/>
      <c r="I764" s="143"/>
      <c r="J764" s="143"/>
      <c r="K764" s="143"/>
      <c r="L764" s="143"/>
      <c r="M764" s="150"/>
      <c r="N764" s="143"/>
      <c r="O764" s="1"/>
      <c r="P764" s="151"/>
      <c r="Q764" s="143"/>
      <c r="R764" s="143"/>
      <c r="S764" s="143"/>
      <c r="T764" s="143"/>
      <c r="U764" s="143"/>
      <c r="V764" s="143"/>
      <c r="W764" s="143"/>
      <c r="X764" s="143"/>
      <c r="Y764" s="143"/>
      <c r="Z764" s="143"/>
      <c r="AA764" s="143"/>
      <c r="AB764" s="143"/>
      <c r="AC764" s="143"/>
      <c r="AD764" s="143"/>
      <c r="AE764" s="143"/>
      <c r="AF764" s="143"/>
      <c r="AG764" s="143"/>
      <c r="AH764" s="143"/>
      <c r="AI764" s="143"/>
      <c r="AJ764" s="143"/>
    </row>
    <row r="765" spans="1:36" ht="12.75" customHeight="1" x14ac:dyDescent="0.25">
      <c r="A765" s="143"/>
      <c r="B765" s="145"/>
      <c r="C765" s="146"/>
      <c r="D765" s="114"/>
      <c r="E765" s="148"/>
      <c r="F765" s="148"/>
      <c r="G765" s="114"/>
      <c r="H765" s="149"/>
      <c r="I765" s="143"/>
      <c r="J765" s="143"/>
      <c r="K765" s="143"/>
      <c r="L765" s="143"/>
      <c r="M765" s="150"/>
      <c r="N765" s="143"/>
      <c r="O765" s="1"/>
      <c r="P765" s="151"/>
      <c r="Q765" s="143"/>
      <c r="R765" s="143"/>
      <c r="S765" s="143"/>
      <c r="T765" s="143"/>
      <c r="U765" s="143"/>
      <c r="V765" s="143"/>
      <c r="W765" s="143"/>
      <c r="X765" s="143"/>
      <c r="Y765" s="143"/>
      <c r="Z765" s="143"/>
      <c r="AA765" s="143"/>
      <c r="AB765" s="143"/>
      <c r="AC765" s="143"/>
      <c r="AD765" s="143"/>
      <c r="AE765" s="143"/>
      <c r="AF765" s="143"/>
      <c r="AG765" s="143"/>
      <c r="AH765" s="143"/>
      <c r="AI765" s="143"/>
      <c r="AJ765" s="143"/>
    </row>
    <row r="766" spans="1:36" ht="12.75" customHeight="1" x14ac:dyDescent="0.25">
      <c r="A766" s="143"/>
      <c r="B766" s="145"/>
      <c r="C766" s="146"/>
      <c r="D766" s="114"/>
      <c r="E766" s="148"/>
      <c r="F766" s="148"/>
      <c r="G766" s="114"/>
      <c r="H766" s="149"/>
      <c r="I766" s="143"/>
      <c r="J766" s="143"/>
      <c r="K766" s="143"/>
      <c r="L766" s="143"/>
      <c r="M766" s="150"/>
      <c r="N766" s="143"/>
      <c r="O766" s="1"/>
      <c r="P766" s="151"/>
      <c r="Q766" s="143"/>
      <c r="R766" s="143"/>
      <c r="S766" s="143"/>
      <c r="T766" s="143"/>
      <c r="U766" s="143"/>
      <c r="V766" s="143"/>
      <c r="W766" s="143"/>
      <c r="X766" s="143"/>
      <c r="Y766" s="143"/>
      <c r="Z766" s="143"/>
      <c r="AA766" s="143"/>
      <c r="AB766" s="143"/>
      <c r="AC766" s="143"/>
      <c r="AD766" s="143"/>
      <c r="AE766" s="143"/>
      <c r="AF766" s="143"/>
      <c r="AG766" s="143"/>
      <c r="AH766" s="143"/>
      <c r="AI766" s="143"/>
      <c r="AJ766" s="143"/>
    </row>
    <row r="767" spans="1:36" ht="12.75" customHeight="1" x14ac:dyDescent="0.25">
      <c r="A767" s="143"/>
      <c r="B767" s="145"/>
      <c r="C767" s="146"/>
      <c r="D767" s="114"/>
      <c r="E767" s="148"/>
      <c r="F767" s="148"/>
      <c r="G767" s="114"/>
      <c r="H767" s="149"/>
      <c r="I767" s="143"/>
      <c r="J767" s="143"/>
      <c r="K767" s="143"/>
      <c r="L767" s="143"/>
      <c r="M767" s="150"/>
      <c r="N767" s="143"/>
      <c r="O767" s="1"/>
      <c r="P767" s="151"/>
      <c r="Q767" s="143"/>
      <c r="R767" s="143"/>
      <c r="S767" s="143"/>
      <c r="T767" s="143"/>
      <c r="U767" s="143"/>
      <c r="V767" s="143"/>
      <c r="W767" s="143"/>
      <c r="X767" s="143"/>
      <c r="Y767" s="143"/>
      <c r="Z767" s="143"/>
      <c r="AA767" s="143"/>
      <c r="AB767" s="143"/>
      <c r="AC767" s="143"/>
      <c r="AD767" s="143"/>
      <c r="AE767" s="143"/>
      <c r="AF767" s="143"/>
      <c r="AG767" s="143"/>
      <c r="AH767" s="143"/>
      <c r="AI767" s="143"/>
      <c r="AJ767" s="143"/>
    </row>
    <row r="768" spans="1:36" ht="12.75" customHeight="1" x14ac:dyDescent="0.25">
      <c r="A768" s="143"/>
      <c r="B768" s="145"/>
      <c r="C768" s="146"/>
      <c r="D768" s="114"/>
      <c r="E768" s="148"/>
      <c r="F768" s="148"/>
      <c r="G768" s="114"/>
      <c r="H768" s="149"/>
      <c r="I768" s="143"/>
      <c r="J768" s="143"/>
      <c r="K768" s="143"/>
      <c r="L768" s="143"/>
      <c r="M768" s="150"/>
      <c r="N768" s="143"/>
      <c r="O768" s="1"/>
      <c r="P768" s="151"/>
      <c r="Q768" s="143"/>
      <c r="R768" s="143"/>
      <c r="S768" s="143"/>
      <c r="T768" s="143"/>
      <c r="U768" s="143"/>
      <c r="V768" s="143"/>
      <c r="W768" s="143"/>
      <c r="X768" s="143"/>
      <c r="Y768" s="143"/>
      <c r="Z768" s="143"/>
      <c r="AA768" s="143"/>
      <c r="AB768" s="143"/>
      <c r="AC768" s="143"/>
      <c r="AD768" s="143"/>
      <c r="AE768" s="143"/>
      <c r="AF768" s="143"/>
      <c r="AG768" s="143"/>
      <c r="AH768" s="143"/>
      <c r="AI768" s="143"/>
      <c r="AJ768" s="143"/>
    </row>
    <row r="769" spans="1:36" ht="12.75" customHeight="1" x14ac:dyDescent="0.25">
      <c r="A769" s="143"/>
      <c r="B769" s="145"/>
      <c r="C769" s="146"/>
      <c r="D769" s="114"/>
      <c r="E769" s="148"/>
      <c r="F769" s="148"/>
      <c r="G769" s="114"/>
      <c r="H769" s="149"/>
      <c r="I769" s="143"/>
      <c r="J769" s="143"/>
      <c r="K769" s="143"/>
      <c r="L769" s="143"/>
      <c r="M769" s="150"/>
      <c r="N769" s="143"/>
      <c r="O769" s="1"/>
      <c r="P769" s="151"/>
      <c r="Q769" s="143"/>
      <c r="R769" s="143"/>
      <c r="S769" s="143"/>
      <c r="T769" s="143"/>
      <c r="U769" s="143"/>
      <c r="V769" s="143"/>
      <c r="W769" s="143"/>
      <c r="X769" s="143"/>
      <c r="Y769" s="143"/>
      <c r="Z769" s="143"/>
      <c r="AA769" s="143"/>
      <c r="AB769" s="143"/>
      <c r="AC769" s="143"/>
      <c r="AD769" s="143"/>
      <c r="AE769" s="143"/>
      <c r="AF769" s="143"/>
      <c r="AG769" s="143"/>
      <c r="AH769" s="143"/>
      <c r="AI769" s="143"/>
      <c r="AJ769" s="143"/>
    </row>
    <row r="770" spans="1:36" ht="12.75" customHeight="1" x14ac:dyDescent="0.25">
      <c r="A770" s="143"/>
      <c r="B770" s="145"/>
      <c r="C770" s="146"/>
      <c r="D770" s="114"/>
      <c r="E770" s="148"/>
      <c r="F770" s="148"/>
      <c r="G770" s="114"/>
      <c r="H770" s="149"/>
      <c r="I770" s="143"/>
      <c r="J770" s="143"/>
      <c r="K770" s="143"/>
      <c r="L770" s="143"/>
      <c r="M770" s="150"/>
      <c r="N770" s="143"/>
      <c r="O770" s="1"/>
      <c r="P770" s="151"/>
      <c r="Q770" s="143"/>
      <c r="R770" s="143"/>
      <c r="S770" s="143"/>
      <c r="T770" s="143"/>
      <c r="U770" s="143"/>
      <c r="V770" s="143"/>
      <c r="W770" s="143"/>
      <c r="X770" s="143"/>
      <c r="Y770" s="143"/>
      <c r="Z770" s="143"/>
      <c r="AA770" s="143"/>
      <c r="AB770" s="143"/>
      <c r="AC770" s="143"/>
      <c r="AD770" s="143"/>
      <c r="AE770" s="143"/>
      <c r="AF770" s="143"/>
      <c r="AG770" s="143"/>
      <c r="AH770" s="143"/>
      <c r="AI770" s="143"/>
      <c r="AJ770" s="143"/>
    </row>
    <row r="771" spans="1:36" ht="12.75" customHeight="1" x14ac:dyDescent="0.25">
      <c r="A771" s="143"/>
      <c r="B771" s="145"/>
      <c r="C771" s="146"/>
      <c r="D771" s="114"/>
      <c r="E771" s="148"/>
      <c r="F771" s="148"/>
      <c r="G771" s="114"/>
      <c r="H771" s="149"/>
      <c r="I771" s="143"/>
      <c r="J771" s="143"/>
      <c r="K771" s="143"/>
      <c r="L771" s="143"/>
      <c r="M771" s="150"/>
      <c r="N771" s="143"/>
      <c r="O771" s="1"/>
      <c r="P771" s="151"/>
      <c r="Q771" s="143"/>
      <c r="R771" s="143"/>
      <c r="S771" s="143"/>
      <c r="T771" s="143"/>
      <c r="U771" s="143"/>
      <c r="V771" s="143"/>
      <c r="W771" s="143"/>
      <c r="X771" s="143"/>
      <c r="Y771" s="143"/>
      <c r="Z771" s="143"/>
      <c r="AA771" s="143"/>
      <c r="AB771" s="143"/>
      <c r="AC771" s="143"/>
      <c r="AD771" s="143"/>
      <c r="AE771" s="143"/>
      <c r="AF771" s="143"/>
      <c r="AG771" s="143"/>
      <c r="AH771" s="143"/>
      <c r="AI771" s="143"/>
      <c r="AJ771" s="143"/>
    </row>
    <row r="772" spans="1:36" ht="12.75" customHeight="1" x14ac:dyDescent="0.25">
      <c r="A772" s="143"/>
      <c r="B772" s="145"/>
      <c r="C772" s="146"/>
      <c r="D772" s="114"/>
      <c r="E772" s="148"/>
      <c r="F772" s="148"/>
      <c r="G772" s="114"/>
      <c r="H772" s="149"/>
      <c r="I772" s="143"/>
      <c r="J772" s="143"/>
      <c r="K772" s="143"/>
      <c r="L772" s="143"/>
      <c r="M772" s="150"/>
      <c r="N772" s="143"/>
      <c r="O772" s="1"/>
      <c r="P772" s="151"/>
      <c r="Q772" s="143"/>
      <c r="R772" s="143"/>
      <c r="S772" s="143"/>
      <c r="T772" s="143"/>
      <c r="U772" s="143"/>
      <c r="V772" s="143"/>
      <c r="W772" s="143"/>
      <c r="X772" s="143"/>
      <c r="Y772" s="143"/>
      <c r="Z772" s="143"/>
      <c r="AA772" s="143"/>
      <c r="AB772" s="143"/>
      <c r="AC772" s="143"/>
      <c r="AD772" s="143"/>
      <c r="AE772" s="143"/>
      <c r="AF772" s="143"/>
      <c r="AG772" s="143"/>
      <c r="AH772" s="143"/>
      <c r="AI772" s="143"/>
      <c r="AJ772" s="143"/>
    </row>
    <row r="773" spans="1:36" ht="12.75" customHeight="1" x14ac:dyDescent="0.25">
      <c r="A773" s="143"/>
      <c r="B773" s="145"/>
      <c r="C773" s="146"/>
      <c r="D773" s="114"/>
      <c r="E773" s="148"/>
      <c r="F773" s="148"/>
      <c r="G773" s="114"/>
      <c r="H773" s="149"/>
      <c r="I773" s="143"/>
      <c r="J773" s="143"/>
      <c r="K773" s="143"/>
      <c r="L773" s="143"/>
      <c r="M773" s="150"/>
      <c r="N773" s="143"/>
      <c r="O773" s="1"/>
      <c r="P773" s="151"/>
      <c r="Q773" s="143"/>
      <c r="R773" s="143"/>
      <c r="S773" s="143"/>
      <c r="T773" s="143"/>
      <c r="U773" s="143"/>
      <c r="V773" s="143"/>
      <c r="W773" s="143"/>
      <c r="X773" s="143"/>
      <c r="Y773" s="143"/>
      <c r="Z773" s="143"/>
      <c r="AA773" s="143"/>
      <c r="AB773" s="143"/>
      <c r="AC773" s="143"/>
      <c r="AD773" s="143"/>
      <c r="AE773" s="143"/>
      <c r="AF773" s="143"/>
      <c r="AG773" s="143"/>
      <c r="AH773" s="143"/>
      <c r="AI773" s="143"/>
      <c r="AJ773" s="143"/>
    </row>
    <row r="774" spans="1:36" ht="12.75" customHeight="1" x14ac:dyDescent="0.25">
      <c r="A774" s="143"/>
      <c r="B774" s="145"/>
      <c r="C774" s="146"/>
      <c r="D774" s="114"/>
      <c r="E774" s="148"/>
      <c r="F774" s="148"/>
      <c r="G774" s="114"/>
      <c r="H774" s="149"/>
      <c r="I774" s="143"/>
      <c r="J774" s="143"/>
      <c r="K774" s="143"/>
      <c r="L774" s="143"/>
      <c r="M774" s="150"/>
      <c r="N774" s="143"/>
      <c r="O774" s="1"/>
      <c r="P774" s="151"/>
      <c r="Q774" s="143"/>
      <c r="R774" s="143"/>
      <c r="S774" s="143"/>
      <c r="T774" s="143"/>
      <c r="U774" s="143"/>
      <c r="V774" s="143"/>
      <c r="W774" s="143"/>
      <c r="X774" s="143"/>
      <c r="Y774" s="143"/>
      <c r="Z774" s="143"/>
      <c r="AA774" s="143"/>
      <c r="AB774" s="143"/>
      <c r="AC774" s="143"/>
      <c r="AD774" s="143"/>
      <c r="AE774" s="143"/>
      <c r="AF774" s="143"/>
      <c r="AG774" s="143"/>
      <c r="AH774" s="143"/>
      <c r="AI774" s="143"/>
      <c r="AJ774" s="143"/>
    </row>
    <row r="775" spans="1:36" ht="12.75" customHeight="1" x14ac:dyDescent="0.25">
      <c r="A775" s="143"/>
      <c r="B775" s="145"/>
      <c r="C775" s="146"/>
      <c r="D775" s="114"/>
      <c r="E775" s="148"/>
      <c r="F775" s="148"/>
      <c r="G775" s="114"/>
      <c r="H775" s="149"/>
      <c r="I775" s="143"/>
      <c r="J775" s="143"/>
      <c r="K775" s="143"/>
      <c r="L775" s="143"/>
      <c r="M775" s="150"/>
      <c r="N775" s="143"/>
      <c r="O775" s="1"/>
      <c r="P775" s="151"/>
      <c r="Q775" s="143"/>
      <c r="R775" s="143"/>
      <c r="S775" s="143"/>
      <c r="T775" s="143"/>
      <c r="U775" s="143"/>
      <c r="V775" s="143"/>
      <c r="W775" s="143"/>
      <c r="X775" s="143"/>
      <c r="Y775" s="143"/>
      <c r="Z775" s="143"/>
      <c r="AA775" s="143"/>
      <c r="AB775" s="143"/>
      <c r="AC775" s="143"/>
      <c r="AD775" s="143"/>
      <c r="AE775" s="143"/>
      <c r="AF775" s="143"/>
      <c r="AG775" s="143"/>
      <c r="AH775" s="143"/>
      <c r="AI775" s="143"/>
      <c r="AJ775" s="143"/>
    </row>
    <row r="776" spans="1:36" ht="12.75" customHeight="1" x14ac:dyDescent="0.25">
      <c r="A776" s="143"/>
      <c r="B776" s="145"/>
      <c r="C776" s="146"/>
      <c r="D776" s="114"/>
      <c r="E776" s="148"/>
      <c r="F776" s="148"/>
      <c r="G776" s="114"/>
      <c r="H776" s="149"/>
      <c r="I776" s="143"/>
      <c r="J776" s="143"/>
      <c r="K776" s="143"/>
      <c r="L776" s="143"/>
      <c r="M776" s="150"/>
      <c r="N776" s="143"/>
      <c r="O776" s="1"/>
      <c r="P776" s="151"/>
      <c r="Q776" s="143"/>
      <c r="R776" s="143"/>
      <c r="S776" s="143"/>
      <c r="T776" s="143"/>
      <c r="U776" s="143"/>
      <c r="V776" s="143"/>
      <c r="W776" s="143"/>
      <c r="X776" s="143"/>
      <c r="Y776" s="143"/>
      <c r="Z776" s="143"/>
      <c r="AA776" s="143"/>
      <c r="AB776" s="143"/>
      <c r="AC776" s="143"/>
      <c r="AD776" s="143"/>
      <c r="AE776" s="143"/>
      <c r="AF776" s="143"/>
      <c r="AG776" s="143"/>
      <c r="AH776" s="143"/>
      <c r="AI776" s="143"/>
      <c r="AJ776" s="143"/>
    </row>
    <row r="777" spans="1:36" ht="12.75" customHeight="1" x14ac:dyDescent="0.25">
      <c r="A777" s="143"/>
      <c r="B777" s="145"/>
      <c r="C777" s="146"/>
      <c r="D777" s="114"/>
      <c r="E777" s="148"/>
      <c r="F777" s="148"/>
      <c r="G777" s="114"/>
      <c r="H777" s="149"/>
      <c r="I777" s="143"/>
      <c r="J777" s="143"/>
      <c r="K777" s="143"/>
      <c r="L777" s="143"/>
      <c r="M777" s="150"/>
      <c r="N777" s="143"/>
      <c r="O777" s="1"/>
      <c r="P777" s="151"/>
      <c r="Q777" s="143"/>
      <c r="R777" s="143"/>
      <c r="S777" s="143"/>
      <c r="T777" s="143"/>
      <c r="U777" s="143"/>
      <c r="V777" s="143"/>
      <c r="W777" s="143"/>
      <c r="X777" s="143"/>
      <c r="Y777" s="143"/>
      <c r="Z777" s="143"/>
      <c r="AA777" s="143"/>
      <c r="AB777" s="143"/>
      <c r="AC777" s="143"/>
      <c r="AD777" s="143"/>
      <c r="AE777" s="143"/>
      <c r="AF777" s="143"/>
      <c r="AG777" s="143"/>
      <c r="AH777" s="143"/>
      <c r="AI777" s="143"/>
      <c r="AJ777" s="143"/>
    </row>
    <row r="778" spans="1:36" ht="12.75" customHeight="1" x14ac:dyDescent="0.25">
      <c r="A778" s="143"/>
      <c r="B778" s="145"/>
      <c r="C778" s="146"/>
      <c r="D778" s="114"/>
      <c r="E778" s="148"/>
      <c r="F778" s="148"/>
      <c r="G778" s="114"/>
      <c r="H778" s="149"/>
      <c r="I778" s="143"/>
      <c r="J778" s="143"/>
      <c r="K778" s="143"/>
      <c r="L778" s="143"/>
      <c r="M778" s="150"/>
      <c r="N778" s="143"/>
      <c r="O778" s="1"/>
      <c r="P778" s="151"/>
      <c r="Q778" s="143"/>
      <c r="R778" s="143"/>
      <c r="S778" s="143"/>
      <c r="T778" s="143"/>
      <c r="U778" s="143"/>
      <c r="V778" s="143"/>
      <c r="W778" s="143"/>
      <c r="X778" s="143"/>
      <c r="Y778" s="143"/>
      <c r="Z778" s="143"/>
      <c r="AA778" s="143"/>
      <c r="AB778" s="143"/>
      <c r="AC778" s="143"/>
      <c r="AD778" s="143"/>
      <c r="AE778" s="143"/>
      <c r="AF778" s="143"/>
      <c r="AG778" s="143"/>
      <c r="AH778" s="143"/>
      <c r="AI778" s="143"/>
      <c r="AJ778" s="143"/>
    </row>
    <row r="779" spans="1:36" ht="12.75" customHeight="1" x14ac:dyDescent="0.25">
      <c r="A779" s="143"/>
      <c r="B779" s="145"/>
      <c r="C779" s="146"/>
      <c r="D779" s="114"/>
      <c r="E779" s="148"/>
      <c r="F779" s="148"/>
      <c r="G779" s="114"/>
      <c r="H779" s="149"/>
      <c r="I779" s="143"/>
      <c r="J779" s="143"/>
      <c r="K779" s="143"/>
      <c r="L779" s="143"/>
      <c r="M779" s="150"/>
      <c r="N779" s="143"/>
      <c r="O779" s="1"/>
      <c r="P779" s="151"/>
      <c r="Q779" s="143"/>
      <c r="R779" s="143"/>
      <c r="S779" s="143"/>
      <c r="T779" s="143"/>
      <c r="U779" s="143"/>
      <c r="V779" s="143"/>
      <c r="W779" s="143"/>
      <c r="X779" s="143"/>
      <c r="Y779" s="143"/>
      <c r="Z779" s="143"/>
      <c r="AA779" s="143"/>
      <c r="AB779" s="143"/>
      <c r="AC779" s="143"/>
      <c r="AD779" s="143"/>
      <c r="AE779" s="143"/>
      <c r="AF779" s="143"/>
      <c r="AG779" s="143"/>
      <c r="AH779" s="143"/>
      <c r="AI779" s="143"/>
      <c r="AJ779" s="143"/>
    </row>
    <row r="780" spans="1:36" ht="12.75" customHeight="1" x14ac:dyDescent="0.25">
      <c r="A780" s="143"/>
      <c r="B780" s="145"/>
      <c r="C780" s="146"/>
      <c r="D780" s="114"/>
      <c r="E780" s="148"/>
      <c r="F780" s="148"/>
      <c r="G780" s="114"/>
      <c r="H780" s="149"/>
      <c r="I780" s="143"/>
      <c r="J780" s="143"/>
      <c r="K780" s="143"/>
      <c r="L780" s="143"/>
      <c r="M780" s="150"/>
      <c r="N780" s="143"/>
      <c r="O780" s="1"/>
      <c r="P780" s="151"/>
      <c r="Q780" s="143"/>
      <c r="R780" s="143"/>
      <c r="S780" s="143"/>
      <c r="T780" s="143"/>
      <c r="U780" s="143"/>
      <c r="V780" s="143"/>
      <c r="W780" s="143"/>
      <c r="X780" s="143"/>
      <c r="Y780" s="143"/>
      <c r="Z780" s="143"/>
      <c r="AA780" s="143"/>
      <c r="AB780" s="143"/>
      <c r="AC780" s="143"/>
      <c r="AD780" s="143"/>
      <c r="AE780" s="143"/>
      <c r="AF780" s="143"/>
      <c r="AG780" s="143"/>
      <c r="AH780" s="143"/>
      <c r="AI780" s="143"/>
      <c r="AJ780" s="143"/>
    </row>
    <row r="781" spans="1:36" ht="12.75" customHeight="1" x14ac:dyDescent="0.25">
      <c r="A781" s="143"/>
      <c r="B781" s="145"/>
      <c r="C781" s="146"/>
      <c r="D781" s="114"/>
      <c r="E781" s="148"/>
      <c r="F781" s="148"/>
      <c r="G781" s="114"/>
      <c r="H781" s="149"/>
      <c r="I781" s="143"/>
      <c r="J781" s="143"/>
      <c r="K781" s="143"/>
      <c r="L781" s="143"/>
      <c r="M781" s="150"/>
      <c r="N781" s="143"/>
      <c r="O781" s="1"/>
      <c r="P781" s="151"/>
      <c r="Q781" s="143"/>
      <c r="R781" s="143"/>
      <c r="S781" s="143"/>
      <c r="T781" s="143"/>
      <c r="U781" s="143"/>
      <c r="V781" s="143"/>
      <c r="W781" s="143"/>
      <c r="X781" s="143"/>
      <c r="Y781" s="143"/>
      <c r="Z781" s="143"/>
      <c r="AA781" s="143"/>
      <c r="AB781" s="143"/>
      <c r="AC781" s="143"/>
      <c r="AD781" s="143"/>
      <c r="AE781" s="143"/>
      <c r="AF781" s="143"/>
      <c r="AG781" s="143"/>
      <c r="AH781" s="143"/>
      <c r="AI781" s="143"/>
      <c r="AJ781" s="143"/>
    </row>
    <row r="782" spans="1:36" ht="12.75" customHeight="1" x14ac:dyDescent="0.25">
      <c r="A782" s="143"/>
      <c r="B782" s="145"/>
      <c r="C782" s="146"/>
      <c r="D782" s="114"/>
      <c r="E782" s="148"/>
      <c r="F782" s="148"/>
      <c r="G782" s="114"/>
      <c r="H782" s="149"/>
      <c r="I782" s="143"/>
      <c r="J782" s="143"/>
      <c r="K782" s="143"/>
      <c r="L782" s="143"/>
      <c r="M782" s="150"/>
      <c r="N782" s="143"/>
      <c r="O782" s="1"/>
      <c r="P782" s="151"/>
      <c r="Q782" s="143"/>
      <c r="R782" s="143"/>
      <c r="S782" s="143"/>
      <c r="T782" s="143"/>
      <c r="U782" s="143"/>
      <c r="V782" s="143"/>
      <c r="W782" s="143"/>
      <c r="X782" s="143"/>
      <c r="Y782" s="143"/>
      <c r="Z782" s="143"/>
      <c r="AA782" s="143"/>
      <c r="AB782" s="143"/>
      <c r="AC782" s="143"/>
      <c r="AD782" s="143"/>
      <c r="AE782" s="143"/>
      <c r="AF782" s="143"/>
      <c r="AG782" s="143"/>
      <c r="AH782" s="143"/>
      <c r="AI782" s="143"/>
      <c r="AJ782" s="143"/>
    </row>
    <row r="783" spans="1:36" ht="12.75" customHeight="1" x14ac:dyDescent="0.25">
      <c r="A783" s="143"/>
      <c r="B783" s="145"/>
      <c r="C783" s="146"/>
      <c r="D783" s="114"/>
      <c r="E783" s="148"/>
      <c r="F783" s="148"/>
      <c r="G783" s="114"/>
      <c r="H783" s="149"/>
      <c r="I783" s="143"/>
      <c r="J783" s="143"/>
      <c r="K783" s="143"/>
      <c r="L783" s="143"/>
      <c r="M783" s="150"/>
      <c r="N783" s="143"/>
      <c r="O783" s="1"/>
      <c r="P783" s="151"/>
      <c r="Q783" s="143"/>
      <c r="R783" s="143"/>
      <c r="S783" s="143"/>
      <c r="T783" s="143"/>
      <c r="U783" s="143"/>
      <c r="V783" s="143"/>
      <c r="W783" s="143"/>
      <c r="X783" s="143"/>
      <c r="Y783" s="143"/>
      <c r="Z783" s="143"/>
      <c r="AA783" s="143"/>
      <c r="AB783" s="143"/>
      <c r="AC783" s="143"/>
      <c r="AD783" s="143"/>
      <c r="AE783" s="143"/>
      <c r="AF783" s="143"/>
      <c r="AG783" s="143"/>
      <c r="AH783" s="143"/>
      <c r="AI783" s="143"/>
      <c r="AJ783" s="143"/>
    </row>
    <row r="784" spans="1:36" ht="12.75" customHeight="1" x14ac:dyDescent="0.25">
      <c r="A784" s="143"/>
      <c r="B784" s="145"/>
      <c r="C784" s="146"/>
      <c r="D784" s="114"/>
      <c r="E784" s="148"/>
      <c r="F784" s="148"/>
      <c r="G784" s="114"/>
      <c r="H784" s="149"/>
      <c r="I784" s="143"/>
      <c r="J784" s="143"/>
      <c r="K784" s="143"/>
      <c r="L784" s="143"/>
      <c r="M784" s="150"/>
      <c r="N784" s="143"/>
      <c r="O784" s="1"/>
      <c r="P784" s="151"/>
      <c r="Q784" s="143"/>
      <c r="R784" s="143"/>
      <c r="S784" s="143"/>
      <c r="T784" s="143"/>
      <c r="U784" s="143"/>
      <c r="V784" s="143"/>
      <c r="W784" s="143"/>
      <c r="X784" s="143"/>
      <c r="Y784" s="143"/>
      <c r="Z784" s="143"/>
      <c r="AA784" s="143"/>
      <c r="AB784" s="143"/>
      <c r="AC784" s="143"/>
      <c r="AD784" s="143"/>
      <c r="AE784" s="143"/>
      <c r="AF784" s="143"/>
      <c r="AG784" s="143"/>
      <c r="AH784" s="143"/>
      <c r="AI784" s="143"/>
      <c r="AJ784" s="143"/>
    </row>
    <row r="785" spans="1:36" ht="12.75" customHeight="1" x14ac:dyDescent="0.25">
      <c r="A785" s="143"/>
      <c r="B785" s="145"/>
      <c r="C785" s="146"/>
      <c r="D785" s="114"/>
      <c r="E785" s="148"/>
      <c r="F785" s="148"/>
      <c r="G785" s="114"/>
      <c r="H785" s="149"/>
      <c r="I785" s="143"/>
      <c r="J785" s="143"/>
      <c r="K785" s="143"/>
      <c r="L785" s="143"/>
      <c r="M785" s="150"/>
      <c r="N785" s="143"/>
      <c r="O785" s="1"/>
      <c r="P785" s="151"/>
      <c r="Q785" s="143"/>
      <c r="R785" s="143"/>
      <c r="S785" s="143"/>
      <c r="T785" s="143"/>
      <c r="U785" s="143"/>
      <c r="V785" s="143"/>
      <c r="W785" s="143"/>
      <c r="X785" s="143"/>
      <c r="Y785" s="143"/>
      <c r="Z785" s="143"/>
      <c r="AA785" s="143"/>
      <c r="AB785" s="143"/>
      <c r="AC785" s="143"/>
      <c r="AD785" s="143"/>
      <c r="AE785" s="143"/>
      <c r="AF785" s="143"/>
      <c r="AG785" s="143"/>
      <c r="AH785" s="143"/>
      <c r="AI785" s="143"/>
      <c r="AJ785" s="143"/>
    </row>
    <row r="786" spans="1:36" ht="12.75" customHeight="1" x14ac:dyDescent="0.25">
      <c r="A786" s="143"/>
      <c r="B786" s="145"/>
      <c r="C786" s="146"/>
      <c r="D786" s="114"/>
      <c r="E786" s="148"/>
      <c r="F786" s="148"/>
      <c r="G786" s="114"/>
      <c r="H786" s="149"/>
      <c r="I786" s="143"/>
      <c r="J786" s="143"/>
      <c r="K786" s="143"/>
      <c r="L786" s="143"/>
      <c r="M786" s="150"/>
      <c r="N786" s="143"/>
      <c r="O786" s="1"/>
      <c r="P786" s="151"/>
      <c r="Q786" s="143"/>
      <c r="R786" s="143"/>
      <c r="S786" s="143"/>
      <c r="T786" s="143"/>
      <c r="U786" s="143"/>
      <c r="V786" s="143"/>
      <c r="W786" s="143"/>
      <c r="X786" s="143"/>
      <c r="Y786" s="143"/>
      <c r="Z786" s="143"/>
      <c r="AA786" s="143"/>
      <c r="AB786" s="143"/>
      <c r="AC786" s="143"/>
      <c r="AD786" s="143"/>
      <c r="AE786" s="143"/>
      <c r="AF786" s="143"/>
      <c r="AG786" s="143"/>
      <c r="AH786" s="143"/>
      <c r="AI786" s="143"/>
      <c r="AJ786" s="143"/>
    </row>
    <row r="787" spans="1:36" ht="12.75" customHeight="1" x14ac:dyDescent="0.25">
      <c r="A787" s="143"/>
      <c r="B787" s="145"/>
      <c r="C787" s="146"/>
      <c r="D787" s="114"/>
      <c r="E787" s="148"/>
      <c r="F787" s="148"/>
      <c r="G787" s="114"/>
      <c r="H787" s="149"/>
      <c r="I787" s="143"/>
      <c r="J787" s="143"/>
      <c r="K787" s="143"/>
      <c r="L787" s="143"/>
      <c r="M787" s="150"/>
      <c r="N787" s="143"/>
      <c r="O787" s="1"/>
      <c r="P787" s="151"/>
      <c r="Q787" s="143"/>
      <c r="R787" s="143"/>
      <c r="S787" s="143"/>
      <c r="T787" s="143"/>
      <c r="U787" s="143"/>
      <c r="V787" s="143"/>
      <c r="W787" s="143"/>
      <c r="X787" s="143"/>
      <c r="Y787" s="143"/>
      <c r="Z787" s="143"/>
      <c r="AA787" s="143"/>
      <c r="AB787" s="143"/>
      <c r="AC787" s="143"/>
      <c r="AD787" s="143"/>
      <c r="AE787" s="143"/>
      <c r="AF787" s="143"/>
      <c r="AG787" s="143"/>
      <c r="AH787" s="143"/>
      <c r="AI787" s="143"/>
      <c r="AJ787" s="143"/>
    </row>
    <row r="788" spans="1:36" ht="12.75" customHeight="1" x14ac:dyDescent="0.25">
      <c r="A788" s="143"/>
      <c r="B788" s="145"/>
      <c r="C788" s="146"/>
      <c r="D788" s="114"/>
      <c r="E788" s="148"/>
      <c r="F788" s="148"/>
      <c r="G788" s="114"/>
      <c r="H788" s="149"/>
      <c r="I788" s="143"/>
      <c r="J788" s="143"/>
      <c r="K788" s="143"/>
      <c r="L788" s="143"/>
      <c r="M788" s="150"/>
      <c r="N788" s="143"/>
      <c r="O788" s="1"/>
      <c r="P788" s="151"/>
      <c r="Q788" s="143"/>
      <c r="R788" s="143"/>
      <c r="S788" s="143"/>
      <c r="T788" s="143"/>
      <c r="U788" s="143"/>
      <c r="V788" s="143"/>
      <c r="W788" s="143"/>
      <c r="X788" s="143"/>
      <c r="Y788" s="143"/>
      <c r="Z788" s="143"/>
      <c r="AA788" s="143"/>
      <c r="AB788" s="143"/>
      <c r="AC788" s="143"/>
      <c r="AD788" s="143"/>
      <c r="AE788" s="143"/>
      <c r="AF788" s="143"/>
      <c r="AG788" s="143"/>
      <c r="AH788" s="143"/>
      <c r="AI788" s="143"/>
      <c r="AJ788" s="143"/>
    </row>
    <row r="789" spans="1:36" ht="12.75" customHeight="1" x14ac:dyDescent="0.25">
      <c r="A789" s="143"/>
      <c r="B789" s="145"/>
      <c r="C789" s="146"/>
      <c r="D789" s="114"/>
      <c r="E789" s="148"/>
      <c r="F789" s="148"/>
      <c r="G789" s="114"/>
      <c r="H789" s="149"/>
      <c r="I789" s="143"/>
      <c r="J789" s="143"/>
      <c r="K789" s="143"/>
      <c r="L789" s="143"/>
      <c r="M789" s="150"/>
      <c r="N789" s="143"/>
      <c r="O789" s="1"/>
      <c r="P789" s="151"/>
      <c r="Q789" s="143"/>
      <c r="R789" s="143"/>
      <c r="S789" s="143"/>
      <c r="T789" s="143"/>
      <c r="U789" s="143"/>
      <c r="V789" s="143"/>
      <c r="W789" s="143"/>
      <c r="X789" s="143"/>
      <c r="Y789" s="143"/>
      <c r="Z789" s="143"/>
      <c r="AA789" s="143"/>
      <c r="AB789" s="143"/>
      <c r="AC789" s="143"/>
      <c r="AD789" s="143"/>
      <c r="AE789" s="143"/>
      <c r="AF789" s="143"/>
      <c r="AG789" s="143"/>
      <c r="AH789" s="143"/>
      <c r="AI789" s="143"/>
      <c r="AJ789" s="143"/>
    </row>
    <row r="790" spans="1:36" ht="12.75" customHeight="1" x14ac:dyDescent="0.25">
      <c r="A790" s="143"/>
      <c r="B790" s="145"/>
      <c r="C790" s="146"/>
      <c r="D790" s="114"/>
      <c r="E790" s="148"/>
      <c r="F790" s="148"/>
      <c r="G790" s="114"/>
      <c r="H790" s="149"/>
      <c r="I790" s="143"/>
      <c r="J790" s="143"/>
      <c r="K790" s="143"/>
      <c r="L790" s="143"/>
      <c r="M790" s="150"/>
      <c r="N790" s="143"/>
      <c r="O790" s="1"/>
      <c r="P790" s="151"/>
      <c r="Q790" s="143"/>
      <c r="R790" s="143"/>
      <c r="S790" s="143"/>
      <c r="T790" s="143"/>
      <c r="U790" s="143"/>
      <c r="V790" s="143"/>
      <c r="W790" s="143"/>
      <c r="X790" s="143"/>
      <c r="Y790" s="143"/>
      <c r="Z790" s="143"/>
      <c r="AA790" s="143"/>
      <c r="AB790" s="143"/>
      <c r="AC790" s="143"/>
      <c r="AD790" s="143"/>
      <c r="AE790" s="143"/>
      <c r="AF790" s="143"/>
      <c r="AG790" s="143"/>
      <c r="AH790" s="143"/>
      <c r="AI790" s="143"/>
      <c r="AJ790" s="143"/>
    </row>
    <row r="791" spans="1:36" ht="12.75" customHeight="1" x14ac:dyDescent="0.25">
      <c r="A791" s="143"/>
      <c r="B791" s="145"/>
      <c r="C791" s="146"/>
      <c r="D791" s="114"/>
      <c r="E791" s="148"/>
      <c r="F791" s="148"/>
      <c r="G791" s="114"/>
      <c r="H791" s="149"/>
      <c r="I791" s="143"/>
      <c r="J791" s="143"/>
      <c r="K791" s="143"/>
      <c r="L791" s="143"/>
      <c r="M791" s="150"/>
      <c r="N791" s="143"/>
      <c r="O791" s="1"/>
      <c r="P791" s="151"/>
      <c r="Q791" s="143"/>
      <c r="R791" s="143"/>
      <c r="S791" s="143"/>
      <c r="T791" s="143"/>
      <c r="U791" s="143"/>
      <c r="V791" s="143"/>
      <c r="W791" s="143"/>
      <c r="X791" s="143"/>
      <c r="Y791" s="143"/>
      <c r="Z791" s="143"/>
      <c r="AA791" s="143"/>
      <c r="AB791" s="143"/>
      <c r="AC791" s="143"/>
      <c r="AD791" s="143"/>
      <c r="AE791" s="143"/>
      <c r="AF791" s="143"/>
      <c r="AG791" s="143"/>
      <c r="AH791" s="143"/>
      <c r="AI791" s="143"/>
      <c r="AJ791" s="143"/>
    </row>
    <row r="792" spans="1:36" ht="12.75" customHeight="1" x14ac:dyDescent="0.25">
      <c r="A792" s="143"/>
      <c r="B792" s="145"/>
      <c r="C792" s="146"/>
      <c r="D792" s="114"/>
      <c r="E792" s="148"/>
      <c r="F792" s="148"/>
      <c r="G792" s="114"/>
      <c r="H792" s="149"/>
      <c r="I792" s="143"/>
      <c r="J792" s="143"/>
      <c r="K792" s="143"/>
      <c r="L792" s="143"/>
      <c r="M792" s="150"/>
      <c r="N792" s="143"/>
      <c r="O792" s="1"/>
      <c r="P792" s="151"/>
      <c r="Q792" s="143"/>
      <c r="R792" s="143"/>
      <c r="S792" s="143"/>
      <c r="T792" s="143"/>
      <c r="U792" s="143"/>
      <c r="V792" s="143"/>
      <c r="W792" s="143"/>
      <c r="X792" s="143"/>
      <c r="Y792" s="143"/>
      <c r="Z792" s="143"/>
      <c r="AA792" s="143"/>
      <c r="AB792" s="143"/>
      <c r="AC792" s="143"/>
      <c r="AD792" s="143"/>
      <c r="AE792" s="143"/>
      <c r="AF792" s="143"/>
      <c r="AG792" s="143"/>
      <c r="AH792" s="143"/>
      <c r="AI792" s="143"/>
      <c r="AJ792" s="143"/>
    </row>
    <row r="793" spans="1:36" ht="12.75" customHeight="1" x14ac:dyDescent="0.25">
      <c r="A793" s="143"/>
      <c r="B793" s="145"/>
      <c r="C793" s="146"/>
      <c r="D793" s="114"/>
      <c r="E793" s="148"/>
      <c r="F793" s="148"/>
      <c r="G793" s="114"/>
      <c r="H793" s="149"/>
      <c r="I793" s="143"/>
      <c r="J793" s="143"/>
      <c r="K793" s="143"/>
      <c r="L793" s="143"/>
      <c r="M793" s="150"/>
      <c r="N793" s="143"/>
      <c r="O793" s="1"/>
      <c r="P793" s="151"/>
      <c r="Q793" s="143"/>
      <c r="R793" s="143"/>
      <c r="S793" s="143"/>
      <c r="T793" s="143"/>
      <c r="U793" s="143"/>
      <c r="V793" s="143"/>
      <c r="W793" s="143"/>
      <c r="X793" s="143"/>
      <c r="Y793" s="143"/>
      <c r="Z793" s="143"/>
      <c r="AA793" s="143"/>
      <c r="AB793" s="143"/>
      <c r="AC793" s="143"/>
      <c r="AD793" s="143"/>
      <c r="AE793" s="143"/>
      <c r="AF793" s="143"/>
      <c r="AG793" s="143"/>
      <c r="AH793" s="143"/>
      <c r="AI793" s="143"/>
      <c r="AJ793" s="143"/>
    </row>
    <row r="794" spans="1:36" ht="12.75" customHeight="1" x14ac:dyDescent="0.25">
      <c r="A794" s="143"/>
      <c r="B794" s="145"/>
      <c r="C794" s="146"/>
      <c r="D794" s="114"/>
      <c r="E794" s="148"/>
      <c r="F794" s="148"/>
      <c r="G794" s="114"/>
      <c r="H794" s="149"/>
      <c r="I794" s="143"/>
      <c r="J794" s="143"/>
      <c r="K794" s="143"/>
      <c r="L794" s="143"/>
      <c r="M794" s="150"/>
      <c r="N794" s="143"/>
      <c r="O794" s="1"/>
      <c r="P794" s="151"/>
      <c r="Q794" s="143"/>
      <c r="R794" s="143"/>
      <c r="S794" s="143"/>
      <c r="T794" s="143"/>
      <c r="U794" s="143"/>
      <c r="V794" s="143"/>
      <c r="W794" s="143"/>
      <c r="X794" s="143"/>
      <c r="Y794" s="143"/>
      <c r="Z794" s="143"/>
      <c r="AA794" s="143"/>
      <c r="AB794" s="143"/>
      <c r="AC794" s="143"/>
      <c r="AD794" s="143"/>
      <c r="AE794" s="143"/>
      <c r="AF794" s="143"/>
      <c r="AG794" s="143"/>
      <c r="AH794" s="143"/>
      <c r="AI794" s="143"/>
      <c r="AJ794" s="143"/>
    </row>
    <row r="795" spans="1:36" ht="12.75" customHeight="1" x14ac:dyDescent="0.25">
      <c r="A795" s="143"/>
      <c r="B795" s="145"/>
      <c r="C795" s="146"/>
      <c r="D795" s="114"/>
      <c r="E795" s="148"/>
      <c r="F795" s="148"/>
      <c r="G795" s="114"/>
      <c r="H795" s="149"/>
      <c r="I795" s="143"/>
      <c r="J795" s="143"/>
      <c r="K795" s="143"/>
      <c r="L795" s="143"/>
      <c r="M795" s="150"/>
      <c r="N795" s="143"/>
      <c r="O795" s="1"/>
      <c r="P795" s="151"/>
      <c r="Q795" s="143"/>
      <c r="R795" s="143"/>
      <c r="S795" s="143"/>
      <c r="T795" s="143"/>
      <c r="U795" s="143"/>
      <c r="V795" s="143"/>
      <c r="W795" s="143"/>
      <c r="X795" s="143"/>
      <c r="Y795" s="143"/>
      <c r="Z795" s="143"/>
      <c r="AA795" s="143"/>
      <c r="AB795" s="143"/>
      <c r="AC795" s="143"/>
      <c r="AD795" s="143"/>
      <c r="AE795" s="143"/>
      <c r="AF795" s="143"/>
      <c r="AG795" s="143"/>
      <c r="AH795" s="143"/>
      <c r="AI795" s="143"/>
      <c r="AJ795" s="143"/>
    </row>
    <row r="796" spans="1:36" ht="12.75" customHeight="1" x14ac:dyDescent="0.25">
      <c r="A796" s="143"/>
      <c r="B796" s="145"/>
      <c r="C796" s="146"/>
      <c r="D796" s="114"/>
      <c r="E796" s="148"/>
      <c r="F796" s="148"/>
      <c r="G796" s="114"/>
      <c r="H796" s="149"/>
      <c r="I796" s="143"/>
      <c r="J796" s="143"/>
      <c r="K796" s="143"/>
      <c r="L796" s="143"/>
      <c r="M796" s="150"/>
      <c r="N796" s="143"/>
      <c r="O796" s="1"/>
      <c r="P796" s="151"/>
      <c r="Q796" s="143"/>
      <c r="R796" s="143"/>
      <c r="S796" s="143"/>
      <c r="T796" s="143"/>
      <c r="U796" s="143"/>
      <c r="V796" s="143"/>
      <c r="W796" s="143"/>
      <c r="X796" s="143"/>
      <c r="Y796" s="143"/>
      <c r="Z796" s="143"/>
      <c r="AA796" s="143"/>
      <c r="AB796" s="143"/>
      <c r="AC796" s="143"/>
      <c r="AD796" s="143"/>
      <c r="AE796" s="143"/>
      <c r="AF796" s="143"/>
      <c r="AG796" s="143"/>
      <c r="AH796" s="143"/>
      <c r="AI796" s="143"/>
      <c r="AJ796" s="143"/>
    </row>
    <row r="797" spans="1:36" ht="12.75" customHeight="1" x14ac:dyDescent="0.25">
      <c r="A797" s="143"/>
      <c r="B797" s="145"/>
      <c r="C797" s="146"/>
      <c r="D797" s="114"/>
      <c r="E797" s="148"/>
      <c r="F797" s="148"/>
      <c r="G797" s="114"/>
      <c r="H797" s="149"/>
      <c r="I797" s="143"/>
      <c r="J797" s="143"/>
      <c r="K797" s="143"/>
      <c r="L797" s="143"/>
      <c r="M797" s="150"/>
      <c r="N797" s="143"/>
      <c r="O797" s="1"/>
      <c r="P797" s="151"/>
      <c r="Q797" s="143"/>
      <c r="R797" s="143"/>
      <c r="S797" s="143"/>
      <c r="T797" s="143"/>
      <c r="U797" s="143"/>
      <c r="V797" s="143"/>
      <c r="W797" s="143"/>
      <c r="X797" s="143"/>
      <c r="Y797" s="143"/>
      <c r="Z797" s="143"/>
      <c r="AA797" s="143"/>
      <c r="AB797" s="143"/>
      <c r="AC797" s="143"/>
      <c r="AD797" s="143"/>
      <c r="AE797" s="143"/>
      <c r="AF797" s="143"/>
      <c r="AG797" s="143"/>
      <c r="AH797" s="143"/>
      <c r="AI797" s="143"/>
      <c r="AJ797" s="143"/>
    </row>
    <row r="798" spans="1:36" ht="12.75" customHeight="1" x14ac:dyDescent="0.25">
      <c r="A798" s="143"/>
      <c r="B798" s="145"/>
      <c r="C798" s="146"/>
      <c r="D798" s="114"/>
      <c r="E798" s="148"/>
      <c r="F798" s="148"/>
      <c r="G798" s="114"/>
      <c r="H798" s="149"/>
      <c r="I798" s="143"/>
      <c r="J798" s="143"/>
      <c r="K798" s="143"/>
      <c r="L798" s="143"/>
      <c r="M798" s="150"/>
      <c r="N798" s="143"/>
      <c r="O798" s="1"/>
      <c r="P798" s="151"/>
      <c r="Q798" s="143"/>
      <c r="R798" s="143"/>
      <c r="S798" s="143"/>
      <c r="T798" s="143"/>
      <c r="U798" s="143"/>
      <c r="V798" s="143"/>
      <c r="W798" s="143"/>
      <c r="X798" s="143"/>
      <c r="Y798" s="143"/>
      <c r="Z798" s="143"/>
      <c r="AA798" s="143"/>
      <c r="AB798" s="143"/>
      <c r="AC798" s="143"/>
      <c r="AD798" s="143"/>
      <c r="AE798" s="143"/>
      <c r="AF798" s="143"/>
      <c r="AG798" s="143"/>
      <c r="AH798" s="143"/>
      <c r="AI798" s="143"/>
      <c r="AJ798" s="143"/>
    </row>
    <row r="799" spans="1:36" ht="12.75" customHeight="1" x14ac:dyDescent="0.25">
      <c r="A799" s="143"/>
      <c r="B799" s="145"/>
      <c r="C799" s="146"/>
      <c r="D799" s="114"/>
      <c r="E799" s="148"/>
      <c r="F799" s="148"/>
      <c r="G799" s="114"/>
      <c r="H799" s="149"/>
      <c r="I799" s="143"/>
      <c r="J799" s="143"/>
      <c r="K799" s="143"/>
      <c r="L799" s="143"/>
      <c r="M799" s="150"/>
      <c r="N799" s="143"/>
      <c r="O799" s="1"/>
      <c r="P799" s="151"/>
      <c r="Q799" s="143"/>
      <c r="R799" s="143"/>
      <c r="S799" s="143"/>
      <c r="T799" s="143"/>
      <c r="U799" s="143"/>
      <c r="V799" s="143"/>
      <c r="W799" s="143"/>
      <c r="X799" s="143"/>
      <c r="Y799" s="143"/>
      <c r="Z799" s="143"/>
      <c r="AA799" s="143"/>
      <c r="AB799" s="143"/>
      <c r="AC799" s="143"/>
      <c r="AD799" s="143"/>
      <c r="AE799" s="143"/>
      <c r="AF799" s="143"/>
      <c r="AG799" s="143"/>
      <c r="AH799" s="143"/>
      <c r="AI799" s="143"/>
      <c r="AJ799" s="143"/>
    </row>
    <row r="800" spans="1:36" ht="12.75" customHeight="1" x14ac:dyDescent="0.25">
      <c r="A800" s="143"/>
      <c r="B800" s="145"/>
      <c r="C800" s="146"/>
      <c r="D800" s="114"/>
      <c r="E800" s="148"/>
      <c r="F800" s="148"/>
      <c r="G800" s="114"/>
      <c r="H800" s="149"/>
      <c r="I800" s="143"/>
      <c r="J800" s="143"/>
      <c r="K800" s="143"/>
      <c r="L800" s="143"/>
      <c r="M800" s="150"/>
      <c r="N800" s="143"/>
      <c r="O800" s="1"/>
      <c r="P800" s="151"/>
      <c r="Q800" s="143"/>
      <c r="R800" s="143"/>
      <c r="S800" s="143"/>
      <c r="T800" s="143"/>
      <c r="U800" s="143"/>
      <c r="V800" s="143"/>
      <c r="W800" s="143"/>
      <c r="X800" s="143"/>
      <c r="Y800" s="143"/>
      <c r="Z800" s="143"/>
      <c r="AA800" s="143"/>
      <c r="AB800" s="143"/>
      <c r="AC800" s="143"/>
      <c r="AD800" s="143"/>
      <c r="AE800" s="143"/>
      <c r="AF800" s="143"/>
      <c r="AG800" s="143"/>
      <c r="AH800" s="143"/>
      <c r="AI800" s="143"/>
      <c r="AJ800" s="143"/>
    </row>
    <row r="801" spans="1:36" ht="12.75" customHeight="1" x14ac:dyDescent="0.25">
      <c r="A801" s="143"/>
      <c r="B801" s="145"/>
      <c r="C801" s="146"/>
      <c r="D801" s="114"/>
      <c r="E801" s="148"/>
      <c r="F801" s="148"/>
      <c r="G801" s="114"/>
      <c r="H801" s="149"/>
      <c r="I801" s="143"/>
      <c r="J801" s="143"/>
      <c r="K801" s="143"/>
      <c r="L801" s="143"/>
      <c r="M801" s="150"/>
      <c r="N801" s="143"/>
      <c r="O801" s="1"/>
      <c r="P801" s="151"/>
      <c r="Q801" s="143"/>
      <c r="R801" s="143"/>
      <c r="S801" s="143"/>
      <c r="T801" s="143"/>
      <c r="U801" s="143"/>
      <c r="V801" s="143"/>
      <c r="W801" s="143"/>
      <c r="X801" s="143"/>
      <c r="Y801" s="143"/>
      <c r="Z801" s="143"/>
      <c r="AA801" s="143"/>
      <c r="AB801" s="143"/>
      <c r="AC801" s="143"/>
      <c r="AD801" s="143"/>
      <c r="AE801" s="143"/>
      <c r="AF801" s="143"/>
      <c r="AG801" s="143"/>
      <c r="AH801" s="143"/>
      <c r="AI801" s="143"/>
      <c r="AJ801" s="143"/>
    </row>
    <row r="802" spans="1:36" ht="12.75" customHeight="1" x14ac:dyDescent="0.25">
      <c r="A802" s="143"/>
      <c r="B802" s="145"/>
      <c r="C802" s="146"/>
      <c r="D802" s="114"/>
      <c r="E802" s="148"/>
      <c r="F802" s="148"/>
      <c r="G802" s="114"/>
      <c r="H802" s="149"/>
      <c r="I802" s="143"/>
      <c r="J802" s="143"/>
      <c r="K802" s="143"/>
      <c r="L802" s="143"/>
      <c r="M802" s="150"/>
      <c r="N802" s="143"/>
      <c r="O802" s="1"/>
      <c r="P802" s="151"/>
      <c r="Q802" s="143"/>
      <c r="R802" s="143"/>
      <c r="S802" s="143"/>
      <c r="T802" s="143"/>
      <c r="U802" s="143"/>
      <c r="V802" s="143"/>
      <c r="W802" s="143"/>
      <c r="X802" s="143"/>
      <c r="Y802" s="143"/>
      <c r="Z802" s="143"/>
      <c r="AA802" s="143"/>
      <c r="AB802" s="143"/>
      <c r="AC802" s="143"/>
      <c r="AD802" s="143"/>
      <c r="AE802" s="143"/>
      <c r="AF802" s="143"/>
      <c r="AG802" s="143"/>
      <c r="AH802" s="143"/>
      <c r="AI802" s="143"/>
      <c r="AJ802" s="143"/>
    </row>
    <row r="803" spans="1:36" ht="12.75" customHeight="1" x14ac:dyDescent="0.25">
      <c r="A803" s="143"/>
      <c r="B803" s="145"/>
      <c r="C803" s="146"/>
      <c r="D803" s="114"/>
      <c r="E803" s="148"/>
      <c r="F803" s="148"/>
      <c r="G803" s="114"/>
      <c r="H803" s="149"/>
      <c r="I803" s="143"/>
      <c r="J803" s="143"/>
      <c r="K803" s="143"/>
      <c r="L803" s="143"/>
      <c r="M803" s="150"/>
      <c r="N803" s="143"/>
      <c r="O803" s="1"/>
      <c r="P803" s="151"/>
      <c r="Q803" s="143"/>
      <c r="R803" s="143"/>
      <c r="S803" s="143"/>
      <c r="T803" s="143"/>
      <c r="U803" s="143"/>
      <c r="V803" s="143"/>
      <c r="W803" s="143"/>
      <c r="X803" s="143"/>
      <c r="Y803" s="143"/>
      <c r="Z803" s="143"/>
      <c r="AA803" s="143"/>
      <c r="AB803" s="143"/>
      <c r="AC803" s="143"/>
      <c r="AD803" s="143"/>
      <c r="AE803" s="143"/>
      <c r="AF803" s="143"/>
      <c r="AG803" s="143"/>
      <c r="AH803" s="143"/>
      <c r="AI803" s="143"/>
      <c r="AJ803" s="143"/>
    </row>
    <row r="804" spans="1:36" ht="12.75" customHeight="1" x14ac:dyDescent="0.25">
      <c r="A804" s="143"/>
      <c r="B804" s="145"/>
      <c r="C804" s="146"/>
      <c r="D804" s="114"/>
      <c r="E804" s="148"/>
      <c r="F804" s="148"/>
      <c r="G804" s="114"/>
      <c r="H804" s="149"/>
      <c r="I804" s="143"/>
      <c r="J804" s="143"/>
      <c r="K804" s="143"/>
      <c r="L804" s="143"/>
      <c r="M804" s="150"/>
      <c r="N804" s="143"/>
      <c r="O804" s="1"/>
      <c r="P804" s="151"/>
      <c r="Q804" s="143"/>
      <c r="R804" s="143"/>
      <c r="S804" s="143"/>
      <c r="T804" s="143"/>
      <c r="U804" s="143"/>
      <c r="V804" s="143"/>
      <c r="W804" s="143"/>
      <c r="X804" s="143"/>
      <c r="Y804" s="143"/>
      <c r="Z804" s="143"/>
      <c r="AA804" s="143"/>
      <c r="AB804" s="143"/>
      <c r="AC804" s="143"/>
      <c r="AD804" s="143"/>
      <c r="AE804" s="143"/>
      <c r="AF804" s="143"/>
      <c r="AG804" s="143"/>
      <c r="AH804" s="143"/>
      <c r="AI804" s="143"/>
      <c r="AJ804" s="143"/>
    </row>
    <row r="805" spans="1:36" ht="12.75" customHeight="1" x14ac:dyDescent="0.25">
      <c r="A805" s="143"/>
      <c r="B805" s="145"/>
      <c r="C805" s="146"/>
      <c r="D805" s="114"/>
      <c r="E805" s="148"/>
      <c r="F805" s="148"/>
      <c r="G805" s="114"/>
      <c r="H805" s="149"/>
      <c r="I805" s="143"/>
      <c r="J805" s="143"/>
      <c r="K805" s="143"/>
      <c r="L805" s="143"/>
      <c r="M805" s="150"/>
      <c r="N805" s="143"/>
      <c r="O805" s="1"/>
      <c r="P805" s="151"/>
      <c r="Q805" s="143"/>
      <c r="R805" s="143"/>
      <c r="S805" s="143"/>
      <c r="T805" s="143"/>
      <c r="U805" s="143"/>
      <c r="V805" s="143"/>
      <c r="W805" s="143"/>
      <c r="X805" s="143"/>
      <c r="Y805" s="143"/>
      <c r="Z805" s="143"/>
      <c r="AA805" s="143"/>
      <c r="AB805" s="143"/>
      <c r="AC805" s="143"/>
      <c r="AD805" s="143"/>
      <c r="AE805" s="143"/>
      <c r="AF805" s="143"/>
      <c r="AG805" s="143"/>
      <c r="AH805" s="143"/>
      <c r="AI805" s="143"/>
      <c r="AJ805" s="143"/>
    </row>
    <row r="806" spans="1:36" ht="12.75" customHeight="1" x14ac:dyDescent="0.25">
      <c r="A806" s="143"/>
      <c r="B806" s="145"/>
      <c r="C806" s="146"/>
      <c r="D806" s="114"/>
      <c r="E806" s="148"/>
      <c r="F806" s="148"/>
      <c r="G806" s="114"/>
      <c r="H806" s="149"/>
      <c r="I806" s="143"/>
      <c r="J806" s="143"/>
      <c r="K806" s="143"/>
      <c r="L806" s="143"/>
      <c r="M806" s="150"/>
      <c r="N806" s="143"/>
      <c r="O806" s="1"/>
      <c r="P806" s="151"/>
      <c r="Q806" s="143"/>
      <c r="R806" s="143"/>
      <c r="S806" s="143"/>
      <c r="T806" s="143"/>
      <c r="U806" s="143"/>
      <c r="V806" s="143"/>
      <c r="W806" s="143"/>
      <c r="X806" s="143"/>
      <c r="Y806" s="143"/>
      <c r="Z806" s="143"/>
      <c r="AA806" s="143"/>
      <c r="AB806" s="143"/>
      <c r="AC806" s="143"/>
      <c r="AD806" s="143"/>
      <c r="AE806" s="143"/>
      <c r="AF806" s="143"/>
      <c r="AG806" s="143"/>
      <c r="AH806" s="143"/>
      <c r="AI806" s="143"/>
      <c r="AJ806" s="143"/>
    </row>
    <row r="807" spans="1:36" ht="12.75" customHeight="1" x14ac:dyDescent="0.25">
      <c r="A807" s="143"/>
      <c r="B807" s="145"/>
      <c r="C807" s="146"/>
      <c r="D807" s="114"/>
      <c r="E807" s="148"/>
      <c r="F807" s="148"/>
      <c r="G807" s="114"/>
      <c r="H807" s="149"/>
      <c r="I807" s="143"/>
      <c r="J807" s="143"/>
      <c r="K807" s="143"/>
      <c r="L807" s="143"/>
      <c r="M807" s="150"/>
      <c r="N807" s="143"/>
      <c r="O807" s="1"/>
      <c r="P807" s="151"/>
      <c r="Q807" s="143"/>
      <c r="R807" s="143"/>
      <c r="S807" s="143"/>
      <c r="T807" s="143"/>
      <c r="U807" s="143"/>
      <c r="V807" s="143"/>
      <c r="W807" s="143"/>
      <c r="X807" s="143"/>
      <c r="Y807" s="143"/>
      <c r="Z807" s="143"/>
      <c r="AA807" s="143"/>
      <c r="AB807" s="143"/>
      <c r="AC807" s="143"/>
      <c r="AD807" s="143"/>
      <c r="AE807" s="143"/>
      <c r="AF807" s="143"/>
      <c r="AG807" s="143"/>
      <c r="AH807" s="143"/>
      <c r="AI807" s="143"/>
      <c r="AJ807" s="143"/>
    </row>
    <row r="808" spans="1:36" ht="12.75" customHeight="1" x14ac:dyDescent="0.25">
      <c r="A808" s="143"/>
      <c r="B808" s="145"/>
      <c r="C808" s="146"/>
      <c r="D808" s="114"/>
      <c r="E808" s="148"/>
      <c r="F808" s="148"/>
      <c r="G808" s="114"/>
      <c r="H808" s="149"/>
      <c r="I808" s="143"/>
      <c r="J808" s="143"/>
      <c r="K808" s="143"/>
      <c r="L808" s="143"/>
      <c r="M808" s="150"/>
      <c r="N808" s="143"/>
      <c r="O808" s="1"/>
      <c r="P808" s="151"/>
      <c r="Q808" s="143"/>
      <c r="R808" s="143"/>
      <c r="S808" s="143"/>
      <c r="T808" s="143"/>
      <c r="U808" s="143"/>
      <c r="V808" s="143"/>
      <c r="W808" s="143"/>
      <c r="X808" s="143"/>
      <c r="Y808" s="143"/>
      <c r="Z808" s="143"/>
      <c r="AA808" s="143"/>
      <c r="AB808" s="143"/>
      <c r="AC808" s="143"/>
      <c r="AD808" s="143"/>
      <c r="AE808" s="143"/>
      <c r="AF808" s="143"/>
      <c r="AG808" s="143"/>
      <c r="AH808" s="143"/>
      <c r="AI808" s="143"/>
      <c r="AJ808" s="143"/>
    </row>
    <row r="809" spans="1:36" ht="12.75" customHeight="1" x14ac:dyDescent="0.25">
      <c r="A809" s="143"/>
      <c r="B809" s="145"/>
      <c r="C809" s="146"/>
      <c r="D809" s="114"/>
      <c r="E809" s="148"/>
      <c r="F809" s="148"/>
      <c r="G809" s="114"/>
      <c r="H809" s="149"/>
      <c r="I809" s="143"/>
      <c r="J809" s="143"/>
      <c r="K809" s="143"/>
      <c r="L809" s="143"/>
      <c r="M809" s="150"/>
      <c r="N809" s="143"/>
      <c r="O809" s="1"/>
      <c r="P809" s="151"/>
      <c r="Q809" s="143"/>
      <c r="R809" s="143"/>
      <c r="S809" s="143"/>
      <c r="T809" s="143"/>
      <c r="U809" s="143"/>
      <c r="V809" s="143"/>
      <c r="W809" s="143"/>
      <c r="X809" s="143"/>
      <c r="Y809" s="143"/>
      <c r="Z809" s="143"/>
      <c r="AA809" s="143"/>
      <c r="AB809" s="143"/>
      <c r="AC809" s="143"/>
      <c r="AD809" s="143"/>
      <c r="AE809" s="143"/>
      <c r="AF809" s="143"/>
      <c r="AG809" s="143"/>
      <c r="AH809" s="143"/>
      <c r="AI809" s="143"/>
      <c r="AJ809" s="143"/>
    </row>
    <row r="810" spans="1:36" ht="12.75" customHeight="1" x14ac:dyDescent="0.25">
      <c r="A810" s="143"/>
      <c r="B810" s="145"/>
      <c r="C810" s="146"/>
      <c r="D810" s="114"/>
      <c r="E810" s="148"/>
      <c r="F810" s="148"/>
      <c r="G810" s="114"/>
      <c r="H810" s="149"/>
      <c r="I810" s="143"/>
      <c r="J810" s="143"/>
      <c r="K810" s="143"/>
      <c r="L810" s="143"/>
      <c r="M810" s="150"/>
      <c r="N810" s="143"/>
      <c r="O810" s="1"/>
      <c r="P810" s="151"/>
      <c r="Q810" s="143"/>
      <c r="R810" s="143"/>
      <c r="S810" s="143"/>
      <c r="T810" s="143"/>
      <c r="U810" s="143"/>
      <c r="V810" s="143"/>
      <c r="W810" s="143"/>
      <c r="X810" s="143"/>
      <c r="Y810" s="143"/>
      <c r="Z810" s="143"/>
      <c r="AA810" s="143"/>
      <c r="AB810" s="143"/>
      <c r="AC810" s="143"/>
      <c r="AD810" s="143"/>
      <c r="AE810" s="143"/>
      <c r="AF810" s="143"/>
      <c r="AG810" s="143"/>
      <c r="AH810" s="143"/>
      <c r="AI810" s="143"/>
      <c r="AJ810" s="143"/>
    </row>
    <row r="811" spans="1:36" ht="12.75" customHeight="1" x14ac:dyDescent="0.25">
      <c r="A811" s="143"/>
      <c r="B811" s="145"/>
      <c r="C811" s="146"/>
      <c r="D811" s="114"/>
      <c r="E811" s="148"/>
      <c r="F811" s="148"/>
      <c r="G811" s="114"/>
      <c r="H811" s="149"/>
      <c r="I811" s="143"/>
      <c r="J811" s="143"/>
      <c r="K811" s="143"/>
      <c r="L811" s="143"/>
      <c r="M811" s="150"/>
      <c r="N811" s="143"/>
      <c r="O811" s="1"/>
      <c r="P811" s="151"/>
      <c r="Q811" s="143"/>
      <c r="R811" s="143"/>
      <c r="S811" s="143"/>
      <c r="T811" s="143"/>
      <c r="U811" s="143"/>
      <c r="V811" s="143"/>
      <c r="W811" s="143"/>
      <c r="X811" s="143"/>
      <c r="Y811" s="143"/>
      <c r="Z811" s="143"/>
      <c r="AA811" s="143"/>
      <c r="AB811" s="143"/>
      <c r="AC811" s="143"/>
      <c r="AD811" s="143"/>
      <c r="AE811" s="143"/>
      <c r="AF811" s="143"/>
      <c r="AG811" s="143"/>
      <c r="AH811" s="143"/>
      <c r="AI811" s="143"/>
      <c r="AJ811" s="143"/>
    </row>
    <row r="812" spans="1:36" ht="12.75" customHeight="1" x14ac:dyDescent="0.25">
      <c r="A812" s="143"/>
      <c r="B812" s="145"/>
      <c r="C812" s="146"/>
      <c r="D812" s="114"/>
      <c r="E812" s="148"/>
      <c r="F812" s="148"/>
      <c r="G812" s="114"/>
      <c r="H812" s="149"/>
      <c r="I812" s="143"/>
      <c r="J812" s="143"/>
      <c r="K812" s="143"/>
      <c r="L812" s="143"/>
      <c r="M812" s="150"/>
      <c r="N812" s="143"/>
      <c r="O812" s="1"/>
      <c r="P812" s="151"/>
      <c r="Q812" s="143"/>
      <c r="R812" s="143"/>
      <c r="S812" s="143"/>
      <c r="T812" s="143"/>
      <c r="U812" s="143"/>
      <c r="V812" s="143"/>
      <c r="W812" s="143"/>
      <c r="X812" s="143"/>
      <c r="Y812" s="143"/>
      <c r="Z812" s="143"/>
      <c r="AA812" s="143"/>
      <c r="AB812" s="143"/>
      <c r="AC812" s="143"/>
      <c r="AD812" s="143"/>
      <c r="AE812" s="143"/>
      <c r="AF812" s="143"/>
      <c r="AG812" s="143"/>
      <c r="AH812" s="143"/>
      <c r="AI812" s="143"/>
      <c r="AJ812" s="143"/>
    </row>
    <row r="813" spans="1:36" ht="12.75" customHeight="1" x14ac:dyDescent="0.25">
      <c r="A813" s="143"/>
      <c r="B813" s="145"/>
      <c r="C813" s="146"/>
      <c r="D813" s="114"/>
      <c r="E813" s="148"/>
      <c r="F813" s="148"/>
      <c r="G813" s="114"/>
      <c r="H813" s="149"/>
      <c r="I813" s="143"/>
      <c r="J813" s="143"/>
      <c r="K813" s="143"/>
      <c r="L813" s="143"/>
      <c r="M813" s="150"/>
      <c r="N813" s="143"/>
      <c r="O813" s="1"/>
      <c r="P813" s="151"/>
      <c r="Q813" s="143"/>
      <c r="R813" s="143"/>
      <c r="S813" s="143"/>
      <c r="T813" s="143"/>
      <c r="U813" s="143"/>
      <c r="V813" s="143"/>
      <c r="W813" s="143"/>
      <c r="X813" s="143"/>
      <c r="Y813" s="143"/>
      <c r="Z813" s="143"/>
      <c r="AA813" s="143"/>
      <c r="AB813" s="143"/>
      <c r="AC813" s="143"/>
      <c r="AD813" s="143"/>
      <c r="AE813" s="143"/>
      <c r="AF813" s="143"/>
      <c r="AG813" s="143"/>
      <c r="AH813" s="143"/>
      <c r="AI813" s="143"/>
      <c r="AJ813" s="143"/>
    </row>
    <row r="814" spans="1:36" ht="12.75" customHeight="1" x14ac:dyDescent="0.25">
      <c r="A814" s="143"/>
      <c r="B814" s="145"/>
      <c r="C814" s="146"/>
      <c r="D814" s="114"/>
      <c r="E814" s="148"/>
      <c r="F814" s="148"/>
      <c r="G814" s="114"/>
      <c r="H814" s="149"/>
      <c r="I814" s="143"/>
      <c r="J814" s="143"/>
      <c r="K814" s="143"/>
      <c r="L814" s="143"/>
      <c r="M814" s="150"/>
      <c r="N814" s="143"/>
      <c r="O814" s="1"/>
      <c r="P814" s="151"/>
      <c r="Q814" s="143"/>
      <c r="R814" s="143"/>
      <c r="S814" s="143"/>
      <c r="T814" s="143"/>
      <c r="U814" s="143"/>
      <c r="V814" s="143"/>
      <c r="W814" s="143"/>
      <c r="X814" s="143"/>
      <c r="Y814" s="143"/>
      <c r="Z814" s="143"/>
      <c r="AA814" s="143"/>
      <c r="AB814" s="143"/>
      <c r="AC814" s="143"/>
      <c r="AD814" s="143"/>
      <c r="AE814" s="143"/>
      <c r="AF814" s="143"/>
      <c r="AG814" s="143"/>
      <c r="AH814" s="143"/>
      <c r="AI814" s="143"/>
      <c r="AJ814" s="143"/>
    </row>
    <row r="815" spans="1:36" ht="12.75" customHeight="1" x14ac:dyDescent="0.25">
      <c r="A815" s="143"/>
      <c r="B815" s="145"/>
      <c r="C815" s="146"/>
      <c r="D815" s="114"/>
      <c r="E815" s="148"/>
      <c r="F815" s="148"/>
      <c r="G815" s="114"/>
      <c r="H815" s="149"/>
      <c r="I815" s="143"/>
      <c r="J815" s="143"/>
      <c r="K815" s="143"/>
      <c r="L815" s="143"/>
      <c r="M815" s="150"/>
      <c r="N815" s="143"/>
      <c r="O815" s="1"/>
      <c r="P815" s="151"/>
      <c r="Q815" s="143"/>
      <c r="R815" s="143"/>
      <c r="S815" s="143"/>
      <c r="T815" s="143"/>
      <c r="U815" s="143"/>
      <c r="V815" s="143"/>
      <c r="W815" s="143"/>
      <c r="X815" s="143"/>
      <c r="Y815" s="143"/>
      <c r="Z815" s="143"/>
      <c r="AA815" s="143"/>
      <c r="AB815" s="143"/>
      <c r="AC815" s="143"/>
      <c r="AD815" s="143"/>
      <c r="AE815" s="143"/>
      <c r="AF815" s="143"/>
      <c r="AG815" s="143"/>
      <c r="AH815" s="143"/>
      <c r="AI815" s="143"/>
      <c r="AJ815" s="143"/>
    </row>
    <row r="816" spans="1:36" ht="12.75" customHeight="1" x14ac:dyDescent="0.25">
      <c r="A816" s="143"/>
      <c r="B816" s="145"/>
      <c r="C816" s="146"/>
      <c r="D816" s="114"/>
      <c r="E816" s="148"/>
      <c r="F816" s="148"/>
      <c r="G816" s="114"/>
      <c r="H816" s="149"/>
      <c r="I816" s="143"/>
      <c r="J816" s="143"/>
      <c r="K816" s="143"/>
      <c r="L816" s="143"/>
      <c r="M816" s="150"/>
      <c r="N816" s="143"/>
      <c r="O816" s="1"/>
      <c r="P816" s="151"/>
      <c r="Q816" s="143"/>
      <c r="R816" s="143"/>
      <c r="S816" s="143"/>
      <c r="T816" s="143"/>
      <c r="U816" s="143"/>
      <c r="V816" s="143"/>
      <c r="W816" s="143"/>
      <c r="X816" s="143"/>
      <c r="Y816" s="143"/>
      <c r="Z816" s="143"/>
      <c r="AA816" s="143"/>
      <c r="AB816" s="143"/>
      <c r="AC816" s="143"/>
      <c r="AD816" s="143"/>
      <c r="AE816" s="143"/>
      <c r="AF816" s="143"/>
      <c r="AG816" s="143"/>
      <c r="AH816" s="143"/>
      <c r="AI816" s="143"/>
      <c r="AJ816" s="143"/>
    </row>
    <row r="817" spans="1:36" ht="12.75" customHeight="1" x14ac:dyDescent="0.25">
      <c r="A817" s="143"/>
      <c r="B817" s="145"/>
      <c r="C817" s="146"/>
      <c r="D817" s="114"/>
      <c r="E817" s="148"/>
      <c r="F817" s="148"/>
      <c r="G817" s="114"/>
      <c r="H817" s="149"/>
      <c r="I817" s="143"/>
      <c r="J817" s="143"/>
      <c r="K817" s="143"/>
      <c r="L817" s="143"/>
      <c r="M817" s="150"/>
      <c r="N817" s="143"/>
      <c r="O817" s="1"/>
      <c r="P817" s="151"/>
      <c r="Q817" s="143"/>
      <c r="R817" s="143"/>
      <c r="S817" s="143"/>
      <c r="T817" s="143"/>
      <c r="U817" s="143"/>
      <c r="V817" s="143"/>
      <c r="W817" s="143"/>
      <c r="X817" s="143"/>
      <c r="Y817" s="143"/>
      <c r="Z817" s="143"/>
      <c r="AA817" s="143"/>
      <c r="AB817" s="143"/>
      <c r="AC817" s="143"/>
      <c r="AD817" s="143"/>
      <c r="AE817" s="143"/>
      <c r="AF817" s="143"/>
      <c r="AG817" s="143"/>
      <c r="AH817" s="143"/>
      <c r="AI817" s="143"/>
      <c r="AJ817" s="143"/>
    </row>
    <row r="818" spans="1:36" ht="12.75" customHeight="1" x14ac:dyDescent="0.25">
      <c r="A818" s="143"/>
      <c r="B818" s="145"/>
      <c r="C818" s="146"/>
      <c r="D818" s="114"/>
      <c r="E818" s="148"/>
      <c r="F818" s="148"/>
      <c r="G818" s="114"/>
      <c r="H818" s="149"/>
      <c r="I818" s="143"/>
      <c r="J818" s="143"/>
      <c r="K818" s="143"/>
      <c r="L818" s="143"/>
      <c r="M818" s="150"/>
      <c r="N818" s="143"/>
      <c r="O818" s="1"/>
      <c r="P818" s="151"/>
      <c r="Q818" s="143"/>
      <c r="R818" s="143"/>
      <c r="S818" s="143"/>
      <c r="T818" s="143"/>
      <c r="U818" s="143"/>
      <c r="V818" s="143"/>
      <c r="W818" s="143"/>
      <c r="X818" s="143"/>
      <c r="Y818" s="143"/>
      <c r="Z818" s="143"/>
      <c r="AA818" s="143"/>
      <c r="AB818" s="143"/>
      <c r="AC818" s="143"/>
      <c r="AD818" s="143"/>
      <c r="AE818" s="143"/>
      <c r="AF818" s="143"/>
      <c r="AG818" s="143"/>
      <c r="AH818" s="143"/>
      <c r="AI818" s="143"/>
      <c r="AJ818" s="143"/>
    </row>
    <row r="819" spans="1:36" ht="12.75" customHeight="1" x14ac:dyDescent="0.25">
      <c r="A819" s="143"/>
      <c r="B819" s="145"/>
      <c r="C819" s="146"/>
      <c r="D819" s="114"/>
      <c r="E819" s="148"/>
      <c r="F819" s="148"/>
      <c r="G819" s="114"/>
      <c r="H819" s="149"/>
      <c r="I819" s="143"/>
      <c r="J819" s="143"/>
      <c r="K819" s="143"/>
      <c r="L819" s="143"/>
      <c r="M819" s="150"/>
      <c r="N819" s="143"/>
      <c r="O819" s="1"/>
      <c r="P819" s="151"/>
      <c r="Q819" s="143"/>
      <c r="R819" s="143"/>
      <c r="S819" s="143"/>
      <c r="T819" s="143"/>
      <c r="U819" s="143"/>
      <c r="V819" s="143"/>
      <c r="W819" s="143"/>
      <c r="X819" s="143"/>
      <c r="Y819" s="143"/>
      <c r="Z819" s="143"/>
      <c r="AA819" s="143"/>
      <c r="AB819" s="143"/>
      <c r="AC819" s="143"/>
      <c r="AD819" s="143"/>
      <c r="AE819" s="143"/>
      <c r="AF819" s="143"/>
      <c r="AG819" s="143"/>
      <c r="AH819" s="143"/>
      <c r="AI819" s="143"/>
      <c r="AJ819" s="143"/>
    </row>
    <row r="820" spans="1:36" ht="12.75" customHeight="1" x14ac:dyDescent="0.25">
      <c r="A820" s="143"/>
      <c r="B820" s="145"/>
      <c r="C820" s="146"/>
      <c r="D820" s="114"/>
      <c r="E820" s="148"/>
      <c r="F820" s="148"/>
      <c r="G820" s="114"/>
      <c r="H820" s="149"/>
      <c r="I820" s="143"/>
      <c r="J820" s="143"/>
      <c r="K820" s="143"/>
      <c r="L820" s="143"/>
      <c r="M820" s="150"/>
      <c r="N820" s="143"/>
      <c r="O820" s="1"/>
      <c r="P820" s="151"/>
      <c r="Q820" s="143"/>
      <c r="R820" s="143"/>
      <c r="S820" s="143"/>
      <c r="T820" s="143"/>
      <c r="U820" s="143"/>
      <c r="V820" s="143"/>
      <c r="W820" s="143"/>
      <c r="X820" s="143"/>
      <c r="Y820" s="143"/>
      <c r="Z820" s="143"/>
      <c r="AA820" s="143"/>
      <c r="AB820" s="143"/>
      <c r="AC820" s="143"/>
      <c r="AD820" s="143"/>
      <c r="AE820" s="143"/>
      <c r="AF820" s="143"/>
      <c r="AG820" s="143"/>
      <c r="AH820" s="143"/>
      <c r="AI820" s="143"/>
      <c r="AJ820" s="143"/>
    </row>
    <row r="821" spans="1:36" ht="12.75" customHeight="1" x14ac:dyDescent="0.25">
      <c r="A821" s="143"/>
      <c r="B821" s="145"/>
      <c r="C821" s="146"/>
      <c r="D821" s="114"/>
      <c r="E821" s="148"/>
      <c r="F821" s="148"/>
      <c r="G821" s="114"/>
      <c r="H821" s="149"/>
      <c r="I821" s="143"/>
      <c r="J821" s="143"/>
      <c r="K821" s="143"/>
      <c r="L821" s="143"/>
      <c r="M821" s="150"/>
      <c r="N821" s="143"/>
      <c r="O821" s="1"/>
      <c r="P821" s="151"/>
      <c r="Q821" s="143"/>
      <c r="R821" s="143"/>
      <c r="S821" s="143"/>
      <c r="T821" s="143"/>
      <c r="U821" s="143"/>
      <c r="V821" s="143"/>
      <c r="W821" s="143"/>
      <c r="X821" s="143"/>
      <c r="Y821" s="143"/>
      <c r="Z821" s="143"/>
      <c r="AA821" s="143"/>
      <c r="AB821" s="143"/>
      <c r="AC821" s="143"/>
      <c r="AD821" s="143"/>
      <c r="AE821" s="143"/>
      <c r="AF821" s="143"/>
      <c r="AG821" s="143"/>
      <c r="AH821" s="143"/>
      <c r="AI821" s="143"/>
      <c r="AJ821" s="143"/>
    </row>
    <row r="822" spans="1:36" ht="12.75" customHeight="1" x14ac:dyDescent="0.25">
      <c r="A822" s="143"/>
      <c r="B822" s="145"/>
      <c r="C822" s="146"/>
      <c r="D822" s="114"/>
      <c r="E822" s="148"/>
      <c r="F822" s="148"/>
      <c r="G822" s="114"/>
      <c r="H822" s="149"/>
      <c r="I822" s="143"/>
      <c r="J822" s="143"/>
      <c r="K822" s="143"/>
      <c r="L822" s="143"/>
      <c r="M822" s="150"/>
      <c r="N822" s="143"/>
      <c r="O822" s="1"/>
      <c r="P822" s="151"/>
      <c r="Q822" s="143"/>
      <c r="R822" s="143"/>
      <c r="S822" s="143"/>
      <c r="T822" s="143"/>
      <c r="U822" s="143"/>
      <c r="V822" s="143"/>
      <c r="W822" s="143"/>
      <c r="X822" s="143"/>
      <c r="Y822" s="143"/>
      <c r="Z822" s="143"/>
      <c r="AA822" s="143"/>
      <c r="AB822" s="143"/>
      <c r="AC822" s="143"/>
      <c r="AD822" s="143"/>
      <c r="AE822" s="143"/>
      <c r="AF822" s="143"/>
      <c r="AG822" s="143"/>
      <c r="AH822" s="143"/>
      <c r="AI822" s="143"/>
      <c r="AJ822" s="143"/>
    </row>
    <row r="823" spans="1:36" ht="12.75" customHeight="1" x14ac:dyDescent="0.25">
      <c r="A823" s="143"/>
      <c r="B823" s="145"/>
      <c r="C823" s="146"/>
      <c r="D823" s="114"/>
      <c r="E823" s="148"/>
      <c r="F823" s="148"/>
      <c r="G823" s="114"/>
      <c r="H823" s="149"/>
      <c r="I823" s="143"/>
      <c r="J823" s="143"/>
      <c r="K823" s="143"/>
      <c r="L823" s="143"/>
      <c r="M823" s="150"/>
      <c r="N823" s="143"/>
      <c r="O823" s="1"/>
      <c r="P823" s="151"/>
      <c r="Q823" s="143"/>
      <c r="R823" s="143"/>
      <c r="S823" s="143"/>
      <c r="T823" s="143"/>
      <c r="U823" s="143"/>
      <c r="V823" s="143"/>
      <c r="W823" s="143"/>
      <c r="X823" s="143"/>
      <c r="Y823" s="143"/>
      <c r="Z823" s="143"/>
      <c r="AA823" s="143"/>
      <c r="AB823" s="143"/>
      <c r="AC823" s="143"/>
      <c r="AD823" s="143"/>
      <c r="AE823" s="143"/>
      <c r="AF823" s="143"/>
      <c r="AG823" s="143"/>
      <c r="AH823" s="143"/>
      <c r="AI823" s="143"/>
      <c r="AJ823" s="143"/>
    </row>
    <row r="824" spans="1:36" ht="12.75" customHeight="1" x14ac:dyDescent="0.25">
      <c r="A824" s="143"/>
      <c r="B824" s="145"/>
      <c r="C824" s="146"/>
      <c r="D824" s="114"/>
      <c r="E824" s="148"/>
      <c r="F824" s="148"/>
      <c r="G824" s="114"/>
      <c r="H824" s="149"/>
      <c r="I824" s="143"/>
      <c r="J824" s="143"/>
      <c r="K824" s="143"/>
      <c r="L824" s="143"/>
      <c r="M824" s="150"/>
      <c r="N824" s="143"/>
      <c r="O824" s="1"/>
      <c r="P824" s="151"/>
      <c r="Q824" s="143"/>
      <c r="R824" s="143"/>
      <c r="S824" s="143"/>
      <c r="T824" s="143"/>
      <c r="U824" s="143"/>
      <c r="V824" s="143"/>
      <c r="W824" s="143"/>
      <c r="X824" s="143"/>
      <c r="Y824" s="143"/>
      <c r="Z824" s="143"/>
      <c r="AA824" s="143"/>
      <c r="AB824" s="143"/>
      <c r="AC824" s="143"/>
      <c r="AD824" s="143"/>
      <c r="AE824" s="143"/>
      <c r="AF824" s="143"/>
      <c r="AG824" s="143"/>
      <c r="AH824" s="143"/>
      <c r="AI824" s="143"/>
      <c r="AJ824" s="143"/>
    </row>
    <row r="825" spans="1:36" ht="12.75" customHeight="1" x14ac:dyDescent="0.25">
      <c r="A825" s="143"/>
      <c r="B825" s="145"/>
      <c r="C825" s="146"/>
      <c r="D825" s="114"/>
      <c r="E825" s="148"/>
      <c r="F825" s="148"/>
      <c r="G825" s="114"/>
      <c r="H825" s="149"/>
      <c r="I825" s="143"/>
      <c r="J825" s="143"/>
      <c r="K825" s="143"/>
      <c r="L825" s="143"/>
      <c r="M825" s="150"/>
      <c r="N825" s="143"/>
      <c r="O825" s="1"/>
      <c r="P825" s="151"/>
      <c r="Q825" s="143"/>
      <c r="R825" s="143"/>
      <c r="S825" s="143"/>
      <c r="T825" s="143"/>
      <c r="U825" s="143"/>
      <c r="V825" s="143"/>
      <c r="W825" s="143"/>
      <c r="X825" s="143"/>
      <c r="Y825" s="143"/>
      <c r="Z825" s="143"/>
      <c r="AA825" s="143"/>
      <c r="AB825" s="143"/>
      <c r="AC825" s="143"/>
      <c r="AD825" s="143"/>
      <c r="AE825" s="143"/>
      <c r="AF825" s="143"/>
      <c r="AG825" s="143"/>
      <c r="AH825" s="143"/>
      <c r="AI825" s="143"/>
      <c r="AJ825" s="143"/>
    </row>
    <row r="826" spans="1:36" ht="12.75" customHeight="1" x14ac:dyDescent="0.25">
      <c r="A826" s="143"/>
      <c r="B826" s="145"/>
      <c r="C826" s="146"/>
      <c r="D826" s="114"/>
      <c r="E826" s="148"/>
      <c r="F826" s="148"/>
      <c r="G826" s="114"/>
      <c r="H826" s="149"/>
      <c r="I826" s="143"/>
      <c r="J826" s="143"/>
      <c r="K826" s="143"/>
      <c r="L826" s="143"/>
      <c r="M826" s="150"/>
      <c r="N826" s="143"/>
      <c r="O826" s="1"/>
      <c r="P826" s="151"/>
      <c r="Q826" s="143"/>
      <c r="R826" s="143"/>
      <c r="S826" s="143"/>
      <c r="T826" s="143"/>
      <c r="U826" s="143"/>
      <c r="V826" s="143"/>
      <c r="W826" s="143"/>
      <c r="X826" s="143"/>
      <c r="Y826" s="143"/>
      <c r="Z826" s="143"/>
      <c r="AA826" s="143"/>
      <c r="AB826" s="143"/>
      <c r="AC826" s="143"/>
      <c r="AD826" s="143"/>
      <c r="AE826" s="143"/>
      <c r="AF826" s="143"/>
      <c r="AG826" s="143"/>
      <c r="AH826" s="143"/>
      <c r="AI826" s="143"/>
      <c r="AJ826" s="143"/>
    </row>
    <row r="827" spans="1:36" ht="12.75" customHeight="1" x14ac:dyDescent="0.25">
      <c r="A827" s="143"/>
      <c r="B827" s="145"/>
      <c r="C827" s="146"/>
      <c r="D827" s="114"/>
      <c r="E827" s="148"/>
      <c r="F827" s="148"/>
      <c r="G827" s="114"/>
      <c r="H827" s="149"/>
      <c r="I827" s="143"/>
      <c r="J827" s="143"/>
      <c r="K827" s="143"/>
      <c r="L827" s="143"/>
      <c r="M827" s="150"/>
      <c r="N827" s="143"/>
      <c r="O827" s="1"/>
      <c r="P827" s="151"/>
      <c r="Q827" s="143"/>
      <c r="R827" s="143"/>
      <c r="S827" s="143"/>
      <c r="T827" s="143"/>
      <c r="U827" s="143"/>
      <c r="V827" s="143"/>
      <c r="W827" s="143"/>
      <c r="X827" s="143"/>
      <c r="Y827" s="143"/>
      <c r="Z827" s="143"/>
      <c r="AA827" s="143"/>
      <c r="AB827" s="143"/>
      <c r="AC827" s="143"/>
      <c r="AD827" s="143"/>
      <c r="AE827" s="143"/>
      <c r="AF827" s="143"/>
      <c r="AG827" s="143"/>
      <c r="AH827" s="143"/>
      <c r="AI827" s="143"/>
      <c r="AJ827" s="143"/>
    </row>
    <row r="828" spans="1:36" ht="12.75" customHeight="1" x14ac:dyDescent="0.25">
      <c r="A828" s="143"/>
      <c r="B828" s="145"/>
      <c r="C828" s="146"/>
      <c r="D828" s="114"/>
      <c r="E828" s="148"/>
      <c r="F828" s="148"/>
      <c r="G828" s="114"/>
      <c r="H828" s="149"/>
      <c r="I828" s="143"/>
      <c r="J828" s="143"/>
      <c r="K828" s="143"/>
      <c r="L828" s="143"/>
      <c r="M828" s="150"/>
      <c r="N828" s="143"/>
      <c r="O828" s="1"/>
      <c r="P828" s="151"/>
      <c r="Q828" s="143"/>
      <c r="R828" s="143"/>
      <c r="S828" s="143"/>
      <c r="T828" s="143"/>
      <c r="U828" s="143"/>
      <c r="V828" s="143"/>
      <c r="W828" s="143"/>
      <c r="X828" s="143"/>
      <c r="Y828" s="143"/>
      <c r="Z828" s="143"/>
      <c r="AA828" s="143"/>
      <c r="AB828" s="143"/>
      <c r="AC828" s="143"/>
      <c r="AD828" s="143"/>
      <c r="AE828" s="143"/>
      <c r="AF828" s="143"/>
      <c r="AG828" s="143"/>
      <c r="AH828" s="143"/>
      <c r="AI828" s="143"/>
      <c r="AJ828" s="143"/>
    </row>
    <row r="829" spans="1:36" ht="12.75" customHeight="1" x14ac:dyDescent="0.25">
      <c r="A829" s="143"/>
      <c r="B829" s="145"/>
      <c r="C829" s="146"/>
      <c r="D829" s="114"/>
      <c r="E829" s="148"/>
      <c r="F829" s="148"/>
      <c r="G829" s="114"/>
      <c r="H829" s="149"/>
      <c r="I829" s="143"/>
      <c r="J829" s="143"/>
      <c r="K829" s="143"/>
      <c r="L829" s="143"/>
      <c r="M829" s="150"/>
      <c r="N829" s="143"/>
      <c r="O829" s="1"/>
      <c r="P829" s="151"/>
      <c r="Q829" s="143"/>
      <c r="R829" s="143"/>
      <c r="S829" s="143"/>
      <c r="T829" s="143"/>
      <c r="U829" s="143"/>
      <c r="V829" s="143"/>
      <c r="W829" s="143"/>
      <c r="X829" s="143"/>
      <c r="Y829" s="143"/>
      <c r="Z829" s="143"/>
      <c r="AA829" s="143"/>
      <c r="AB829" s="143"/>
      <c r="AC829" s="143"/>
      <c r="AD829" s="143"/>
      <c r="AE829" s="143"/>
      <c r="AF829" s="143"/>
      <c r="AG829" s="143"/>
      <c r="AH829" s="143"/>
      <c r="AI829" s="143"/>
      <c r="AJ829" s="143"/>
    </row>
    <row r="830" spans="1:36" ht="12.75" customHeight="1" x14ac:dyDescent="0.25">
      <c r="A830" s="143"/>
      <c r="B830" s="145"/>
      <c r="C830" s="146"/>
      <c r="D830" s="114"/>
      <c r="E830" s="148"/>
      <c r="F830" s="148"/>
      <c r="G830" s="114"/>
      <c r="H830" s="149"/>
      <c r="I830" s="143"/>
      <c r="J830" s="143"/>
      <c r="K830" s="143"/>
      <c r="L830" s="143"/>
      <c r="M830" s="150"/>
      <c r="N830" s="143"/>
      <c r="O830" s="1"/>
      <c r="P830" s="151"/>
      <c r="Q830" s="143"/>
      <c r="R830" s="143"/>
      <c r="S830" s="143"/>
      <c r="T830" s="143"/>
      <c r="U830" s="143"/>
      <c r="V830" s="143"/>
      <c r="W830" s="143"/>
      <c r="X830" s="143"/>
      <c r="Y830" s="143"/>
      <c r="Z830" s="143"/>
      <c r="AA830" s="143"/>
      <c r="AB830" s="143"/>
      <c r="AC830" s="143"/>
      <c r="AD830" s="143"/>
      <c r="AE830" s="143"/>
      <c r="AF830" s="143"/>
      <c r="AG830" s="143"/>
      <c r="AH830" s="143"/>
      <c r="AI830" s="143"/>
      <c r="AJ830" s="143"/>
    </row>
    <row r="831" spans="1:36" ht="12.75" customHeight="1" x14ac:dyDescent="0.25">
      <c r="A831" s="143"/>
      <c r="B831" s="145"/>
      <c r="C831" s="146"/>
      <c r="D831" s="114"/>
      <c r="E831" s="148"/>
      <c r="F831" s="148"/>
      <c r="G831" s="114"/>
      <c r="H831" s="149"/>
      <c r="I831" s="143"/>
      <c r="J831" s="143"/>
      <c r="K831" s="143"/>
      <c r="L831" s="143"/>
      <c r="M831" s="150"/>
      <c r="N831" s="143"/>
      <c r="O831" s="1"/>
      <c r="P831" s="151"/>
      <c r="Q831" s="143"/>
      <c r="R831" s="143"/>
      <c r="S831" s="143"/>
      <c r="T831" s="143"/>
      <c r="U831" s="143"/>
      <c r="V831" s="143"/>
      <c r="W831" s="143"/>
      <c r="X831" s="143"/>
      <c r="Y831" s="143"/>
      <c r="Z831" s="143"/>
      <c r="AA831" s="143"/>
      <c r="AB831" s="143"/>
      <c r="AC831" s="143"/>
      <c r="AD831" s="143"/>
      <c r="AE831" s="143"/>
      <c r="AF831" s="143"/>
      <c r="AG831" s="143"/>
      <c r="AH831" s="143"/>
      <c r="AI831" s="143"/>
      <c r="AJ831" s="143"/>
    </row>
    <row r="832" spans="1:36" ht="12.75" customHeight="1" x14ac:dyDescent="0.25">
      <c r="A832" s="143"/>
      <c r="B832" s="145"/>
      <c r="C832" s="146"/>
      <c r="D832" s="114"/>
      <c r="E832" s="148"/>
      <c r="F832" s="148"/>
      <c r="G832" s="114"/>
      <c r="H832" s="149"/>
      <c r="I832" s="143"/>
      <c r="J832" s="143"/>
      <c r="K832" s="143"/>
      <c r="L832" s="143"/>
      <c r="M832" s="150"/>
      <c r="N832" s="143"/>
      <c r="O832" s="1"/>
      <c r="P832" s="151"/>
      <c r="Q832" s="143"/>
      <c r="R832" s="143"/>
      <c r="S832" s="143"/>
      <c r="T832" s="143"/>
      <c r="U832" s="143"/>
      <c r="V832" s="143"/>
      <c r="W832" s="143"/>
      <c r="X832" s="143"/>
      <c r="Y832" s="143"/>
      <c r="Z832" s="143"/>
      <c r="AA832" s="143"/>
      <c r="AB832" s="143"/>
      <c r="AC832" s="143"/>
      <c r="AD832" s="143"/>
      <c r="AE832" s="143"/>
      <c r="AF832" s="143"/>
      <c r="AG832" s="143"/>
      <c r="AH832" s="143"/>
      <c r="AI832" s="143"/>
      <c r="AJ832" s="143"/>
    </row>
    <row r="833" spans="1:36" ht="12.75" customHeight="1" x14ac:dyDescent="0.25">
      <c r="A833" s="143"/>
      <c r="B833" s="145"/>
      <c r="C833" s="146"/>
      <c r="D833" s="114"/>
      <c r="E833" s="148"/>
      <c r="F833" s="148"/>
      <c r="G833" s="114"/>
      <c r="H833" s="149"/>
      <c r="I833" s="143"/>
      <c r="J833" s="143"/>
      <c r="K833" s="143"/>
      <c r="L833" s="143"/>
      <c r="M833" s="150"/>
      <c r="N833" s="143"/>
      <c r="O833" s="1"/>
      <c r="P833" s="151"/>
      <c r="Q833" s="143"/>
      <c r="R833" s="143"/>
      <c r="S833" s="143"/>
      <c r="T833" s="143"/>
      <c r="U833" s="143"/>
      <c r="V833" s="143"/>
      <c r="W833" s="143"/>
      <c r="X833" s="143"/>
      <c r="Y833" s="143"/>
      <c r="Z833" s="143"/>
      <c r="AA833" s="143"/>
      <c r="AB833" s="143"/>
      <c r="AC833" s="143"/>
      <c r="AD833" s="143"/>
      <c r="AE833" s="143"/>
      <c r="AF833" s="143"/>
      <c r="AG833" s="143"/>
      <c r="AH833" s="143"/>
      <c r="AI833" s="143"/>
      <c r="AJ833" s="143"/>
    </row>
    <row r="834" spans="1:36" ht="12.75" customHeight="1" x14ac:dyDescent="0.25">
      <c r="A834" s="143"/>
      <c r="B834" s="145"/>
      <c r="C834" s="146"/>
      <c r="D834" s="114"/>
      <c r="E834" s="148"/>
      <c r="F834" s="148"/>
      <c r="G834" s="114"/>
      <c r="H834" s="149"/>
      <c r="I834" s="143"/>
      <c r="J834" s="143"/>
      <c r="K834" s="143"/>
      <c r="L834" s="143"/>
      <c r="M834" s="150"/>
      <c r="N834" s="143"/>
      <c r="O834" s="1"/>
      <c r="P834" s="151"/>
      <c r="Q834" s="143"/>
      <c r="R834" s="143"/>
      <c r="S834" s="143"/>
      <c r="T834" s="143"/>
      <c r="U834" s="143"/>
      <c r="V834" s="143"/>
      <c r="W834" s="143"/>
      <c r="X834" s="143"/>
      <c r="Y834" s="143"/>
      <c r="Z834" s="143"/>
      <c r="AA834" s="143"/>
      <c r="AB834" s="143"/>
      <c r="AC834" s="143"/>
      <c r="AD834" s="143"/>
      <c r="AE834" s="143"/>
      <c r="AF834" s="143"/>
      <c r="AG834" s="143"/>
      <c r="AH834" s="143"/>
      <c r="AI834" s="143"/>
      <c r="AJ834" s="143"/>
    </row>
    <row r="835" spans="1:36" ht="12.75" customHeight="1" x14ac:dyDescent="0.25">
      <c r="A835" s="143"/>
      <c r="B835" s="145"/>
      <c r="C835" s="146"/>
      <c r="D835" s="114"/>
      <c r="E835" s="148"/>
      <c r="F835" s="148"/>
      <c r="G835" s="114"/>
      <c r="H835" s="149"/>
      <c r="I835" s="143"/>
      <c r="J835" s="143"/>
      <c r="K835" s="143"/>
      <c r="L835" s="143"/>
      <c r="M835" s="150"/>
      <c r="N835" s="143"/>
      <c r="O835" s="1"/>
      <c r="P835" s="151"/>
      <c r="Q835" s="143"/>
      <c r="R835" s="143"/>
      <c r="S835" s="143"/>
      <c r="T835" s="143"/>
      <c r="U835" s="143"/>
      <c r="V835" s="143"/>
      <c r="W835" s="143"/>
      <c r="X835" s="143"/>
      <c r="Y835" s="143"/>
      <c r="Z835" s="143"/>
      <c r="AA835" s="143"/>
      <c r="AB835" s="143"/>
      <c r="AC835" s="143"/>
      <c r="AD835" s="143"/>
      <c r="AE835" s="143"/>
      <c r="AF835" s="143"/>
      <c r="AG835" s="143"/>
      <c r="AH835" s="143"/>
      <c r="AI835" s="143"/>
      <c r="AJ835" s="143"/>
    </row>
    <row r="836" spans="1:36" ht="12.75" customHeight="1" x14ac:dyDescent="0.25">
      <c r="A836" s="143"/>
      <c r="B836" s="145"/>
      <c r="C836" s="146"/>
      <c r="D836" s="114"/>
      <c r="E836" s="148"/>
      <c r="F836" s="148"/>
      <c r="G836" s="114"/>
      <c r="H836" s="149"/>
      <c r="I836" s="143"/>
      <c r="J836" s="143"/>
      <c r="K836" s="143"/>
      <c r="L836" s="143"/>
      <c r="M836" s="150"/>
      <c r="N836" s="143"/>
      <c r="O836" s="1"/>
      <c r="P836" s="151"/>
      <c r="Q836" s="143"/>
      <c r="R836" s="143"/>
      <c r="S836" s="143"/>
      <c r="T836" s="143"/>
      <c r="U836" s="143"/>
      <c r="V836" s="143"/>
      <c r="W836" s="143"/>
      <c r="X836" s="143"/>
      <c r="Y836" s="143"/>
      <c r="Z836" s="143"/>
      <c r="AA836" s="143"/>
      <c r="AB836" s="143"/>
      <c r="AC836" s="143"/>
      <c r="AD836" s="143"/>
      <c r="AE836" s="143"/>
      <c r="AF836" s="143"/>
      <c r="AG836" s="143"/>
      <c r="AH836" s="143"/>
      <c r="AI836" s="143"/>
      <c r="AJ836" s="143"/>
    </row>
    <row r="837" spans="1:36" ht="12.75" customHeight="1" x14ac:dyDescent="0.25">
      <c r="A837" s="143"/>
      <c r="B837" s="145"/>
      <c r="C837" s="146"/>
      <c r="D837" s="114"/>
      <c r="E837" s="148"/>
      <c r="F837" s="148"/>
      <c r="G837" s="114"/>
      <c r="H837" s="149"/>
      <c r="I837" s="143"/>
      <c r="J837" s="143"/>
      <c r="K837" s="143"/>
      <c r="L837" s="143"/>
      <c r="M837" s="150"/>
      <c r="N837" s="143"/>
      <c r="O837" s="1"/>
      <c r="P837" s="151"/>
      <c r="Q837" s="143"/>
      <c r="R837" s="143"/>
      <c r="S837" s="143"/>
      <c r="T837" s="143"/>
      <c r="U837" s="143"/>
      <c r="V837" s="143"/>
      <c r="W837" s="143"/>
      <c r="X837" s="143"/>
      <c r="Y837" s="143"/>
      <c r="Z837" s="143"/>
      <c r="AA837" s="143"/>
      <c r="AB837" s="143"/>
      <c r="AC837" s="143"/>
      <c r="AD837" s="143"/>
      <c r="AE837" s="143"/>
      <c r="AF837" s="143"/>
      <c r="AG837" s="143"/>
      <c r="AH837" s="143"/>
      <c r="AI837" s="143"/>
      <c r="AJ837" s="143"/>
    </row>
    <row r="838" spans="1:36" ht="12.75" customHeight="1" x14ac:dyDescent="0.25">
      <c r="A838" s="143"/>
      <c r="B838" s="145"/>
      <c r="C838" s="146"/>
      <c r="D838" s="114"/>
      <c r="E838" s="148"/>
      <c r="F838" s="148"/>
      <c r="G838" s="114"/>
      <c r="H838" s="149"/>
      <c r="I838" s="143"/>
      <c r="J838" s="143"/>
      <c r="K838" s="143"/>
      <c r="L838" s="143"/>
      <c r="M838" s="150"/>
      <c r="N838" s="143"/>
      <c r="O838" s="1"/>
      <c r="P838" s="151"/>
      <c r="Q838" s="143"/>
      <c r="R838" s="143"/>
      <c r="S838" s="143"/>
      <c r="T838" s="143"/>
      <c r="U838" s="143"/>
      <c r="V838" s="143"/>
      <c r="W838" s="143"/>
      <c r="X838" s="143"/>
      <c r="Y838" s="143"/>
      <c r="Z838" s="143"/>
      <c r="AA838" s="143"/>
      <c r="AB838" s="143"/>
      <c r="AC838" s="143"/>
      <c r="AD838" s="143"/>
      <c r="AE838" s="143"/>
      <c r="AF838" s="143"/>
      <c r="AG838" s="143"/>
      <c r="AH838" s="143"/>
      <c r="AI838" s="143"/>
      <c r="AJ838" s="143"/>
    </row>
    <row r="839" spans="1:36" ht="12.75" customHeight="1" x14ac:dyDescent="0.25">
      <c r="A839" s="143"/>
      <c r="B839" s="145"/>
      <c r="C839" s="146"/>
      <c r="D839" s="114"/>
      <c r="E839" s="148"/>
      <c r="F839" s="148"/>
      <c r="G839" s="114"/>
      <c r="H839" s="149"/>
      <c r="I839" s="143"/>
      <c r="J839" s="143"/>
      <c r="K839" s="143"/>
      <c r="L839" s="143"/>
      <c r="M839" s="150"/>
      <c r="N839" s="143"/>
      <c r="O839" s="1"/>
      <c r="P839" s="151"/>
      <c r="Q839" s="143"/>
      <c r="R839" s="143"/>
      <c r="S839" s="143"/>
      <c r="T839" s="143"/>
      <c r="U839" s="143"/>
      <c r="V839" s="143"/>
      <c r="W839" s="143"/>
      <c r="X839" s="143"/>
      <c r="Y839" s="143"/>
      <c r="Z839" s="143"/>
      <c r="AA839" s="143"/>
      <c r="AB839" s="143"/>
      <c r="AC839" s="143"/>
      <c r="AD839" s="143"/>
      <c r="AE839" s="143"/>
      <c r="AF839" s="143"/>
      <c r="AG839" s="143"/>
      <c r="AH839" s="143"/>
      <c r="AI839" s="143"/>
      <c r="AJ839" s="143"/>
    </row>
    <row r="840" spans="1:36" ht="12.75" customHeight="1" x14ac:dyDescent="0.25">
      <c r="A840" s="143"/>
      <c r="B840" s="145"/>
      <c r="C840" s="146"/>
      <c r="D840" s="114"/>
      <c r="E840" s="148"/>
      <c r="F840" s="148"/>
      <c r="G840" s="114"/>
      <c r="H840" s="149"/>
      <c r="I840" s="143"/>
      <c r="J840" s="143"/>
      <c r="K840" s="143"/>
      <c r="L840" s="143"/>
      <c r="M840" s="150"/>
      <c r="N840" s="143"/>
      <c r="O840" s="1"/>
      <c r="P840" s="151"/>
      <c r="Q840" s="143"/>
      <c r="R840" s="143"/>
      <c r="S840" s="143"/>
      <c r="T840" s="143"/>
      <c r="U840" s="143"/>
      <c r="V840" s="143"/>
      <c r="W840" s="143"/>
      <c r="X840" s="143"/>
      <c r="Y840" s="143"/>
      <c r="Z840" s="143"/>
      <c r="AA840" s="143"/>
      <c r="AB840" s="143"/>
      <c r="AC840" s="143"/>
      <c r="AD840" s="143"/>
      <c r="AE840" s="143"/>
      <c r="AF840" s="143"/>
      <c r="AG840" s="143"/>
      <c r="AH840" s="143"/>
      <c r="AI840" s="143"/>
      <c r="AJ840" s="143"/>
    </row>
    <row r="841" spans="1:36" ht="12.75" customHeight="1" x14ac:dyDescent="0.25">
      <c r="A841" s="143"/>
      <c r="B841" s="145"/>
      <c r="C841" s="146"/>
      <c r="D841" s="114"/>
      <c r="E841" s="148"/>
      <c r="F841" s="148"/>
      <c r="G841" s="114"/>
      <c r="H841" s="149"/>
      <c r="I841" s="143"/>
      <c r="J841" s="143"/>
      <c r="K841" s="143"/>
      <c r="L841" s="143"/>
      <c r="M841" s="150"/>
      <c r="N841" s="143"/>
      <c r="O841" s="1"/>
      <c r="P841" s="151"/>
      <c r="Q841" s="143"/>
      <c r="R841" s="143"/>
      <c r="S841" s="143"/>
      <c r="T841" s="143"/>
      <c r="U841" s="143"/>
      <c r="V841" s="143"/>
      <c r="W841" s="143"/>
      <c r="X841" s="143"/>
      <c r="Y841" s="143"/>
      <c r="Z841" s="143"/>
      <c r="AA841" s="143"/>
      <c r="AB841" s="143"/>
      <c r="AC841" s="143"/>
      <c r="AD841" s="143"/>
      <c r="AE841" s="143"/>
      <c r="AF841" s="143"/>
      <c r="AG841" s="143"/>
      <c r="AH841" s="143"/>
      <c r="AI841" s="143"/>
      <c r="AJ841" s="143"/>
    </row>
    <row r="842" spans="1:36" ht="12.75" customHeight="1" x14ac:dyDescent="0.25">
      <c r="A842" s="143"/>
      <c r="B842" s="145"/>
      <c r="C842" s="146"/>
      <c r="D842" s="114"/>
      <c r="E842" s="148"/>
      <c r="F842" s="148"/>
      <c r="G842" s="114"/>
      <c r="H842" s="149"/>
      <c r="I842" s="143"/>
      <c r="J842" s="143"/>
      <c r="K842" s="143"/>
      <c r="L842" s="143"/>
      <c r="M842" s="150"/>
      <c r="N842" s="143"/>
      <c r="O842" s="1"/>
      <c r="P842" s="151"/>
      <c r="Q842" s="143"/>
      <c r="R842" s="143"/>
      <c r="S842" s="143"/>
      <c r="T842" s="143"/>
      <c r="U842" s="143"/>
      <c r="V842" s="143"/>
      <c r="W842" s="143"/>
      <c r="X842" s="143"/>
      <c r="Y842" s="143"/>
      <c r="Z842" s="143"/>
      <c r="AA842" s="143"/>
      <c r="AB842" s="143"/>
      <c r="AC842" s="143"/>
      <c r="AD842" s="143"/>
      <c r="AE842" s="143"/>
      <c r="AF842" s="143"/>
      <c r="AG842" s="143"/>
      <c r="AH842" s="143"/>
      <c r="AI842" s="143"/>
      <c r="AJ842" s="143"/>
    </row>
    <row r="843" spans="1:36" ht="12.75" customHeight="1" x14ac:dyDescent="0.25">
      <c r="A843" s="143"/>
      <c r="B843" s="145"/>
      <c r="C843" s="146"/>
      <c r="D843" s="114"/>
      <c r="E843" s="148"/>
      <c r="F843" s="148"/>
      <c r="G843" s="114"/>
      <c r="H843" s="149"/>
      <c r="I843" s="143"/>
      <c r="J843" s="143"/>
      <c r="K843" s="143"/>
      <c r="L843" s="143"/>
      <c r="M843" s="150"/>
      <c r="N843" s="143"/>
      <c r="O843" s="1"/>
      <c r="P843" s="151"/>
      <c r="Q843" s="143"/>
      <c r="R843" s="143"/>
      <c r="S843" s="143"/>
      <c r="T843" s="143"/>
      <c r="U843" s="143"/>
      <c r="V843" s="143"/>
      <c r="W843" s="143"/>
      <c r="X843" s="143"/>
      <c r="Y843" s="143"/>
      <c r="Z843" s="143"/>
      <c r="AA843" s="143"/>
      <c r="AB843" s="143"/>
      <c r="AC843" s="143"/>
      <c r="AD843" s="143"/>
      <c r="AE843" s="143"/>
      <c r="AF843" s="143"/>
      <c r="AG843" s="143"/>
      <c r="AH843" s="143"/>
      <c r="AI843" s="143"/>
      <c r="AJ843" s="143"/>
    </row>
    <row r="844" spans="1:36" ht="12.75" customHeight="1" x14ac:dyDescent="0.25">
      <c r="A844" s="143"/>
      <c r="B844" s="145"/>
      <c r="C844" s="146"/>
      <c r="D844" s="114"/>
      <c r="E844" s="148"/>
      <c r="F844" s="148"/>
      <c r="G844" s="114"/>
      <c r="H844" s="149"/>
      <c r="I844" s="143"/>
      <c r="J844" s="143"/>
      <c r="K844" s="143"/>
      <c r="L844" s="143"/>
      <c r="M844" s="150"/>
      <c r="N844" s="143"/>
      <c r="O844" s="1"/>
      <c r="P844" s="151"/>
      <c r="Q844" s="143"/>
      <c r="R844" s="143"/>
      <c r="S844" s="143"/>
      <c r="T844" s="143"/>
      <c r="U844" s="143"/>
      <c r="V844" s="143"/>
      <c r="W844" s="143"/>
      <c r="X844" s="143"/>
      <c r="Y844" s="143"/>
      <c r="Z844" s="143"/>
      <c r="AA844" s="143"/>
      <c r="AB844" s="143"/>
      <c r="AC844" s="143"/>
      <c r="AD844" s="143"/>
      <c r="AE844" s="143"/>
      <c r="AF844" s="143"/>
      <c r="AG844" s="143"/>
      <c r="AH844" s="143"/>
      <c r="AI844" s="143"/>
      <c r="AJ844" s="143"/>
    </row>
    <row r="845" spans="1:36" ht="12.75" customHeight="1" x14ac:dyDescent="0.25">
      <c r="A845" s="143"/>
      <c r="B845" s="145"/>
      <c r="C845" s="146"/>
      <c r="D845" s="114"/>
      <c r="E845" s="148"/>
      <c r="F845" s="148"/>
      <c r="G845" s="114"/>
      <c r="H845" s="149"/>
      <c r="I845" s="143"/>
      <c r="J845" s="143"/>
      <c r="K845" s="143"/>
      <c r="L845" s="143"/>
      <c r="M845" s="150"/>
      <c r="N845" s="143"/>
      <c r="O845" s="1"/>
      <c r="P845" s="151"/>
      <c r="Q845" s="143"/>
      <c r="R845" s="143"/>
      <c r="S845" s="143"/>
      <c r="T845" s="143"/>
      <c r="U845" s="143"/>
      <c r="V845" s="143"/>
      <c r="W845" s="143"/>
      <c r="X845" s="143"/>
      <c r="Y845" s="143"/>
      <c r="Z845" s="143"/>
      <c r="AA845" s="143"/>
      <c r="AB845" s="143"/>
      <c r="AC845" s="143"/>
      <c r="AD845" s="143"/>
      <c r="AE845" s="143"/>
      <c r="AF845" s="143"/>
      <c r="AG845" s="143"/>
      <c r="AH845" s="143"/>
      <c r="AI845" s="143"/>
      <c r="AJ845" s="143"/>
    </row>
    <row r="846" spans="1:36" ht="12.75" customHeight="1" x14ac:dyDescent="0.25">
      <c r="A846" s="143"/>
      <c r="B846" s="145"/>
      <c r="C846" s="146"/>
      <c r="D846" s="114"/>
      <c r="E846" s="148"/>
      <c r="F846" s="148"/>
      <c r="G846" s="114"/>
      <c r="H846" s="149"/>
      <c r="I846" s="143"/>
      <c r="J846" s="143"/>
      <c r="K846" s="143"/>
      <c r="L846" s="143"/>
      <c r="M846" s="150"/>
      <c r="N846" s="143"/>
      <c r="O846" s="1"/>
      <c r="P846" s="151"/>
      <c r="Q846" s="143"/>
      <c r="R846" s="143"/>
      <c r="S846" s="143"/>
      <c r="T846" s="143"/>
      <c r="U846" s="143"/>
      <c r="V846" s="143"/>
      <c r="W846" s="143"/>
      <c r="X846" s="143"/>
      <c r="Y846" s="143"/>
      <c r="Z846" s="143"/>
      <c r="AA846" s="143"/>
      <c r="AB846" s="143"/>
      <c r="AC846" s="143"/>
      <c r="AD846" s="143"/>
      <c r="AE846" s="143"/>
      <c r="AF846" s="143"/>
      <c r="AG846" s="143"/>
      <c r="AH846" s="143"/>
      <c r="AI846" s="143"/>
      <c r="AJ846" s="143"/>
    </row>
    <row r="847" spans="1:36" ht="12.75" customHeight="1" x14ac:dyDescent="0.25">
      <c r="A847" s="143"/>
      <c r="B847" s="145"/>
      <c r="C847" s="146"/>
      <c r="D847" s="114"/>
      <c r="E847" s="148"/>
      <c r="F847" s="148"/>
      <c r="G847" s="114"/>
      <c r="H847" s="149"/>
      <c r="I847" s="143"/>
      <c r="J847" s="143"/>
      <c r="K847" s="143"/>
      <c r="L847" s="143"/>
      <c r="M847" s="150"/>
      <c r="N847" s="143"/>
      <c r="O847" s="1"/>
      <c r="P847" s="151"/>
      <c r="Q847" s="143"/>
      <c r="R847" s="143"/>
      <c r="S847" s="143"/>
      <c r="T847" s="143"/>
      <c r="U847" s="143"/>
      <c r="V847" s="143"/>
      <c r="W847" s="143"/>
      <c r="X847" s="143"/>
      <c r="Y847" s="143"/>
      <c r="Z847" s="143"/>
      <c r="AA847" s="143"/>
      <c r="AB847" s="143"/>
      <c r="AC847" s="143"/>
      <c r="AD847" s="143"/>
      <c r="AE847" s="143"/>
      <c r="AF847" s="143"/>
      <c r="AG847" s="143"/>
      <c r="AH847" s="143"/>
      <c r="AI847" s="143"/>
      <c r="AJ847" s="143"/>
    </row>
    <row r="848" spans="1:36" ht="12.75" customHeight="1" x14ac:dyDescent="0.25">
      <c r="A848" s="143"/>
      <c r="B848" s="145"/>
      <c r="C848" s="146"/>
      <c r="D848" s="114"/>
      <c r="E848" s="148"/>
      <c r="F848" s="148"/>
      <c r="G848" s="114"/>
      <c r="H848" s="149"/>
      <c r="I848" s="143"/>
      <c r="J848" s="143"/>
      <c r="K848" s="143"/>
      <c r="L848" s="143"/>
      <c r="M848" s="150"/>
      <c r="N848" s="143"/>
      <c r="O848" s="1"/>
      <c r="P848" s="151"/>
      <c r="Q848" s="143"/>
      <c r="R848" s="143"/>
      <c r="S848" s="143"/>
      <c r="T848" s="143"/>
      <c r="U848" s="143"/>
      <c r="V848" s="143"/>
      <c r="W848" s="143"/>
      <c r="X848" s="143"/>
      <c r="Y848" s="143"/>
      <c r="Z848" s="143"/>
      <c r="AA848" s="143"/>
      <c r="AB848" s="143"/>
      <c r="AC848" s="143"/>
      <c r="AD848" s="143"/>
      <c r="AE848" s="143"/>
      <c r="AF848" s="143"/>
      <c r="AG848" s="143"/>
      <c r="AH848" s="143"/>
      <c r="AI848" s="143"/>
      <c r="AJ848" s="143"/>
    </row>
    <row r="849" spans="1:36" ht="12.75" customHeight="1" x14ac:dyDescent="0.25">
      <c r="A849" s="143"/>
      <c r="B849" s="145"/>
      <c r="C849" s="146"/>
      <c r="D849" s="114"/>
      <c r="E849" s="148"/>
      <c r="F849" s="148"/>
      <c r="G849" s="114"/>
      <c r="H849" s="149"/>
      <c r="I849" s="143"/>
      <c r="J849" s="143"/>
      <c r="K849" s="143"/>
      <c r="L849" s="143"/>
      <c r="M849" s="150"/>
      <c r="N849" s="143"/>
      <c r="O849" s="1"/>
      <c r="P849" s="151"/>
      <c r="Q849" s="143"/>
      <c r="R849" s="143"/>
      <c r="S849" s="143"/>
      <c r="T849" s="143"/>
      <c r="U849" s="143"/>
      <c r="V849" s="143"/>
      <c r="W849" s="143"/>
      <c r="X849" s="143"/>
      <c r="Y849" s="143"/>
      <c r="Z849" s="143"/>
      <c r="AA849" s="143"/>
      <c r="AB849" s="143"/>
      <c r="AC849" s="143"/>
      <c r="AD849" s="143"/>
      <c r="AE849" s="143"/>
      <c r="AF849" s="143"/>
      <c r="AG849" s="143"/>
      <c r="AH849" s="143"/>
      <c r="AI849" s="143"/>
      <c r="AJ849" s="143"/>
    </row>
    <row r="850" spans="1:36" ht="12.75" customHeight="1" x14ac:dyDescent="0.25">
      <c r="A850" s="143"/>
      <c r="B850" s="145"/>
      <c r="C850" s="146"/>
      <c r="D850" s="114"/>
      <c r="E850" s="148"/>
      <c r="F850" s="148"/>
      <c r="G850" s="114"/>
      <c r="H850" s="149"/>
      <c r="I850" s="143"/>
      <c r="J850" s="143"/>
      <c r="K850" s="143"/>
      <c r="L850" s="143"/>
      <c r="M850" s="150"/>
      <c r="N850" s="143"/>
      <c r="O850" s="1"/>
      <c r="P850" s="151"/>
      <c r="Q850" s="143"/>
      <c r="R850" s="143"/>
      <c r="S850" s="143"/>
      <c r="T850" s="143"/>
      <c r="U850" s="143"/>
      <c r="V850" s="143"/>
      <c r="W850" s="143"/>
      <c r="X850" s="143"/>
      <c r="Y850" s="143"/>
      <c r="Z850" s="143"/>
      <c r="AA850" s="143"/>
      <c r="AB850" s="143"/>
      <c r="AC850" s="143"/>
      <c r="AD850" s="143"/>
      <c r="AE850" s="143"/>
      <c r="AF850" s="143"/>
      <c r="AG850" s="143"/>
      <c r="AH850" s="143"/>
      <c r="AI850" s="143"/>
      <c r="AJ850" s="143"/>
    </row>
    <row r="851" spans="1:36" ht="12.75" customHeight="1" x14ac:dyDescent="0.25">
      <c r="A851" s="143"/>
      <c r="B851" s="145"/>
      <c r="C851" s="146"/>
      <c r="D851" s="114"/>
      <c r="E851" s="148"/>
      <c r="F851" s="148"/>
      <c r="G851" s="114"/>
      <c r="H851" s="149"/>
      <c r="I851" s="143"/>
      <c r="J851" s="143"/>
      <c r="K851" s="143"/>
      <c r="L851" s="143"/>
      <c r="M851" s="150"/>
      <c r="N851" s="143"/>
      <c r="O851" s="1"/>
      <c r="P851" s="151"/>
      <c r="Q851" s="143"/>
      <c r="R851" s="143"/>
      <c r="S851" s="143"/>
      <c r="T851" s="143"/>
      <c r="U851" s="143"/>
      <c r="V851" s="143"/>
      <c r="W851" s="143"/>
      <c r="X851" s="143"/>
      <c r="Y851" s="143"/>
      <c r="Z851" s="143"/>
      <c r="AA851" s="143"/>
      <c r="AB851" s="143"/>
      <c r="AC851" s="143"/>
      <c r="AD851" s="143"/>
      <c r="AE851" s="143"/>
      <c r="AF851" s="143"/>
      <c r="AG851" s="143"/>
      <c r="AH851" s="143"/>
      <c r="AI851" s="143"/>
      <c r="AJ851" s="143"/>
    </row>
    <row r="852" spans="1:36" ht="12.75" customHeight="1" x14ac:dyDescent="0.25">
      <c r="A852" s="143"/>
      <c r="B852" s="145"/>
      <c r="C852" s="146"/>
      <c r="D852" s="114"/>
      <c r="E852" s="148"/>
      <c r="F852" s="148"/>
      <c r="G852" s="114"/>
      <c r="H852" s="149"/>
      <c r="I852" s="143"/>
      <c r="J852" s="143"/>
      <c r="K852" s="143"/>
      <c r="L852" s="143"/>
      <c r="M852" s="150"/>
      <c r="N852" s="143"/>
      <c r="O852" s="1"/>
      <c r="P852" s="151"/>
      <c r="Q852" s="143"/>
      <c r="R852" s="143"/>
      <c r="S852" s="143"/>
      <c r="T852" s="143"/>
      <c r="U852" s="143"/>
      <c r="V852" s="143"/>
      <c r="W852" s="143"/>
      <c r="X852" s="143"/>
      <c r="Y852" s="143"/>
      <c r="Z852" s="143"/>
      <c r="AA852" s="143"/>
      <c r="AB852" s="143"/>
      <c r="AC852" s="143"/>
      <c r="AD852" s="143"/>
      <c r="AE852" s="143"/>
      <c r="AF852" s="143"/>
      <c r="AG852" s="143"/>
      <c r="AH852" s="143"/>
      <c r="AI852" s="143"/>
      <c r="AJ852" s="143"/>
    </row>
    <row r="853" spans="1:36" ht="12.75" customHeight="1" x14ac:dyDescent="0.25">
      <c r="A853" s="143"/>
      <c r="B853" s="145"/>
      <c r="C853" s="146"/>
      <c r="D853" s="114"/>
      <c r="E853" s="148"/>
      <c r="F853" s="148"/>
      <c r="G853" s="114"/>
      <c r="H853" s="149"/>
      <c r="I853" s="143"/>
      <c r="J853" s="143"/>
      <c r="K853" s="143"/>
      <c r="L853" s="143"/>
      <c r="M853" s="150"/>
      <c r="N853" s="143"/>
      <c r="O853" s="1"/>
      <c r="P853" s="151"/>
      <c r="Q853" s="143"/>
      <c r="R853" s="143"/>
      <c r="S853" s="143"/>
      <c r="T853" s="143"/>
      <c r="U853" s="143"/>
      <c r="V853" s="143"/>
      <c r="W853" s="143"/>
      <c r="X853" s="143"/>
      <c r="Y853" s="143"/>
      <c r="Z853" s="143"/>
      <c r="AA853" s="143"/>
      <c r="AB853" s="143"/>
      <c r="AC853" s="143"/>
      <c r="AD853" s="143"/>
      <c r="AE853" s="143"/>
      <c r="AF853" s="143"/>
      <c r="AG853" s="143"/>
      <c r="AH853" s="143"/>
      <c r="AI853" s="143"/>
      <c r="AJ853" s="143"/>
    </row>
    <row r="854" spans="1:36" ht="12.75" customHeight="1" x14ac:dyDescent="0.25">
      <c r="A854" s="143"/>
      <c r="B854" s="145"/>
      <c r="C854" s="146"/>
      <c r="D854" s="114"/>
      <c r="E854" s="148"/>
      <c r="F854" s="148"/>
      <c r="G854" s="114"/>
      <c r="H854" s="149"/>
      <c r="I854" s="143"/>
      <c r="J854" s="143"/>
      <c r="K854" s="143"/>
      <c r="L854" s="143"/>
      <c r="M854" s="150"/>
      <c r="N854" s="143"/>
      <c r="O854" s="1"/>
      <c r="P854" s="151"/>
      <c r="Q854" s="143"/>
      <c r="R854" s="143"/>
      <c r="S854" s="143"/>
      <c r="T854" s="143"/>
      <c r="U854" s="143"/>
      <c r="V854" s="143"/>
      <c r="W854" s="143"/>
      <c r="X854" s="143"/>
      <c r="Y854" s="143"/>
      <c r="Z854" s="143"/>
      <c r="AA854" s="143"/>
      <c r="AB854" s="143"/>
      <c r="AC854" s="143"/>
      <c r="AD854" s="143"/>
      <c r="AE854" s="143"/>
      <c r="AF854" s="143"/>
      <c r="AG854" s="143"/>
      <c r="AH854" s="143"/>
      <c r="AI854" s="143"/>
      <c r="AJ854" s="143"/>
    </row>
    <row r="855" spans="1:36" ht="12.75" customHeight="1" x14ac:dyDescent="0.25">
      <c r="A855" s="143"/>
      <c r="B855" s="145"/>
      <c r="C855" s="146"/>
      <c r="D855" s="114"/>
      <c r="E855" s="148"/>
      <c r="F855" s="148"/>
      <c r="G855" s="114"/>
      <c r="H855" s="149"/>
      <c r="I855" s="143"/>
      <c r="J855" s="143"/>
      <c r="K855" s="143"/>
      <c r="L855" s="143"/>
      <c r="M855" s="150"/>
      <c r="N855" s="143"/>
      <c r="O855" s="1"/>
      <c r="P855" s="151"/>
      <c r="Q855" s="143"/>
      <c r="R855" s="143"/>
      <c r="S855" s="143"/>
      <c r="T855" s="143"/>
      <c r="U855" s="143"/>
      <c r="V855" s="143"/>
      <c r="W855" s="143"/>
      <c r="X855" s="143"/>
      <c r="Y855" s="143"/>
      <c r="Z855" s="143"/>
      <c r="AA855" s="143"/>
      <c r="AB855" s="143"/>
      <c r="AC855" s="143"/>
      <c r="AD855" s="143"/>
      <c r="AE855" s="143"/>
      <c r="AF855" s="143"/>
      <c r="AG855" s="143"/>
      <c r="AH855" s="143"/>
      <c r="AI855" s="143"/>
      <c r="AJ855" s="143"/>
    </row>
    <row r="856" spans="1:36" ht="12.75" customHeight="1" x14ac:dyDescent="0.25">
      <c r="A856" s="143"/>
      <c r="B856" s="145"/>
      <c r="C856" s="146"/>
      <c r="D856" s="114"/>
      <c r="E856" s="148"/>
      <c r="F856" s="148"/>
      <c r="G856" s="114"/>
      <c r="H856" s="149"/>
      <c r="I856" s="143"/>
      <c r="J856" s="143"/>
      <c r="K856" s="143"/>
      <c r="L856" s="143"/>
      <c r="M856" s="150"/>
      <c r="N856" s="143"/>
      <c r="O856" s="1"/>
      <c r="P856" s="151"/>
      <c r="Q856" s="143"/>
      <c r="R856" s="143"/>
      <c r="S856" s="143"/>
      <c r="T856" s="143"/>
      <c r="U856" s="143"/>
      <c r="V856" s="143"/>
      <c r="W856" s="143"/>
      <c r="X856" s="143"/>
      <c r="Y856" s="143"/>
      <c r="Z856" s="143"/>
      <c r="AA856" s="143"/>
      <c r="AB856" s="143"/>
      <c r="AC856" s="143"/>
      <c r="AD856" s="143"/>
      <c r="AE856" s="143"/>
      <c r="AF856" s="143"/>
      <c r="AG856" s="143"/>
      <c r="AH856" s="143"/>
      <c r="AI856" s="143"/>
      <c r="AJ856" s="143"/>
    </row>
    <row r="857" spans="1:36" ht="12.75" customHeight="1" x14ac:dyDescent="0.25">
      <c r="A857" s="143"/>
      <c r="B857" s="145"/>
      <c r="C857" s="146"/>
      <c r="D857" s="114"/>
      <c r="E857" s="148"/>
      <c r="F857" s="148"/>
      <c r="G857" s="114"/>
      <c r="H857" s="149"/>
      <c r="I857" s="143"/>
      <c r="J857" s="143"/>
      <c r="K857" s="143"/>
      <c r="L857" s="143"/>
      <c r="M857" s="150"/>
      <c r="N857" s="143"/>
      <c r="O857" s="1"/>
      <c r="P857" s="151"/>
      <c r="Q857" s="143"/>
      <c r="R857" s="143"/>
      <c r="S857" s="143"/>
      <c r="T857" s="143"/>
      <c r="U857" s="143"/>
      <c r="V857" s="143"/>
      <c r="W857" s="143"/>
      <c r="X857" s="143"/>
      <c r="Y857" s="143"/>
      <c r="Z857" s="143"/>
      <c r="AA857" s="143"/>
      <c r="AB857" s="143"/>
      <c r="AC857" s="143"/>
      <c r="AD857" s="143"/>
      <c r="AE857" s="143"/>
      <c r="AF857" s="143"/>
      <c r="AG857" s="143"/>
      <c r="AH857" s="143"/>
      <c r="AI857" s="143"/>
      <c r="AJ857" s="143"/>
    </row>
    <row r="858" spans="1:36" ht="12.75" customHeight="1" x14ac:dyDescent="0.25">
      <c r="A858" s="143"/>
      <c r="B858" s="145"/>
      <c r="C858" s="146"/>
      <c r="D858" s="114"/>
      <c r="E858" s="148"/>
      <c r="F858" s="148"/>
      <c r="G858" s="114"/>
      <c r="H858" s="149"/>
      <c r="I858" s="143"/>
      <c r="J858" s="143"/>
      <c r="K858" s="143"/>
      <c r="L858" s="143"/>
      <c r="M858" s="150"/>
      <c r="N858" s="143"/>
      <c r="O858" s="1"/>
      <c r="P858" s="151"/>
      <c r="Q858" s="143"/>
      <c r="R858" s="143"/>
      <c r="S858" s="143"/>
      <c r="T858" s="143"/>
      <c r="U858" s="143"/>
      <c r="V858" s="143"/>
      <c r="W858" s="143"/>
      <c r="X858" s="143"/>
      <c r="Y858" s="143"/>
      <c r="Z858" s="143"/>
      <c r="AA858" s="143"/>
      <c r="AB858" s="143"/>
      <c r="AC858" s="143"/>
      <c r="AD858" s="143"/>
      <c r="AE858" s="143"/>
      <c r="AF858" s="143"/>
      <c r="AG858" s="143"/>
      <c r="AH858" s="143"/>
      <c r="AI858" s="143"/>
      <c r="AJ858" s="143"/>
    </row>
    <row r="859" spans="1:36" ht="12.75" customHeight="1" x14ac:dyDescent="0.25">
      <c r="A859" s="143"/>
      <c r="B859" s="145"/>
      <c r="C859" s="146"/>
      <c r="D859" s="114"/>
      <c r="E859" s="148"/>
      <c r="F859" s="148"/>
      <c r="G859" s="114"/>
      <c r="H859" s="149"/>
      <c r="I859" s="143"/>
      <c r="J859" s="143"/>
      <c r="K859" s="143"/>
      <c r="L859" s="143"/>
      <c r="M859" s="150"/>
      <c r="N859" s="143"/>
      <c r="O859" s="1"/>
      <c r="P859" s="151"/>
      <c r="Q859" s="143"/>
      <c r="R859" s="143"/>
      <c r="S859" s="143"/>
      <c r="T859" s="143"/>
      <c r="U859" s="143"/>
      <c r="V859" s="143"/>
      <c r="W859" s="143"/>
      <c r="X859" s="143"/>
      <c r="Y859" s="143"/>
      <c r="Z859" s="143"/>
      <c r="AA859" s="143"/>
      <c r="AB859" s="143"/>
      <c r="AC859" s="143"/>
      <c r="AD859" s="143"/>
      <c r="AE859" s="143"/>
      <c r="AF859" s="143"/>
      <c r="AG859" s="143"/>
      <c r="AH859" s="143"/>
      <c r="AI859" s="143"/>
      <c r="AJ859" s="143"/>
    </row>
    <row r="860" spans="1:36" ht="12.75" customHeight="1" x14ac:dyDescent="0.25">
      <c r="A860" s="143"/>
      <c r="B860" s="145"/>
      <c r="C860" s="146"/>
      <c r="D860" s="114"/>
      <c r="E860" s="148"/>
      <c r="F860" s="148"/>
      <c r="G860" s="114"/>
      <c r="H860" s="149"/>
      <c r="I860" s="143"/>
      <c r="J860" s="143"/>
      <c r="K860" s="143"/>
      <c r="L860" s="143"/>
      <c r="M860" s="150"/>
      <c r="N860" s="143"/>
      <c r="O860" s="1"/>
      <c r="P860" s="151"/>
      <c r="Q860" s="143"/>
      <c r="R860" s="143"/>
      <c r="S860" s="143"/>
      <c r="T860" s="143"/>
      <c r="U860" s="143"/>
      <c r="V860" s="143"/>
      <c r="W860" s="143"/>
      <c r="X860" s="143"/>
      <c r="Y860" s="143"/>
      <c r="Z860" s="143"/>
      <c r="AA860" s="143"/>
      <c r="AB860" s="143"/>
      <c r="AC860" s="143"/>
      <c r="AD860" s="143"/>
      <c r="AE860" s="143"/>
      <c r="AF860" s="143"/>
      <c r="AG860" s="143"/>
      <c r="AH860" s="143"/>
      <c r="AI860" s="143"/>
      <c r="AJ860" s="143"/>
    </row>
    <row r="861" spans="1:36" ht="12.75" customHeight="1" x14ac:dyDescent="0.25">
      <c r="A861" s="143"/>
      <c r="B861" s="145"/>
      <c r="C861" s="146"/>
      <c r="D861" s="114"/>
      <c r="E861" s="148"/>
      <c r="F861" s="148"/>
      <c r="G861" s="114"/>
      <c r="H861" s="149"/>
      <c r="I861" s="143"/>
      <c r="J861" s="143"/>
      <c r="K861" s="143"/>
      <c r="L861" s="143"/>
      <c r="M861" s="150"/>
      <c r="N861" s="143"/>
      <c r="O861" s="1"/>
      <c r="P861" s="151"/>
      <c r="Q861" s="143"/>
      <c r="R861" s="143"/>
      <c r="S861" s="143"/>
      <c r="T861" s="143"/>
      <c r="U861" s="143"/>
      <c r="V861" s="143"/>
      <c r="W861" s="143"/>
      <c r="X861" s="143"/>
      <c r="Y861" s="143"/>
      <c r="Z861" s="143"/>
      <c r="AA861" s="143"/>
      <c r="AB861" s="143"/>
      <c r="AC861" s="143"/>
      <c r="AD861" s="143"/>
      <c r="AE861" s="143"/>
      <c r="AF861" s="143"/>
      <c r="AG861" s="143"/>
      <c r="AH861" s="143"/>
      <c r="AI861" s="143"/>
      <c r="AJ861" s="143"/>
    </row>
    <row r="862" spans="1:36" ht="12.75" customHeight="1" x14ac:dyDescent="0.25">
      <c r="A862" s="143"/>
      <c r="B862" s="145"/>
      <c r="C862" s="146"/>
      <c r="D862" s="114"/>
      <c r="E862" s="148"/>
      <c r="F862" s="148"/>
      <c r="G862" s="114"/>
      <c r="H862" s="149"/>
      <c r="I862" s="143"/>
      <c r="J862" s="143"/>
      <c r="K862" s="143"/>
      <c r="L862" s="143"/>
      <c r="M862" s="150"/>
      <c r="N862" s="143"/>
      <c r="O862" s="1"/>
      <c r="P862" s="151"/>
      <c r="Q862" s="143"/>
      <c r="R862" s="143"/>
      <c r="S862" s="143"/>
      <c r="T862" s="143"/>
      <c r="U862" s="143"/>
      <c r="V862" s="143"/>
      <c r="W862" s="143"/>
      <c r="X862" s="143"/>
      <c r="Y862" s="143"/>
      <c r="Z862" s="143"/>
      <c r="AA862" s="143"/>
      <c r="AB862" s="143"/>
      <c r="AC862" s="143"/>
      <c r="AD862" s="143"/>
      <c r="AE862" s="143"/>
      <c r="AF862" s="143"/>
      <c r="AG862" s="143"/>
      <c r="AH862" s="143"/>
      <c r="AI862" s="143"/>
      <c r="AJ862" s="143"/>
    </row>
    <row r="863" spans="1:36" ht="12.75" customHeight="1" x14ac:dyDescent="0.25">
      <c r="A863" s="143"/>
      <c r="B863" s="145"/>
      <c r="C863" s="146"/>
      <c r="D863" s="114"/>
      <c r="E863" s="148"/>
      <c r="F863" s="148"/>
      <c r="G863" s="114"/>
      <c r="H863" s="149"/>
      <c r="I863" s="143"/>
      <c r="J863" s="143"/>
      <c r="K863" s="143"/>
      <c r="L863" s="143"/>
      <c r="M863" s="150"/>
      <c r="N863" s="143"/>
      <c r="O863" s="1"/>
      <c r="P863" s="151"/>
      <c r="Q863" s="143"/>
      <c r="R863" s="143"/>
      <c r="S863" s="143"/>
      <c r="T863" s="143"/>
      <c r="U863" s="143"/>
      <c r="V863" s="143"/>
      <c r="W863" s="143"/>
      <c r="X863" s="143"/>
      <c r="Y863" s="143"/>
      <c r="Z863" s="143"/>
      <c r="AA863" s="143"/>
      <c r="AB863" s="143"/>
      <c r="AC863" s="143"/>
      <c r="AD863" s="143"/>
      <c r="AE863" s="143"/>
      <c r="AF863" s="143"/>
      <c r="AG863" s="143"/>
      <c r="AH863" s="143"/>
      <c r="AI863" s="143"/>
      <c r="AJ863" s="143"/>
    </row>
    <row r="864" spans="1:36" ht="12.75" customHeight="1" x14ac:dyDescent="0.25">
      <c r="A864" s="143"/>
      <c r="B864" s="145"/>
      <c r="C864" s="146"/>
      <c r="D864" s="114"/>
      <c r="E864" s="148"/>
      <c r="F864" s="148"/>
      <c r="G864" s="114"/>
      <c r="H864" s="149"/>
      <c r="I864" s="143"/>
      <c r="J864" s="143"/>
      <c r="K864" s="143"/>
      <c r="L864" s="143"/>
      <c r="M864" s="150"/>
      <c r="N864" s="143"/>
      <c r="O864" s="1"/>
      <c r="P864" s="151"/>
      <c r="Q864" s="143"/>
      <c r="R864" s="143"/>
      <c r="S864" s="143"/>
      <c r="T864" s="143"/>
      <c r="U864" s="143"/>
      <c r="V864" s="143"/>
      <c r="W864" s="143"/>
      <c r="X864" s="143"/>
      <c r="Y864" s="143"/>
      <c r="Z864" s="143"/>
      <c r="AA864" s="143"/>
      <c r="AB864" s="143"/>
      <c r="AC864" s="143"/>
      <c r="AD864" s="143"/>
      <c r="AE864" s="143"/>
      <c r="AF864" s="143"/>
      <c r="AG864" s="143"/>
      <c r="AH864" s="143"/>
      <c r="AI864" s="143"/>
      <c r="AJ864" s="143"/>
    </row>
    <row r="865" spans="1:36" ht="12.75" customHeight="1" x14ac:dyDescent="0.25">
      <c r="A865" s="143"/>
      <c r="B865" s="145"/>
      <c r="C865" s="146"/>
      <c r="D865" s="114"/>
      <c r="E865" s="148"/>
      <c r="F865" s="148"/>
      <c r="G865" s="114"/>
      <c r="H865" s="149"/>
      <c r="I865" s="143"/>
      <c r="J865" s="143"/>
      <c r="K865" s="143"/>
      <c r="L865" s="143"/>
      <c r="M865" s="150"/>
      <c r="N865" s="143"/>
      <c r="O865" s="1"/>
      <c r="P865" s="151"/>
      <c r="Q865" s="143"/>
      <c r="R865" s="143"/>
      <c r="S865" s="143"/>
      <c r="T865" s="143"/>
      <c r="U865" s="143"/>
      <c r="V865" s="143"/>
      <c r="W865" s="143"/>
      <c r="X865" s="143"/>
      <c r="Y865" s="143"/>
      <c r="Z865" s="143"/>
      <c r="AA865" s="143"/>
      <c r="AB865" s="143"/>
      <c r="AC865" s="143"/>
      <c r="AD865" s="143"/>
      <c r="AE865" s="143"/>
      <c r="AF865" s="143"/>
      <c r="AG865" s="143"/>
      <c r="AH865" s="143"/>
      <c r="AI865" s="143"/>
      <c r="AJ865" s="143"/>
    </row>
    <row r="866" spans="1:36" ht="12.75" customHeight="1" x14ac:dyDescent="0.25">
      <c r="A866" s="143"/>
      <c r="B866" s="145"/>
      <c r="C866" s="146"/>
      <c r="D866" s="114"/>
      <c r="E866" s="148"/>
      <c r="F866" s="148"/>
      <c r="G866" s="114"/>
      <c r="H866" s="149"/>
      <c r="I866" s="143"/>
      <c r="J866" s="143"/>
      <c r="K866" s="143"/>
      <c r="L866" s="143"/>
      <c r="M866" s="150"/>
      <c r="N866" s="143"/>
      <c r="O866" s="1"/>
      <c r="P866" s="151"/>
      <c r="Q866" s="143"/>
      <c r="R866" s="143"/>
      <c r="S866" s="143"/>
      <c r="T866" s="143"/>
      <c r="U866" s="143"/>
      <c r="V866" s="143"/>
      <c r="W866" s="143"/>
      <c r="X866" s="143"/>
      <c r="Y866" s="143"/>
      <c r="Z866" s="143"/>
      <c r="AA866" s="143"/>
      <c r="AB866" s="143"/>
      <c r="AC866" s="143"/>
      <c r="AD866" s="143"/>
      <c r="AE866" s="143"/>
      <c r="AF866" s="143"/>
      <c r="AG866" s="143"/>
      <c r="AH866" s="143"/>
      <c r="AI866" s="143"/>
      <c r="AJ866" s="143"/>
    </row>
    <row r="867" spans="1:36" ht="12.75" customHeight="1" x14ac:dyDescent="0.25">
      <c r="A867" s="143"/>
      <c r="B867" s="145"/>
      <c r="C867" s="146"/>
      <c r="D867" s="114"/>
      <c r="E867" s="148"/>
      <c r="F867" s="148"/>
      <c r="G867" s="114"/>
      <c r="H867" s="149"/>
      <c r="I867" s="143"/>
      <c r="J867" s="143"/>
      <c r="K867" s="143"/>
      <c r="L867" s="143"/>
      <c r="M867" s="150"/>
      <c r="N867" s="143"/>
      <c r="O867" s="1"/>
      <c r="P867" s="151"/>
      <c r="Q867" s="143"/>
      <c r="R867" s="143"/>
      <c r="S867" s="143"/>
      <c r="T867" s="143"/>
      <c r="U867" s="143"/>
      <c r="V867" s="143"/>
      <c r="W867" s="143"/>
      <c r="X867" s="143"/>
      <c r="Y867" s="143"/>
      <c r="Z867" s="143"/>
      <c r="AA867" s="143"/>
      <c r="AB867" s="143"/>
      <c r="AC867" s="143"/>
      <c r="AD867" s="143"/>
      <c r="AE867" s="143"/>
      <c r="AF867" s="143"/>
      <c r="AG867" s="143"/>
      <c r="AH867" s="143"/>
      <c r="AI867" s="143"/>
      <c r="AJ867" s="143"/>
    </row>
    <row r="868" spans="1:36" ht="12.75" customHeight="1" x14ac:dyDescent="0.25">
      <c r="A868" s="143"/>
      <c r="B868" s="145"/>
      <c r="C868" s="146"/>
      <c r="D868" s="114"/>
      <c r="E868" s="148"/>
      <c r="F868" s="148"/>
      <c r="G868" s="114"/>
      <c r="H868" s="149"/>
      <c r="I868" s="143"/>
      <c r="J868" s="143"/>
      <c r="K868" s="143"/>
      <c r="L868" s="143"/>
      <c r="M868" s="150"/>
      <c r="N868" s="143"/>
      <c r="O868" s="1"/>
      <c r="P868" s="151"/>
      <c r="Q868" s="143"/>
      <c r="R868" s="143"/>
      <c r="S868" s="143"/>
      <c r="T868" s="143"/>
      <c r="U868" s="143"/>
      <c r="V868" s="143"/>
      <c r="W868" s="143"/>
      <c r="X868" s="143"/>
      <c r="Y868" s="143"/>
      <c r="Z868" s="143"/>
      <c r="AA868" s="143"/>
      <c r="AB868" s="143"/>
      <c r="AC868" s="143"/>
      <c r="AD868" s="143"/>
      <c r="AE868" s="143"/>
      <c r="AF868" s="143"/>
      <c r="AG868" s="143"/>
      <c r="AH868" s="143"/>
      <c r="AI868" s="143"/>
      <c r="AJ868" s="143"/>
    </row>
    <row r="869" spans="1:36" ht="12.75" customHeight="1" x14ac:dyDescent="0.25">
      <c r="A869" s="143"/>
      <c r="B869" s="145"/>
      <c r="C869" s="146"/>
      <c r="D869" s="114"/>
      <c r="E869" s="148"/>
      <c r="F869" s="148"/>
      <c r="G869" s="114"/>
      <c r="H869" s="149"/>
      <c r="I869" s="143"/>
      <c r="J869" s="143"/>
      <c r="K869" s="143"/>
      <c r="L869" s="143"/>
      <c r="M869" s="150"/>
      <c r="N869" s="143"/>
      <c r="O869" s="1"/>
      <c r="P869" s="151"/>
      <c r="Q869" s="143"/>
      <c r="R869" s="143"/>
      <c r="S869" s="143"/>
      <c r="T869" s="143"/>
      <c r="U869" s="143"/>
      <c r="V869" s="143"/>
      <c r="W869" s="143"/>
      <c r="X869" s="143"/>
      <c r="Y869" s="143"/>
      <c r="Z869" s="143"/>
      <c r="AA869" s="143"/>
      <c r="AB869" s="143"/>
      <c r="AC869" s="143"/>
      <c r="AD869" s="143"/>
      <c r="AE869" s="143"/>
      <c r="AF869" s="143"/>
      <c r="AG869" s="143"/>
      <c r="AH869" s="143"/>
      <c r="AI869" s="143"/>
      <c r="AJ869" s="143"/>
    </row>
    <row r="870" spans="1:36" ht="12.75" customHeight="1" x14ac:dyDescent="0.25">
      <c r="A870" s="143"/>
      <c r="B870" s="145"/>
      <c r="C870" s="146"/>
      <c r="D870" s="114"/>
      <c r="E870" s="148"/>
      <c r="F870" s="148"/>
      <c r="G870" s="114"/>
      <c r="H870" s="149"/>
      <c r="I870" s="143"/>
      <c r="J870" s="143"/>
      <c r="K870" s="143"/>
      <c r="L870" s="143"/>
      <c r="M870" s="150"/>
      <c r="N870" s="143"/>
      <c r="O870" s="1"/>
      <c r="P870" s="151"/>
      <c r="Q870" s="143"/>
      <c r="R870" s="143"/>
      <c r="S870" s="143"/>
      <c r="T870" s="143"/>
      <c r="U870" s="143"/>
      <c r="V870" s="143"/>
      <c r="W870" s="143"/>
      <c r="X870" s="143"/>
      <c r="Y870" s="143"/>
      <c r="Z870" s="143"/>
      <c r="AA870" s="143"/>
      <c r="AB870" s="143"/>
      <c r="AC870" s="143"/>
      <c r="AD870" s="143"/>
      <c r="AE870" s="143"/>
      <c r="AF870" s="143"/>
      <c r="AG870" s="143"/>
      <c r="AH870" s="143"/>
      <c r="AI870" s="143"/>
      <c r="AJ870" s="143"/>
    </row>
    <row r="871" spans="1:36" ht="12.75" customHeight="1" x14ac:dyDescent="0.25">
      <c r="A871" s="143"/>
      <c r="B871" s="145"/>
      <c r="C871" s="146"/>
      <c r="D871" s="114"/>
      <c r="E871" s="148"/>
      <c r="F871" s="148"/>
      <c r="G871" s="114"/>
      <c r="H871" s="149"/>
      <c r="I871" s="143"/>
      <c r="J871" s="143"/>
      <c r="K871" s="143"/>
      <c r="L871" s="143"/>
      <c r="M871" s="150"/>
      <c r="N871" s="143"/>
      <c r="O871" s="1"/>
      <c r="P871" s="151"/>
      <c r="Q871" s="143"/>
      <c r="R871" s="143"/>
      <c r="S871" s="143"/>
      <c r="T871" s="143"/>
      <c r="U871" s="143"/>
      <c r="V871" s="143"/>
      <c r="W871" s="143"/>
      <c r="X871" s="143"/>
      <c r="Y871" s="143"/>
      <c r="Z871" s="143"/>
      <c r="AA871" s="143"/>
      <c r="AB871" s="143"/>
      <c r="AC871" s="143"/>
      <c r="AD871" s="143"/>
      <c r="AE871" s="143"/>
      <c r="AF871" s="143"/>
      <c r="AG871" s="143"/>
      <c r="AH871" s="143"/>
      <c r="AI871" s="143"/>
      <c r="AJ871" s="143"/>
    </row>
    <row r="872" spans="1:36" ht="12.75" customHeight="1" x14ac:dyDescent="0.25">
      <c r="A872" s="143"/>
      <c r="B872" s="145"/>
      <c r="C872" s="146"/>
      <c r="D872" s="114"/>
      <c r="E872" s="148"/>
      <c r="F872" s="148"/>
      <c r="G872" s="114"/>
      <c r="H872" s="149"/>
      <c r="I872" s="143"/>
      <c r="J872" s="143"/>
      <c r="K872" s="143"/>
      <c r="L872" s="143"/>
      <c r="M872" s="150"/>
      <c r="N872" s="143"/>
      <c r="O872" s="1"/>
      <c r="P872" s="151"/>
      <c r="Q872" s="143"/>
      <c r="R872" s="143"/>
      <c r="S872" s="143"/>
      <c r="T872" s="143"/>
      <c r="U872" s="143"/>
      <c r="V872" s="143"/>
      <c r="W872" s="143"/>
      <c r="X872" s="143"/>
      <c r="Y872" s="143"/>
      <c r="Z872" s="143"/>
      <c r="AA872" s="143"/>
      <c r="AB872" s="143"/>
      <c r="AC872" s="143"/>
      <c r="AD872" s="143"/>
      <c r="AE872" s="143"/>
      <c r="AF872" s="143"/>
      <c r="AG872" s="143"/>
      <c r="AH872" s="143"/>
      <c r="AI872" s="143"/>
      <c r="AJ872" s="143"/>
    </row>
    <row r="873" spans="1:36" ht="12.75" customHeight="1" x14ac:dyDescent="0.25">
      <c r="A873" s="143"/>
      <c r="B873" s="145"/>
      <c r="C873" s="146"/>
      <c r="D873" s="114"/>
      <c r="E873" s="148"/>
      <c r="F873" s="148"/>
      <c r="G873" s="114"/>
      <c r="H873" s="149"/>
      <c r="I873" s="143"/>
      <c r="J873" s="143"/>
      <c r="K873" s="143"/>
      <c r="L873" s="143"/>
      <c r="M873" s="150"/>
      <c r="N873" s="143"/>
      <c r="O873" s="1"/>
      <c r="P873" s="151"/>
      <c r="Q873" s="143"/>
      <c r="R873" s="143"/>
      <c r="S873" s="143"/>
      <c r="T873" s="143"/>
      <c r="U873" s="143"/>
      <c r="V873" s="143"/>
      <c r="W873" s="143"/>
      <c r="X873" s="143"/>
      <c r="Y873" s="143"/>
      <c r="Z873" s="143"/>
      <c r="AA873" s="143"/>
      <c r="AB873" s="143"/>
      <c r="AC873" s="143"/>
      <c r="AD873" s="143"/>
      <c r="AE873" s="143"/>
      <c r="AF873" s="143"/>
      <c r="AG873" s="143"/>
      <c r="AH873" s="143"/>
      <c r="AI873" s="143"/>
      <c r="AJ873" s="143"/>
    </row>
    <row r="874" spans="1:36" ht="12.75" customHeight="1" x14ac:dyDescent="0.25">
      <c r="A874" s="143"/>
      <c r="B874" s="145"/>
      <c r="C874" s="146"/>
      <c r="D874" s="114"/>
      <c r="E874" s="148"/>
      <c r="F874" s="148"/>
      <c r="G874" s="114"/>
      <c r="H874" s="149"/>
      <c r="I874" s="143"/>
      <c r="J874" s="143"/>
      <c r="K874" s="143"/>
      <c r="L874" s="143"/>
      <c r="M874" s="150"/>
      <c r="N874" s="143"/>
      <c r="O874" s="1"/>
      <c r="P874" s="151"/>
      <c r="Q874" s="143"/>
      <c r="R874" s="143"/>
      <c r="S874" s="143"/>
      <c r="T874" s="143"/>
      <c r="U874" s="143"/>
      <c r="V874" s="143"/>
      <c r="W874" s="143"/>
      <c r="X874" s="143"/>
      <c r="Y874" s="143"/>
      <c r="Z874" s="143"/>
      <c r="AA874" s="143"/>
      <c r="AB874" s="143"/>
      <c r="AC874" s="143"/>
      <c r="AD874" s="143"/>
      <c r="AE874" s="143"/>
      <c r="AF874" s="143"/>
      <c r="AG874" s="143"/>
      <c r="AH874" s="143"/>
      <c r="AI874" s="143"/>
      <c r="AJ874" s="143"/>
    </row>
    <row r="875" spans="1:36" ht="12.75" customHeight="1" x14ac:dyDescent="0.25">
      <c r="A875" s="143"/>
      <c r="B875" s="145"/>
      <c r="C875" s="146"/>
      <c r="D875" s="114"/>
      <c r="E875" s="148"/>
      <c r="F875" s="148"/>
      <c r="G875" s="114"/>
      <c r="H875" s="149"/>
      <c r="I875" s="143"/>
      <c r="J875" s="143"/>
      <c r="K875" s="143"/>
      <c r="L875" s="143"/>
      <c r="M875" s="150"/>
      <c r="N875" s="143"/>
      <c r="O875" s="1"/>
      <c r="P875" s="151"/>
      <c r="Q875" s="143"/>
      <c r="R875" s="143"/>
      <c r="S875" s="143"/>
      <c r="T875" s="143"/>
      <c r="U875" s="143"/>
      <c r="V875" s="143"/>
      <c r="W875" s="143"/>
      <c r="X875" s="143"/>
      <c r="Y875" s="143"/>
      <c r="Z875" s="143"/>
      <c r="AA875" s="143"/>
      <c r="AB875" s="143"/>
      <c r="AC875" s="143"/>
      <c r="AD875" s="143"/>
      <c r="AE875" s="143"/>
      <c r="AF875" s="143"/>
      <c r="AG875" s="143"/>
      <c r="AH875" s="143"/>
      <c r="AI875" s="143"/>
      <c r="AJ875" s="143"/>
    </row>
    <row r="876" spans="1:36" ht="12.75" customHeight="1" x14ac:dyDescent="0.25">
      <c r="A876" s="143"/>
      <c r="B876" s="145"/>
      <c r="C876" s="146"/>
      <c r="D876" s="114"/>
      <c r="E876" s="148"/>
      <c r="F876" s="148"/>
      <c r="G876" s="114"/>
      <c r="H876" s="149"/>
      <c r="I876" s="143"/>
      <c r="J876" s="143"/>
      <c r="K876" s="143"/>
      <c r="L876" s="143"/>
      <c r="M876" s="150"/>
      <c r="N876" s="143"/>
      <c r="O876" s="1"/>
      <c r="P876" s="151"/>
      <c r="Q876" s="143"/>
      <c r="R876" s="143"/>
      <c r="S876" s="143"/>
      <c r="T876" s="143"/>
      <c r="U876" s="143"/>
      <c r="V876" s="143"/>
      <c r="W876" s="143"/>
      <c r="X876" s="143"/>
      <c r="Y876" s="143"/>
      <c r="Z876" s="143"/>
      <c r="AA876" s="143"/>
      <c r="AB876" s="143"/>
      <c r="AC876" s="143"/>
      <c r="AD876" s="143"/>
      <c r="AE876" s="143"/>
      <c r="AF876" s="143"/>
      <c r="AG876" s="143"/>
      <c r="AH876" s="143"/>
      <c r="AI876" s="143"/>
      <c r="AJ876" s="143"/>
    </row>
    <row r="877" spans="1:36" ht="12.75" customHeight="1" x14ac:dyDescent="0.25">
      <c r="A877" s="143"/>
      <c r="B877" s="145"/>
      <c r="C877" s="146"/>
      <c r="D877" s="114"/>
      <c r="E877" s="148"/>
      <c r="F877" s="148"/>
      <c r="G877" s="114"/>
      <c r="H877" s="149"/>
      <c r="I877" s="143"/>
      <c r="J877" s="143"/>
      <c r="K877" s="143"/>
      <c r="L877" s="143"/>
      <c r="M877" s="150"/>
      <c r="N877" s="143"/>
      <c r="O877" s="1"/>
      <c r="P877" s="151"/>
      <c r="Q877" s="143"/>
      <c r="R877" s="143"/>
      <c r="S877" s="143"/>
      <c r="T877" s="143"/>
      <c r="U877" s="143"/>
      <c r="V877" s="143"/>
      <c r="W877" s="143"/>
      <c r="X877" s="143"/>
      <c r="Y877" s="143"/>
      <c r="Z877" s="143"/>
      <c r="AA877" s="143"/>
      <c r="AB877" s="143"/>
      <c r="AC877" s="143"/>
      <c r="AD877" s="143"/>
      <c r="AE877" s="143"/>
      <c r="AF877" s="143"/>
      <c r="AG877" s="143"/>
      <c r="AH877" s="143"/>
      <c r="AI877" s="143"/>
      <c r="AJ877" s="143"/>
    </row>
    <row r="878" spans="1:36" ht="12.75" customHeight="1" x14ac:dyDescent="0.25">
      <c r="A878" s="143"/>
      <c r="B878" s="145"/>
      <c r="C878" s="146"/>
      <c r="D878" s="114"/>
      <c r="E878" s="148"/>
      <c r="F878" s="148"/>
      <c r="G878" s="114"/>
      <c r="H878" s="149"/>
      <c r="I878" s="143"/>
      <c r="J878" s="143"/>
      <c r="K878" s="143"/>
      <c r="L878" s="143"/>
      <c r="M878" s="150"/>
      <c r="N878" s="143"/>
      <c r="O878" s="1"/>
      <c r="P878" s="151"/>
      <c r="Q878" s="143"/>
      <c r="R878" s="143"/>
      <c r="S878" s="143"/>
      <c r="T878" s="143"/>
      <c r="U878" s="143"/>
      <c r="V878" s="143"/>
      <c r="W878" s="143"/>
      <c r="X878" s="143"/>
      <c r="Y878" s="143"/>
      <c r="Z878" s="143"/>
      <c r="AA878" s="143"/>
      <c r="AB878" s="143"/>
      <c r="AC878" s="143"/>
      <c r="AD878" s="143"/>
      <c r="AE878" s="143"/>
      <c r="AF878" s="143"/>
      <c r="AG878" s="143"/>
      <c r="AH878" s="143"/>
      <c r="AI878" s="143"/>
      <c r="AJ878" s="143"/>
    </row>
    <row r="879" spans="1:36" ht="12.75" customHeight="1" x14ac:dyDescent="0.25">
      <c r="A879" s="143"/>
      <c r="B879" s="145"/>
      <c r="C879" s="146"/>
      <c r="D879" s="114"/>
      <c r="E879" s="148"/>
      <c r="F879" s="148"/>
      <c r="G879" s="114"/>
      <c r="H879" s="149"/>
      <c r="I879" s="143"/>
      <c r="J879" s="143"/>
      <c r="K879" s="143"/>
      <c r="L879" s="143"/>
      <c r="M879" s="150"/>
      <c r="N879" s="143"/>
      <c r="O879" s="1"/>
      <c r="P879" s="151"/>
      <c r="Q879" s="143"/>
      <c r="R879" s="143"/>
      <c r="S879" s="143"/>
      <c r="T879" s="143"/>
      <c r="U879" s="143"/>
      <c r="V879" s="143"/>
      <c r="W879" s="143"/>
      <c r="X879" s="143"/>
      <c r="Y879" s="143"/>
      <c r="Z879" s="143"/>
      <c r="AA879" s="143"/>
      <c r="AB879" s="143"/>
      <c r="AC879" s="143"/>
      <c r="AD879" s="143"/>
      <c r="AE879" s="143"/>
      <c r="AF879" s="143"/>
      <c r="AG879" s="143"/>
      <c r="AH879" s="143"/>
      <c r="AI879" s="143"/>
      <c r="AJ879" s="143"/>
    </row>
    <row r="880" spans="1:36" ht="12.75" customHeight="1" x14ac:dyDescent="0.25">
      <c r="A880" s="143"/>
      <c r="B880" s="145"/>
      <c r="C880" s="146"/>
      <c r="D880" s="114"/>
      <c r="E880" s="148"/>
      <c r="F880" s="148"/>
      <c r="G880" s="114"/>
      <c r="H880" s="149"/>
      <c r="I880" s="143"/>
      <c r="J880" s="143"/>
      <c r="K880" s="143"/>
      <c r="L880" s="143"/>
      <c r="M880" s="150"/>
      <c r="N880" s="143"/>
      <c r="O880" s="1"/>
      <c r="P880" s="151"/>
      <c r="Q880" s="143"/>
      <c r="R880" s="143"/>
      <c r="S880" s="143"/>
      <c r="T880" s="143"/>
      <c r="U880" s="143"/>
      <c r="V880" s="143"/>
      <c r="W880" s="143"/>
      <c r="X880" s="143"/>
      <c r="Y880" s="143"/>
      <c r="Z880" s="143"/>
      <c r="AA880" s="143"/>
      <c r="AB880" s="143"/>
      <c r="AC880" s="143"/>
      <c r="AD880" s="143"/>
      <c r="AE880" s="143"/>
      <c r="AF880" s="143"/>
      <c r="AG880" s="143"/>
      <c r="AH880" s="143"/>
      <c r="AI880" s="143"/>
      <c r="AJ880" s="143"/>
    </row>
    <row r="881" spans="1:36" ht="12.75" customHeight="1" x14ac:dyDescent="0.25">
      <c r="A881" s="143"/>
      <c r="B881" s="145"/>
      <c r="C881" s="146"/>
      <c r="D881" s="114"/>
      <c r="E881" s="148"/>
      <c r="F881" s="148"/>
      <c r="G881" s="114"/>
      <c r="H881" s="149"/>
      <c r="I881" s="143"/>
      <c r="J881" s="143"/>
      <c r="K881" s="143"/>
      <c r="L881" s="143"/>
      <c r="M881" s="150"/>
      <c r="N881" s="143"/>
      <c r="O881" s="1"/>
      <c r="P881" s="151"/>
      <c r="Q881" s="143"/>
      <c r="R881" s="143"/>
      <c r="S881" s="143"/>
      <c r="T881" s="143"/>
      <c r="U881" s="143"/>
      <c r="V881" s="143"/>
      <c r="W881" s="143"/>
      <c r="X881" s="143"/>
      <c r="Y881" s="143"/>
      <c r="Z881" s="143"/>
      <c r="AA881" s="143"/>
      <c r="AB881" s="143"/>
      <c r="AC881" s="143"/>
      <c r="AD881" s="143"/>
      <c r="AE881" s="143"/>
      <c r="AF881" s="143"/>
      <c r="AG881" s="143"/>
      <c r="AH881" s="143"/>
      <c r="AI881" s="143"/>
      <c r="AJ881" s="143"/>
    </row>
    <row r="882" spans="1:36" ht="12.75" customHeight="1" x14ac:dyDescent="0.25">
      <c r="A882" s="143"/>
      <c r="B882" s="145"/>
      <c r="C882" s="146"/>
      <c r="D882" s="114"/>
      <c r="E882" s="148"/>
      <c r="F882" s="148"/>
      <c r="G882" s="114"/>
      <c r="H882" s="149"/>
      <c r="I882" s="143"/>
      <c r="J882" s="143"/>
      <c r="K882" s="143"/>
      <c r="L882" s="143"/>
      <c r="M882" s="150"/>
      <c r="N882" s="143"/>
      <c r="O882" s="1"/>
      <c r="P882" s="151"/>
      <c r="Q882" s="143"/>
      <c r="R882" s="143"/>
      <c r="S882" s="143"/>
      <c r="T882" s="143"/>
      <c r="U882" s="143"/>
      <c r="V882" s="143"/>
      <c r="W882" s="143"/>
      <c r="X882" s="143"/>
      <c r="Y882" s="143"/>
      <c r="Z882" s="143"/>
      <c r="AA882" s="143"/>
      <c r="AB882" s="143"/>
      <c r="AC882" s="143"/>
      <c r="AD882" s="143"/>
      <c r="AE882" s="143"/>
      <c r="AF882" s="143"/>
      <c r="AG882" s="143"/>
      <c r="AH882" s="143"/>
      <c r="AI882" s="143"/>
      <c r="AJ882" s="143"/>
    </row>
    <row r="883" spans="1:36" ht="12.75" customHeight="1" x14ac:dyDescent="0.25">
      <c r="A883" s="143"/>
      <c r="B883" s="145"/>
      <c r="C883" s="146"/>
      <c r="D883" s="114"/>
      <c r="E883" s="148"/>
      <c r="F883" s="148"/>
      <c r="G883" s="114"/>
      <c r="H883" s="149"/>
      <c r="I883" s="143"/>
      <c r="J883" s="143"/>
      <c r="K883" s="143"/>
      <c r="L883" s="143"/>
      <c r="M883" s="150"/>
      <c r="N883" s="143"/>
      <c r="O883" s="1"/>
      <c r="P883" s="151"/>
      <c r="Q883" s="143"/>
      <c r="R883" s="143"/>
      <c r="S883" s="143"/>
      <c r="T883" s="143"/>
      <c r="U883" s="143"/>
      <c r="V883" s="143"/>
      <c r="W883" s="143"/>
      <c r="X883" s="143"/>
      <c r="Y883" s="143"/>
      <c r="Z883" s="143"/>
      <c r="AA883" s="143"/>
      <c r="AB883" s="143"/>
      <c r="AC883" s="143"/>
      <c r="AD883" s="143"/>
      <c r="AE883" s="143"/>
      <c r="AF883" s="143"/>
      <c r="AG883" s="143"/>
      <c r="AH883" s="143"/>
      <c r="AI883" s="143"/>
      <c r="AJ883" s="143"/>
    </row>
    <row r="884" spans="1:36" ht="12.75" customHeight="1" x14ac:dyDescent="0.25">
      <c r="A884" s="143"/>
      <c r="B884" s="145"/>
      <c r="C884" s="146"/>
      <c r="D884" s="114"/>
      <c r="E884" s="148"/>
      <c r="F884" s="148"/>
      <c r="G884" s="114"/>
      <c r="H884" s="149"/>
      <c r="I884" s="143"/>
      <c r="J884" s="143"/>
      <c r="K884" s="143"/>
      <c r="L884" s="143"/>
      <c r="M884" s="150"/>
      <c r="N884" s="143"/>
      <c r="O884" s="1"/>
      <c r="P884" s="151"/>
      <c r="Q884" s="143"/>
      <c r="R884" s="143"/>
      <c r="S884" s="143"/>
      <c r="T884" s="143"/>
      <c r="U884" s="143"/>
      <c r="V884" s="143"/>
      <c r="W884" s="143"/>
      <c r="X884" s="143"/>
      <c r="Y884" s="143"/>
      <c r="Z884" s="143"/>
      <c r="AA884" s="143"/>
      <c r="AB884" s="143"/>
      <c r="AC884" s="143"/>
      <c r="AD884" s="143"/>
      <c r="AE884" s="143"/>
      <c r="AF884" s="143"/>
      <c r="AG884" s="143"/>
      <c r="AH884" s="143"/>
      <c r="AI884" s="143"/>
      <c r="AJ884" s="143"/>
    </row>
    <row r="885" spans="1:36" ht="12.75" customHeight="1" x14ac:dyDescent="0.25">
      <c r="A885" s="143"/>
      <c r="B885" s="145"/>
      <c r="C885" s="146"/>
      <c r="D885" s="114"/>
      <c r="E885" s="148"/>
      <c r="F885" s="148"/>
      <c r="G885" s="114"/>
      <c r="H885" s="149"/>
      <c r="I885" s="143"/>
      <c r="J885" s="143"/>
      <c r="K885" s="143"/>
      <c r="L885" s="143"/>
      <c r="M885" s="150"/>
      <c r="N885" s="143"/>
      <c r="O885" s="1"/>
      <c r="P885" s="151"/>
      <c r="Q885" s="143"/>
      <c r="R885" s="143"/>
      <c r="S885" s="143"/>
      <c r="T885" s="143"/>
      <c r="U885" s="143"/>
      <c r="V885" s="143"/>
      <c r="W885" s="143"/>
      <c r="X885" s="143"/>
      <c r="Y885" s="143"/>
      <c r="Z885" s="143"/>
      <c r="AA885" s="143"/>
      <c r="AB885" s="143"/>
      <c r="AC885" s="143"/>
      <c r="AD885" s="143"/>
      <c r="AE885" s="143"/>
      <c r="AF885" s="143"/>
      <c r="AG885" s="143"/>
      <c r="AH885" s="143"/>
      <c r="AI885" s="143"/>
      <c r="AJ885" s="143"/>
    </row>
    <row r="886" spans="1:36" ht="12.75" customHeight="1" x14ac:dyDescent="0.25">
      <c r="A886" s="143"/>
      <c r="B886" s="145"/>
      <c r="C886" s="146"/>
      <c r="D886" s="114"/>
      <c r="E886" s="148"/>
      <c r="F886" s="148"/>
      <c r="G886" s="114"/>
      <c r="H886" s="149"/>
      <c r="I886" s="143"/>
      <c r="J886" s="143"/>
      <c r="K886" s="143"/>
      <c r="L886" s="143"/>
      <c r="M886" s="150"/>
      <c r="N886" s="143"/>
      <c r="O886" s="1"/>
      <c r="P886" s="151"/>
      <c r="Q886" s="143"/>
      <c r="R886" s="143"/>
      <c r="S886" s="143"/>
      <c r="T886" s="143"/>
      <c r="U886" s="143"/>
      <c r="V886" s="143"/>
      <c r="W886" s="143"/>
      <c r="X886" s="143"/>
      <c r="Y886" s="143"/>
      <c r="Z886" s="143"/>
      <c r="AA886" s="143"/>
      <c r="AB886" s="143"/>
      <c r="AC886" s="143"/>
      <c r="AD886" s="143"/>
      <c r="AE886" s="143"/>
      <c r="AF886" s="143"/>
      <c r="AG886" s="143"/>
      <c r="AH886" s="143"/>
      <c r="AI886" s="143"/>
      <c r="AJ886" s="143"/>
    </row>
    <row r="887" spans="1:36" ht="12.75" customHeight="1" x14ac:dyDescent="0.25">
      <c r="A887" s="143"/>
      <c r="B887" s="145"/>
      <c r="C887" s="146"/>
      <c r="D887" s="114"/>
      <c r="E887" s="148"/>
      <c r="F887" s="148"/>
      <c r="G887" s="114"/>
      <c r="H887" s="149"/>
      <c r="I887" s="143"/>
      <c r="J887" s="143"/>
      <c r="K887" s="143"/>
      <c r="L887" s="143"/>
      <c r="M887" s="150"/>
      <c r="N887" s="143"/>
      <c r="O887" s="1"/>
      <c r="P887" s="151"/>
      <c r="Q887" s="143"/>
      <c r="R887" s="143"/>
      <c r="S887" s="143"/>
      <c r="T887" s="143"/>
      <c r="U887" s="143"/>
      <c r="V887" s="143"/>
      <c r="W887" s="143"/>
      <c r="X887" s="143"/>
      <c r="Y887" s="143"/>
      <c r="Z887" s="143"/>
      <c r="AA887" s="143"/>
      <c r="AB887" s="143"/>
      <c r="AC887" s="143"/>
      <c r="AD887" s="143"/>
      <c r="AE887" s="143"/>
      <c r="AF887" s="143"/>
      <c r="AG887" s="143"/>
      <c r="AH887" s="143"/>
      <c r="AI887" s="143"/>
      <c r="AJ887" s="143"/>
    </row>
    <row r="888" spans="1:36" ht="12.75" customHeight="1" x14ac:dyDescent="0.25">
      <c r="A888" s="143"/>
      <c r="B888" s="145"/>
      <c r="C888" s="146"/>
      <c r="D888" s="114"/>
      <c r="E888" s="148"/>
      <c r="F888" s="148"/>
      <c r="G888" s="114"/>
      <c r="H888" s="149"/>
      <c r="I888" s="143"/>
      <c r="J888" s="143"/>
      <c r="K888" s="143"/>
      <c r="L888" s="143"/>
      <c r="M888" s="150"/>
      <c r="N888" s="143"/>
      <c r="O888" s="1"/>
      <c r="P888" s="151"/>
      <c r="Q888" s="143"/>
      <c r="R888" s="143"/>
      <c r="S888" s="143"/>
      <c r="T888" s="143"/>
      <c r="U888" s="143"/>
      <c r="V888" s="143"/>
      <c r="W888" s="143"/>
      <c r="X888" s="143"/>
      <c r="Y888" s="143"/>
      <c r="Z888" s="143"/>
      <c r="AA888" s="143"/>
      <c r="AB888" s="143"/>
      <c r="AC888" s="143"/>
      <c r="AD888" s="143"/>
      <c r="AE888" s="143"/>
      <c r="AF888" s="143"/>
      <c r="AG888" s="143"/>
      <c r="AH888" s="143"/>
      <c r="AI888" s="143"/>
      <c r="AJ888" s="143"/>
    </row>
    <row r="889" spans="1:36" ht="12.75" customHeight="1" x14ac:dyDescent="0.25">
      <c r="A889" s="143"/>
      <c r="B889" s="145"/>
      <c r="C889" s="146"/>
      <c r="D889" s="114"/>
      <c r="E889" s="148"/>
      <c r="F889" s="148"/>
      <c r="G889" s="114"/>
      <c r="H889" s="149"/>
      <c r="I889" s="143"/>
      <c r="J889" s="143"/>
      <c r="K889" s="143"/>
      <c r="L889" s="143"/>
      <c r="M889" s="150"/>
      <c r="N889" s="143"/>
      <c r="O889" s="1"/>
      <c r="P889" s="151"/>
      <c r="Q889" s="143"/>
      <c r="R889" s="143"/>
      <c r="S889" s="143"/>
      <c r="T889" s="143"/>
      <c r="U889" s="143"/>
      <c r="V889" s="143"/>
      <c r="W889" s="143"/>
      <c r="X889" s="143"/>
      <c r="Y889" s="143"/>
      <c r="Z889" s="143"/>
      <c r="AA889" s="143"/>
      <c r="AB889" s="143"/>
      <c r="AC889" s="143"/>
      <c r="AD889" s="143"/>
      <c r="AE889" s="143"/>
      <c r="AF889" s="143"/>
      <c r="AG889" s="143"/>
      <c r="AH889" s="143"/>
      <c r="AI889" s="143"/>
      <c r="AJ889" s="143"/>
    </row>
    <row r="890" spans="1:36" ht="12.75" customHeight="1" x14ac:dyDescent="0.25">
      <c r="A890" s="143"/>
      <c r="B890" s="145"/>
      <c r="C890" s="146"/>
      <c r="D890" s="114"/>
      <c r="E890" s="148"/>
      <c r="F890" s="148"/>
      <c r="G890" s="114"/>
      <c r="H890" s="149"/>
      <c r="I890" s="143"/>
      <c r="J890" s="143"/>
      <c r="K890" s="143"/>
      <c r="L890" s="143"/>
      <c r="M890" s="150"/>
      <c r="N890" s="143"/>
      <c r="O890" s="1"/>
      <c r="P890" s="151"/>
      <c r="Q890" s="143"/>
      <c r="R890" s="143"/>
      <c r="S890" s="143"/>
      <c r="T890" s="143"/>
      <c r="U890" s="143"/>
      <c r="V890" s="143"/>
      <c r="W890" s="143"/>
      <c r="X890" s="143"/>
      <c r="Y890" s="143"/>
      <c r="Z890" s="143"/>
      <c r="AA890" s="143"/>
      <c r="AB890" s="143"/>
      <c r="AC890" s="143"/>
      <c r="AD890" s="143"/>
      <c r="AE890" s="143"/>
      <c r="AF890" s="143"/>
      <c r="AG890" s="143"/>
      <c r="AH890" s="143"/>
      <c r="AI890" s="143"/>
      <c r="AJ890" s="143"/>
    </row>
    <row r="891" spans="1:36" ht="12.75" customHeight="1" x14ac:dyDescent="0.25">
      <c r="A891" s="143"/>
      <c r="B891" s="145"/>
      <c r="C891" s="146"/>
      <c r="D891" s="114"/>
      <c r="E891" s="148"/>
      <c r="F891" s="148"/>
      <c r="G891" s="114"/>
      <c r="H891" s="149"/>
      <c r="I891" s="143"/>
      <c r="J891" s="143"/>
      <c r="K891" s="143"/>
      <c r="L891" s="143"/>
      <c r="M891" s="150"/>
      <c r="N891" s="143"/>
      <c r="O891" s="1"/>
      <c r="P891" s="151"/>
      <c r="Q891" s="143"/>
      <c r="R891" s="143"/>
      <c r="S891" s="143"/>
      <c r="T891" s="143"/>
      <c r="U891" s="143"/>
      <c r="V891" s="143"/>
      <c r="W891" s="143"/>
      <c r="X891" s="143"/>
      <c r="Y891" s="143"/>
      <c r="Z891" s="143"/>
      <c r="AA891" s="143"/>
      <c r="AB891" s="143"/>
      <c r="AC891" s="143"/>
      <c r="AD891" s="143"/>
      <c r="AE891" s="143"/>
      <c r="AF891" s="143"/>
      <c r="AG891" s="143"/>
      <c r="AH891" s="143"/>
      <c r="AI891" s="143"/>
      <c r="AJ891" s="143"/>
    </row>
    <row r="892" spans="1:36" ht="12.75" customHeight="1" x14ac:dyDescent="0.25">
      <c r="A892" s="143"/>
      <c r="B892" s="145"/>
      <c r="C892" s="146"/>
      <c r="D892" s="114"/>
      <c r="E892" s="148"/>
      <c r="F892" s="148"/>
      <c r="G892" s="114"/>
      <c r="H892" s="149"/>
      <c r="I892" s="143"/>
      <c r="J892" s="143"/>
      <c r="K892" s="143"/>
      <c r="L892" s="143"/>
      <c r="M892" s="150"/>
      <c r="N892" s="143"/>
      <c r="O892" s="1"/>
      <c r="P892" s="151"/>
      <c r="Q892" s="143"/>
      <c r="R892" s="143"/>
      <c r="S892" s="143"/>
      <c r="T892" s="143"/>
      <c r="U892" s="143"/>
      <c r="V892" s="143"/>
      <c r="W892" s="143"/>
      <c r="X892" s="143"/>
      <c r="Y892" s="143"/>
      <c r="Z892" s="143"/>
      <c r="AA892" s="143"/>
      <c r="AB892" s="143"/>
      <c r="AC892" s="143"/>
      <c r="AD892" s="143"/>
      <c r="AE892" s="143"/>
      <c r="AF892" s="143"/>
      <c r="AG892" s="143"/>
      <c r="AH892" s="143"/>
      <c r="AI892" s="143"/>
      <c r="AJ892" s="143"/>
    </row>
    <row r="893" spans="1:36" ht="12.75" customHeight="1" x14ac:dyDescent="0.25">
      <c r="A893" s="143"/>
      <c r="B893" s="145"/>
      <c r="C893" s="146"/>
      <c r="D893" s="114"/>
      <c r="E893" s="148"/>
      <c r="F893" s="148"/>
      <c r="G893" s="114"/>
      <c r="H893" s="149"/>
      <c r="I893" s="143"/>
      <c r="J893" s="143"/>
      <c r="K893" s="143"/>
      <c r="L893" s="143"/>
      <c r="M893" s="150"/>
      <c r="N893" s="143"/>
      <c r="O893" s="1"/>
      <c r="P893" s="151"/>
      <c r="Q893" s="143"/>
      <c r="R893" s="143"/>
      <c r="S893" s="143"/>
      <c r="T893" s="143"/>
      <c r="U893" s="143"/>
      <c r="V893" s="143"/>
      <c r="W893" s="143"/>
      <c r="X893" s="143"/>
      <c r="Y893" s="143"/>
      <c r="Z893" s="143"/>
      <c r="AA893" s="143"/>
      <c r="AB893" s="143"/>
      <c r="AC893" s="143"/>
      <c r="AD893" s="143"/>
      <c r="AE893" s="143"/>
      <c r="AF893" s="143"/>
      <c r="AG893" s="143"/>
      <c r="AH893" s="143"/>
      <c r="AI893" s="143"/>
      <c r="AJ893" s="143"/>
    </row>
    <row r="894" spans="1:36" ht="12.75" customHeight="1" x14ac:dyDescent="0.25">
      <c r="A894" s="143"/>
      <c r="B894" s="145"/>
      <c r="C894" s="146"/>
      <c r="D894" s="114"/>
      <c r="E894" s="148"/>
      <c r="F894" s="148"/>
      <c r="G894" s="114"/>
      <c r="H894" s="149"/>
      <c r="I894" s="143"/>
      <c r="J894" s="143"/>
      <c r="K894" s="143"/>
      <c r="L894" s="143"/>
      <c r="M894" s="150"/>
      <c r="N894" s="143"/>
      <c r="O894" s="1"/>
      <c r="P894" s="151"/>
      <c r="Q894" s="143"/>
      <c r="R894" s="143"/>
      <c r="S894" s="143"/>
      <c r="T894" s="143"/>
      <c r="U894" s="143"/>
      <c r="V894" s="143"/>
      <c r="W894" s="143"/>
      <c r="X894" s="143"/>
      <c r="Y894" s="143"/>
      <c r="Z894" s="143"/>
      <c r="AA894" s="143"/>
      <c r="AB894" s="143"/>
      <c r="AC894" s="143"/>
      <c r="AD894" s="143"/>
      <c r="AE894" s="143"/>
      <c r="AF894" s="143"/>
      <c r="AG894" s="143"/>
      <c r="AH894" s="143"/>
      <c r="AI894" s="143"/>
      <c r="AJ894" s="143"/>
    </row>
    <row r="895" spans="1:36" ht="12.75" customHeight="1" x14ac:dyDescent="0.25">
      <c r="A895" s="143"/>
      <c r="B895" s="145"/>
      <c r="C895" s="146"/>
      <c r="D895" s="114"/>
      <c r="E895" s="148"/>
      <c r="F895" s="148"/>
      <c r="G895" s="114"/>
      <c r="H895" s="149"/>
      <c r="I895" s="143"/>
      <c r="J895" s="143"/>
      <c r="K895" s="143"/>
      <c r="L895" s="143"/>
      <c r="M895" s="150"/>
      <c r="N895" s="143"/>
      <c r="O895" s="1"/>
      <c r="P895" s="151"/>
      <c r="Q895" s="143"/>
      <c r="R895" s="143"/>
      <c r="S895" s="143"/>
      <c r="T895" s="143"/>
      <c r="U895" s="143"/>
      <c r="V895" s="143"/>
      <c r="W895" s="143"/>
      <c r="X895" s="143"/>
      <c r="Y895" s="143"/>
      <c r="Z895" s="143"/>
      <c r="AA895" s="143"/>
      <c r="AB895" s="143"/>
      <c r="AC895" s="143"/>
      <c r="AD895" s="143"/>
      <c r="AE895" s="143"/>
      <c r="AF895" s="143"/>
      <c r="AG895" s="143"/>
      <c r="AH895" s="143"/>
      <c r="AI895" s="143"/>
      <c r="AJ895" s="143"/>
    </row>
    <row r="896" spans="1:36" ht="12.75" customHeight="1" x14ac:dyDescent="0.25">
      <c r="A896" s="143"/>
      <c r="B896" s="145"/>
      <c r="C896" s="146"/>
      <c r="D896" s="114"/>
      <c r="E896" s="148"/>
      <c r="F896" s="148"/>
      <c r="G896" s="114"/>
      <c r="H896" s="149"/>
      <c r="I896" s="143"/>
      <c r="J896" s="143"/>
      <c r="K896" s="143"/>
      <c r="L896" s="143"/>
      <c r="M896" s="150"/>
      <c r="N896" s="143"/>
      <c r="O896" s="1"/>
      <c r="P896" s="151"/>
      <c r="Q896" s="143"/>
      <c r="R896" s="143"/>
      <c r="S896" s="143"/>
      <c r="T896" s="143"/>
      <c r="U896" s="143"/>
      <c r="V896" s="143"/>
      <c r="W896" s="143"/>
      <c r="X896" s="143"/>
      <c r="Y896" s="143"/>
      <c r="Z896" s="143"/>
      <c r="AA896" s="143"/>
      <c r="AB896" s="143"/>
      <c r="AC896" s="143"/>
      <c r="AD896" s="143"/>
      <c r="AE896" s="143"/>
      <c r="AF896" s="143"/>
      <c r="AG896" s="143"/>
      <c r="AH896" s="143"/>
      <c r="AI896" s="143"/>
      <c r="AJ896" s="143"/>
    </row>
    <row r="897" spans="1:36" ht="12.75" customHeight="1" x14ac:dyDescent="0.25">
      <c r="A897" s="143"/>
      <c r="B897" s="145"/>
      <c r="C897" s="146"/>
      <c r="D897" s="114"/>
      <c r="E897" s="148"/>
      <c r="F897" s="148"/>
      <c r="G897" s="114"/>
      <c r="H897" s="149"/>
      <c r="I897" s="143"/>
      <c r="J897" s="143"/>
      <c r="K897" s="143"/>
      <c r="L897" s="143"/>
      <c r="M897" s="150"/>
      <c r="N897" s="143"/>
      <c r="O897" s="1"/>
      <c r="P897" s="151"/>
      <c r="Q897" s="143"/>
      <c r="R897" s="143"/>
      <c r="S897" s="143"/>
      <c r="T897" s="143"/>
      <c r="U897" s="143"/>
      <c r="V897" s="143"/>
      <c r="W897" s="143"/>
      <c r="X897" s="143"/>
      <c r="Y897" s="143"/>
      <c r="Z897" s="143"/>
      <c r="AA897" s="143"/>
      <c r="AB897" s="143"/>
      <c r="AC897" s="143"/>
      <c r="AD897" s="143"/>
      <c r="AE897" s="143"/>
      <c r="AF897" s="143"/>
      <c r="AG897" s="143"/>
      <c r="AH897" s="143"/>
      <c r="AI897" s="143"/>
      <c r="AJ897" s="143"/>
    </row>
    <row r="898" spans="1:36" ht="12.75" customHeight="1" x14ac:dyDescent="0.25">
      <c r="A898" s="143"/>
      <c r="B898" s="145"/>
      <c r="C898" s="146"/>
      <c r="D898" s="114"/>
      <c r="E898" s="148"/>
      <c r="F898" s="148"/>
      <c r="G898" s="114"/>
      <c r="H898" s="149"/>
      <c r="I898" s="143"/>
      <c r="J898" s="143"/>
      <c r="K898" s="143"/>
      <c r="L898" s="143"/>
      <c r="M898" s="150"/>
      <c r="N898" s="143"/>
      <c r="O898" s="1"/>
      <c r="P898" s="151"/>
      <c r="Q898" s="143"/>
      <c r="R898" s="143"/>
      <c r="S898" s="143"/>
      <c r="T898" s="143"/>
      <c r="U898" s="143"/>
      <c r="V898" s="143"/>
      <c r="W898" s="143"/>
      <c r="X898" s="143"/>
      <c r="Y898" s="143"/>
      <c r="Z898" s="143"/>
      <c r="AA898" s="143"/>
      <c r="AB898" s="143"/>
      <c r="AC898" s="143"/>
      <c r="AD898" s="143"/>
      <c r="AE898" s="143"/>
      <c r="AF898" s="143"/>
      <c r="AG898" s="143"/>
      <c r="AH898" s="143"/>
      <c r="AI898" s="143"/>
      <c r="AJ898" s="143"/>
    </row>
    <row r="899" spans="1:36" ht="12.75" customHeight="1" x14ac:dyDescent="0.25">
      <c r="A899" s="143"/>
      <c r="B899" s="145"/>
      <c r="C899" s="146"/>
      <c r="D899" s="114"/>
      <c r="E899" s="148"/>
      <c r="F899" s="148"/>
      <c r="G899" s="114"/>
      <c r="H899" s="149"/>
      <c r="I899" s="143"/>
      <c r="J899" s="143"/>
      <c r="K899" s="143"/>
      <c r="L899" s="143"/>
      <c r="M899" s="150"/>
      <c r="N899" s="143"/>
      <c r="O899" s="1"/>
      <c r="P899" s="151"/>
      <c r="Q899" s="143"/>
      <c r="R899" s="143"/>
      <c r="S899" s="143"/>
      <c r="T899" s="143"/>
      <c r="U899" s="143"/>
      <c r="V899" s="143"/>
      <c r="W899" s="143"/>
      <c r="X899" s="143"/>
      <c r="Y899" s="143"/>
      <c r="Z899" s="143"/>
      <c r="AA899" s="143"/>
      <c r="AB899" s="143"/>
      <c r="AC899" s="143"/>
      <c r="AD899" s="143"/>
      <c r="AE899" s="143"/>
      <c r="AF899" s="143"/>
      <c r="AG899" s="143"/>
      <c r="AH899" s="143"/>
      <c r="AI899" s="143"/>
      <c r="AJ899" s="143"/>
    </row>
    <row r="900" spans="1:36" ht="12.75" customHeight="1" x14ac:dyDescent="0.25">
      <c r="A900" s="143"/>
      <c r="B900" s="145"/>
      <c r="C900" s="146"/>
      <c r="D900" s="114"/>
      <c r="E900" s="148"/>
      <c r="F900" s="148"/>
      <c r="G900" s="114"/>
      <c r="H900" s="149"/>
      <c r="I900" s="143"/>
      <c r="J900" s="143"/>
      <c r="K900" s="143"/>
      <c r="L900" s="143"/>
      <c r="M900" s="150"/>
      <c r="N900" s="143"/>
      <c r="O900" s="1"/>
      <c r="P900" s="151"/>
      <c r="Q900" s="143"/>
      <c r="R900" s="143"/>
      <c r="S900" s="143"/>
      <c r="T900" s="143"/>
      <c r="U900" s="143"/>
      <c r="V900" s="143"/>
      <c r="W900" s="143"/>
      <c r="X900" s="143"/>
      <c r="Y900" s="143"/>
      <c r="Z900" s="143"/>
      <c r="AA900" s="143"/>
      <c r="AB900" s="143"/>
      <c r="AC900" s="143"/>
      <c r="AD900" s="143"/>
      <c r="AE900" s="143"/>
      <c r="AF900" s="143"/>
      <c r="AG900" s="143"/>
      <c r="AH900" s="143"/>
      <c r="AI900" s="143"/>
      <c r="AJ900" s="143"/>
    </row>
    <row r="901" spans="1:36" ht="12.75" customHeight="1" x14ac:dyDescent="0.25">
      <c r="A901" s="143"/>
      <c r="B901" s="145"/>
      <c r="C901" s="146"/>
      <c r="D901" s="114"/>
      <c r="E901" s="148"/>
      <c r="F901" s="148"/>
      <c r="G901" s="114"/>
      <c r="H901" s="149"/>
      <c r="I901" s="143"/>
      <c r="J901" s="143"/>
      <c r="K901" s="143"/>
      <c r="L901" s="143"/>
      <c r="M901" s="150"/>
      <c r="N901" s="143"/>
      <c r="O901" s="1"/>
      <c r="P901" s="151"/>
      <c r="Q901" s="143"/>
      <c r="R901" s="143"/>
      <c r="S901" s="143"/>
      <c r="T901" s="143"/>
      <c r="U901" s="143"/>
      <c r="V901" s="143"/>
      <c r="W901" s="143"/>
      <c r="X901" s="143"/>
      <c r="Y901" s="143"/>
      <c r="Z901" s="143"/>
      <c r="AA901" s="143"/>
      <c r="AB901" s="143"/>
      <c r="AC901" s="143"/>
      <c r="AD901" s="143"/>
      <c r="AE901" s="143"/>
      <c r="AF901" s="143"/>
      <c r="AG901" s="143"/>
      <c r="AH901" s="143"/>
      <c r="AI901" s="143"/>
      <c r="AJ901" s="143"/>
    </row>
    <row r="902" spans="1:36" ht="12.75" customHeight="1" x14ac:dyDescent="0.25">
      <c r="A902" s="143"/>
      <c r="B902" s="145"/>
      <c r="C902" s="146"/>
      <c r="D902" s="114"/>
      <c r="E902" s="148"/>
      <c r="F902" s="148"/>
      <c r="G902" s="114"/>
      <c r="H902" s="149"/>
      <c r="I902" s="143"/>
      <c r="J902" s="143"/>
      <c r="K902" s="143"/>
      <c r="L902" s="143"/>
      <c r="M902" s="150"/>
      <c r="N902" s="143"/>
      <c r="O902" s="1"/>
      <c r="P902" s="151"/>
      <c r="Q902" s="143"/>
      <c r="R902" s="143"/>
      <c r="S902" s="143"/>
      <c r="T902" s="143"/>
      <c r="U902" s="143"/>
      <c r="V902" s="143"/>
      <c r="W902" s="143"/>
      <c r="X902" s="143"/>
      <c r="Y902" s="143"/>
      <c r="Z902" s="143"/>
      <c r="AA902" s="143"/>
      <c r="AB902" s="143"/>
      <c r="AC902" s="143"/>
      <c r="AD902" s="143"/>
      <c r="AE902" s="143"/>
      <c r="AF902" s="143"/>
      <c r="AG902" s="143"/>
      <c r="AH902" s="143"/>
      <c r="AI902" s="143"/>
      <c r="AJ902" s="143"/>
    </row>
    <row r="903" spans="1:36" ht="12.75" customHeight="1" x14ac:dyDescent="0.25">
      <c r="A903" s="143"/>
      <c r="B903" s="145"/>
      <c r="C903" s="146"/>
      <c r="D903" s="114"/>
      <c r="E903" s="148"/>
      <c r="F903" s="148"/>
      <c r="G903" s="114"/>
      <c r="H903" s="149"/>
      <c r="I903" s="143"/>
      <c r="J903" s="143"/>
      <c r="K903" s="143"/>
      <c r="L903" s="143"/>
      <c r="M903" s="150"/>
      <c r="N903" s="143"/>
      <c r="O903" s="1"/>
      <c r="P903" s="151"/>
      <c r="Q903" s="143"/>
      <c r="R903" s="143"/>
      <c r="S903" s="143"/>
      <c r="T903" s="143"/>
      <c r="U903" s="143"/>
      <c r="V903" s="143"/>
      <c r="W903" s="143"/>
      <c r="X903" s="143"/>
      <c r="Y903" s="143"/>
      <c r="Z903" s="143"/>
      <c r="AA903" s="143"/>
      <c r="AB903" s="143"/>
      <c r="AC903" s="143"/>
      <c r="AD903" s="143"/>
      <c r="AE903" s="143"/>
      <c r="AF903" s="143"/>
      <c r="AG903" s="143"/>
      <c r="AH903" s="143"/>
      <c r="AI903" s="143"/>
      <c r="AJ903" s="143"/>
    </row>
    <row r="904" spans="1:36" ht="12.75" customHeight="1" x14ac:dyDescent="0.25">
      <c r="A904" s="143"/>
      <c r="B904" s="145"/>
      <c r="C904" s="146"/>
      <c r="D904" s="114"/>
      <c r="E904" s="148"/>
      <c r="F904" s="148"/>
      <c r="G904" s="114"/>
      <c r="H904" s="149"/>
      <c r="I904" s="143"/>
      <c r="J904" s="143"/>
      <c r="K904" s="143"/>
      <c r="L904" s="143"/>
      <c r="M904" s="150"/>
      <c r="N904" s="143"/>
      <c r="O904" s="1"/>
      <c r="P904" s="151"/>
      <c r="Q904" s="143"/>
      <c r="R904" s="143"/>
      <c r="S904" s="143"/>
      <c r="T904" s="143"/>
      <c r="U904" s="143"/>
      <c r="V904" s="143"/>
      <c r="W904" s="143"/>
      <c r="X904" s="143"/>
      <c r="Y904" s="143"/>
      <c r="Z904" s="143"/>
      <c r="AA904" s="143"/>
      <c r="AB904" s="143"/>
      <c r="AC904" s="143"/>
      <c r="AD904" s="143"/>
      <c r="AE904" s="143"/>
      <c r="AF904" s="143"/>
      <c r="AG904" s="143"/>
      <c r="AH904" s="143"/>
      <c r="AI904" s="143"/>
      <c r="AJ904" s="143"/>
    </row>
    <row r="905" spans="1:36" ht="12.75" customHeight="1" x14ac:dyDescent="0.25">
      <c r="A905" s="143"/>
      <c r="B905" s="145"/>
      <c r="C905" s="146"/>
      <c r="D905" s="114"/>
      <c r="E905" s="148"/>
      <c r="F905" s="148"/>
      <c r="G905" s="114"/>
      <c r="H905" s="149"/>
      <c r="I905" s="143"/>
      <c r="J905" s="143"/>
      <c r="K905" s="143"/>
      <c r="L905" s="143"/>
      <c r="M905" s="150"/>
      <c r="N905" s="143"/>
      <c r="O905" s="1"/>
      <c r="P905" s="151"/>
      <c r="Q905" s="143"/>
      <c r="R905" s="143"/>
      <c r="S905" s="143"/>
      <c r="T905" s="143"/>
      <c r="U905" s="143"/>
      <c r="V905" s="143"/>
      <c r="W905" s="143"/>
      <c r="X905" s="143"/>
      <c r="Y905" s="143"/>
      <c r="Z905" s="143"/>
      <c r="AA905" s="143"/>
      <c r="AB905" s="143"/>
      <c r="AC905" s="143"/>
      <c r="AD905" s="143"/>
      <c r="AE905" s="143"/>
      <c r="AF905" s="143"/>
      <c r="AG905" s="143"/>
      <c r="AH905" s="143"/>
      <c r="AI905" s="143"/>
      <c r="AJ905" s="143"/>
    </row>
    <row r="906" spans="1:36" ht="12.75" customHeight="1" x14ac:dyDescent="0.25">
      <c r="A906" s="143"/>
      <c r="B906" s="145"/>
      <c r="C906" s="146"/>
      <c r="D906" s="114"/>
      <c r="E906" s="148"/>
      <c r="F906" s="148"/>
      <c r="G906" s="114"/>
      <c r="H906" s="149"/>
      <c r="I906" s="143"/>
      <c r="J906" s="143"/>
      <c r="K906" s="143"/>
      <c r="L906" s="143"/>
      <c r="M906" s="150"/>
      <c r="N906" s="143"/>
      <c r="O906" s="1"/>
      <c r="P906" s="151"/>
      <c r="Q906" s="143"/>
      <c r="R906" s="143"/>
      <c r="S906" s="143"/>
      <c r="T906" s="143"/>
      <c r="U906" s="143"/>
      <c r="V906" s="143"/>
      <c r="W906" s="143"/>
      <c r="X906" s="143"/>
      <c r="Y906" s="143"/>
      <c r="Z906" s="143"/>
      <c r="AA906" s="143"/>
      <c r="AB906" s="143"/>
      <c r="AC906" s="143"/>
      <c r="AD906" s="143"/>
      <c r="AE906" s="143"/>
      <c r="AF906" s="143"/>
      <c r="AG906" s="143"/>
      <c r="AH906" s="143"/>
      <c r="AI906" s="143"/>
      <c r="AJ906" s="143"/>
    </row>
    <row r="907" spans="1:36" ht="12.75" customHeight="1" x14ac:dyDescent="0.25">
      <c r="A907" s="143"/>
      <c r="B907" s="145"/>
      <c r="C907" s="146"/>
      <c r="D907" s="114"/>
      <c r="E907" s="148"/>
      <c r="F907" s="148"/>
      <c r="G907" s="114"/>
      <c r="H907" s="149"/>
      <c r="I907" s="143"/>
      <c r="J907" s="143"/>
      <c r="K907" s="143"/>
      <c r="L907" s="143"/>
      <c r="M907" s="150"/>
      <c r="N907" s="143"/>
      <c r="O907" s="1"/>
      <c r="P907" s="151"/>
      <c r="Q907" s="143"/>
      <c r="R907" s="143"/>
      <c r="S907" s="143"/>
      <c r="T907" s="143"/>
      <c r="U907" s="143"/>
      <c r="V907" s="143"/>
      <c r="W907" s="143"/>
      <c r="X907" s="143"/>
      <c r="Y907" s="143"/>
      <c r="Z907" s="143"/>
      <c r="AA907" s="143"/>
      <c r="AB907" s="143"/>
      <c r="AC907" s="143"/>
      <c r="AD907" s="143"/>
      <c r="AE907" s="143"/>
      <c r="AF907" s="143"/>
      <c r="AG907" s="143"/>
      <c r="AH907" s="143"/>
      <c r="AI907" s="143"/>
      <c r="AJ907" s="143"/>
    </row>
    <row r="908" spans="1:36" ht="12.75" customHeight="1" x14ac:dyDescent="0.25">
      <c r="A908" s="143"/>
      <c r="B908" s="145"/>
      <c r="C908" s="146"/>
      <c r="D908" s="114"/>
      <c r="E908" s="148"/>
      <c r="F908" s="148"/>
      <c r="G908" s="114"/>
      <c r="H908" s="149"/>
      <c r="I908" s="143"/>
      <c r="J908" s="143"/>
      <c r="K908" s="143"/>
      <c r="L908" s="143"/>
      <c r="M908" s="150"/>
      <c r="N908" s="143"/>
      <c r="O908" s="1"/>
      <c r="P908" s="151"/>
      <c r="Q908" s="143"/>
      <c r="R908" s="143"/>
      <c r="S908" s="143"/>
      <c r="T908" s="143"/>
      <c r="U908" s="143"/>
      <c r="V908" s="143"/>
      <c r="W908" s="143"/>
      <c r="X908" s="143"/>
      <c r="Y908" s="143"/>
      <c r="Z908" s="143"/>
      <c r="AA908" s="143"/>
      <c r="AB908" s="143"/>
      <c r="AC908" s="143"/>
      <c r="AD908" s="143"/>
      <c r="AE908" s="143"/>
      <c r="AF908" s="143"/>
      <c r="AG908" s="143"/>
      <c r="AH908" s="143"/>
      <c r="AI908" s="143"/>
      <c r="AJ908" s="143"/>
    </row>
    <row r="909" spans="1:36" ht="12.75" customHeight="1" x14ac:dyDescent="0.25">
      <c r="A909" s="143"/>
      <c r="B909" s="145"/>
      <c r="C909" s="146"/>
      <c r="D909" s="114"/>
      <c r="E909" s="148"/>
      <c r="F909" s="148"/>
      <c r="G909" s="114"/>
      <c r="H909" s="149"/>
      <c r="I909" s="143"/>
      <c r="J909" s="143"/>
      <c r="K909" s="143"/>
      <c r="L909" s="143"/>
      <c r="M909" s="150"/>
      <c r="N909" s="143"/>
      <c r="O909" s="1"/>
      <c r="P909" s="151"/>
      <c r="Q909" s="143"/>
      <c r="R909" s="143"/>
      <c r="S909" s="143"/>
      <c r="T909" s="143"/>
      <c r="U909" s="143"/>
      <c r="V909" s="143"/>
      <c r="W909" s="143"/>
      <c r="X909" s="143"/>
      <c r="Y909" s="143"/>
      <c r="Z909" s="143"/>
      <c r="AA909" s="143"/>
      <c r="AB909" s="143"/>
      <c r="AC909" s="143"/>
      <c r="AD909" s="143"/>
      <c r="AE909" s="143"/>
      <c r="AF909" s="143"/>
      <c r="AG909" s="143"/>
      <c r="AH909" s="143"/>
      <c r="AI909" s="143"/>
      <c r="AJ909" s="143"/>
    </row>
    <row r="910" spans="1:36" ht="12.75" customHeight="1" x14ac:dyDescent="0.25">
      <c r="A910" s="143"/>
      <c r="B910" s="145"/>
      <c r="C910" s="146"/>
      <c r="D910" s="114"/>
      <c r="E910" s="148"/>
      <c r="F910" s="148"/>
      <c r="G910" s="114"/>
      <c r="H910" s="149"/>
      <c r="I910" s="143"/>
      <c r="J910" s="143"/>
      <c r="K910" s="143"/>
      <c r="L910" s="143"/>
      <c r="M910" s="150"/>
      <c r="N910" s="143"/>
      <c r="O910" s="1"/>
      <c r="P910" s="151"/>
      <c r="Q910" s="143"/>
      <c r="R910" s="143"/>
      <c r="S910" s="143"/>
      <c r="T910" s="143"/>
      <c r="U910" s="143"/>
      <c r="V910" s="143"/>
      <c r="W910" s="143"/>
      <c r="X910" s="143"/>
      <c r="Y910" s="143"/>
      <c r="Z910" s="143"/>
      <c r="AA910" s="143"/>
      <c r="AB910" s="143"/>
      <c r="AC910" s="143"/>
      <c r="AD910" s="143"/>
      <c r="AE910" s="143"/>
      <c r="AF910" s="143"/>
      <c r="AG910" s="143"/>
      <c r="AH910" s="143"/>
      <c r="AI910" s="143"/>
      <c r="AJ910" s="143"/>
    </row>
    <row r="911" spans="1:36" ht="12.75" customHeight="1" x14ac:dyDescent="0.25">
      <c r="A911" s="143"/>
      <c r="B911" s="145"/>
      <c r="C911" s="146"/>
      <c r="D911" s="114"/>
      <c r="E911" s="148"/>
      <c r="F911" s="148"/>
      <c r="G911" s="114"/>
      <c r="H911" s="149"/>
      <c r="I911" s="143"/>
      <c r="J911" s="143"/>
      <c r="K911" s="143"/>
      <c r="L911" s="143"/>
      <c r="M911" s="150"/>
      <c r="N911" s="143"/>
      <c r="O911" s="1"/>
      <c r="P911" s="151"/>
      <c r="Q911" s="143"/>
      <c r="R911" s="143"/>
      <c r="S911" s="143"/>
      <c r="T911" s="143"/>
      <c r="U911" s="143"/>
      <c r="V911" s="143"/>
      <c r="W911" s="143"/>
      <c r="X911" s="143"/>
      <c r="Y911" s="143"/>
      <c r="Z911" s="143"/>
      <c r="AA911" s="143"/>
      <c r="AB911" s="143"/>
      <c r="AC911" s="143"/>
      <c r="AD911" s="143"/>
      <c r="AE911" s="143"/>
      <c r="AF911" s="143"/>
      <c r="AG911" s="143"/>
      <c r="AH911" s="143"/>
      <c r="AI911" s="143"/>
      <c r="AJ911" s="143"/>
    </row>
    <row r="912" spans="1:36" ht="12.75" customHeight="1" x14ac:dyDescent="0.25">
      <c r="A912" s="143"/>
      <c r="B912" s="145"/>
      <c r="C912" s="146"/>
      <c r="D912" s="114"/>
      <c r="E912" s="148"/>
      <c r="F912" s="148"/>
      <c r="G912" s="114"/>
      <c r="H912" s="149"/>
      <c r="I912" s="143"/>
      <c r="J912" s="143"/>
      <c r="K912" s="143"/>
      <c r="L912" s="143"/>
      <c r="M912" s="150"/>
      <c r="N912" s="143"/>
      <c r="O912" s="1"/>
      <c r="P912" s="151"/>
      <c r="Q912" s="143"/>
      <c r="R912" s="143"/>
      <c r="S912" s="143"/>
      <c r="T912" s="143"/>
      <c r="U912" s="143"/>
      <c r="V912" s="143"/>
      <c r="W912" s="143"/>
      <c r="X912" s="143"/>
      <c r="Y912" s="143"/>
      <c r="Z912" s="143"/>
      <c r="AA912" s="143"/>
      <c r="AB912" s="143"/>
      <c r="AC912" s="143"/>
      <c r="AD912" s="143"/>
      <c r="AE912" s="143"/>
      <c r="AF912" s="143"/>
      <c r="AG912" s="143"/>
      <c r="AH912" s="143"/>
      <c r="AI912" s="143"/>
      <c r="AJ912" s="143"/>
    </row>
    <row r="913" spans="1:36" ht="12.75" customHeight="1" x14ac:dyDescent="0.25">
      <c r="A913" s="143"/>
      <c r="B913" s="145"/>
      <c r="C913" s="146"/>
      <c r="D913" s="114"/>
      <c r="E913" s="148"/>
      <c r="F913" s="148"/>
      <c r="G913" s="114"/>
      <c r="H913" s="149"/>
      <c r="I913" s="143"/>
      <c r="J913" s="143"/>
      <c r="K913" s="143"/>
      <c r="L913" s="143"/>
      <c r="M913" s="150"/>
      <c r="N913" s="143"/>
      <c r="O913" s="1"/>
      <c r="P913" s="151"/>
      <c r="Q913" s="143"/>
      <c r="R913" s="143"/>
      <c r="S913" s="143"/>
      <c r="T913" s="143"/>
      <c r="U913" s="143"/>
      <c r="V913" s="143"/>
      <c r="W913" s="143"/>
      <c r="X913" s="143"/>
      <c r="Y913" s="143"/>
      <c r="Z913" s="143"/>
      <c r="AA913" s="143"/>
      <c r="AB913" s="143"/>
      <c r="AC913" s="143"/>
      <c r="AD913" s="143"/>
      <c r="AE913" s="143"/>
      <c r="AF913" s="143"/>
      <c r="AG913" s="143"/>
      <c r="AH913" s="143"/>
      <c r="AI913" s="143"/>
      <c r="AJ913" s="143"/>
    </row>
    <row r="914" spans="1:36" ht="12.75" customHeight="1" x14ac:dyDescent="0.25">
      <c r="A914" s="143"/>
      <c r="B914" s="145"/>
      <c r="C914" s="146"/>
      <c r="D914" s="114"/>
      <c r="E914" s="148"/>
      <c r="F914" s="148"/>
      <c r="G914" s="114"/>
      <c r="H914" s="149"/>
      <c r="I914" s="143"/>
      <c r="J914" s="143"/>
      <c r="K914" s="143"/>
      <c r="L914" s="143"/>
      <c r="M914" s="150"/>
      <c r="N914" s="143"/>
      <c r="O914" s="1"/>
      <c r="P914" s="151"/>
      <c r="Q914" s="143"/>
      <c r="R914" s="143"/>
      <c r="S914" s="143"/>
      <c r="T914" s="143"/>
      <c r="U914" s="143"/>
      <c r="V914" s="143"/>
      <c r="W914" s="143"/>
      <c r="X914" s="143"/>
      <c r="Y914" s="143"/>
      <c r="Z914" s="143"/>
      <c r="AA914" s="143"/>
      <c r="AB914" s="143"/>
      <c r="AC914" s="143"/>
      <c r="AD914" s="143"/>
      <c r="AE914" s="143"/>
      <c r="AF914" s="143"/>
      <c r="AG914" s="143"/>
      <c r="AH914" s="143"/>
      <c r="AI914" s="143"/>
      <c r="AJ914" s="143"/>
    </row>
    <row r="915" spans="1:36" ht="12.75" customHeight="1" x14ac:dyDescent="0.25">
      <c r="A915" s="143"/>
      <c r="B915" s="145"/>
      <c r="C915" s="146"/>
      <c r="D915" s="114"/>
      <c r="E915" s="148"/>
      <c r="F915" s="148"/>
      <c r="G915" s="114"/>
      <c r="H915" s="149"/>
      <c r="I915" s="143"/>
      <c r="J915" s="143"/>
      <c r="K915" s="143"/>
      <c r="L915" s="143"/>
      <c r="M915" s="150"/>
      <c r="N915" s="143"/>
      <c r="O915" s="1"/>
      <c r="P915" s="151"/>
      <c r="Q915" s="143"/>
      <c r="R915" s="143"/>
      <c r="S915" s="143"/>
      <c r="T915" s="143"/>
      <c r="U915" s="143"/>
      <c r="V915" s="143"/>
      <c r="W915" s="143"/>
      <c r="X915" s="143"/>
      <c r="Y915" s="143"/>
      <c r="Z915" s="143"/>
      <c r="AA915" s="143"/>
      <c r="AB915" s="143"/>
      <c r="AC915" s="143"/>
      <c r="AD915" s="143"/>
      <c r="AE915" s="143"/>
      <c r="AF915" s="143"/>
      <c r="AG915" s="143"/>
      <c r="AH915" s="143"/>
      <c r="AI915" s="143"/>
      <c r="AJ915" s="143"/>
    </row>
    <row r="916" spans="1:36" ht="12.75" customHeight="1" x14ac:dyDescent="0.25">
      <c r="A916" s="143"/>
      <c r="B916" s="145"/>
      <c r="C916" s="146"/>
      <c r="D916" s="114"/>
      <c r="E916" s="148"/>
      <c r="F916" s="148"/>
      <c r="G916" s="114"/>
      <c r="H916" s="149"/>
      <c r="I916" s="143"/>
      <c r="J916" s="143"/>
      <c r="K916" s="143"/>
      <c r="L916" s="143"/>
      <c r="M916" s="150"/>
      <c r="N916" s="143"/>
      <c r="O916" s="1"/>
      <c r="P916" s="151"/>
      <c r="Q916" s="143"/>
      <c r="R916" s="143"/>
      <c r="S916" s="143"/>
      <c r="T916" s="143"/>
      <c r="U916" s="143"/>
      <c r="V916" s="143"/>
      <c r="W916" s="143"/>
      <c r="X916" s="143"/>
      <c r="Y916" s="143"/>
      <c r="Z916" s="143"/>
      <c r="AA916" s="143"/>
      <c r="AB916" s="143"/>
      <c r="AC916" s="143"/>
      <c r="AD916" s="143"/>
      <c r="AE916" s="143"/>
      <c r="AF916" s="143"/>
      <c r="AG916" s="143"/>
      <c r="AH916" s="143"/>
      <c r="AI916" s="143"/>
      <c r="AJ916" s="143"/>
    </row>
    <row r="917" spans="1:36" ht="12.75" customHeight="1" x14ac:dyDescent="0.25">
      <c r="A917" s="143"/>
      <c r="B917" s="145"/>
      <c r="C917" s="146"/>
      <c r="D917" s="114"/>
      <c r="E917" s="148"/>
      <c r="F917" s="148"/>
      <c r="G917" s="114"/>
      <c r="H917" s="149"/>
      <c r="I917" s="143"/>
      <c r="J917" s="143"/>
      <c r="K917" s="143"/>
      <c r="L917" s="143"/>
      <c r="M917" s="150"/>
      <c r="N917" s="143"/>
      <c r="O917" s="1"/>
      <c r="P917" s="151"/>
      <c r="Q917" s="143"/>
      <c r="R917" s="143"/>
      <c r="S917" s="143"/>
      <c r="T917" s="143"/>
      <c r="U917" s="143"/>
      <c r="V917" s="143"/>
      <c r="W917" s="143"/>
      <c r="X917" s="143"/>
      <c r="Y917" s="143"/>
      <c r="Z917" s="143"/>
      <c r="AA917" s="143"/>
      <c r="AB917" s="143"/>
      <c r="AC917" s="143"/>
      <c r="AD917" s="143"/>
      <c r="AE917" s="143"/>
      <c r="AF917" s="143"/>
      <c r="AG917" s="143"/>
      <c r="AH917" s="143"/>
      <c r="AI917" s="143"/>
      <c r="AJ917" s="143"/>
    </row>
    <row r="918" spans="1:36" ht="12.75" customHeight="1" x14ac:dyDescent="0.25">
      <c r="A918" s="143"/>
      <c r="B918" s="145"/>
      <c r="C918" s="146"/>
      <c r="D918" s="114"/>
      <c r="E918" s="148"/>
      <c r="F918" s="148"/>
      <c r="G918" s="114"/>
      <c r="H918" s="149"/>
      <c r="I918" s="143"/>
      <c r="J918" s="143"/>
      <c r="K918" s="143"/>
      <c r="L918" s="143"/>
      <c r="M918" s="150"/>
      <c r="N918" s="143"/>
      <c r="O918" s="1"/>
      <c r="P918" s="151"/>
      <c r="Q918" s="143"/>
      <c r="R918" s="143"/>
      <c r="S918" s="143"/>
      <c r="T918" s="143"/>
      <c r="U918" s="143"/>
      <c r="V918" s="143"/>
      <c r="W918" s="143"/>
      <c r="X918" s="143"/>
      <c r="Y918" s="143"/>
      <c r="Z918" s="143"/>
      <c r="AA918" s="143"/>
      <c r="AB918" s="143"/>
      <c r="AC918" s="143"/>
      <c r="AD918" s="143"/>
      <c r="AE918" s="143"/>
      <c r="AF918" s="143"/>
      <c r="AG918" s="143"/>
      <c r="AH918" s="143"/>
      <c r="AI918" s="143"/>
      <c r="AJ918" s="143"/>
    </row>
    <row r="919" spans="1:36" ht="12.75" customHeight="1" x14ac:dyDescent="0.25">
      <c r="A919" s="143"/>
      <c r="B919" s="145"/>
      <c r="C919" s="146"/>
      <c r="D919" s="114"/>
      <c r="E919" s="148"/>
      <c r="F919" s="148"/>
      <c r="G919" s="114"/>
      <c r="H919" s="149"/>
      <c r="I919" s="143"/>
      <c r="J919" s="143"/>
      <c r="K919" s="143"/>
      <c r="L919" s="143"/>
      <c r="M919" s="150"/>
      <c r="N919" s="143"/>
      <c r="O919" s="1"/>
      <c r="P919" s="151"/>
      <c r="Q919" s="143"/>
      <c r="R919" s="143"/>
      <c r="S919" s="143"/>
      <c r="T919" s="143"/>
      <c r="U919" s="143"/>
      <c r="V919" s="143"/>
      <c r="W919" s="143"/>
      <c r="X919" s="143"/>
      <c r="Y919" s="143"/>
      <c r="Z919" s="143"/>
      <c r="AA919" s="143"/>
      <c r="AB919" s="143"/>
      <c r="AC919" s="143"/>
      <c r="AD919" s="143"/>
      <c r="AE919" s="143"/>
      <c r="AF919" s="143"/>
      <c r="AG919" s="143"/>
      <c r="AH919" s="143"/>
      <c r="AI919" s="143"/>
      <c r="AJ919" s="143"/>
    </row>
    <row r="920" spans="1:36" ht="12.75" customHeight="1" x14ac:dyDescent="0.25">
      <c r="A920" s="143"/>
      <c r="B920" s="145"/>
      <c r="C920" s="146"/>
      <c r="D920" s="114"/>
      <c r="E920" s="148"/>
      <c r="F920" s="148"/>
      <c r="G920" s="114"/>
      <c r="H920" s="149"/>
      <c r="I920" s="143"/>
      <c r="J920" s="143"/>
      <c r="K920" s="143"/>
      <c r="L920" s="143"/>
      <c r="M920" s="150"/>
      <c r="N920" s="143"/>
      <c r="O920" s="1"/>
      <c r="P920" s="151"/>
      <c r="Q920" s="143"/>
      <c r="R920" s="143"/>
      <c r="S920" s="143"/>
      <c r="T920" s="143"/>
      <c r="U920" s="143"/>
      <c r="V920" s="143"/>
      <c r="W920" s="143"/>
      <c r="X920" s="143"/>
      <c r="Y920" s="143"/>
      <c r="Z920" s="143"/>
      <c r="AA920" s="143"/>
      <c r="AB920" s="143"/>
      <c r="AC920" s="143"/>
      <c r="AD920" s="143"/>
      <c r="AE920" s="143"/>
      <c r="AF920" s="143"/>
      <c r="AG920" s="143"/>
      <c r="AH920" s="143"/>
      <c r="AI920" s="143"/>
      <c r="AJ920" s="143"/>
    </row>
    <row r="921" spans="1:36" ht="12.75" customHeight="1" x14ac:dyDescent="0.25">
      <c r="A921" s="143"/>
      <c r="B921" s="145"/>
      <c r="C921" s="146"/>
      <c r="D921" s="114"/>
      <c r="E921" s="148"/>
      <c r="F921" s="148"/>
      <c r="G921" s="114"/>
      <c r="H921" s="149"/>
      <c r="I921" s="143"/>
      <c r="J921" s="143"/>
      <c r="K921" s="143"/>
      <c r="L921" s="143"/>
      <c r="M921" s="150"/>
      <c r="N921" s="143"/>
      <c r="O921" s="1"/>
      <c r="P921" s="151"/>
      <c r="Q921" s="143"/>
      <c r="R921" s="143"/>
      <c r="S921" s="143"/>
      <c r="T921" s="143"/>
      <c r="U921" s="143"/>
      <c r="V921" s="143"/>
      <c r="W921" s="143"/>
      <c r="X921" s="143"/>
      <c r="Y921" s="143"/>
      <c r="Z921" s="143"/>
      <c r="AA921" s="143"/>
      <c r="AB921" s="143"/>
      <c r="AC921" s="143"/>
      <c r="AD921" s="143"/>
      <c r="AE921" s="143"/>
      <c r="AF921" s="143"/>
      <c r="AG921" s="143"/>
      <c r="AH921" s="143"/>
      <c r="AI921" s="143"/>
      <c r="AJ921" s="143"/>
    </row>
    <row r="922" spans="1:36" ht="12.75" customHeight="1" x14ac:dyDescent="0.25">
      <c r="A922" s="143"/>
      <c r="B922" s="145"/>
      <c r="C922" s="146"/>
      <c r="D922" s="114"/>
      <c r="E922" s="148"/>
      <c r="F922" s="148"/>
      <c r="G922" s="114"/>
      <c r="H922" s="149"/>
      <c r="I922" s="143"/>
      <c r="J922" s="143"/>
      <c r="K922" s="143"/>
      <c r="L922" s="143"/>
      <c r="M922" s="150"/>
      <c r="N922" s="143"/>
      <c r="O922" s="1"/>
      <c r="P922" s="151"/>
      <c r="Q922" s="143"/>
      <c r="R922" s="143"/>
      <c r="S922" s="143"/>
      <c r="T922" s="143"/>
      <c r="U922" s="143"/>
      <c r="V922" s="143"/>
      <c r="W922" s="143"/>
      <c r="X922" s="143"/>
      <c r="Y922" s="143"/>
      <c r="Z922" s="143"/>
      <c r="AA922" s="143"/>
      <c r="AB922" s="143"/>
      <c r="AC922" s="143"/>
      <c r="AD922" s="143"/>
      <c r="AE922" s="143"/>
      <c r="AF922" s="143"/>
      <c r="AG922" s="143"/>
      <c r="AH922" s="143"/>
      <c r="AI922" s="143"/>
      <c r="AJ922" s="143"/>
    </row>
    <row r="923" spans="1:36" ht="12.75" customHeight="1" x14ac:dyDescent="0.25">
      <c r="A923" s="143"/>
      <c r="B923" s="145"/>
      <c r="C923" s="146"/>
      <c r="D923" s="114"/>
      <c r="E923" s="148"/>
      <c r="F923" s="148"/>
      <c r="G923" s="114"/>
      <c r="H923" s="149"/>
      <c r="I923" s="143"/>
      <c r="J923" s="143"/>
      <c r="K923" s="143"/>
      <c r="L923" s="143"/>
      <c r="M923" s="150"/>
      <c r="N923" s="143"/>
      <c r="O923" s="1"/>
      <c r="P923" s="151"/>
      <c r="Q923" s="143"/>
      <c r="R923" s="143"/>
      <c r="S923" s="143"/>
      <c r="T923" s="143"/>
      <c r="U923" s="143"/>
      <c r="V923" s="143"/>
      <c r="W923" s="143"/>
      <c r="X923" s="143"/>
      <c r="Y923" s="143"/>
      <c r="Z923" s="143"/>
      <c r="AA923" s="143"/>
      <c r="AB923" s="143"/>
      <c r="AC923" s="143"/>
      <c r="AD923" s="143"/>
      <c r="AE923" s="143"/>
      <c r="AF923" s="143"/>
      <c r="AG923" s="143"/>
      <c r="AH923" s="143"/>
      <c r="AI923" s="143"/>
      <c r="AJ923" s="143"/>
    </row>
    <row r="924" spans="1:36" ht="12.75" customHeight="1" x14ac:dyDescent="0.25">
      <c r="A924" s="143"/>
      <c r="B924" s="145"/>
      <c r="C924" s="146"/>
      <c r="D924" s="114"/>
      <c r="E924" s="148"/>
      <c r="F924" s="148"/>
      <c r="G924" s="114"/>
      <c r="H924" s="149"/>
      <c r="I924" s="143"/>
      <c r="J924" s="143"/>
      <c r="K924" s="143"/>
      <c r="L924" s="143"/>
      <c r="M924" s="150"/>
      <c r="N924" s="143"/>
      <c r="O924" s="1"/>
      <c r="P924" s="151"/>
      <c r="Q924" s="143"/>
      <c r="R924" s="143"/>
      <c r="S924" s="143"/>
      <c r="T924" s="143"/>
      <c r="U924" s="143"/>
      <c r="V924" s="143"/>
      <c r="W924" s="143"/>
      <c r="X924" s="143"/>
      <c r="Y924" s="143"/>
      <c r="Z924" s="143"/>
      <c r="AA924" s="143"/>
      <c r="AB924" s="143"/>
      <c r="AC924" s="143"/>
      <c r="AD924" s="143"/>
      <c r="AE924" s="143"/>
      <c r="AF924" s="143"/>
      <c r="AG924" s="143"/>
      <c r="AH924" s="143"/>
      <c r="AI924" s="143"/>
      <c r="AJ924" s="143"/>
    </row>
    <row r="925" spans="1:36" ht="12.75" customHeight="1" x14ac:dyDescent="0.25">
      <c r="A925" s="143"/>
      <c r="B925" s="145"/>
      <c r="C925" s="146"/>
      <c r="D925" s="114"/>
      <c r="E925" s="148"/>
      <c r="F925" s="148"/>
      <c r="G925" s="114"/>
      <c r="H925" s="149"/>
      <c r="I925" s="143"/>
      <c r="J925" s="143"/>
      <c r="K925" s="143"/>
      <c r="L925" s="143"/>
      <c r="M925" s="150"/>
      <c r="N925" s="143"/>
      <c r="O925" s="1"/>
      <c r="P925" s="151"/>
      <c r="Q925" s="143"/>
      <c r="R925" s="143"/>
      <c r="S925" s="143"/>
      <c r="T925" s="143"/>
      <c r="U925" s="143"/>
      <c r="V925" s="143"/>
      <c r="W925" s="143"/>
      <c r="X925" s="143"/>
      <c r="Y925" s="143"/>
      <c r="Z925" s="143"/>
      <c r="AA925" s="143"/>
      <c r="AB925" s="143"/>
      <c r="AC925" s="143"/>
      <c r="AD925" s="143"/>
      <c r="AE925" s="143"/>
      <c r="AF925" s="143"/>
      <c r="AG925" s="143"/>
      <c r="AH925" s="143"/>
      <c r="AI925" s="143"/>
      <c r="AJ925" s="143"/>
    </row>
    <row r="926" spans="1:36" ht="12.75" customHeight="1" x14ac:dyDescent="0.25">
      <c r="A926" s="143"/>
      <c r="B926" s="145"/>
      <c r="C926" s="146"/>
      <c r="D926" s="114"/>
      <c r="E926" s="148"/>
      <c r="F926" s="148"/>
      <c r="G926" s="114"/>
      <c r="H926" s="149"/>
      <c r="I926" s="143"/>
      <c r="J926" s="143"/>
      <c r="K926" s="143"/>
      <c r="L926" s="143"/>
      <c r="M926" s="150"/>
      <c r="N926" s="143"/>
      <c r="O926" s="1"/>
      <c r="P926" s="151"/>
      <c r="Q926" s="143"/>
      <c r="R926" s="143"/>
      <c r="S926" s="143"/>
      <c r="T926" s="143"/>
      <c r="U926" s="143"/>
      <c r="V926" s="143"/>
      <c r="W926" s="143"/>
      <c r="X926" s="143"/>
      <c r="Y926" s="143"/>
      <c r="Z926" s="143"/>
      <c r="AA926" s="143"/>
      <c r="AB926" s="143"/>
      <c r="AC926" s="143"/>
      <c r="AD926" s="143"/>
      <c r="AE926" s="143"/>
      <c r="AF926" s="143"/>
      <c r="AG926" s="143"/>
      <c r="AH926" s="143"/>
      <c r="AI926" s="143"/>
      <c r="AJ926" s="143"/>
    </row>
    <row r="927" spans="1:36" ht="12.75" customHeight="1" x14ac:dyDescent="0.25">
      <c r="A927" s="143"/>
      <c r="B927" s="145"/>
      <c r="C927" s="146"/>
      <c r="D927" s="114"/>
      <c r="E927" s="148"/>
      <c r="F927" s="148"/>
      <c r="G927" s="114"/>
      <c r="H927" s="149"/>
      <c r="I927" s="143"/>
      <c r="J927" s="143"/>
      <c r="K927" s="143"/>
      <c r="L927" s="143"/>
      <c r="M927" s="150"/>
      <c r="N927" s="143"/>
      <c r="O927" s="1"/>
      <c r="P927" s="151"/>
      <c r="Q927" s="143"/>
      <c r="R927" s="143"/>
      <c r="S927" s="143"/>
      <c r="T927" s="143"/>
      <c r="U927" s="143"/>
      <c r="V927" s="143"/>
      <c r="W927" s="143"/>
      <c r="X927" s="143"/>
      <c r="Y927" s="143"/>
      <c r="Z927" s="143"/>
      <c r="AA927" s="143"/>
      <c r="AB927" s="143"/>
      <c r="AC927" s="143"/>
      <c r="AD927" s="143"/>
      <c r="AE927" s="143"/>
      <c r="AF927" s="143"/>
      <c r="AG927" s="143"/>
      <c r="AH927" s="143"/>
      <c r="AI927" s="143"/>
      <c r="AJ927" s="143"/>
    </row>
    <row r="928" spans="1:36" ht="12.75" customHeight="1" x14ac:dyDescent="0.25">
      <c r="A928" s="143"/>
      <c r="B928" s="145"/>
      <c r="C928" s="146"/>
      <c r="D928" s="114"/>
      <c r="E928" s="148"/>
      <c r="F928" s="148"/>
      <c r="G928" s="114"/>
      <c r="H928" s="149"/>
      <c r="I928" s="143"/>
      <c r="J928" s="143"/>
      <c r="K928" s="143"/>
      <c r="L928" s="143"/>
      <c r="M928" s="150"/>
      <c r="N928" s="143"/>
      <c r="O928" s="1"/>
      <c r="P928" s="151"/>
      <c r="Q928" s="143"/>
      <c r="R928" s="143"/>
      <c r="S928" s="143"/>
      <c r="T928" s="143"/>
      <c r="U928" s="143"/>
      <c r="V928" s="143"/>
      <c r="W928" s="143"/>
      <c r="X928" s="143"/>
      <c r="Y928" s="143"/>
      <c r="Z928" s="143"/>
      <c r="AA928" s="143"/>
      <c r="AB928" s="143"/>
      <c r="AC928" s="143"/>
      <c r="AD928" s="143"/>
      <c r="AE928" s="143"/>
      <c r="AF928" s="143"/>
      <c r="AG928" s="143"/>
      <c r="AH928" s="143"/>
      <c r="AI928" s="143"/>
      <c r="AJ928" s="143"/>
    </row>
    <row r="929" spans="1:36" ht="12.75" customHeight="1" x14ac:dyDescent="0.25">
      <c r="A929" s="143"/>
      <c r="B929" s="145"/>
      <c r="C929" s="146"/>
      <c r="D929" s="114"/>
      <c r="E929" s="148"/>
      <c r="F929" s="148"/>
      <c r="G929" s="114"/>
      <c r="H929" s="149"/>
      <c r="I929" s="143"/>
      <c r="J929" s="143"/>
      <c r="K929" s="143"/>
      <c r="L929" s="143"/>
      <c r="M929" s="150"/>
      <c r="N929" s="143"/>
      <c r="O929" s="1"/>
      <c r="P929" s="151"/>
      <c r="Q929" s="143"/>
      <c r="R929" s="143"/>
      <c r="S929" s="143"/>
      <c r="T929" s="143"/>
      <c r="U929" s="143"/>
      <c r="V929" s="143"/>
      <c r="W929" s="143"/>
      <c r="X929" s="143"/>
      <c r="Y929" s="143"/>
      <c r="Z929" s="143"/>
      <c r="AA929" s="143"/>
      <c r="AB929" s="143"/>
      <c r="AC929" s="143"/>
      <c r="AD929" s="143"/>
      <c r="AE929" s="143"/>
      <c r="AF929" s="143"/>
      <c r="AG929" s="143"/>
      <c r="AH929" s="143"/>
      <c r="AI929" s="143"/>
      <c r="AJ929" s="143"/>
    </row>
    <row r="930" spans="1:36" ht="12.75" customHeight="1" x14ac:dyDescent="0.25">
      <c r="A930" s="143"/>
      <c r="B930" s="145"/>
      <c r="C930" s="146"/>
      <c r="D930" s="114"/>
      <c r="E930" s="148"/>
      <c r="F930" s="148"/>
      <c r="G930" s="114"/>
      <c r="H930" s="149"/>
      <c r="I930" s="143"/>
      <c r="J930" s="143"/>
      <c r="K930" s="143"/>
      <c r="L930" s="143"/>
      <c r="M930" s="150"/>
      <c r="N930" s="143"/>
      <c r="O930" s="1"/>
      <c r="P930" s="151"/>
      <c r="Q930" s="143"/>
      <c r="R930" s="143"/>
      <c r="S930" s="143"/>
      <c r="T930" s="143"/>
      <c r="U930" s="143"/>
      <c r="V930" s="143"/>
      <c r="W930" s="143"/>
      <c r="X930" s="143"/>
      <c r="Y930" s="143"/>
      <c r="Z930" s="143"/>
      <c r="AA930" s="143"/>
      <c r="AB930" s="143"/>
      <c r="AC930" s="143"/>
      <c r="AD930" s="143"/>
      <c r="AE930" s="143"/>
      <c r="AF930" s="143"/>
      <c r="AG930" s="143"/>
      <c r="AH930" s="143"/>
      <c r="AI930" s="143"/>
      <c r="AJ930" s="143"/>
    </row>
    <row r="931" spans="1:36" ht="12.75" customHeight="1" x14ac:dyDescent="0.25">
      <c r="A931" s="143"/>
      <c r="B931" s="145"/>
      <c r="C931" s="146"/>
      <c r="D931" s="114"/>
      <c r="E931" s="148"/>
      <c r="F931" s="148"/>
      <c r="G931" s="114"/>
      <c r="H931" s="149"/>
      <c r="I931" s="143"/>
      <c r="J931" s="143"/>
      <c r="K931" s="143"/>
      <c r="L931" s="143"/>
      <c r="M931" s="150"/>
      <c r="N931" s="143"/>
      <c r="O931" s="1"/>
      <c r="P931" s="151"/>
      <c r="Q931" s="143"/>
      <c r="R931" s="143"/>
      <c r="S931" s="143"/>
      <c r="T931" s="143"/>
      <c r="U931" s="143"/>
      <c r="V931" s="143"/>
      <c r="W931" s="143"/>
      <c r="X931" s="143"/>
      <c r="Y931" s="143"/>
      <c r="Z931" s="143"/>
      <c r="AA931" s="143"/>
      <c r="AB931" s="143"/>
      <c r="AC931" s="143"/>
      <c r="AD931" s="143"/>
      <c r="AE931" s="143"/>
      <c r="AF931" s="143"/>
      <c r="AG931" s="143"/>
      <c r="AH931" s="143"/>
      <c r="AI931" s="143"/>
      <c r="AJ931" s="143"/>
    </row>
    <row r="932" spans="1:36" ht="12.75" customHeight="1" x14ac:dyDescent="0.25">
      <c r="A932" s="143"/>
      <c r="B932" s="145"/>
      <c r="C932" s="146"/>
      <c r="D932" s="114"/>
      <c r="E932" s="148"/>
      <c r="F932" s="148"/>
      <c r="G932" s="114"/>
      <c r="H932" s="149"/>
      <c r="I932" s="143"/>
      <c r="J932" s="143"/>
      <c r="K932" s="143"/>
      <c r="L932" s="143"/>
      <c r="M932" s="150"/>
      <c r="N932" s="143"/>
      <c r="O932" s="1"/>
      <c r="P932" s="151"/>
      <c r="Q932" s="143"/>
      <c r="R932" s="143"/>
      <c r="S932" s="143"/>
      <c r="T932" s="143"/>
      <c r="U932" s="143"/>
      <c r="V932" s="143"/>
      <c r="W932" s="143"/>
      <c r="X932" s="143"/>
      <c r="Y932" s="143"/>
      <c r="Z932" s="143"/>
      <c r="AA932" s="143"/>
      <c r="AB932" s="143"/>
      <c r="AC932" s="143"/>
      <c r="AD932" s="143"/>
      <c r="AE932" s="143"/>
      <c r="AF932" s="143"/>
      <c r="AG932" s="143"/>
      <c r="AH932" s="143"/>
      <c r="AI932" s="143"/>
      <c r="AJ932" s="143"/>
    </row>
    <row r="933" spans="1:36" ht="12.75" customHeight="1" x14ac:dyDescent="0.25">
      <c r="A933" s="143"/>
      <c r="B933" s="145"/>
      <c r="C933" s="146"/>
      <c r="D933" s="114"/>
      <c r="E933" s="148"/>
      <c r="F933" s="148"/>
      <c r="G933" s="114"/>
      <c r="H933" s="149"/>
      <c r="I933" s="143"/>
      <c r="J933" s="143"/>
      <c r="K933" s="143"/>
      <c r="L933" s="143"/>
      <c r="M933" s="150"/>
      <c r="N933" s="143"/>
      <c r="O933" s="1"/>
      <c r="P933" s="151"/>
      <c r="Q933" s="143"/>
      <c r="R933" s="143"/>
      <c r="S933" s="143"/>
      <c r="T933" s="143"/>
      <c r="U933" s="143"/>
      <c r="V933" s="143"/>
      <c r="W933" s="143"/>
      <c r="X933" s="143"/>
      <c r="Y933" s="143"/>
      <c r="Z933" s="143"/>
      <c r="AA933" s="143"/>
      <c r="AB933" s="143"/>
      <c r="AC933" s="143"/>
      <c r="AD933" s="143"/>
      <c r="AE933" s="143"/>
      <c r="AF933" s="143"/>
      <c r="AG933" s="143"/>
      <c r="AH933" s="143"/>
      <c r="AI933" s="143"/>
      <c r="AJ933" s="143"/>
    </row>
    <row r="934" spans="1:36" ht="12.75" customHeight="1" x14ac:dyDescent="0.25">
      <c r="A934" s="143"/>
      <c r="B934" s="145"/>
      <c r="C934" s="146"/>
      <c r="D934" s="114"/>
      <c r="E934" s="148"/>
      <c r="F934" s="148"/>
      <c r="G934" s="114"/>
      <c r="H934" s="149"/>
      <c r="I934" s="143"/>
      <c r="J934" s="143"/>
      <c r="K934" s="143"/>
      <c r="L934" s="143"/>
      <c r="M934" s="150"/>
      <c r="N934" s="143"/>
      <c r="O934" s="1"/>
      <c r="P934" s="151"/>
      <c r="Q934" s="143"/>
      <c r="R934" s="143"/>
      <c r="S934" s="143"/>
      <c r="T934" s="143"/>
      <c r="U934" s="143"/>
      <c r="V934" s="143"/>
      <c r="W934" s="143"/>
      <c r="X934" s="143"/>
      <c r="Y934" s="143"/>
      <c r="Z934" s="143"/>
      <c r="AA934" s="143"/>
      <c r="AB934" s="143"/>
      <c r="AC934" s="143"/>
      <c r="AD934" s="143"/>
      <c r="AE934" s="143"/>
      <c r="AF934" s="143"/>
      <c r="AG934" s="143"/>
      <c r="AH934" s="143"/>
      <c r="AI934" s="143"/>
      <c r="AJ934" s="143"/>
    </row>
    <row r="935" spans="1:36" ht="12.75" customHeight="1" x14ac:dyDescent="0.25">
      <c r="A935" s="143"/>
      <c r="B935" s="145"/>
      <c r="C935" s="146"/>
      <c r="D935" s="114"/>
      <c r="E935" s="148"/>
      <c r="F935" s="148"/>
      <c r="G935" s="114"/>
      <c r="H935" s="149"/>
      <c r="I935" s="143"/>
      <c r="J935" s="143"/>
      <c r="K935" s="143"/>
      <c r="L935" s="143"/>
      <c r="M935" s="150"/>
      <c r="N935" s="143"/>
      <c r="O935" s="1"/>
      <c r="P935" s="151"/>
      <c r="Q935" s="143"/>
      <c r="R935" s="143"/>
      <c r="S935" s="143"/>
      <c r="T935" s="143"/>
      <c r="U935" s="143"/>
      <c r="V935" s="143"/>
      <c r="W935" s="143"/>
      <c r="X935" s="143"/>
      <c r="Y935" s="143"/>
      <c r="Z935" s="143"/>
      <c r="AA935" s="143"/>
      <c r="AB935" s="143"/>
      <c r="AC935" s="143"/>
      <c r="AD935" s="143"/>
      <c r="AE935" s="143"/>
      <c r="AF935" s="143"/>
      <c r="AG935" s="143"/>
      <c r="AH935" s="143"/>
      <c r="AI935" s="143"/>
      <c r="AJ935" s="143"/>
    </row>
    <row r="936" spans="1:36" ht="12.75" customHeight="1" x14ac:dyDescent="0.25">
      <c r="A936" s="143"/>
      <c r="B936" s="145"/>
      <c r="C936" s="146"/>
      <c r="D936" s="114"/>
      <c r="E936" s="148"/>
      <c r="F936" s="148"/>
      <c r="G936" s="114"/>
      <c r="H936" s="149"/>
      <c r="I936" s="143"/>
      <c r="J936" s="143"/>
      <c r="K936" s="143"/>
      <c r="L936" s="143"/>
      <c r="M936" s="150"/>
      <c r="N936" s="143"/>
      <c r="O936" s="1"/>
      <c r="P936" s="151"/>
      <c r="Q936" s="143"/>
      <c r="R936" s="143"/>
      <c r="S936" s="143"/>
      <c r="T936" s="143"/>
      <c r="U936" s="143"/>
      <c r="V936" s="143"/>
      <c r="W936" s="143"/>
      <c r="X936" s="143"/>
      <c r="Y936" s="143"/>
      <c r="Z936" s="143"/>
      <c r="AA936" s="143"/>
      <c r="AB936" s="143"/>
      <c r="AC936" s="143"/>
      <c r="AD936" s="143"/>
      <c r="AE936" s="143"/>
      <c r="AF936" s="143"/>
      <c r="AG936" s="143"/>
      <c r="AH936" s="143"/>
      <c r="AI936" s="143"/>
      <c r="AJ936" s="143"/>
    </row>
    <row r="937" spans="1:36" ht="12.75" customHeight="1" x14ac:dyDescent="0.25">
      <c r="A937" s="143"/>
      <c r="B937" s="145"/>
      <c r="C937" s="146"/>
      <c r="D937" s="114"/>
      <c r="E937" s="148"/>
      <c r="F937" s="148"/>
      <c r="G937" s="114"/>
      <c r="H937" s="149"/>
      <c r="I937" s="143"/>
      <c r="J937" s="143"/>
      <c r="K937" s="143"/>
      <c r="L937" s="143"/>
      <c r="M937" s="150"/>
      <c r="N937" s="143"/>
      <c r="O937" s="1"/>
      <c r="P937" s="151"/>
      <c r="Q937" s="143"/>
      <c r="R937" s="143"/>
      <c r="S937" s="143"/>
      <c r="T937" s="143"/>
      <c r="U937" s="143"/>
      <c r="V937" s="143"/>
      <c r="W937" s="143"/>
      <c r="X937" s="143"/>
      <c r="Y937" s="143"/>
      <c r="Z937" s="143"/>
      <c r="AA937" s="143"/>
      <c r="AB937" s="143"/>
      <c r="AC937" s="143"/>
      <c r="AD937" s="143"/>
      <c r="AE937" s="143"/>
      <c r="AF937" s="143"/>
      <c r="AG937" s="143"/>
      <c r="AH937" s="143"/>
      <c r="AI937" s="143"/>
      <c r="AJ937" s="143"/>
    </row>
    <row r="938" spans="1:36" ht="12.75" customHeight="1" x14ac:dyDescent="0.25">
      <c r="A938" s="143"/>
      <c r="B938" s="145"/>
      <c r="C938" s="146"/>
      <c r="D938" s="114"/>
      <c r="E938" s="148"/>
      <c r="F938" s="148"/>
      <c r="G938" s="114"/>
      <c r="H938" s="149"/>
      <c r="I938" s="143"/>
      <c r="J938" s="143"/>
      <c r="K938" s="143"/>
      <c r="L938" s="143"/>
      <c r="M938" s="150"/>
      <c r="N938" s="143"/>
      <c r="O938" s="1"/>
      <c r="P938" s="151"/>
      <c r="Q938" s="143"/>
      <c r="R938" s="143"/>
      <c r="S938" s="143"/>
      <c r="T938" s="143"/>
      <c r="U938" s="143"/>
      <c r="V938" s="143"/>
      <c r="W938" s="143"/>
      <c r="X938" s="143"/>
      <c r="Y938" s="143"/>
      <c r="Z938" s="143"/>
      <c r="AA938" s="143"/>
      <c r="AB938" s="143"/>
      <c r="AC938" s="143"/>
      <c r="AD938" s="143"/>
      <c r="AE938" s="143"/>
      <c r="AF938" s="143"/>
      <c r="AG938" s="143"/>
      <c r="AH938" s="143"/>
      <c r="AI938" s="143"/>
      <c r="AJ938" s="143"/>
    </row>
    <row r="939" spans="1:36" ht="12.75" customHeight="1" x14ac:dyDescent="0.25">
      <c r="A939" s="143"/>
      <c r="B939" s="145"/>
      <c r="C939" s="146"/>
      <c r="D939" s="114"/>
      <c r="E939" s="148"/>
      <c r="F939" s="148"/>
      <c r="G939" s="114"/>
      <c r="H939" s="149"/>
      <c r="I939" s="143"/>
      <c r="J939" s="143"/>
      <c r="K939" s="143"/>
      <c r="L939" s="143"/>
      <c r="M939" s="150"/>
      <c r="N939" s="143"/>
      <c r="O939" s="1"/>
      <c r="P939" s="151"/>
      <c r="Q939" s="143"/>
      <c r="R939" s="143"/>
      <c r="S939" s="143"/>
      <c r="T939" s="143"/>
      <c r="U939" s="143"/>
      <c r="V939" s="143"/>
      <c r="W939" s="143"/>
      <c r="X939" s="143"/>
      <c r="Y939" s="143"/>
      <c r="Z939" s="143"/>
      <c r="AA939" s="143"/>
      <c r="AB939" s="143"/>
      <c r="AC939" s="143"/>
      <c r="AD939" s="143"/>
      <c r="AE939" s="143"/>
      <c r="AF939" s="143"/>
      <c r="AG939" s="143"/>
      <c r="AH939" s="143"/>
      <c r="AI939" s="143"/>
      <c r="AJ939" s="143"/>
    </row>
    <row r="940" spans="1:36" ht="12.75" customHeight="1" x14ac:dyDescent="0.25">
      <c r="A940" s="143"/>
      <c r="B940" s="145"/>
      <c r="C940" s="146"/>
      <c r="D940" s="114"/>
      <c r="E940" s="148"/>
      <c r="F940" s="148"/>
      <c r="G940" s="114"/>
      <c r="H940" s="149"/>
      <c r="I940" s="143"/>
      <c r="J940" s="143"/>
      <c r="K940" s="143"/>
      <c r="L940" s="143"/>
      <c r="M940" s="150"/>
      <c r="N940" s="143"/>
      <c r="O940" s="1"/>
      <c r="P940" s="151"/>
      <c r="Q940" s="143"/>
      <c r="R940" s="143"/>
      <c r="S940" s="143"/>
      <c r="T940" s="143"/>
      <c r="U940" s="143"/>
      <c r="V940" s="143"/>
      <c r="W940" s="143"/>
      <c r="X940" s="143"/>
      <c r="Y940" s="143"/>
      <c r="Z940" s="143"/>
      <c r="AA940" s="143"/>
      <c r="AB940" s="143"/>
      <c r="AC940" s="143"/>
      <c r="AD940" s="143"/>
      <c r="AE940" s="143"/>
      <c r="AF940" s="143"/>
      <c r="AG940" s="143"/>
      <c r="AH940" s="143"/>
      <c r="AI940" s="143"/>
      <c r="AJ940" s="143"/>
    </row>
    <row r="941" spans="1:36" ht="12.75" customHeight="1" x14ac:dyDescent="0.25">
      <c r="A941" s="143"/>
      <c r="B941" s="145"/>
      <c r="C941" s="146"/>
      <c r="D941" s="114"/>
      <c r="E941" s="148"/>
      <c r="F941" s="148"/>
      <c r="G941" s="114"/>
      <c r="H941" s="149"/>
      <c r="I941" s="143"/>
      <c r="J941" s="143"/>
      <c r="K941" s="143"/>
      <c r="L941" s="143"/>
      <c r="M941" s="150"/>
      <c r="N941" s="143"/>
      <c r="O941" s="1"/>
      <c r="P941" s="151"/>
      <c r="Q941" s="143"/>
      <c r="R941" s="143"/>
      <c r="S941" s="143"/>
      <c r="T941" s="143"/>
      <c r="U941" s="143"/>
      <c r="V941" s="143"/>
      <c r="W941" s="143"/>
      <c r="X941" s="143"/>
      <c r="Y941" s="143"/>
      <c r="Z941" s="143"/>
      <c r="AA941" s="143"/>
      <c r="AB941" s="143"/>
      <c r="AC941" s="143"/>
      <c r="AD941" s="143"/>
      <c r="AE941" s="143"/>
      <c r="AF941" s="143"/>
      <c r="AG941" s="143"/>
      <c r="AH941" s="143"/>
      <c r="AI941" s="143"/>
      <c r="AJ941" s="143"/>
    </row>
    <row r="942" spans="1:36" ht="12.75" customHeight="1" x14ac:dyDescent="0.25">
      <c r="A942" s="143"/>
      <c r="B942" s="145"/>
      <c r="C942" s="146"/>
      <c r="D942" s="114"/>
      <c r="E942" s="148"/>
      <c r="F942" s="148"/>
      <c r="G942" s="114"/>
      <c r="H942" s="149"/>
      <c r="I942" s="143"/>
      <c r="J942" s="143"/>
      <c r="K942" s="143"/>
      <c r="L942" s="143"/>
      <c r="M942" s="150"/>
      <c r="N942" s="143"/>
      <c r="O942" s="1"/>
      <c r="P942" s="151"/>
      <c r="Q942" s="143"/>
      <c r="R942" s="143"/>
      <c r="S942" s="143"/>
      <c r="T942" s="143"/>
      <c r="U942" s="143"/>
      <c r="V942" s="143"/>
      <c r="W942" s="143"/>
      <c r="X942" s="143"/>
      <c r="Y942" s="143"/>
      <c r="Z942" s="143"/>
      <c r="AA942" s="143"/>
      <c r="AB942" s="143"/>
      <c r="AC942" s="143"/>
      <c r="AD942" s="143"/>
      <c r="AE942" s="143"/>
      <c r="AF942" s="143"/>
      <c r="AG942" s="143"/>
      <c r="AH942" s="143"/>
      <c r="AI942" s="143"/>
      <c r="AJ942" s="143"/>
    </row>
    <row r="943" spans="1:36" ht="12.75" customHeight="1" x14ac:dyDescent="0.25">
      <c r="A943" s="143"/>
      <c r="B943" s="145"/>
      <c r="C943" s="146"/>
      <c r="D943" s="114"/>
      <c r="E943" s="148"/>
      <c r="F943" s="148"/>
      <c r="G943" s="114"/>
      <c r="H943" s="149"/>
      <c r="I943" s="143"/>
      <c r="J943" s="143"/>
      <c r="K943" s="143"/>
      <c r="L943" s="143"/>
      <c r="M943" s="150"/>
      <c r="N943" s="143"/>
      <c r="O943" s="1"/>
      <c r="P943" s="151"/>
      <c r="Q943" s="143"/>
      <c r="R943" s="143"/>
      <c r="S943" s="143"/>
      <c r="T943" s="143"/>
      <c r="U943" s="143"/>
      <c r="V943" s="143"/>
      <c r="W943" s="143"/>
      <c r="X943" s="143"/>
      <c r="Y943" s="143"/>
      <c r="Z943" s="143"/>
      <c r="AA943" s="143"/>
      <c r="AB943" s="143"/>
      <c r="AC943" s="143"/>
      <c r="AD943" s="143"/>
      <c r="AE943" s="143"/>
      <c r="AF943" s="143"/>
      <c r="AG943" s="143"/>
      <c r="AH943" s="143"/>
      <c r="AI943" s="143"/>
      <c r="AJ943" s="143"/>
    </row>
    <row r="944" spans="1:36" ht="12.75" customHeight="1" x14ac:dyDescent="0.25">
      <c r="A944" s="143"/>
      <c r="B944" s="145"/>
      <c r="C944" s="146"/>
      <c r="D944" s="114"/>
      <c r="E944" s="148"/>
      <c r="F944" s="148"/>
      <c r="G944" s="114"/>
      <c r="H944" s="149"/>
      <c r="I944" s="143"/>
      <c r="J944" s="143"/>
      <c r="K944" s="143"/>
      <c r="L944" s="143"/>
      <c r="M944" s="150"/>
      <c r="N944" s="143"/>
      <c r="O944" s="1"/>
      <c r="P944" s="151"/>
      <c r="Q944" s="143"/>
      <c r="R944" s="143"/>
      <c r="S944" s="143"/>
      <c r="T944" s="143"/>
      <c r="U944" s="143"/>
      <c r="V944" s="143"/>
      <c r="W944" s="143"/>
      <c r="X944" s="143"/>
      <c r="Y944" s="143"/>
      <c r="Z944" s="143"/>
      <c r="AA944" s="143"/>
      <c r="AB944" s="143"/>
      <c r="AC944" s="143"/>
      <c r="AD944" s="143"/>
      <c r="AE944" s="143"/>
      <c r="AF944" s="143"/>
      <c r="AG944" s="143"/>
      <c r="AH944" s="143"/>
      <c r="AI944" s="143"/>
      <c r="AJ944" s="143"/>
    </row>
    <row r="945" spans="1:36" ht="12.75" customHeight="1" x14ac:dyDescent="0.25">
      <c r="A945" s="143"/>
      <c r="B945" s="145"/>
      <c r="C945" s="146"/>
      <c r="D945" s="114"/>
      <c r="E945" s="148"/>
      <c r="F945" s="148"/>
      <c r="G945" s="114"/>
      <c r="H945" s="149"/>
      <c r="I945" s="143"/>
      <c r="J945" s="143"/>
      <c r="K945" s="143"/>
      <c r="L945" s="143"/>
      <c r="M945" s="150"/>
      <c r="N945" s="143"/>
      <c r="O945" s="1"/>
      <c r="P945" s="151"/>
      <c r="Q945" s="143"/>
      <c r="R945" s="143"/>
      <c r="S945" s="143"/>
      <c r="T945" s="143"/>
      <c r="U945" s="143"/>
      <c r="V945" s="143"/>
      <c r="W945" s="143"/>
      <c r="X945" s="143"/>
      <c r="Y945" s="143"/>
      <c r="Z945" s="143"/>
      <c r="AA945" s="143"/>
      <c r="AB945" s="143"/>
      <c r="AC945" s="143"/>
      <c r="AD945" s="143"/>
      <c r="AE945" s="143"/>
      <c r="AF945" s="143"/>
      <c r="AG945" s="143"/>
      <c r="AH945" s="143"/>
      <c r="AI945" s="143"/>
      <c r="AJ945" s="143"/>
    </row>
    <row r="946" spans="1:36" ht="12.75" customHeight="1" x14ac:dyDescent="0.25">
      <c r="A946" s="143"/>
      <c r="B946" s="145"/>
      <c r="C946" s="146"/>
      <c r="D946" s="114"/>
      <c r="E946" s="148"/>
      <c r="F946" s="148"/>
      <c r="G946" s="114"/>
      <c r="H946" s="149"/>
      <c r="I946" s="143"/>
      <c r="J946" s="143"/>
      <c r="K946" s="143"/>
      <c r="L946" s="143"/>
      <c r="M946" s="150"/>
      <c r="N946" s="143"/>
      <c r="O946" s="1"/>
      <c r="P946" s="151"/>
      <c r="Q946" s="143"/>
      <c r="R946" s="143"/>
      <c r="S946" s="143"/>
      <c r="T946" s="143"/>
      <c r="U946" s="143"/>
      <c r="V946" s="143"/>
      <c r="W946" s="143"/>
      <c r="X946" s="143"/>
      <c r="Y946" s="143"/>
      <c r="Z946" s="143"/>
      <c r="AA946" s="143"/>
      <c r="AB946" s="143"/>
      <c r="AC946" s="143"/>
      <c r="AD946" s="143"/>
      <c r="AE946" s="143"/>
      <c r="AF946" s="143"/>
      <c r="AG946" s="143"/>
      <c r="AH946" s="143"/>
      <c r="AI946" s="143"/>
      <c r="AJ946" s="143"/>
    </row>
    <row r="947" spans="1:36" ht="12.75" customHeight="1" x14ac:dyDescent="0.25">
      <c r="A947" s="143"/>
      <c r="B947" s="145"/>
      <c r="C947" s="146"/>
      <c r="D947" s="114"/>
      <c r="E947" s="148"/>
      <c r="F947" s="148"/>
      <c r="G947" s="114"/>
      <c r="H947" s="149"/>
      <c r="I947" s="143"/>
      <c r="J947" s="143"/>
      <c r="K947" s="143"/>
      <c r="L947" s="143"/>
      <c r="M947" s="150"/>
      <c r="N947" s="143"/>
      <c r="O947" s="1"/>
      <c r="P947" s="151"/>
      <c r="Q947" s="143"/>
      <c r="R947" s="143"/>
      <c r="S947" s="143"/>
      <c r="T947" s="143"/>
      <c r="U947" s="143"/>
      <c r="V947" s="143"/>
      <c r="W947" s="143"/>
      <c r="X947" s="143"/>
      <c r="Y947" s="143"/>
      <c r="Z947" s="143"/>
      <c r="AA947" s="143"/>
      <c r="AB947" s="143"/>
      <c r="AC947" s="143"/>
      <c r="AD947" s="143"/>
      <c r="AE947" s="143"/>
      <c r="AF947" s="143"/>
      <c r="AG947" s="143"/>
      <c r="AH947" s="143"/>
      <c r="AI947" s="143"/>
      <c r="AJ947" s="143"/>
    </row>
    <row r="948" spans="1:36" ht="12.75" customHeight="1" x14ac:dyDescent="0.25">
      <c r="A948" s="143"/>
      <c r="B948" s="145"/>
      <c r="C948" s="146"/>
      <c r="D948" s="114"/>
      <c r="E948" s="148"/>
      <c r="F948" s="148"/>
      <c r="G948" s="114"/>
      <c r="H948" s="149"/>
      <c r="I948" s="143"/>
      <c r="J948" s="143"/>
      <c r="K948" s="143"/>
      <c r="L948" s="143"/>
      <c r="M948" s="150"/>
      <c r="N948" s="143"/>
      <c r="O948" s="1"/>
      <c r="P948" s="151"/>
      <c r="Q948" s="143"/>
      <c r="R948" s="143"/>
      <c r="S948" s="143"/>
      <c r="T948" s="143"/>
      <c r="U948" s="143"/>
      <c r="V948" s="143"/>
      <c r="W948" s="143"/>
      <c r="X948" s="143"/>
      <c r="Y948" s="143"/>
      <c r="Z948" s="143"/>
      <c r="AA948" s="143"/>
      <c r="AB948" s="143"/>
      <c r="AC948" s="143"/>
      <c r="AD948" s="143"/>
      <c r="AE948" s="143"/>
      <c r="AF948" s="143"/>
      <c r="AG948" s="143"/>
      <c r="AH948" s="143"/>
      <c r="AI948" s="143"/>
      <c r="AJ948" s="143"/>
    </row>
    <row r="949" spans="1:36" ht="12.75" customHeight="1" x14ac:dyDescent="0.25">
      <c r="A949" s="143"/>
      <c r="B949" s="145"/>
      <c r="C949" s="146"/>
      <c r="D949" s="114"/>
      <c r="E949" s="148"/>
      <c r="F949" s="148"/>
      <c r="G949" s="114"/>
      <c r="H949" s="149"/>
      <c r="I949" s="143"/>
      <c r="J949" s="143"/>
      <c r="K949" s="143"/>
      <c r="L949" s="143"/>
      <c r="M949" s="150"/>
      <c r="N949" s="143"/>
      <c r="O949" s="1"/>
      <c r="P949" s="151"/>
      <c r="Q949" s="143"/>
      <c r="R949" s="143"/>
      <c r="S949" s="143"/>
      <c r="T949" s="143"/>
      <c r="U949" s="143"/>
      <c r="V949" s="143"/>
      <c r="W949" s="143"/>
      <c r="X949" s="143"/>
      <c r="Y949" s="143"/>
      <c r="Z949" s="143"/>
      <c r="AA949" s="143"/>
      <c r="AB949" s="143"/>
      <c r="AC949" s="143"/>
      <c r="AD949" s="143"/>
      <c r="AE949" s="143"/>
      <c r="AF949" s="143"/>
      <c r="AG949" s="143"/>
      <c r="AH949" s="143"/>
      <c r="AI949" s="143"/>
      <c r="AJ949" s="143"/>
    </row>
    <row r="950" spans="1:36" ht="12.75" customHeight="1" x14ac:dyDescent="0.25">
      <c r="A950" s="143"/>
      <c r="B950" s="145"/>
      <c r="C950" s="146"/>
      <c r="D950" s="114"/>
      <c r="E950" s="148"/>
      <c r="F950" s="148"/>
      <c r="G950" s="114"/>
      <c r="H950" s="149"/>
      <c r="I950" s="143"/>
      <c r="J950" s="143"/>
      <c r="K950" s="143"/>
      <c r="L950" s="143"/>
      <c r="M950" s="150"/>
      <c r="N950" s="143"/>
      <c r="O950" s="1"/>
      <c r="P950" s="151"/>
      <c r="Q950" s="143"/>
      <c r="R950" s="143"/>
      <c r="S950" s="143"/>
      <c r="T950" s="143"/>
      <c r="U950" s="143"/>
      <c r="V950" s="143"/>
      <c r="W950" s="143"/>
      <c r="X950" s="143"/>
      <c r="Y950" s="143"/>
      <c r="Z950" s="143"/>
      <c r="AA950" s="143"/>
      <c r="AB950" s="143"/>
      <c r="AC950" s="143"/>
      <c r="AD950" s="143"/>
      <c r="AE950" s="143"/>
      <c r="AF950" s="143"/>
      <c r="AG950" s="143"/>
      <c r="AH950" s="143"/>
      <c r="AI950" s="143"/>
      <c r="AJ950" s="143"/>
    </row>
    <row r="951" spans="1:36" ht="12.75" customHeight="1" x14ac:dyDescent="0.25">
      <c r="A951" s="143"/>
      <c r="B951" s="145"/>
      <c r="C951" s="146"/>
      <c r="D951" s="114"/>
      <c r="E951" s="148"/>
      <c r="F951" s="148"/>
      <c r="G951" s="114"/>
      <c r="H951" s="149"/>
      <c r="I951" s="143"/>
      <c r="J951" s="143"/>
      <c r="K951" s="143"/>
      <c r="L951" s="143"/>
      <c r="M951" s="150"/>
      <c r="N951" s="143"/>
      <c r="O951" s="1"/>
      <c r="P951" s="151"/>
      <c r="Q951" s="143"/>
      <c r="R951" s="143"/>
      <c r="S951" s="143"/>
      <c r="T951" s="143"/>
      <c r="U951" s="143"/>
      <c r="V951" s="143"/>
      <c r="W951" s="143"/>
      <c r="X951" s="143"/>
      <c r="Y951" s="143"/>
      <c r="Z951" s="143"/>
      <c r="AA951" s="143"/>
      <c r="AB951" s="143"/>
      <c r="AC951" s="143"/>
      <c r="AD951" s="143"/>
      <c r="AE951" s="143"/>
      <c r="AF951" s="143"/>
      <c r="AG951" s="143"/>
      <c r="AH951" s="143"/>
      <c r="AI951" s="143"/>
      <c r="AJ951" s="143"/>
    </row>
    <row r="952" spans="1:36" ht="12.75" customHeight="1" x14ac:dyDescent="0.25">
      <c r="A952" s="143"/>
      <c r="B952" s="145"/>
      <c r="C952" s="146"/>
      <c r="D952" s="114"/>
      <c r="E952" s="148"/>
      <c r="F952" s="148"/>
      <c r="G952" s="114"/>
      <c r="H952" s="149"/>
      <c r="I952" s="143"/>
      <c r="J952" s="143"/>
      <c r="K952" s="143"/>
      <c r="L952" s="143"/>
      <c r="M952" s="150"/>
      <c r="N952" s="143"/>
      <c r="O952" s="1"/>
      <c r="P952" s="151"/>
      <c r="Q952" s="143"/>
      <c r="R952" s="143"/>
      <c r="S952" s="143"/>
      <c r="T952" s="143"/>
      <c r="U952" s="143"/>
      <c r="V952" s="143"/>
      <c r="W952" s="143"/>
      <c r="X952" s="143"/>
      <c r="Y952" s="143"/>
      <c r="Z952" s="143"/>
      <c r="AA952" s="143"/>
      <c r="AB952" s="143"/>
      <c r="AC952" s="143"/>
      <c r="AD952" s="143"/>
      <c r="AE952" s="143"/>
      <c r="AF952" s="143"/>
      <c r="AG952" s="143"/>
      <c r="AH952" s="143"/>
      <c r="AI952" s="143"/>
      <c r="AJ952" s="143"/>
    </row>
    <row r="953" spans="1:36" ht="12.75" customHeight="1" x14ac:dyDescent="0.25">
      <c r="A953" s="143"/>
      <c r="B953" s="145"/>
      <c r="C953" s="146"/>
      <c r="D953" s="114"/>
      <c r="E953" s="148"/>
      <c r="F953" s="148"/>
      <c r="G953" s="114"/>
      <c r="H953" s="149"/>
      <c r="I953" s="143"/>
      <c r="J953" s="143"/>
      <c r="K953" s="143"/>
      <c r="L953" s="143"/>
      <c r="M953" s="150"/>
      <c r="N953" s="143"/>
      <c r="O953" s="1"/>
      <c r="P953" s="151"/>
      <c r="Q953" s="143"/>
      <c r="R953" s="143"/>
      <c r="S953" s="143"/>
      <c r="T953" s="143"/>
      <c r="U953" s="143"/>
      <c r="V953" s="143"/>
      <c r="W953" s="143"/>
      <c r="X953" s="143"/>
      <c r="Y953" s="143"/>
      <c r="Z953" s="143"/>
      <c r="AA953" s="143"/>
      <c r="AB953" s="143"/>
      <c r="AC953" s="143"/>
      <c r="AD953" s="143"/>
      <c r="AE953" s="143"/>
      <c r="AF953" s="143"/>
      <c r="AG953" s="143"/>
      <c r="AH953" s="143"/>
      <c r="AI953" s="143"/>
      <c r="AJ953" s="143"/>
    </row>
    <row r="954" spans="1:36" ht="12.75" customHeight="1" x14ac:dyDescent="0.25">
      <c r="A954" s="143"/>
      <c r="B954" s="145"/>
      <c r="C954" s="146"/>
      <c r="D954" s="114"/>
      <c r="E954" s="148"/>
      <c r="F954" s="148"/>
      <c r="G954" s="114"/>
      <c r="H954" s="149"/>
      <c r="I954" s="143"/>
      <c r="J954" s="143"/>
      <c r="K954" s="143"/>
      <c r="L954" s="143"/>
      <c r="M954" s="150"/>
      <c r="N954" s="143"/>
      <c r="O954" s="1"/>
      <c r="P954" s="151"/>
      <c r="Q954" s="143"/>
      <c r="R954" s="143"/>
      <c r="S954" s="143"/>
      <c r="T954" s="143"/>
      <c r="U954" s="143"/>
      <c r="V954" s="143"/>
      <c r="W954" s="143"/>
      <c r="X954" s="143"/>
      <c r="Y954" s="143"/>
      <c r="Z954" s="143"/>
      <c r="AA954" s="143"/>
      <c r="AB954" s="143"/>
      <c r="AC954" s="143"/>
      <c r="AD954" s="143"/>
      <c r="AE954" s="143"/>
      <c r="AF954" s="143"/>
      <c r="AG954" s="143"/>
      <c r="AH954" s="143"/>
      <c r="AI954" s="143"/>
      <c r="AJ954" s="143"/>
    </row>
    <row r="955" spans="1:36" ht="12.75" customHeight="1" x14ac:dyDescent="0.25">
      <c r="A955" s="143"/>
      <c r="B955" s="145"/>
      <c r="C955" s="146"/>
      <c r="D955" s="114"/>
      <c r="E955" s="148"/>
      <c r="F955" s="148"/>
      <c r="G955" s="114"/>
      <c r="H955" s="149"/>
      <c r="I955" s="143"/>
      <c r="J955" s="143"/>
      <c r="K955" s="143"/>
      <c r="L955" s="143"/>
      <c r="M955" s="150"/>
      <c r="N955" s="143"/>
      <c r="O955" s="1"/>
      <c r="P955" s="151"/>
      <c r="Q955" s="143"/>
      <c r="R955" s="143"/>
      <c r="S955" s="143"/>
      <c r="T955" s="143"/>
      <c r="U955" s="143"/>
      <c r="V955" s="143"/>
      <c r="W955" s="143"/>
      <c r="X955" s="143"/>
      <c r="Y955" s="143"/>
      <c r="Z955" s="143"/>
      <c r="AA955" s="143"/>
      <c r="AB955" s="143"/>
      <c r="AC955" s="143"/>
      <c r="AD955" s="143"/>
      <c r="AE955" s="143"/>
      <c r="AF955" s="143"/>
      <c r="AG955" s="143"/>
      <c r="AH955" s="143"/>
      <c r="AI955" s="143"/>
      <c r="AJ955" s="143"/>
    </row>
    <row r="956" spans="1:36" ht="12.75" customHeight="1" x14ac:dyDescent="0.25">
      <c r="A956" s="143"/>
      <c r="B956" s="145"/>
      <c r="C956" s="146"/>
      <c r="D956" s="114"/>
      <c r="E956" s="148"/>
      <c r="F956" s="148"/>
      <c r="G956" s="114"/>
      <c r="H956" s="149"/>
      <c r="I956" s="143"/>
      <c r="J956" s="143"/>
      <c r="K956" s="143"/>
      <c r="L956" s="143"/>
      <c r="M956" s="150"/>
      <c r="N956" s="143"/>
      <c r="O956" s="1"/>
      <c r="P956" s="151"/>
      <c r="Q956" s="143"/>
      <c r="R956" s="143"/>
      <c r="S956" s="143"/>
      <c r="T956" s="143"/>
      <c r="U956" s="143"/>
      <c r="V956" s="143"/>
      <c r="W956" s="143"/>
      <c r="X956" s="143"/>
      <c r="Y956" s="143"/>
      <c r="Z956" s="143"/>
      <c r="AA956" s="143"/>
      <c r="AB956" s="143"/>
      <c r="AC956" s="143"/>
      <c r="AD956" s="143"/>
      <c r="AE956" s="143"/>
      <c r="AF956" s="143"/>
      <c r="AG956" s="143"/>
      <c r="AH956" s="143"/>
      <c r="AI956" s="143"/>
      <c r="AJ956" s="143"/>
    </row>
    <row r="957" spans="1:36" ht="12.75" customHeight="1" x14ac:dyDescent="0.25">
      <c r="A957" s="143"/>
      <c r="B957" s="145"/>
      <c r="C957" s="146"/>
      <c r="D957" s="114"/>
      <c r="E957" s="148"/>
      <c r="F957" s="148"/>
      <c r="G957" s="114"/>
      <c r="H957" s="149"/>
      <c r="I957" s="143"/>
      <c r="J957" s="143"/>
      <c r="K957" s="143"/>
      <c r="L957" s="143"/>
      <c r="M957" s="150"/>
      <c r="N957" s="143"/>
      <c r="O957" s="1"/>
      <c r="P957" s="151"/>
      <c r="Q957" s="143"/>
      <c r="R957" s="143"/>
      <c r="S957" s="143"/>
      <c r="T957" s="143"/>
      <c r="U957" s="143"/>
      <c r="V957" s="143"/>
      <c r="W957" s="143"/>
      <c r="X957" s="143"/>
      <c r="Y957" s="143"/>
      <c r="Z957" s="143"/>
      <c r="AA957" s="143"/>
      <c r="AB957" s="143"/>
      <c r="AC957" s="143"/>
      <c r="AD957" s="143"/>
      <c r="AE957" s="143"/>
      <c r="AF957" s="143"/>
      <c r="AG957" s="143"/>
      <c r="AH957" s="143"/>
      <c r="AI957" s="143"/>
      <c r="AJ957" s="143"/>
    </row>
    <row r="958" spans="1:36" ht="12.75" customHeight="1" x14ac:dyDescent="0.25">
      <c r="A958" s="143"/>
      <c r="B958" s="145"/>
      <c r="C958" s="146"/>
      <c r="D958" s="114"/>
      <c r="E958" s="148"/>
      <c r="F958" s="148"/>
      <c r="G958" s="114"/>
      <c r="H958" s="149"/>
      <c r="I958" s="143"/>
      <c r="J958" s="143"/>
      <c r="K958" s="143"/>
      <c r="L958" s="143"/>
      <c r="M958" s="150"/>
      <c r="N958" s="143"/>
      <c r="O958" s="1"/>
      <c r="P958" s="151"/>
      <c r="Q958" s="143"/>
      <c r="R958" s="143"/>
      <c r="S958" s="143"/>
      <c r="T958" s="143"/>
      <c r="U958" s="143"/>
      <c r="V958" s="143"/>
      <c r="W958" s="143"/>
      <c r="X958" s="143"/>
      <c r="Y958" s="143"/>
      <c r="Z958" s="143"/>
      <c r="AA958" s="143"/>
      <c r="AB958" s="143"/>
      <c r="AC958" s="143"/>
      <c r="AD958" s="143"/>
      <c r="AE958" s="143"/>
      <c r="AF958" s="143"/>
      <c r="AG958" s="143"/>
      <c r="AH958" s="143"/>
      <c r="AI958" s="143"/>
      <c r="AJ958" s="143"/>
    </row>
    <row r="959" spans="1:36" ht="12.75" customHeight="1" x14ac:dyDescent="0.25">
      <c r="A959" s="143"/>
      <c r="B959" s="145"/>
      <c r="C959" s="146"/>
      <c r="D959" s="114"/>
      <c r="E959" s="148"/>
      <c r="F959" s="148"/>
      <c r="G959" s="114"/>
      <c r="H959" s="149"/>
      <c r="I959" s="143"/>
      <c r="J959" s="143"/>
      <c r="K959" s="143"/>
      <c r="L959" s="143"/>
      <c r="M959" s="150"/>
      <c r="N959" s="143"/>
      <c r="O959" s="1"/>
      <c r="P959" s="151"/>
      <c r="Q959" s="143"/>
      <c r="R959" s="143"/>
      <c r="S959" s="143"/>
      <c r="T959" s="143"/>
      <c r="U959" s="143"/>
      <c r="V959" s="143"/>
      <c r="W959" s="143"/>
      <c r="X959" s="143"/>
      <c r="Y959" s="143"/>
      <c r="Z959" s="143"/>
      <c r="AA959" s="143"/>
      <c r="AB959" s="143"/>
      <c r="AC959" s="143"/>
      <c r="AD959" s="143"/>
      <c r="AE959" s="143"/>
      <c r="AF959" s="143"/>
      <c r="AG959" s="143"/>
      <c r="AH959" s="143"/>
      <c r="AI959" s="143"/>
      <c r="AJ959" s="143"/>
    </row>
    <row r="960" spans="1:36" ht="12.75" customHeight="1" x14ac:dyDescent="0.25">
      <c r="A960" s="143"/>
      <c r="B960" s="145"/>
      <c r="C960" s="146"/>
      <c r="D960" s="114"/>
      <c r="E960" s="148"/>
      <c r="F960" s="148"/>
      <c r="G960" s="114"/>
      <c r="H960" s="149"/>
      <c r="I960" s="143"/>
      <c r="J960" s="143"/>
      <c r="K960" s="143"/>
      <c r="L960" s="143"/>
      <c r="M960" s="150"/>
      <c r="N960" s="143"/>
      <c r="O960" s="1"/>
      <c r="P960" s="151"/>
      <c r="Q960" s="143"/>
      <c r="R960" s="143"/>
      <c r="S960" s="143"/>
      <c r="T960" s="143"/>
      <c r="U960" s="143"/>
      <c r="V960" s="143"/>
      <c r="W960" s="143"/>
      <c r="X960" s="143"/>
      <c r="Y960" s="143"/>
      <c r="Z960" s="143"/>
      <c r="AA960" s="143"/>
      <c r="AB960" s="143"/>
      <c r="AC960" s="143"/>
      <c r="AD960" s="143"/>
      <c r="AE960" s="143"/>
      <c r="AF960" s="143"/>
      <c r="AG960" s="143"/>
      <c r="AH960" s="143"/>
      <c r="AI960" s="143"/>
      <c r="AJ960" s="143"/>
    </row>
    <row r="961" spans="1:36" ht="12.75" customHeight="1" x14ac:dyDescent="0.25">
      <c r="A961" s="143"/>
      <c r="B961" s="145"/>
      <c r="C961" s="146"/>
      <c r="D961" s="114"/>
      <c r="E961" s="148"/>
      <c r="F961" s="148"/>
      <c r="G961" s="114"/>
      <c r="H961" s="149"/>
      <c r="I961" s="143"/>
      <c r="J961" s="143"/>
      <c r="K961" s="143"/>
      <c r="L961" s="143"/>
      <c r="M961" s="150"/>
      <c r="N961" s="143"/>
      <c r="O961" s="1"/>
      <c r="P961" s="151"/>
      <c r="Q961" s="143"/>
      <c r="R961" s="143"/>
      <c r="S961" s="143"/>
      <c r="T961" s="143"/>
      <c r="U961" s="143"/>
      <c r="V961" s="143"/>
      <c r="W961" s="143"/>
      <c r="X961" s="143"/>
      <c r="Y961" s="143"/>
      <c r="Z961" s="143"/>
      <c r="AA961" s="143"/>
      <c r="AB961" s="143"/>
      <c r="AC961" s="143"/>
      <c r="AD961" s="143"/>
      <c r="AE961" s="143"/>
      <c r="AF961" s="143"/>
      <c r="AG961" s="143"/>
      <c r="AH961" s="143"/>
      <c r="AI961" s="143"/>
      <c r="AJ961" s="143"/>
    </row>
    <row r="962" spans="1:36" ht="12.75" customHeight="1" x14ac:dyDescent="0.25">
      <c r="A962" s="143"/>
      <c r="B962" s="145"/>
      <c r="C962" s="146"/>
      <c r="D962" s="114"/>
      <c r="E962" s="148"/>
      <c r="F962" s="148"/>
      <c r="G962" s="114"/>
      <c r="H962" s="149"/>
      <c r="I962" s="143"/>
      <c r="J962" s="143"/>
      <c r="K962" s="143"/>
      <c r="L962" s="143"/>
      <c r="M962" s="150"/>
      <c r="N962" s="143"/>
      <c r="O962" s="1"/>
      <c r="P962" s="151"/>
      <c r="Q962" s="143"/>
      <c r="R962" s="143"/>
      <c r="S962" s="143"/>
      <c r="T962" s="143"/>
      <c r="U962" s="143"/>
      <c r="V962" s="143"/>
      <c r="W962" s="143"/>
      <c r="X962" s="143"/>
      <c r="Y962" s="143"/>
      <c r="Z962" s="143"/>
      <c r="AA962" s="143"/>
      <c r="AB962" s="143"/>
      <c r="AC962" s="143"/>
      <c r="AD962" s="143"/>
      <c r="AE962" s="143"/>
      <c r="AF962" s="143"/>
      <c r="AG962" s="143"/>
      <c r="AH962" s="143"/>
      <c r="AI962" s="143"/>
      <c r="AJ962" s="143"/>
    </row>
    <row r="963" spans="1:36" ht="12.75" customHeight="1" x14ac:dyDescent="0.25">
      <c r="A963" s="143"/>
      <c r="B963" s="145"/>
      <c r="C963" s="146"/>
      <c r="D963" s="114"/>
      <c r="E963" s="148"/>
      <c r="F963" s="148"/>
      <c r="G963" s="114"/>
      <c r="H963" s="149"/>
      <c r="I963" s="143"/>
      <c r="J963" s="143"/>
      <c r="K963" s="143"/>
      <c r="L963" s="143"/>
      <c r="M963" s="150"/>
      <c r="N963" s="143"/>
      <c r="O963" s="1"/>
      <c r="P963" s="151"/>
      <c r="Q963" s="143"/>
      <c r="R963" s="143"/>
      <c r="S963" s="143"/>
      <c r="T963" s="143"/>
      <c r="U963" s="143"/>
      <c r="V963" s="143"/>
      <c r="W963" s="143"/>
      <c r="X963" s="143"/>
      <c r="Y963" s="143"/>
      <c r="Z963" s="143"/>
      <c r="AA963" s="143"/>
      <c r="AB963" s="143"/>
      <c r="AC963" s="143"/>
      <c r="AD963" s="143"/>
      <c r="AE963" s="143"/>
      <c r="AF963" s="143"/>
      <c r="AG963" s="143"/>
      <c r="AH963" s="143"/>
      <c r="AI963" s="143"/>
      <c r="AJ963" s="143"/>
    </row>
    <row r="964" spans="1:36" ht="12.75" customHeight="1" x14ac:dyDescent="0.25">
      <c r="A964" s="143"/>
      <c r="B964" s="145"/>
      <c r="C964" s="146"/>
      <c r="D964" s="114"/>
      <c r="E964" s="148"/>
      <c r="F964" s="148"/>
      <c r="G964" s="114"/>
      <c r="H964" s="149"/>
      <c r="I964" s="143"/>
      <c r="J964" s="143"/>
      <c r="K964" s="143"/>
      <c r="L964" s="143"/>
      <c r="M964" s="150"/>
      <c r="N964" s="143"/>
      <c r="O964" s="1"/>
      <c r="P964" s="151"/>
      <c r="Q964" s="143"/>
      <c r="R964" s="143"/>
      <c r="S964" s="143"/>
      <c r="T964" s="143"/>
      <c r="U964" s="143"/>
      <c r="V964" s="143"/>
      <c r="W964" s="143"/>
      <c r="X964" s="143"/>
      <c r="Y964" s="143"/>
      <c r="Z964" s="143"/>
      <c r="AA964" s="143"/>
      <c r="AB964" s="143"/>
      <c r="AC964" s="143"/>
      <c r="AD964" s="143"/>
      <c r="AE964" s="143"/>
      <c r="AF964" s="143"/>
      <c r="AG964" s="143"/>
      <c r="AH964" s="143"/>
      <c r="AI964" s="143"/>
      <c r="AJ964" s="143"/>
    </row>
    <row r="965" spans="1:36" ht="12.75" customHeight="1" x14ac:dyDescent="0.25">
      <c r="A965" s="143"/>
      <c r="B965" s="145"/>
      <c r="C965" s="146"/>
      <c r="D965" s="114"/>
      <c r="E965" s="148"/>
      <c r="F965" s="148"/>
      <c r="G965" s="114"/>
      <c r="H965" s="149"/>
      <c r="I965" s="143"/>
      <c r="J965" s="143"/>
      <c r="K965" s="143"/>
      <c r="L965" s="143"/>
      <c r="M965" s="150"/>
      <c r="N965" s="143"/>
      <c r="O965" s="1"/>
      <c r="P965" s="151"/>
      <c r="Q965" s="143"/>
      <c r="R965" s="143"/>
      <c r="S965" s="143"/>
      <c r="T965" s="143"/>
      <c r="U965" s="143"/>
      <c r="V965" s="143"/>
      <c r="W965" s="143"/>
      <c r="X965" s="143"/>
      <c r="Y965" s="143"/>
      <c r="Z965" s="143"/>
      <c r="AA965" s="143"/>
      <c r="AB965" s="143"/>
      <c r="AC965" s="143"/>
      <c r="AD965" s="143"/>
      <c r="AE965" s="143"/>
      <c r="AF965" s="143"/>
      <c r="AG965" s="143"/>
      <c r="AH965" s="143"/>
      <c r="AI965" s="143"/>
      <c r="AJ965" s="143"/>
    </row>
    <row r="966" spans="1:36" ht="12.75" customHeight="1" x14ac:dyDescent="0.25">
      <c r="A966" s="143"/>
      <c r="B966" s="145"/>
      <c r="C966" s="146"/>
      <c r="D966" s="114"/>
      <c r="E966" s="148"/>
      <c r="F966" s="148"/>
      <c r="G966" s="114"/>
      <c r="H966" s="149"/>
      <c r="I966" s="143"/>
      <c r="J966" s="143"/>
      <c r="K966" s="143"/>
      <c r="L966" s="143"/>
      <c r="M966" s="150"/>
      <c r="N966" s="143"/>
      <c r="O966" s="1"/>
      <c r="P966" s="151"/>
      <c r="Q966" s="143"/>
      <c r="R966" s="143"/>
      <c r="S966" s="143"/>
      <c r="T966" s="143"/>
      <c r="U966" s="143"/>
      <c r="V966" s="143"/>
      <c r="W966" s="143"/>
      <c r="X966" s="143"/>
      <c r="Y966" s="143"/>
      <c r="Z966" s="143"/>
      <c r="AA966" s="143"/>
      <c r="AB966" s="143"/>
      <c r="AC966" s="143"/>
      <c r="AD966" s="143"/>
      <c r="AE966" s="143"/>
      <c r="AF966" s="143"/>
      <c r="AG966" s="143"/>
      <c r="AH966" s="143"/>
      <c r="AI966" s="143"/>
      <c r="AJ966" s="143"/>
    </row>
    <row r="967" spans="1:36" ht="12.75" customHeight="1" x14ac:dyDescent="0.25">
      <c r="A967" s="143"/>
      <c r="B967" s="145"/>
      <c r="C967" s="146"/>
      <c r="D967" s="114"/>
      <c r="E967" s="148"/>
      <c r="F967" s="148"/>
      <c r="G967" s="114"/>
      <c r="H967" s="149"/>
      <c r="I967" s="143"/>
      <c r="J967" s="143"/>
      <c r="K967" s="143"/>
      <c r="L967" s="143"/>
      <c r="M967" s="150"/>
      <c r="N967" s="143"/>
      <c r="O967" s="1"/>
      <c r="P967" s="151"/>
      <c r="Q967" s="143"/>
      <c r="R967" s="143"/>
      <c r="S967" s="143"/>
      <c r="T967" s="143"/>
      <c r="U967" s="143"/>
      <c r="V967" s="143"/>
      <c r="W967" s="143"/>
      <c r="X967" s="143"/>
      <c r="Y967" s="143"/>
      <c r="Z967" s="143"/>
      <c r="AA967" s="143"/>
      <c r="AB967" s="143"/>
      <c r="AC967" s="143"/>
      <c r="AD967" s="143"/>
      <c r="AE967" s="143"/>
      <c r="AF967" s="143"/>
      <c r="AG967" s="143"/>
      <c r="AH967" s="143"/>
      <c r="AI967" s="143"/>
      <c r="AJ967" s="143"/>
    </row>
    <row r="968" spans="1:36" ht="12.75" customHeight="1" x14ac:dyDescent="0.25">
      <c r="A968" s="143"/>
      <c r="B968" s="145"/>
      <c r="C968" s="146"/>
      <c r="D968" s="114"/>
      <c r="E968" s="148"/>
      <c r="F968" s="148"/>
      <c r="G968" s="114"/>
      <c r="H968" s="149"/>
      <c r="I968" s="143"/>
      <c r="J968" s="143"/>
      <c r="K968" s="143"/>
      <c r="L968" s="143"/>
      <c r="M968" s="150"/>
      <c r="N968" s="143"/>
      <c r="O968" s="1"/>
      <c r="P968" s="151"/>
      <c r="Q968" s="143"/>
      <c r="R968" s="143"/>
      <c r="S968" s="143"/>
      <c r="T968" s="143"/>
      <c r="U968" s="143"/>
      <c r="V968" s="143"/>
      <c r="W968" s="143"/>
      <c r="X968" s="143"/>
      <c r="Y968" s="143"/>
      <c r="Z968" s="143"/>
      <c r="AA968" s="143"/>
      <c r="AB968" s="143"/>
      <c r="AC968" s="143"/>
      <c r="AD968" s="143"/>
      <c r="AE968" s="143"/>
      <c r="AF968" s="143"/>
      <c r="AG968" s="143"/>
      <c r="AH968" s="143"/>
      <c r="AI968" s="143"/>
      <c r="AJ968" s="143"/>
    </row>
    <row r="969" spans="1:36" ht="12.75" customHeight="1" x14ac:dyDescent="0.25">
      <c r="A969" s="143"/>
      <c r="B969" s="145"/>
      <c r="C969" s="146"/>
      <c r="D969" s="114"/>
      <c r="E969" s="148"/>
      <c r="F969" s="148"/>
      <c r="G969" s="114"/>
      <c r="H969" s="149"/>
      <c r="I969" s="143"/>
      <c r="J969" s="143"/>
      <c r="K969" s="143"/>
      <c r="L969" s="143"/>
      <c r="M969" s="150"/>
      <c r="N969" s="143"/>
      <c r="O969" s="1"/>
      <c r="P969" s="151"/>
      <c r="Q969" s="143"/>
      <c r="R969" s="143"/>
      <c r="S969" s="143"/>
      <c r="T969" s="143"/>
      <c r="U969" s="143"/>
      <c r="V969" s="143"/>
      <c r="W969" s="143"/>
      <c r="X969" s="143"/>
      <c r="Y969" s="143"/>
      <c r="Z969" s="143"/>
      <c r="AA969" s="143"/>
      <c r="AB969" s="143"/>
      <c r="AC969" s="143"/>
      <c r="AD969" s="143"/>
      <c r="AE969" s="143"/>
      <c r="AF969" s="143"/>
      <c r="AG969" s="143"/>
      <c r="AH969" s="143"/>
      <c r="AI969" s="143"/>
      <c r="AJ969" s="143"/>
    </row>
    <row r="970" spans="1:36" ht="12.75" customHeight="1" x14ac:dyDescent="0.25">
      <c r="A970" s="143"/>
      <c r="B970" s="145"/>
      <c r="C970" s="146"/>
      <c r="D970" s="114"/>
      <c r="E970" s="148"/>
      <c r="F970" s="148"/>
      <c r="G970" s="114"/>
      <c r="H970" s="149"/>
      <c r="I970" s="143"/>
      <c r="J970" s="143"/>
      <c r="K970" s="143"/>
      <c r="L970" s="143"/>
      <c r="M970" s="150"/>
      <c r="N970" s="143"/>
      <c r="O970" s="1"/>
      <c r="P970" s="151"/>
      <c r="Q970" s="143"/>
      <c r="R970" s="143"/>
      <c r="S970" s="143"/>
      <c r="T970" s="143"/>
      <c r="U970" s="143"/>
      <c r="V970" s="143"/>
      <c r="W970" s="143"/>
      <c r="X970" s="143"/>
      <c r="Y970" s="143"/>
      <c r="Z970" s="143"/>
      <c r="AA970" s="143"/>
      <c r="AB970" s="143"/>
      <c r="AC970" s="143"/>
      <c r="AD970" s="143"/>
      <c r="AE970" s="143"/>
      <c r="AF970" s="143"/>
      <c r="AG970" s="143"/>
      <c r="AH970" s="143"/>
      <c r="AI970" s="143"/>
      <c r="AJ970" s="143"/>
    </row>
    <row r="971" spans="1:36" ht="12.75" customHeight="1" x14ac:dyDescent="0.25">
      <c r="A971" s="143"/>
      <c r="B971" s="145"/>
      <c r="C971" s="146"/>
      <c r="D971" s="114"/>
      <c r="E971" s="148"/>
      <c r="F971" s="148"/>
      <c r="G971" s="114"/>
      <c r="H971" s="149"/>
      <c r="I971" s="143"/>
      <c r="J971" s="143"/>
      <c r="K971" s="143"/>
      <c r="L971" s="143"/>
      <c r="M971" s="150"/>
      <c r="N971" s="143"/>
      <c r="O971" s="1"/>
      <c r="P971" s="151"/>
      <c r="Q971" s="143"/>
      <c r="R971" s="143"/>
      <c r="S971" s="143"/>
      <c r="T971" s="143"/>
      <c r="U971" s="143"/>
      <c r="V971" s="143"/>
      <c r="W971" s="143"/>
      <c r="X971" s="143"/>
      <c r="Y971" s="143"/>
      <c r="Z971" s="143"/>
      <c r="AA971" s="143"/>
      <c r="AB971" s="143"/>
      <c r="AC971" s="143"/>
      <c r="AD971" s="143"/>
      <c r="AE971" s="143"/>
      <c r="AF971" s="143"/>
      <c r="AG971" s="143"/>
      <c r="AH971" s="143"/>
      <c r="AI971" s="143"/>
      <c r="AJ971" s="143"/>
    </row>
    <row r="972" spans="1:36" ht="12.75" customHeight="1" x14ac:dyDescent="0.25">
      <c r="A972" s="143"/>
      <c r="B972" s="145"/>
      <c r="C972" s="146"/>
      <c r="D972" s="114"/>
      <c r="E972" s="148"/>
      <c r="F972" s="148"/>
      <c r="G972" s="114"/>
      <c r="H972" s="149"/>
      <c r="I972" s="143"/>
      <c r="J972" s="143"/>
      <c r="K972" s="143"/>
      <c r="L972" s="143"/>
      <c r="M972" s="150"/>
      <c r="N972" s="143"/>
      <c r="O972" s="1"/>
      <c r="P972" s="151"/>
      <c r="Q972" s="143"/>
      <c r="R972" s="143"/>
      <c r="S972" s="143"/>
      <c r="T972" s="143"/>
      <c r="U972" s="143"/>
      <c r="V972" s="143"/>
      <c r="W972" s="143"/>
      <c r="X972" s="143"/>
      <c r="Y972" s="143"/>
      <c r="Z972" s="143"/>
      <c r="AA972" s="143"/>
      <c r="AB972" s="143"/>
      <c r="AC972" s="143"/>
      <c r="AD972" s="143"/>
      <c r="AE972" s="143"/>
      <c r="AF972" s="143"/>
      <c r="AG972" s="143"/>
      <c r="AH972" s="143"/>
      <c r="AI972" s="143"/>
      <c r="AJ972" s="143"/>
    </row>
    <row r="973" spans="1:36" ht="12.75" customHeight="1" x14ac:dyDescent="0.25">
      <c r="A973" s="143"/>
      <c r="B973" s="145"/>
      <c r="C973" s="146"/>
      <c r="D973" s="114"/>
      <c r="E973" s="148"/>
      <c r="F973" s="148"/>
      <c r="G973" s="114"/>
      <c r="H973" s="149"/>
      <c r="I973" s="143"/>
      <c r="J973" s="143"/>
      <c r="K973" s="143"/>
      <c r="L973" s="143"/>
      <c r="M973" s="150"/>
      <c r="N973" s="143"/>
      <c r="O973" s="1"/>
      <c r="P973" s="151"/>
      <c r="Q973" s="143"/>
      <c r="R973" s="143"/>
      <c r="S973" s="143"/>
      <c r="T973" s="143"/>
      <c r="U973" s="143"/>
      <c r="V973" s="143"/>
      <c r="W973" s="143"/>
      <c r="X973" s="143"/>
      <c r="Y973" s="143"/>
      <c r="Z973" s="143"/>
      <c r="AA973" s="143"/>
      <c r="AB973" s="143"/>
      <c r="AC973" s="143"/>
      <c r="AD973" s="143"/>
      <c r="AE973" s="143"/>
      <c r="AF973" s="143"/>
      <c r="AG973" s="143"/>
      <c r="AH973" s="143"/>
      <c r="AI973" s="143"/>
      <c r="AJ973" s="143"/>
    </row>
    <row r="974" spans="1:36" ht="12.75" customHeight="1" x14ac:dyDescent="0.25">
      <c r="A974" s="143"/>
      <c r="B974" s="145"/>
      <c r="C974" s="146"/>
      <c r="D974" s="114"/>
      <c r="E974" s="148"/>
      <c r="F974" s="148"/>
      <c r="G974" s="114"/>
      <c r="H974" s="149"/>
      <c r="I974" s="143"/>
      <c r="J974" s="143"/>
      <c r="K974" s="143"/>
      <c r="L974" s="143"/>
      <c r="M974" s="150"/>
      <c r="N974" s="143"/>
      <c r="O974" s="1"/>
      <c r="P974" s="151"/>
      <c r="Q974" s="143"/>
      <c r="R974" s="143"/>
      <c r="S974" s="143"/>
      <c r="T974" s="143"/>
      <c r="U974" s="143"/>
      <c r="V974" s="143"/>
      <c r="W974" s="143"/>
      <c r="X974" s="143"/>
      <c r="Y974" s="143"/>
      <c r="Z974" s="143"/>
      <c r="AA974" s="143"/>
      <c r="AB974" s="143"/>
      <c r="AC974" s="143"/>
      <c r="AD974" s="143"/>
      <c r="AE974" s="143"/>
      <c r="AF974" s="143"/>
      <c r="AG974" s="143"/>
      <c r="AH974" s="143"/>
      <c r="AI974" s="143"/>
      <c r="AJ974" s="143"/>
    </row>
    <row r="975" spans="1:36" ht="12.75" customHeight="1" x14ac:dyDescent="0.25">
      <c r="A975" s="143"/>
      <c r="B975" s="145"/>
      <c r="C975" s="146"/>
      <c r="D975" s="114"/>
      <c r="E975" s="148"/>
      <c r="F975" s="148"/>
      <c r="G975" s="114"/>
      <c r="H975" s="149"/>
      <c r="I975" s="143"/>
      <c r="J975" s="143"/>
      <c r="K975" s="143"/>
      <c r="L975" s="143"/>
      <c r="M975" s="150"/>
      <c r="N975" s="143"/>
      <c r="O975" s="1"/>
      <c r="P975" s="151"/>
      <c r="Q975" s="143"/>
      <c r="R975" s="143"/>
      <c r="S975" s="143"/>
      <c r="T975" s="143"/>
      <c r="U975" s="143"/>
      <c r="V975" s="143"/>
      <c r="W975" s="143"/>
      <c r="X975" s="143"/>
      <c r="Y975" s="143"/>
      <c r="Z975" s="143"/>
      <c r="AA975" s="143"/>
      <c r="AB975" s="143"/>
      <c r="AC975" s="143"/>
      <c r="AD975" s="143"/>
      <c r="AE975" s="143"/>
      <c r="AF975" s="143"/>
      <c r="AG975" s="143"/>
      <c r="AH975" s="143"/>
      <c r="AI975" s="143"/>
      <c r="AJ975" s="143"/>
    </row>
    <row r="976" spans="1:36" ht="12.75" customHeight="1" x14ac:dyDescent="0.25">
      <c r="A976" s="143"/>
      <c r="B976" s="145"/>
      <c r="C976" s="146"/>
      <c r="D976" s="114"/>
      <c r="E976" s="148"/>
      <c r="F976" s="148"/>
      <c r="G976" s="114"/>
      <c r="H976" s="149"/>
      <c r="I976" s="143"/>
      <c r="J976" s="143"/>
      <c r="K976" s="143"/>
      <c r="L976" s="143"/>
      <c r="M976" s="150"/>
      <c r="N976" s="143"/>
      <c r="O976" s="1"/>
      <c r="P976" s="151"/>
      <c r="Q976" s="143"/>
      <c r="R976" s="143"/>
      <c r="S976" s="143"/>
      <c r="T976" s="143"/>
      <c r="U976" s="143"/>
      <c r="V976" s="143"/>
      <c r="W976" s="143"/>
      <c r="X976" s="143"/>
      <c r="Y976" s="143"/>
      <c r="Z976" s="143"/>
      <c r="AA976" s="143"/>
      <c r="AB976" s="143"/>
      <c r="AC976" s="143"/>
      <c r="AD976" s="143"/>
      <c r="AE976" s="143"/>
      <c r="AF976" s="143"/>
      <c r="AG976" s="143"/>
      <c r="AH976" s="143"/>
      <c r="AI976" s="143"/>
      <c r="AJ976" s="143"/>
    </row>
    <row r="977" spans="1:36" ht="12.75" customHeight="1" x14ac:dyDescent="0.25">
      <c r="A977" s="143"/>
      <c r="B977" s="145"/>
      <c r="C977" s="146"/>
      <c r="D977" s="114"/>
      <c r="E977" s="148"/>
      <c r="F977" s="148"/>
      <c r="G977" s="114"/>
      <c r="H977" s="149"/>
      <c r="I977" s="143"/>
      <c r="J977" s="143"/>
      <c r="K977" s="143"/>
      <c r="L977" s="143"/>
      <c r="M977" s="150"/>
      <c r="N977" s="143"/>
      <c r="O977" s="1"/>
      <c r="P977" s="151"/>
      <c r="Q977" s="143"/>
      <c r="R977" s="143"/>
      <c r="S977" s="143"/>
      <c r="T977" s="143"/>
      <c r="U977" s="143"/>
      <c r="V977" s="143"/>
      <c r="W977" s="143"/>
      <c r="X977" s="143"/>
      <c r="Y977" s="143"/>
      <c r="Z977" s="143"/>
      <c r="AA977" s="143"/>
      <c r="AB977" s="143"/>
      <c r="AC977" s="143"/>
      <c r="AD977" s="143"/>
      <c r="AE977" s="143"/>
      <c r="AF977" s="143"/>
      <c r="AG977" s="143"/>
      <c r="AH977" s="143"/>
      <c r="AI977" s="143"/>
      <c r="AJ977" s="143"/>
    </row>
    <row r="978" spans="1:36" ht="12.75" customHeight="1" x14ac:dyDescent="0.25">
      <c r="A978" s="143"/>
      <c r="B978" s="145"/>
      <c r="C978" s="146"/>
      <c r="D978" s="114"/>
      <c r="E978" s="148"/>
      <c r="F978" s="148"/>
      <c r="G978" s="114"/>
      <c r="H978" s="149"/>
      <c r="I978" s="143"/>
      <c r="J978" s="143"/>
      <c r="K978" s="143"/>
      <c r="L978" s="143"/>
      <c r="M978" s="150"/>
      <c r="N978" s="143"/>
      <c r="O978" s="1"/>
      <c r="P978" s="151"/>
      <c r="Q978" s="143"/>
      <c r="R978" s="143"/>
      <c r="S978" s="143"/>
      <c r="T978" s="143"/>
      <c r="U978" s="143"/>
      <c r="V978" s="143"/>
      <c r="W978" s="143"/>
      <c r="X978" s="143"/>
      <c r="Y978" s="143"/>
      <c r="Z978" s="143"/>
      <c r="AA978" s="143"/>
      <c r="AB978" s="143"/>
      <c r="AC978" s="143"/>
      <c r="AD978" s="143"/>
      <c r="AE978" s="143"/>
      <c r="AF978" s="143"/>
      <c r="AG978" s="143"/>
      <c r="AH978" s="143"/>
      <c r="AI978" s="143"/>
      <c r="AJ978" s="143"/>
    </row>
    <row r="979" spans="1:36" ht="12.75" customHeight="1" x14ac:dyDescent="0.25">
      <c r="A979" s="143"/>
      <c r="B979" s="145"/>
      <c r="C979" s="146"/>
      <c r="D979" s="114"/>
      <c r="E979" s="148"/>
      <c r="F979" s="148"/>
      <c r="G979" s="114"/>
      <c r="H979" s="149"/>
      <c r="I979" s="143"/>
      <c r="J979" s="143"/>
      <c r="K979" s="143"/>
      <c r="L979" s="143"/>
      <c r="M979" s="150"/>
      <c r="N979" s="143"/>
      <c r="O979" s="1"/>
      <c r="P979" s="151"/>
      <c r="Q979" s="143"/>
      <c r="R979" s="143"/>
      <c r="S979" s="143"/>
      <c r="T979" s="143"/>
      <c r="U979" s="143"/>
      <c r="V979" s="143"/>
      <c r="W979" s="143"/>
      <c r="X979" s="143"/>
      <c r="Y979" s="143"/>
      <c r="Z979" s="143"/>
      <c r="AA979" s="143"/>
      <c r="AB979" s="143"/>
      <c r="AC979" s="143"/>
      <c r="AD979" s="143"/>
      <c r="AE979" s="143"/>
      <c r="AF979" s="143"/>
      <c r="AG979" s="143"/>
      <c r="AH979" s="143"/>
      <c r="AI979" s="143"/>
      <c r="AJ979" s="143"/>
    </row>
    <row r="980" spans="1:36" ht="12.75" customHeight="1" x14ac:dyDescent="0.25">
      <c r="A980" s="143"/>
      <c r="B980" s="145"/>
      <c r="C980" s="146"/>
      <c r="D980" s="114"/>
      <c r="E980" s="148"/>
      <c r="F980" s="148"/>
      <c r="G980" s="114"/>
      <c r="H980" s="149"/>
      <c r="I980" s="143"/>
      <c r="J980" s="143"/>
      <c r="K980" s="143"/>
      <c r="L980" s="143"/>
      <c r="M980" s="150"/>
      <c r="N980" s="143"/>
      <c r="O980" s="1"/>
      <c r="P980" s="151"/>
      <c r="Q980" s="143"/>
      <c r="R980" s="143"/>
      <c r="S980" s="143"/>
      <c r="T980" s="143"/>
      <c r="U980" s="143"/>
      <c r="V980" s="143"/>
      <c r="W980" s="143"/>
      <c r="X980" s="143"/>
      <c r="Y980" s="143"/>
      <c r="Z980" s="143"/>
      <c r="AA980" s="143"/>
      <c r="AB980" s="143"/>
      <c r="AC980" s="143"/>
      <c r="AD980" s="143"/>
      <c r="AE980" s="143"/>
      <c r="AF980" s="143"/>
      <c r="AG980" s="143"/>
      <c r="AH980" s="143"/>
      <c r="AI980" s="143"/>
      <c r="AJ980" s="143"/>
    </row>
    <row r="981" spans="1:36" ht="12.75" customHeight="1" x14ac:dyDescent="0.25">
      <c r="A981" s="143"/>
      <c r="B981" s="145"/>
      <c r="C981" s="146"/>
      <c r="D981" s="114"/>
      <c r="E981" s="148"/>
      <c r="F981" s="148"/>
      <c r="G981" s="114"/>
      <c r="H981" s="149"/>
      <c r="I981" s="143"/>
      <c r="J981" s="143"/>
      <c r="K981" s="143"/>
      <c r="L981" s="143"/>
      <c r="M981" s="150"/>
      <c r="N981" s="143"/>
      <c r="O981" s="1"/>
      <c r="P981" s="151"/>
      <c r="Q981" s="143"/>
      <c r="R981" s="143"/>
      <c r="S981" s="143"/>
      <c r="T981" s="143"/>
      <c r="U981" s="143"/>
      <c r="V981" s="143"/>
      <c r="W981" s="143"/>
      <c r="X981" s="143"/>
      <c r="Y981" s="143"/>
      <c r="Z981" s="143"/>
      <c r="AA981" s="143"/>
      <c r="AB981" s="143"/>
      <c r="AC981" s="143"/>
      <c r="AD981" s="143"/>
      <c r="AE981" s="143"/>
      <c r="AF981" s="143"/>
      <c r="AG981" s="143"/>
      <c r="AH981" s="143"/>
      <c r="AI981" s="143"/>
      <c r="AJ981" s="143"/>
    </row>
    <row r="982" spans="1:36" ht="12.75" customHeight="1" x14ac:dyDescent="0.25">
      <c r="A982" s="143"/>
      <c r="B982" s="145"/>
      <c r="C982" s="146"/>
      <c r="D982" s="114"/>
      <c r="E982" s="148"/>
      <c r="F982" s="148"/>
      <c r="G982" s="114"/>
      <c r="H982" s="149"/>
      <c r="I982" s="143"/>
      <c r="J982" s="143"/>
      <c r="K982" s="143"/>
      <c r="L982" s="143"/>
      <c r="M982" s="150"/>
      <c r="N982" s="143"/>
      <c r="O982" s="1"/>
      <c r="P982" s="151"/>
      <c r="Q982" s="143"/>
      <c r="R982" s="143"/>
      <c r="S982" s="143"/>
      <c r="T982" s="143"/>
      <c r="U982" s="143"/>
      <c r="V982" s="143"/>
      <c r="W982" s="143"/>
      <c r="X982" s="143"/>
      <c r="Y982" s="143"/>
      <c r="Z982" s="143"/>
      <c r="AA982" s="143"/>
      <c r="AB982" s="143"/>
      <c r="AC982" s="143"/>
      <c r="AD982" s="143"/>
      <c r="AE982" s="143"/>
      <c r="AF982" s="143"/>
      <c r="AG982" s="143"/>
      <c r="AH982" s="143"/>
      <c r="AI982" s="143"/>
      <c r="AJ982" s="143"/>
    </row>
    <row r="983" spans="1:36" ht="12.75" customHeight="1" x14ac:dyDescent="0.25">
      <c r="A983" s="143"/>
      <c r="B983" s="145"/>
      <c r="C983" s="146"/>
      <c r="D983" s="114"/>
      <c r="E983" s="148"/>
      <c r="F983" s="148"/>
      <c r="G983" s="114"/>
      <c r="H983" s="149"/>
      <c r="I983" s="143"/>
      <c r="J983" s="143"/>
      <c r="K983" s="143"/>
      <c r="L983" s="143"/>
      <c r="M983" s="150"/>
      <c r="N983" s="143"/>
      <c r="O983" s="1"/>
      <c r="P983" s="151"/>
      <c r="Q983" s="143"/>
      <c r="R983" s="143"/>
      <c r="S983" s="143"/>
      <c r="T983" s="143"/>
      <c r="U983" s="143"/>
      <c r="V983" s="143"/>
      <c r="W983" s="143"/>
      <c r="X983" s="143"/>
      <c r="Y983" s="143"/>
      <c r="Z983" s="143"/>
      <c r="AA983" s="143"/>
      <c r="AB983" s="143"/>
      <c r="AC983" s="143"/>
      <c r="AD983" s="143"/>
      <c r="AE983" s="143"/>
      <c r="AF983" s="143"/>
      <c r="AG983" s="143"/>
      <c r="AH983" s="143"/>
      <c r="AI983" s="143"/>
      <c r="AJ983" s="143"/>
    </row>
    <row r="984" spans="1:36" ht="12.75" customHeight="1" x14ac:dyDescent="0.25">
      <c r="A984" s="143"/>
      <c r="B984" s="145"/>
      <c r="C984" s="146"/>
      <c r="D984" s="114"/>
      <c r="E984" s="148"/>
      <c r="F984" s="148"/>
      <c r="G984" s="114"/>
      <c r="H984" s="149"/>
      <c r="I984" s="143"/>
      <c r="J984" s="143"/>
      <c r="K984" s="143"/>
      <c r="L984" s="143"/>
      <c r="M984" s="150"/>
      <c r="N984" s="143"/>
      <c r="O984" s="1"/>
      <c r="P984" s="151"/>
      <c r="Q984" s="143"/>
      <c r="R984" s="143"/>
      <c r="S984" s="143"/>
      <c r="T984" s="143"/>
      <c r="U984" s="143"/>
      <c r="V984" s="143"/>
      <c r="W984" s="143"/>
      <c r="X984" s="143"/>
      <c r="Y984" s="143"/>
      <c r="Z984" s="143"/>
      <c r="AA984" s="143"/>
      <c r="AB984" s="143"/>
      <c r="AC984" s="143"/>
      <c r="AD984" s="143"/>
      <c r="AE984" s="143"/>
      <c r="AF984" s="143"/>
      <c r="AG984" s="143"/>
      <c r="AH984" s="143"/>
      <c r="AI984" s="143"/>
      <c r="AJ984" s="143"/>
    </row>
    <row r="985" spans="1:36" ht="12.75" customHeight="1" x14ac:dyDescent="0.25">
      <c r="A985" s="143"/>
      <c r="B985" s="145"/>
      <c r="C985" s="146"/>
      <c r="D985" s="114"/>
      <c r="E985" s="148"/>
      <c r="F985" s="148"/>
      <c r="G985" s="114"/>
      <c r="H985" s="149"/>
      <c r="I985" s="143"/>
      <c r="J985" s="143"/>
      <c r="K985" s="143"/>
      <c r="L985" s="143"/>
      <c r="M985" s="150"/>
      <c r="N985" s="143"/>
      <c r="O985" s="1"/>
      <c r="P985" s="151"/>
      <c r="Q985" s="143"/>
      <c r="R985" s="143"/>
      <c r="S985" s="143"/>
      <c r="T985" s="143"/>
      <c r="U985" s="143"/>
      <c r="V985" s="143"/>
      <c r="W985" s="143"/>
      <c r="X985" s="143"/>
      <c r="Y985" s="143"/>
      <c r="Z985" s="143"/>
      <c r="AA985" s="143"/>
      <c r="AB985" s="143"/>
      <c r="AC985" s="143"/>
      <c r="AD985" s="143"/>
      <c r="AE985" s="143"/>
      <c r="AF985" s="143"/>
      <c r="AG985" s="143"/>
      <c r="AH985" s="143"/>
      <c r="AI985" s="143"/>
      <c r="AJ985" s="143"/>
    </row>
    <row r="986" spans="1:36" ht="12.75" customHeight="1" x14ac:dyDescent="0.25">
      <c r="A986" s="143"/>
      <c r="B986" s="145"/>
      <c r="C986" s="146"/>
      <c r="D986" s="114"/>
      <c r="E986" s="148"/>
      <c r="F986" s="148"/>
      <c r="G986" s="114"/>
      <c r="H986" s="149"/>
      <c r="I986" s="143"/>
      <c r="J986" s="143"/>
      <c r="K986" s="143"/>
      <c r="L986" s="143"/>
      <c r="M986" s="150"/>
      <c r="N986" s="143"/>
      <c r="O986" s="1"/>
      <c r="P986" s="151"/>
      <c r="Q986" s="143"/>
      <c r="R986" s="143"/>
      <c r="S986" s="143"/>
      <c r="T986" s="143"/>
      <c r="U986" s="143"/>
      <c r="V986" s="143"/>
      <c r="W986" s="143"/>
      <c r="X986" s="143"/>
      <c r="Y986" s="143"/>
      <c r="Z986" s="143"/>
      <c r="AA986" s="143"/>
      <c r="AB986" s="143"/>
      <c r="AC986" s="143"/>
      <c r="AD986" s="143"/>
      <c r="AE986" s="143"/>
      <c r="AF986" s="143"/>
      <c r="AG986" s="143"/>
      <c r="AH986" s="143"/>
      <c r="AI986" s="143"/>
      <c r="AJ986" s="143"/>
    </row>
    <row r="987" spans="1:36" ht="12.75" customHeight="1" x14ac:dyDescent="0.25">
      <c r="A987" s="143"/>
      <c r="B987" s="145"/>
      <c r="C987" s="146"/>
      <c r="D987" s="114"/>
      <c r="E987" s="148"/>
      <c r="F987" s="148"/>
      <c r="G987" s="114"/>
      <c r="H987" s="149"/>
      <c r="I987" s="143"/>
      <c r="J987" s="143"/>
      <c r="K987" s="143"/>
      <c r="L987" s="143"/>
      <c r="M987" s="150"/>
      <c r="N987" s="143"/>
      <c r="O987" s="1"/>
      <c r="P987" s="151"/>
      <c r="Q987" s="143"/>
      <c r="R987" s="143"/>
      <c r="S987" s="143"/>
      <c r="T987" s="143"/>
      <c r="U987" s="143"/>
      <c r="V987" s="143"/>
      <c r="W987" s="143"/>
      <c r="X987" s="143"/>
      <c r="Y987" s="143"/>
      <c r="Z987" s="143"/>
      <c r="AA987" s="143"/>
      <c r="AB987" s="143"/>
      <c r="AC987" s="143"/>
      <c r="AD987" s="143"/>
      <c r="AE987" s="143"/>
      <c r="AF987" s="143"/>
      <c r="AG987" s="143"/>
      <c r="AH987" s="143"/>
      <c r="AI987" s="143"/>
      <c r="AJ987" s="143"/>
    </row>
    <row r="988" spans="1:36" ht="12.75" customHeight="1" x14ac:dyDescent="0.25">
      <c r="A988" s="143"/>
      <c r="B988" s="145"/>
      <c r="C988" s="146"/>
      <c r="D988" s="114"/>
      <c r="E988" s="148"/>
      <c r="F988" s="148"/>
      <c r="G988" s="114"/>
      <c r="H988" s="149"/>
      <c r="I988" s="143"/>
      <c r="J988" s="143"/>
      <c r="K988" s="143"/>
      <c r="L988" s="143"/>
      <c r="M988" s="150"/>
      <c r="N988" s="143"/>
      <c r="O988" s="1"/>
      <c r="P988" s="151"/>
      <c r="Q988" s="143"/>
      <c r="R988" s="143"/>
      <c r="S988" s="143"/>
      <c r="T988" s="143"/>
      <c r="U988" s="143"/>
      <c r="V988" s="143"/>
      <c r="W988" s="143"/>
      <c r="X988" s="143"/>
      <c r="Y988" s="143"/>
      <c r="Z988" s="143"/>
      <c r="AA988" s="143"/>
      <c r="AB988" s="143"/>
      <c r="AC988" s="143"/>
      <c r="AD988" s="143"/>
      <c r="AE988" s="143"/>
      <c r="AF988" s="143"/>
      <c r="AG988" s="143"/>
      <c r="AH988" s="143"/>
      <c r="AI988" s="143"/>
      <c r="AJ988" s="143"/>
    </row>
    <row r="989" spans="1:36" ht="12.75" customHeight="1" x14ac:dyDescent="0.25">
      <c r="A989" s="143"/>
      <c r="B989" s="145"/>
      <c r="C989" s="146"/>
      <c r="D989" s="114"/>
      <c r="E989" s="148"/>
      <c r="F989" s="148"/>
      <c r="G989" s="114"/>
      <c r="H989" s="149"/>
      <c r="I989" s="143"/>
      <c r="J989" s="143"/>
      <c r="K989" s="143"/>
      <c r="L989" s="143"/>
      <c r="M989" s="150"/>
      <c r="N989" s="143"/>
      <c r="O989" s="1"/>
      <c r="P989" s="151"/>
      <c r="Q989" s="143"/>
      <c r="R989" s="143"/>
      <c r="S989" s="143"/>
      <c r="T989" s="143"/>
      <c r="U989" s="143"/>
      <c r="V989" s="143"/>
      <c r="W989" s="143"/>
      <c r="X989" s="143"/>
      <c r="Y989" s="143"/>
      <c r="Z989" s="143"/>
      <c r="AA989" s="143"/>
      <c r="AB989" s="143"/>
      <c r="AC989" s="143"/>
      <c r="AD989" s="143"/>
      <c r="AE989" s="143"/>
      <c r="AF989" s="143"/>
      <c r="AG989" s="143"/>
      <c r="AH989" s="143"/>
      <c r="AI989" s="143"/>
      <c r="AJ989" s="143"/>
    </row>
    <row r="990" spans="1:36" ht="12.75" customHeight="1" x14ac:dyDescent="0.25">
      <c r="A990" s="143"/>
      <c r="B990" s="145"/>
      <c r="C990" s="146"/>
      <c r="D990" s="114"/>
      <c r="E990" s="148"/>
      <c r="F990" s="148"/>
      <c r="G990" s="114"/>
      <c r="H990" s="149"/>
      <c r="I990" s="143"/>
      <c r="J990" s="143"/>
      <c r="K990" s="143"/>
      <c r="L990" s="143"/>
      <c r="M990" s="150"/>
      <c r="N990" s="143"/>
      <c r="O990" s="1"/>
      <c r="P990" s="151"/>
      <c r="Q990" s="143"/>
      <c r="R990" s="143"/>
      <c r="S990" s="143"/>
      <c r="T990" s="143"/>
      <c r="U990" s="143"/>
      <c r="V990" s="143"/>
      <c r="W990" s="143"/>
      <c r="X990" s="143"/>
      <c r="Y990" s="143"/>
      <c r="Z990" s="143"/>
      <c r="AA990" s="143"/>
      <c r="AB990" s="143"/>
      <c r="AC990" s="143"/>
      <c r="AD990" s="143"/>
      <c r="AE990" s="143"/>
      <c r="AF990" s="143"/>
      <c r="AG990" s="143"/>
      <c r="AH990" s="143"/>
      <c r="AI990" s="143"/>
      <c r="AJ990" s="143"/>
    </row>
    <row r="991" spans="1:36" ht="12.75" customHeight="1" x14ac:dyDescent="0.25">
      <c r="A991" s="143"/>
      <c r="B991" s="145"/>
      <c r="C991" s="146"/>
      <c r="D991" s="114"/>
      <c r="E991" s="148"/>
      <c r="F991" s="148"/>
      <c r="G991" s="114"/>
      <c r="H991" s="149"/>
      <c r="I991" s="143"/>
      <c r="J991" s="143"/>
      <c r="K991" s="143"/>
      <c r="L991" s="143"/>
      <c r="M991" s="150"/>
      <c r="N991" s="143"/>
      <c r="O991" s="1"/>
      <c r="P991" s="151"/>
      <c r="Q991" s="143"/>
      <c r="R991" s="143"/>
      <c r="S991" s="143"/>
      <c r="T991" s="143"/>
      <c r="U991" s="143"/>
      <c r="V991" s="143"/>
      <c r="W991" s="143"/>
      <c r="X991" s="143"/>
      <c r="Y991" s="143"/>
      <c r="Z991" s="143"/>
      <c r="AA991" s="143"/>
      <c r="AB991" s="143"/>
      <c r="AC991" s="143"/>
      <c r="AD991" s="143"/>
      <c r="AE991" s="143"/>
      <c r="AF991" s="143"/>
      <c r="AG991" s="143"/>
      <c r="AH991" s="143"/>
      <c r="AI991" s="143"/>
      <c r="AJ991" s="143"/>
    </row>
    <row r="992" spans="1:36" ht="12.75" customHeight="1" x14ac:dyDescent="0.25">
      <c r="A992" s="143"/>
      <c r="B992" s="145"/>
      <c r="C992" s="146"/>
      <c r="D992" s="114"/>
      <c r="E992" s="148"/>
      <c r="F992" s="148"/>
      <c r="G992" s="114"/>
      <c r="H992" s="149"/>
      <c r="I992" s="143"/>
      <c r="J992" s="143"/>
      <c r="K992" s="143"/>
      <c r="L992" s="143"/>
      <c r="M992" s="150"/>
      <c r="N992" s="143"/>
      <c r="O992" s="1"/>
      <c r="P992" s="151"/>
      <c r="Q992" s="143"/>
      <c r="R992" s="143"/>
      <c r="S992" s="143"/>
      <c r="T992" s="143"/>
      <c r="U992" s="143"/>
      <c r="V992" s="143"/>
      <c r="W992" s="143"/>
      <c r="X992" s="143"/>
      <c r="Y992" s="143"/>
      <c r="Z992" s="143"/>
      <c r="AA992" s="143"/>
      <c r="AB992" s="143"/>
      <c r="AC992" s="143"/>
      <c r="AD992" s="143"/>
      <c r="AE992" s="143"/>
      <c r="AF992" s="143"/>
      <c r="AG992" s="143"/>
      <c r="AH992" s="143"/>
      <c r="AI992" s="143"/>
      <c r="AJ992" s="143"/>
    </row>
    <row r="993" spans="1:36" ht="12.75" customHeight="1" x14ac:dyDescent="0.25">
      <c r="A993" s="143"/>
      <c r="B993" s="145"/>
      <c r="C993" s="146"/>
      <c r="D993" s="114"/>
      <c r="E993" s="148"/>
      <c r="F993" s="148"/>
      <c r="G993" s="114"/>
      <c r="H993" s="149"/>
      <c r="I993" s="143"/>
      <c r="J993" s="143"/>
      <c r="K993" s="143"/>
      <c r="L993" s="143"/>
      <c r="M993" s="150"/>
      <c r="N993" s="143"/>
      <c r="O993" s="1"/>
      <c r="P993" s="151"/>
      <c r="Q993" s="143"/>
      <c r="R993" s="143"/>
      <c r="S993" s="143"/>
      <c r="T993" s="143"/>
      <c r="U993" s="143"/>
      <c r="V993" s="143"/>
      <c r="W993" s="143"/>
      <c r="X993" s="143"/>
      <c r="Y993" s="143"/>
      <c r="Z993" s="143"/>
      <c r="AA993" s="143"/>
      <c r="AB993" s="143"/>
      <c r="AC993" s="143"/>
      <c r="AD993" s="143"/>
      <c r="AE993" s="143"/>
      <c r="AF993" s="143"/>
      <c r="AG993" s="143"/>
      <c r="AH993" s="143"/>
      <c r="AI993" s="143"/>
      <c r="AJ993" s="143"/>
    </row>
    <row r="994" spans="1:36" ht="12.75" customHeight="1" x14ac:dyDescent="0.25">
      <c r="A994" s="143"/>
      <c r="B994" s="145"/>
      <c r="C994" s="146"/>
      <c r="D994" s="114"/>
      <c r="E994" s="148"/>
      <c r="F994" s="148"/>
      <c r="G994" s="114"/>
      <c r="H994" s="149"/>
      <c r="I994" s="143"/>
      <c r="J994" s="143"/>
      <c r="K994" s="143"/>
      <c r="L994" s="143"/>
      <c r="M994" s="150"/>
      <c r="N994" s="143"/>
      <c r="O994" s="1"/>
      <c r="P994" s="151"/>
      <c r="Q994" s="143"/>
      <c r="R994" s="143"/>
      <c r="S994" s="143"/>
      <c r="T994" s="143"/>
      <c r="U994" s="143"/>
      <c r="V994" s="143"/>
      <c r="W994" s="143"/>
      <c r="X994" s="143"/>
      <c r="Y994" s="143"/>
      <c r="Z994" s="143"/>
      <c r="AA994" s="143"/>
      <c r="AB994" s="143"/>
      <c r="AC994" s="143"/>
      <c r="AD994" s="143"/>
      <c r="AE994" s="143"/>
      <c r="AF994" s="143"/>
      <c r="AG994" s="143"/>
      <c r="AH994" s="143"/>
      <c r="AI994" s="143"/>
      <c r="AJ994" s="143"/>
    </row>
    <row r="995" spans="1:36" ht="12.75" customHeight="1" x14ac:dyDescent="0.25">
      <c r="A995" s="143"/>
      <c r="B995" s="145"/>
      <c r="C995" s="146"/>
      <c r="D995" s="114"/>
      <c r="E995" s="148"/>
      <c r="F995" s="148"/>
      <c r="G995" s="114"/>
      <c r="H995" s="149"/>
      <c r="I995" s="143"/>
      <c r="J995" s="143"/>
      <c r="K995" s="143"/>
      <c r="L995" s="143"/>
      <c r="M995" s="150"/>
      <c r="N995" s="143"/>
      <c r="O995" s="1"/>
      <c r="P995" s="151"/>
      <c r="Q995" s="143"/>
      <c r="R995" s="143"/>
      <c r="S995" s="143"/>
      <c r="T995" s="143"/>
      <c r="U995" s="143"/>
      <c r="V995" s="143"/>
      <c r="W995" s="143"/>
      <c r="X995" s="143"/>
      <c r="Y995" s="143"/>
      <c r="Z995" s="143"/>
      <c r="AA995" s="143"/>
      <c r="AB995" s="143"/>
      <c r="AC995" s="143"/>
      <c r="AD995" s="143"/>
      <c r="AE995" s="143"/>
      <c r="AF995" s="143"/>
      <c r="AG995" s="143"/>
      <c r="AH995" s="143"/>
      <c r="AI995" s="143"/>
      <c r="AJ995" s="143"/>
    </row>
    <row r="996" spans="1:36" ht="12.75" customHeight="1" x14ac:dyDescent="0.25">
      <c r="A996" s="143"/>
      <c r="B996" s="145"/>
      <c r="C996" s="146"/>
      <c r="D996" s="114"/>
      <c r="E996" s="148"/>
      <c r="F996" s="148"/>
      <c r="G996" s="114"/>
      <c r="H996" s="149"/>
      <c r="I996" s="143"/>
      <c r="J996" s="143"/>
      <c r="K996" s="143"/>
      <c r="L996" s="143"/>
      <c r="M996" s="150"/>
      <c r="N996" s="143"/>
      <c r="O996" s="1"/>
      <c r="P996" s="151"/>
      <c r="Q996" s="143"/>
      <c r="R996" s="143"/>
      <c r="S996" s="143"/>
      <c r="T996" s="143"/>
      <c r="U996" s="143"/>
      <c r="V996" s="143"/>
      <c r="W996" s="143"/>
      <c r="X996" s="143"/>
      <c r="Y996" s="143"/>
      <c r="Z996" s="143"/>
      <c r="AA996" s="143"/>
      <c r="AB996" s="143"/>
      <c r="AC996" s="143"/>
      <c r="AD996" s="143"/>
      <c r="AE996" s="143"/>
      <c r="AF996" s="143"/>
      <c r="AG996" s="143"/>
      <c r="AH996" s="143"/>
      <c r="AI996" s="143"/>
      <c r="AJ996" s="143"/>
    </row>
    <row r="997" spans="1:36" ht="12.75" customHeight="1" x14ac:dyDescent="0.25">
      <c r="A997" s="143"/>
      <c r="B997" s="145"/>
      <c r="C997" s="146"/>
      <c r="D997" s="114"/>
      <c r="E997" s="148"/>
      <c r="F997" s="148"/>
      <c r="G997" s="114"/>
      <c r="H997" s="149"/>
      <c r="I997" s="143"/>
      <c r="J997" s="143"/>
      <c r="K997" s="143"/>
      <c r="L997" s="143"/>
      <c r="M997" s="150"/>
      <c r="N997" s="143"/>
      <c r="O997" s="1"/>
      <c r="P997" s="151"/>
      <c r="Q997" s="143"/>
      <c r="R997" s="143"/>
      <c r="S997" s="143"/>
      <c r="T997" s="143"/>
      <c r="U997" s="143"/>
      <c r="V997" s="143"/>
      <c r="W997" s="143"/>
      <c r="X997" s="143"/>
      <c r="Y997" s="143"/>
      <c r="Z997" s="143"/>
      <c r="AA997" s="143"/>
      <c r="AB997" s="143"/>
      <c r="AC997" s="143"/>
      <c r="AD997" s="143"/>
      <c r="AE997" s="143"/>
      <c r="AF997" s="143"/>
      <c r="AG997" s="143"/>
      <c r="AH997" s="143"/>
      <c r="AI997" s="143"/>
      <c r="AJ997" s="143"/>
    </row>
    <row r="998" spans="1:36" ht="12.75" customHeight="1" x14ac:dyDescent="0.25">
      <c r="A998" s="143"/>
      <c r="B998" s="145"/>
      <c r="C998" s="146"/>
      <c r="D998" s="114"/>
      <c r="E998" s="148"/>
      <c r="F998" s="148"/>
      <c r="G998" s="114"/>
      <c r="H998" s="149"/>
      <c r="I998" s="143"/>
      <c r="J998" s="143"/>
      <c r="K998" s="143"/>
      <c r="L998" s="143"/>
      <c r="M998" s="150"/>
      <c r="N998" s="143"/>
      <c r="O998" s="1"/>
      <c r="P998" s="151"/>
      <c r="Q998" s="143"/>
      <c r="R998" s="143"/>
      <c r="S998" s="143"/>
      <c r="T998" s="143"/>
      <c r="U998" s="143"/>
      <c r="V998" s="143"/>
      <c r="W998" s="143"/>
      <c r="X998" s="143"/>
      <c r="Y998" s="143"/>
      <c r="Z998" s="143"/>
      <c r="AA998" s="143"/>
      <c r="AB998" s="143"/>
      <c r="AC998" s="143"/>
      <c r="AD998" s="143"/>
      <c r="AE998" s="143"/>
      <c r="AF998" s="143"/>
      <c r="AG998" s="143"/>
      <c r="AH998" s="143"/>
      <c r="AI998" s="143"/>
      <c r="AJ998" s="143"/>
    </row>
    <row r="999" spans="1:36" ht="12.75" customHeight="1" x14ac:dyDescent="0.25">
      <c r="A999" s="143"/>
      <c r="B999" s="145"/>
      <c r="C999" s="146"/>
      <c r="D999" s="114"/>
      <c r="E999" s="148"/>
      <c r="F999" s="148"/>
      <c r="G999" s="114"/>
      <c r="H999" s="149"/>
      <c r="I999" s="143"/>
      <c r="J999" s="143"/>
      <c r="K999" s="143"/>
      <c r="L999" s="143"/>
      <c r="M999" s="150"/>
      <c r="N999" s="143"/>
      <c r="O999" s="1"/>
      <c r="P999" s="151"/>
      <c r="Q999" s="143"/>
      <c r="R999" s="143"/>
      <c r="S999" s="143"/>
      <c r="T999" s="143"/>
      <c r="U999" s="143"/>
      <c r="V999" s="143"/>
      <c r="W999" s="143"/>
      <c r="X999" s="143"/>
      <c r="Y999" s="143"/>
      <c r="Z999" s="143"/>
      <c r="AA999" s="143"/>
      <c r="AB999" s="143"/>
      <c r="AC999" s="143"/>
      <c r="AD999" s="143"/>
      <c r="AE999" s="143"/>
      <c r="AF999" s="143"/>
      <c r="AG999" s="143"/>
      <c r="AH999" s="143"/>
      <c r="AI999" s="143"/>
      <c r="AJ999" s="143"/>
    </row>
    <row r="1000" spans="1:36" ht="12.75" customHeight="1" x14ac:dyDescent="0.25">
      <c r="A1000" s="143"/>
      <c r="B1000" s="145"/>
      <c r="C1000" s="146"/>
      <c r="D1000" s="114"/>
      <c r="E1000" s="148"/>
      <c r="F1000" s="148"/>
      <c r="G1000" s="114"/>
      <c r="H1000" s="149"/>
      <c r="I1000" s="143"/>
      <c r="J1000" s="143"/>
      <c r="K1000" s="143"/>
      <c r="L1000" s="143"/>
      <c r="M1000" s="150"/>
      <c r="N1000" s="143"/>
      <c r="O1000" s="1"/>
      <c r="P1000" s="151"/>
      <c r="Q1000" s="143"/>
      <c r="R1000" s="143"/>
      <c r="S1000" s="143"/>
      <c r="T1000" s="143"/>
      <c r="U1000" s="143"/>
      <c r="V1000" s="143"/>
      <c r="W1000" s="143"/>
      <c r="X1000" s="143"/>
      <c r="Y1000" s="143"/>
      <c r="Z1000" s="143"/>
      <c r="AA1000" s="143"/>
      <c r="AB1000" s="143"/>
      <c r="AC1000" s="143"/>
      <c r="AD1000" s="143"/>
      <c r="AE1000" s="143"/>
      <c r="AF1000" s="143"/>
      <c r="AG1000" s="143"/>
      <c r="AH1000" s="143"/>
      <c r="AI1000" s="143"/>
      <c r="AJ1000" s="143"/>
    </row>
  </sheetData>
  <mergeCells count="16">
    <mergeCell ref="L79:O79"/>
    <mergeCell ref="B77:D77"/>
    <mergeCell ref="L77:O77"/>
    <mergeCell ref="B79:D79"/>
    <mergeCell ref="B78:D78"/>
    <mergeCell ref="L78:O78"/>
    <mergeCell ref="D9:E9"/>
    <mergeCell ref="O9:P9"/>
    <mergeCell ref="L9:M9"/>
    <mergeCell ref="G9:H9"/>
    <mergeCell ref="B2:O2"/>
    <mergeCell ref="B3:O3"/>
    <mergeCell ref="B4:O4"/>
    <mergeCell ref="B5:O5"/>
    <mergeCell ref="B6:O6"/>
    <mergeCell ref="B8:O8"/>
  </mergeCells>
  <pageMargins left="0.70866141732283472" right="0.70866141732283472" top="0.74803149606299213" bottom="0.74803149606299213" header="0" footer="0"/>
  <pageSetup scale="4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1"/>
  <sheetViews>
    <sheetView topLeftCell="A13" workbookViewId="0">
      <selection activeCell="G41" sqref="G41"/>
    </sheetView>
  </sheetViews>
  <sheetFormatPr baseColWidth="10" defaultColWidth="14.42578125" defaultRowHeight="15" x14ac:dyDescent="0.25"/>
  <cols>
    <col min="1" max="1" width="93" style="315" bestFit="1" customWidth="1"/>
    <col min="2" max="2" width="24.28515625" style="315" customWidth="1"/>
    <col min="3" max="3" width="12.7109375" style="315" bestFit="1" customWidth="1"/>
    <col min="4" max="4" width="11" style="315" bestFit="1" customWidth="1"/>
    <col min="5" max="5" width="8.85546875" style="315" customWidth="1"/>
    <col min="6" max="6" width="11" style="315" customWidth="1"/>
    <col min="7" max="8" width="14.85546875" style="315" customWidth="1"/>
    <col min="9" max="9" width="9.42578125" style="315" bestFit="1" customWidth="1"/>
    <col min="10" max="10" width="11.42578125" style="315" customWidth="1"/>
    <col min="11" max="26" width="10.7109375" style="315" customWidth="1"/>
    <col min="27" max="16384" width="14.42578125" style="315"/>
  </cols>
  <sheetData>
    <row r="1" spans="1:26" ht="15.75" x14ac:dyDescent="0.25">
      <c r="A1" s="422" t="str">
        <f>+'E.R.I.ACUMULADO'!A2</f>
        <v>GRUPO DE LOLITA S.A.S</v>
      </c>
      <c r="B1" s="423"/>
      <c r="C1" s="424"/>
      <c r="D1" s="337"/>
      <c r="E1" s="275"/>
      <c r="F1" s="275"/>
      <c r="G1" s="275"/>
      <c r="H1" s="275"/>
      <c r="I1" s="275"/>
      <c r="J1" s="275"/>
      <c r="K1" s="275"/>
      <c r="L1" s="275"/>
      <c r="M1" s="275"/>
      <c r="N1" s="275"/>
      <c r="O1" s="275"/>
      <c r="P1" s="275"/>
      <c r="Q1" s="275"/>
      <c r="R1" s="275"/>
      <c r="S1" s="275"/>
      <c r="T1" s="275"/>
      <c r="U1" s="275"/>
      <c r="V1" s="275"/>
      <c r="W1" s="275"/>
      <c r="X1" s="275"/>
      <c r="Y1" s="275"/>
      <c r="Z1" s="275"/>
    </row>
    <row r="2" spans="1:26" ht="15.75" x14ac:dyDescent="0.25">
      <c r="A2" s="425" t="str">
        <f>+'E.R.I.ACUMULADO'!A3</f>
        <v>NIT: 900.307.969-5</v>
      </c>
      <c r="B2" s="400"/>
      <c r="C2" s="426"/>
      <c r="D2" s="337"/>
      <c r="E2" s="275"/>
      <c r="F2" s="275"/>
      <c r="G2" s="275"/>
      <c r="H2" s="275"/>
      <c r="I2" s="275"/>
      <c r="J2" s="275"/>
      <c r="K2" s="275"/>
      <c r="L2" s="275"/>
      <c r="M2" s="275"/>
      <c r="N2" s="275"/>
      <c r="O2" s="275"/>
      <c r="P2" s="275"/>
      <c r="Q2" s="275"/>
      <c r="R2" s="275"/>
      <c r="S2" s="275"/>
      <c r="T2" s="275"/>
      <c r="U2" s="275"/>
      <c r="V2" s="275"/>
      <c r="W2" s="275"/>
      <c r="X2" s="275"/>
      <c r="Y2" s="275"/>
      <c r="Z2" s="275"/>
    </row>
    <row r="3" spans="1:26" x14ac:dyDescent="0.25">
      <c r="A3" s="427" t="s">
        <v>593</v>
      </c>
      <c r="B3" s="400"/>
      <c r="C3" s="426"/>
      <c r="D3" s="337"/>
      <c r="E3" s="275"/>
      <c r="F3" s="275"/>
      <c r="G3" s="275"/>
      <c r="H3" s="275"/>
      <c r="I3" s="275"/>
      <c r="J3" s="275"/>
      <c r="K3" s="275"/>
      <c r="L3" s="275"/>
      <c r="M3" s="275"/>
      <c r="N3" s="275"/>
      <c r="O3" s="275"/>
      <c r="P3" s="275"/>
      <c r="Q3" s="275"/>
      <c r="R3" s="275"/>
      <c r="S3" s="275"/>
      <c r="T3" s="275"/>
      <c r="U3" s="275"/>
      <c r="V3" s="275"/>
      <c r="W3" s="275"/>
      <c r="X3" s="275"/>
      <c r="Y3" s="275"/>
      <c r="Z3" s="275"/>
    </row>
    <row r="4" spans="1:26" x14ac:dyDescent="0.25">
      <c r="A4" s="427" t="str">
        <f>+'E.R.I.ACUMULADO'!A6</f>
        <v>(Cifras Expresadas en Miles de Pesos Colombianos)</v>
      </c>
      <c r="B4" s="400"/>
      <c r="C4" s="426"/>
      <c r="D4" s="337"/>
      <c r="E4" s="275"/>
      <c r="F4" s="275"/>
      <c r="G4" s="275"/>
      <c r="H4" s="275"/>
      <c r="I4" s="275"/>
      <c r="J4" s="275"/>
      <c r="K4" s="275"/>
      <c r="L4" s="275"/>
      <c r="M4" s="275"/>
      <c r="N4" s="275"/>
      <c r="O4" s="275"/>
      <c r="P4" s="275"/>
      <c r="Q4" s="275"/>
      <c r="R4" s="275"/>
      <c r="S4" s="275"/>
      <c r="T4" s="275"/>
      <c r="U4" s="275"/>
      <c r="V4" s="275"/>
      <c r="W4" s="275"/>
      <c r="X4" s="275"/>
      <c r="Y4" s="275"/>
      <c r="Z4" s="275"/>
    </row>
    <row r="5" spans="1:26" ht="16.5" thickBot="1" x14ac:dyDescent="0.3">
      <c r="A5" s="428" t="s">
        <v>628</v>
      </c>
      <c r="B5" s="429"/>
      <c r="C5" s="430"/>
      <c r="D5" s="337"/>
      <c r="E5" s="275"/>
      <c r="F5" s="275"/>
      <c r="G5" s="275"/>
      <c r="H5" s="275"/>
      <c r="I5" s="275"/>
      <c r="J5" s="275"/>
      <c r="K5" s="275"/>
      <c r="L5" s="275"/>
      <c r="M5" s="275"/>
      <c r="N5" s="275"/>
      <c r="O5" s="275"/>
      <c r="P5" s="275"/>
      <c r="Q5" s="275"/>
      <c r="R5" s="275"/>
      <c r="S5" s="275"/>
      <c r="T5" s="275"/>
      <c r="U5" s="275"/>
      <c r="V5" s="275"/>
      <c r="W5" s="275"/>
      <c r="X5" s="275"/>
      <c r="Y5" s="275"/>
      <c r="Z5" s="275"/>
    </row>
    <row r="6" spans="1:26" x14ac:dyDescent="0.25">
      <c r="A6" s="338"/>
      <c r="B6" s="339"/>
      <c r="C6" s="340"/>
      <c r="D6" s="337"/>
      <c r="E6" s="275"/>
      <c r="F6" s="275"/>
      <c r="G6" s="275"/>
      <c r="H6" s="275"/>
      <c r="I6" s="275"/>
      <c r="J6" s="275"/>
      <c r="K6" s="275"/>
      <c r="L6" s="275"/>
      <c r="M6" s="275"/>
      <c r="N6" s="275"/>
      <c r="O6" s="275"/>
      <c r="P6" s="275"/>
      <c r="Q6" s="275"/>
      <c r="R6" s="275"/>
      <c r="S6" s="275"/>
      <c r="T6" s="275"/>
      <c r="U6" s="275"/>
      <c r="V6" s="275"/>
      <c r="W6" s="275"/>
      <c r="X6" s="275"/>
      <c r="Y6" s="275"/>
      <c r="Z6" s="275"/>
    </row>
    <row r="7" spans="1:26" x14ac:dyDescent="0.25">
      <c r="A7" s="341" t="s">
        <v>594</v>
      </c>
      <c r="B7" s="342"/>
      <c r="C7" s="343"/>
      <c r="D7" s="337"/>
      <c r="E7" s="275"/>
      <c r="F7" s="275"/>
      <c r="G7" s="275"/>
      <c r="H7" s="275"/>
      <c r="I7" s="275"/>
      <c r="J7" s="275"/>
      <c r="K7" s="275"/>
      <c r="L7" s="275"/>
      <c r="M7" s="275"/>
      <c r="N7" s="275"/>
      <c r="O7" s="275"/>
      <c r="P7" s="275"/>
      <c r="Q7" s="275"/>
      <c r="R7" s="275"/>
      <c r="S7" s="275"/>
      <c r="T7" s="275"/>
      <c r="U7" s="275"/>
      <c r="V7" s="275"/>
      <c r="W7" s="275"/>
      <c r="X7" s="275"/>
      <c r="Y7" s="275"/>
      <c r="Z7" s="275"/>
    </row>
    <row r="8" spans="1:26" x14ac:dyDescent="0.25">
      <c r="A8" s="344" t="s">
        <v>595</v>
      </c>
      <c r="B8" s="345"/>
      <c r="C8" s="346">
        <f>+'E.R.I.ACUMULADO'!D109</f>
        <v>56988.014119999731</v>
      </c>
      <c r="D8" s="337"/>
      <c r="E8" s="275"/>
      <c r="F8" s="275"/>
      <c r="G8" s="275"/>
      <c r="H8" s="275"/>
      <c r="I8" s="275"/>
      <c r="J8" s="275"/>
      <c r="K8" s="275"/>
      <c r="L8" s="275"/>
      <c r="M8" s="275"/>
      <c r="N8" s="275"/>
      <c r="O8" s="275"/>
      <c r="P8" s="275"/>
      <c r="Q8" s="275"/>
      <c r="R8" s="275"/>
      <c r="S8" s="275"/>
      <c r="T8" s="275"/>
      <c r="U8" s="275"/>
      <c r="V8" s="275"/>
      <c r="W8" s="275"/>
      <c r="X8" s="275"/>
      <c r="Y8" s="275"/>
      <c r="Z8" s="275"/>
    </row>
    <row r="9" spans="1:26" x14ac:dyDescent="0.25">
      <c r="A9" s="347"/>
      <c r="B9" s="342"/>
      <c r="C9" s="348"/>
      <c r="D9" s="337"/>
      <c r="E9" s="275"/>
      <c r="F9" s="275"/>
      <c r="G9" s="275"/>
      <c r="H9" s="275"/>
      <c r="I9" s="275"/>
      <c r="J9" s="275"/>
      <c r="K9" s="275"/>
      <c r="L9" s="275"/>
      <c r="M9" s="275"/>
      <c r="N9" s="275"/>
      <c r="O9" s="275"/>
      <c r="P9" s="275"/>
      <c r="Q9" s="275"/>
      <c r="R9" s="275"/>
      <c r="S9" s="275"/>
      <c r="T9" s="275"/>
      <c r="U9" s="275"/>
      <c r="V9" s="275"/>
      <c r="W9" s="275"/>
      <c r="X9" s="275"/>
      <c r="Y9" s="275"/>
      <c r="Z9" s="275"/>
    </row>
    <row r="10" spans="1:26" x14ac:dyDescent="0.25">
      <c r="A10" s="341" t="s">
        <v>596</v>
      </c>
      <c r="B10" s="342"/>
      <c r="C10" s="349"/>
      <c r="D10" s="337"/>
      <c r="E10" s="275"/>
      <c r="F10" s="275"/>
      <c r="G10" s="275"/>
      <c r="H10" s="275"/>
      <c r="I10" s="275"/>
      <c r="J10" s="275"/>
      <c r="K10" s="275"/>
      <c r="L10" s="275"/>
      <c r="M10" s="275"/>
      <c r="N10" s="275"/>
      <c r="O10" s="275"/>
      <c r="P10" s="275"/>
      <c r="Q10" s="275"/>
      <c r="R10" s="275"/>
      <c r="S10" s="275"/>
      <c r="T10" s="275"/>
      <c r="U10" s="275"/>
      <c r="V10" s="275"/>
      <c r="W10" s="275"/>
      <c r="X10" s="275"/>
      <c r="Y10" s="275"/>
      <c r="Z10" s="275"/>
    </row>
    <row r="11" spans="1:26" x14ac:dyDescent="0.25">
      <c r="A11" s="347" t="s">
        <v>597</v>
      </c>
      <c r="B11" s="342"/>
      <c r="C11" s="349">
        <f>-('ESF=BALANCE'!D57-'ESF=BALANCE'!G57)</f>
        <v>-322420.38572000002</v>
      </c>
      <c r="D11" s="337"/>
      <c r="E11" s="275"/>
      <c r="F11" s="275"/>
      <c r="G11" s="275"/>
      <c r="H11" s="275"/>
      <c r="I11" s="275"/>
      <c r="J11" s="275"/>
      <c r="K11" s="275"/>
      <c r="L11" s="275"/>
      <c r="M11" s="275"/>
      <c r="N11" s="275"/>
      <c r="O11" s="275"/>
      <c r="P11" s="275"/>
      <c r="Q11" s="275"/>
      <c r="R11" s="275"/>
      <c r="S11" s="275"/>
      <c r="T11" s="275"/>
      <c r="U11" s="275"/>
      <c r="V11" s="275"/>
      <c r="W11" s="275"/>
      <c r="X11" s="275"/>
      <c r="Y11" s="275"/>
      <c r="Z11" s="275"/>
    </row>
    <row r="12" spans="1:26" x14ac:dyDescent="0.25">
      <c r="A12" s="350" t="s">
        <v>598</v>
      </c>
      <c r="B12" s="342"/>
      <c r="C12" s="349">
        <v>0</v>
      </c>
      <c r="D12" s="337"/>
      <c r="E12" s="275"/>
      <c r="F12" s="275"/>
      <c r="G12" s="275"/>
      <c r="H12" s="275"/>
      <c r="I12" s="275"/>
      <c r="J12" s="275"/>
      <c r="K12" s="275"/>
      <c r="L12" s="275"/>
      <c r="M12" s="275"/>
      <c r="N12" s="275"/>
      <c r="O12" s="275"/>
      <c r="P12" s="275"/>
      <c r="Q12" s="275"/>
      <c r="R12" s="275"/>
      <c r="S12" s="275"/>
      <c r="T12" s="275"/>
      <c r="U12" s="275"/>
      <c r="V12" s="275"/>
      <c r="W12" s="275"/>
      <c r="X12" s="275"/>
      <c r="Y12" s="275"/>
      <c r="Z12" s="275"/>
    </row>
    <row r="13" spans="1:26" x14ac:dyDescent="0.25">
      <c r="A13" s="350"/>
      <c r="B13" s="351"/>
      <c r="C13" s="343"/>
      <c r="D13" s="337"/>
      <c r="E13" s="275"/>
      <c r="F13" s="275"/>
      <c r="G13" s="275"/>
      <c r="H13" s="275"/>
      <c r="I13" s="275"/>
      <c r="J13" s="275"/>
      <c r="K13" s="275"/>
      <c r="L13" s="275"/>
      <c r="M13" s="275"/>
      <c r="N13" s="275"/>
      <c r="O13" s="275"/>
      <c r="P13" s="275"/>
      <c r="Q13" s="275"/>
      <c r="R13" s="275"/>
      <c r="S13" s="275"/>
      <c r="T13" s="275"/>
      <c r="U13" s="275"/>
      <c r="V13" s="275"/>
      <c r="W13" s="275"/>
      <c r="X13" s="275"/>
      <c r="Y13" s="275"/>
      <c r="Z13" s="275"/>
    </row>
    <row r="14" spans="1:26" ht="15.75" thickBot="1" x14ac:dyDescent="0.3">
      <c r="A14" s="352" t="s">
        <v>599</v>
      </c>
      <c r="B14" s="353"/>
      <c r="C14" s="354">
        <f>SUM(C8:C13)</f>
        <v>-265432.3716000003</v>
      </c>
      <c r="D14" s="337"/>
      <c r="E14" s="275"/>
      <c r="F14" s="275"/>
      <c r="G14" s="275"/>
      <c r="H14" s="275"/>
      <c r="I14" s="275"/>
      <c r="J14" s="275"/>
      <c r="K14" s="275"/>
      <c r="L14" s="275"/>
      <c r="M14" s="275"/>
      <c r="N14" s="275"/>
      <c r="O14" s="275"/>
      <c r="P14" s="275"/>
      <c r="Q14" s="275"/>
      <c r="R14" s="275"/>
      <c r="S14" s="275"/>
      <c r="T14" s="275"/>
      <c r="U14" s="275"/>
      <c r="V14" s="275"/>
      <c r="W14" s="275"/>
      <c r="X14" s="275"/>
      <c r="Y14" s="275"/>
      <c r="Z14" s="275"/>
    </row>
    <row r="15" spans="1:26" x14ac:dyDescent="0.25">
      <c r="A15" s="341" t="s">
        <v>600</v>
      </c>
      <c r="B15" s="342"/>
      <c r="C15" s="343"/>
      <c r="D15" s="337"/>
      <c r="E15" s="275"/>
      <c r="F15" s="275"/>
      <c r="G15" s="275"/>
      <c r="H15" s="275"/>
      <c r="I15" s="275"/>
      <c r="J15" s="275"/>
      <c r="K15" s="275"/>
      <c r="L15" s="275"/>
      <c r="M15" s="275"/>
      <c r="N15" s="275"/>
      <c r="O15" s="275"/>
      <c r="P15" s="275"/>
      <c r="Q15" s="275"/>
      <c r="R15" s="275"/>
      <c r="S15" s="275"/>
      <c r="T15" s="275"/>
      <c r="U15" s="275"/>
      <c r="V15" s="275"/>
      <c r="W15" s="275"/>
      <c r="X15" s="275"/>
      <c r="Y15" s="275"/>
      <c r="Z15" s="275"/>
    </row>
    <row r="16" spans="1:26" x14ac:dyDescent="0.25">
      <c r="A16" s="350" t="s">
        <v>601</v>
      </c>
      <c r="B16" s="342"/>
      <c r="C16" s="349">
        <f>+'ESF=BALANCE'!G21-'ESF=BALANCE'!D21</f>
        <v>-531531.91031999968</v>
      </c>
      <c r="D16" s="337"/>
      <c r="E16" s="421"/>
      <c r="F16" s="275"/>
      <c r="G16" s="275"/>
      <c r="H16" s="275"/>
      <c r="I16" s="275"/>
      <c r="J16" s="275"/>
      <c r="K16" s="275"/>
      <c r="L16" s="275"/>
      <c r="M16" s="275"/>
      <c r="N16" s="275"/>
      <c r="O16" s="275"/>
      <c r="P16" s="275"/>
      <c r="Q16" s="275"/>
      <c r="R16" s="275"/>
      <c r="S16" s="275"/>
      <c r="T16" s="275"/>
      <c r="U16" s="275"/>
      <c r="V16" s="275"/>
      <c r="W16" s="275"/>
      <c r="X16" s="275"/>
      <c r="Y16" s="275"/>
      <c r="Z16" s="275"/>
    </row>
    <row r="17" spans="1:26" x14ac:dyDescent="0.25">
      <c r="A17" s="350" t="s">
        <v>602</v>
      </c>
      <c r="B17" s="342"/>
      <c r="C17" s="349">
        <f>+'ESF=BALANCE'!G30-'ESF=BALANCE'!D30</f>
        <v>72554.262980000087</v>
      </c>
      <c r="D17" s="337"/>
      <c r="E17" s="400"/>
      <c r="F17" s="275"/>
      <c r="G17" s="275"/>
      <c r="H17" s="275"/>
      <c r="I17" s="275"/>
      <c r="J17" s="275"/>
      <c r="K17" s="275"/>
      <c r="L17" s="275"/>
      <c r="M17" s="275"/>
      <c r="N17" s="275"/>
      <c r="O17" s="275"/>
      <c r="P17" s="275"/>
      <c r="Q17" s="275"/>
      <c r="R17" s="275"/>
      <c r="S17" s="275"/>
      <c r="T17" s="275"/>
      <c r="U17" s="275"/>
      <c r="V17" s="275"/>
      <c r="W17" s="275"/>
      <c r="X17" s="275"/>
      <c r="Y17" s="275"/>
      <c r="Z17" s="275"/>
    </row>
    <row r="18" spans="1:26" x14ac:dyDescent="0.25">
      <c r="A18" s="350" t="s">
        <v>603</v>
      </c>
      <c r="B18" s="342"/>
      <c r="C18" s="349">
        <f>+'ESF=BALANCE'!G18-'ESF=BALANCE'!D18</f>
        <v>-69599.25655999998</v>
      </c>
      <c r="D18" s="337"/>
      <c r="E18" s="342"/>
      <c r="F18" s="275"/>
      <c r="G18" s="275"/>
      <c r="H18" s="275"/>
      <c r="I18" s="275"/>
      <c r="J18" s="275"/>
      <c r="K18" s="275"/>
      <c r="L18" s="275"/>
      <c r="M18" s="275"/>
      <c r="N18" s="275"/>
      <c r="O18" s="275"/>
      <c r="P18" s="275"/>
      <c r="Q18" s="275"/>
      <c r="R18" s="275"/>
      <c r="S18" s="275"/>
      <c r="T18" s="275"/>
      <c r="U18" s="275"/>
      <c r="V18" s="275"/>
      <c r="W18" s="275"/>
      <c r="X18" s="275"/>
      <c r="Y18" s="275"/>
      <c r="Z18" s="275"/>
    </row>
    <row r="19" spans="1:26" x14ac:dyDescent="0.25">
      <c r="A19" s="350" t="s">
        <v>604</v>
      </c>
      <c r="B19" s="342"/>
      <c r="C19" s="349">
        <f>+'ESF=BALANCE'!G66-'ESF=BALANCE'!D66</f>
        <v>0</v>
      </c>
      <c r="D19" s="337"/>
      <c r="E19" s="342"/>
      <c r="F19" s="275"/>
      <c r="G19" s="275"/>
      <c r="H19" s="275"/>
      <c r="I19" s="275"/>
      <c r="J19" s="275"/>
      <c r="K19" s="275"/>
      <c r="L19" s="275"/>
      <c r="M19" s="275"/>
      <c r="N19" s="275"/>
      <c r="O19" s="275"/>
      <c r="P19" s="275"/>
      <c r="Q19" s="275"/>
      <c r="R19" s="275"/>
      <c r="S19" s="275"/>
      <c r="T19" s="275"/>
      <c r="U19" s="275"/>
      <c r="V19" s="275"/>
      <c r="W19" s="275"/>
      <c r="X19" s="275"/>
      <c r="Y19" s="275"/>
      <c r="Z19" s="275"/>
    </row>
    <row r="20" spans="1:26" x14ac:dyDescent="0.25">
      <c r="A20" s="350" t="s">
        <v>605</v>
      </c>
      <c r="B20" s="351"/>
      <c r="C20" s="349">
        <f>+'ESF=BALANCE'!L41-'ESF=BALANCE'!O41</f>
        <v>462179.59692999988</v>
      </c>
      <c r="D20" s="337"/>
      <c r="E20" s="275"/>
      <c r="F20" s="275"/>
      <c r="G20" s="275"/>
      <c r="H20" s="275"/>
      <c r="I20" s="275"/>
      <c r="J20" s="275"/>
      <c r="K20" s="275"/>
      <c r="L20" s="275"/>
      <c r="M20" s="275"/>
      <c r="N20" s="275"/>
      <c r="O20" s="275"/>
      <c r="P20" s="275"/>
      <c r="Q20" s="275"/>
      <c r="R20" s="275"/>
      <c r="S20" s="275"/>
      <c r="T20" s="275"/>
      <c r="U20" s="275"/>
      <c r="V20" s="275"/>
      <c r="W20" s="275"/>
      <c r="X20" s="275"/>
      <c r="Y20" s="275"/>
      <c r="Z20" s="275"/>
    </row>
    <row r="21" spans="1:26" x14ac:dyDescent="0.25">
      <c r="A21" s="350" t="s">
        <v>606</v>
      </c>
      <c r="B21" s="342"/>
      <c r="C21" s="349">
        <f>+'ESF=BALANCE'!L15-'ESF=BALANCE'!O15</f>
        <v>-69496.824300000007</v>
      </c>
      <c r="D21" s="337"/>
      <c r="E21" s="342"/>
      <c r="F21" s="275"/>
      <c r="G21" s="275"/>
      <c r="H21" s="275"/>
      <c r="I21" s="275"/>
      <c r="J21" s="275"/>
      <c r="K21" s="275"/>
      <c r="L21" s="275"/>
      <c r="M21" s="275"/>
      <c r="N21" s="275"/>
      <c r="O21" s="275"/>
      <c r="P21" s="275"/>
      <c r="Q21" s="275"/>
      <c r="R21" s="275"/>
      <c r="S21" s="275"/>
      <c r="T21" s="275"/>
      <c r="U21" s="275"/>
      <c r="V21" s="275"/>
      <c r="W21" s="275"/>
      <c r="X21" s="275"/>
      <c r="Y21" s="275"/>
      <c r="Z21" s="275"/>
    </row>
    <row r="22" spans="1:26" x14ac:dyDescent="0.25">
      <c r="A22" s="350" t="s">
        <v>607</v>
      </c>
      <c r="B22" s="342"/>
      <c r="C22" s="349">
        <f>+'ESF=BALANCE'!L19-'ESF=BALANCE'!O19</f>
        <v>51204.683070000072</v>
      </c>
      <c r="D22" s="337"/>
      <c r="E22" s="342"/>
      <c r="F22" s="275"/>
      <c r="G22" s="275"/>
      <c r="H22" s="275"/>
      <c r="I22" s="275"/>
      <c r="J22" s="275"/>
      <c r="K22" s="275"/>
      <c r="L22" s="275"/>
      <c r="M22" s="275"/>
      <c r="N22" s="275"/>
      <c r="O22" s="275"/>
      <c r="P22" s="275"/>
      <c r="Q22" s="275"/>
      <c r="R22" s="275"/>
      <c r="S22" s="275"/>
      <c r="T22" s="275"/>
      <c r="U22" s="275"/>
      <c r="V22" s="275"/>
      <c r="W22" s="275"/>
      <c r="X22" s="275"/>
      <c r="Y22" s="275"/>
      <c r="Z22" s="275"/>
    </row>
    <row r="23" spans="1:26" x14ac:dyDescent="0.25">
      <c r="A23" s="350" t="s">
        <v>608</v>
      </c>
      <c r="B23" s="342"/>
      <c r="C23" s="349">
        <f>+'ESF=BALANCE'!L25-'ESF=BALANCE'!O25</f>
        <v>-30151.383999999991</v>
      </c>
      <c r="D23" s="337"/>
      <c r="E23" s="342"/>
      <c r="F23" s="275"/>
      <c r="G23" s="275"/>
      <c r="H23" s="275"/>
      <c r="I23" s="275"/>
      <c r="J23" s="275"/>
      <c r="K23" s="275"/>
      <c r="L23" s="275"/>
      <c r="M23" s="275"/>
      <c r="N23" s="275"/>
      <c r="O23" s="275"/>
      <c r="P23" s="275"/>
      <c r="Q23" s="275"/>
      <c r="R23" s="275"/>
      <c r="S23" s="275"/>
      <c r="T23" s="275"/>
      <c r="U23" s="275"/>
      <c r="V23" s="275"/>
      <c r="W23" s="275"/>
      <c r="X23" s="275"/>
      <c r="Y23" s="275"/>
      <c r="Z23" s="275"/>
    </row>
    <row r="24" spans="1:26" x14ac:dyDescent="0.25">
      <c r="A24" s="350" t="s">
        <v>609</v>
      </c>
      <c r="B24" s="342"/>
      <c r="C24" s="349">
        <f>+'ESF=BALANCE'!L33-'ESF=BALANCE'!O33+'ESF=BALANCE'!L46-'ESF=BALANCE'!O46+'ESF=BALANCE'!L13-'ESF=BALANCE'!O13</f>
        <v>-29470.53889</v>
      </c>
      <c r="D24" s="337"/>
      <c r="E24" s="342"/>
      <c r="F24" s="275"/>
      <c r="G24" s="275"/>
      <c r="H24" s="275"/>
      <c r="I24" s="275"/>
      <c r="J24" s="275"/>
      <c r="K24" s="275"/>
      <c r="L24" s="275"/>
      <c r="M24" s="275"/>
      <c r="N24" s="275"/>
      <c r="O24" s="275"/>
      <c r="P24" s="275"/>
      <c r="Q24" s="275"/>
      <c r="R24" s="275"/>
      <c r="S24" s="275"/>
      <c r="T24" s="275"/>
      <c r="U24" s="275"/>
      <c r="V24" s="275"/>
      <c r="W24" s="275"/>
      <c r="X24" s="275"/>
      <c r="Y24" s="275"/>
      <c r="Z24" s="275"/>
    </row>
    <row r="25" spans="1:26" ht="15.75" thickBot="1" x14ac:dyDescent="0.3">
      <c r="A25" s="355" t="s">
        <v>610</v>
      </c>
      <c r="B25" s="353"/>
      <c r="C25" s="354">
        <f>SUM(C14:C24)</f>
        <v>-409743.74268999993</v>
      </c>
      <c r="D25" s="337"/>
      <c r="E25" s="275"/>
      <c r="F25" s="275"/>
      <c r="G25" s="275"/>
      <c r="H25" s="275"/>
      <c r="I25" s="275"/>
      <c r="J25" s="275"/>
      <c r="K25" s="275"/>
      <c r="L25" s="275"/>
      <c r="M25" s="275"/>
      <c r="N25" s="275"/>
      <c r="O25" s="275"/>
      <c r="P25" s="275"/>
      <c r="Q25" s="275"/>
      <c r="R25" s="275"/>
      <c r="S25" s="275"/>
      <c r="T25" s="275"/>
      <c r="U25" s="275"/>
      <c r="V25" s="275"/>
      <c r="W25" s="275"/>
      <c r="X25" s="275"/>
      <c r="Y25" s="275"/>
      <c r="Z25" s="275"/>
    </row>
    <row r="26" spans="1:26" x14ac:dyDescent="0.25">
      <c r="A26" s="341" t="s">
        <v>611</v>
      </c>
      <c r="B26" s="342"/>
      <c r="C26" s="356"/>
      <c r="D26" s="337"/>
      <c r="E26" s="275"/>
      <c r="F26" s="275"/>
      <c r="G26" s="337"/>
      <c r="H26" s="337"/>
      <c r="I26" s="337"/>
      <c r="J26" s="275"/>
      <c r="K26" s="275"/>
      <c r="L26" s="275"/>
      <c r="M26" s="275"/>
      <c r="N26" s="275"/>
      <c r="O26" s="275"/>
      <c r="P26" s="275"/>
      <c r="Q26" s="275"/>
      <c r="R26" s="275"/>
      <c r="S26" s="275"/>
      <c r="T26" s="275"/>
      <c r="U26" s="275"/>
      <c r="V26" s="275"/>
      <c r="W26" s="275"/>
      <c r="X26" s="275"/>
      <c r="Y26" s="275"/>
      <c r="Z26" s="275"/>
    </row>
    <row r="27" spans="1:26" x14ac:dyDescent="0.25">
      <c r="A27" s="350" t="s">
        <v>612</v>
      </c>
      <c r="B27" s="342"/>
      <c r="C27" s="349">
        <v>0</v>
      </c>
      <c r="D27" s="337"/>
      <c r="E27" s="275"/>
      <c r="F27" s="275"/>
      <c r="G27" s="337"/>
      <c r="H27" s="337"/>
      <c r="I27" s="337"/>
      <c r="J27" s="275"/>
      <c r="K27" s="275"/>
      <c r="L27" s="275"/>
      <c r="M27" s="275"/>
      <c r="N27" s="275"/>
      <c r="O27" s="275"/>
      <c r="P27" s="275"/>
      <c r="Q27" s="275"/>
      <c r="R27" s="275"/>
      <c r="S27" s="275"/>
      <c r="T27" s="275"/>
      <c r="U27" s="275"/>
      <c r="V27" s="275"/>
      <c r="W27" s="275"/>
      <c r="X27" s="275"/>
      <c r="Y27" s="275"/>
      <c r="Z27" s="275"/>
    </row>
    <row r="28" spans="1:26" x14ac:dyDescent="0.25">
      <c r="A28" s="350" t="s">
        <v>613</v>
      </c>
      <c r="B28" s="342"/>
      <c r="C28" s="349">
        <f>+'ESF=BALANCE'!G52+'ESF=BALANCE'!G53+'ESF=BALANCE'!G54+'ESF=BALANCE'!G55+'ESF=BALANCE'!G56+'ESF=BALANCE'!G60-'ESF=BALANCE'!D52-'ESF=BALANCE'!D53-'ESF=BALANCE'!D54-'ESF=BALANCE'!D55-'ESF=BALANCE'!D56-'ESF=BALANCE'!D60</f>
        <v>911797.74700000032</v>
      </c>
      <c r="D28" s="337"/>
      <c r="E28" s="275"/>
      <c r="F28" s="275"/>
      <c r="G28" s="337"/>
      <c r="H28" s="337"/>
      <c r="I28" s="337"/>
      <c r="J28" s="275"/>
      <c r="K28" s="275"/>
      <c r="L28" s="275"/>
      <c r="M28" s="275"/>
      <c r="N28" s="275"/>
      <c r="O28" s="275"/>
      <c r="P28" s="275"/>
      <c r="Q28" s="275"/>
      <c r="R28" s="275"/>
      <c r="S28" s="275"/>
      <c r="T28" s="275"/>
      <c r="U28" s="275"/>
      <c r="V28" s="275"/>
      <c r="W28" s="275"/>
      <c r="X28" s="275"/>
      <c r="Y28" s="275"/>
      <c r="Z28" s="275"/>
    </row>
    <row r="29" spans="1:26" ht="15.75" thickBot="1" x14ac:dyDescent="0.3">
      <c r="A29" s="352" t="s">
        <v>614</v>
      </c>
      <c r="B29" s="353"/>
      <c r="C29" s="354">
        <f>SUM(C27:C28)</f>
        <v>911797.74700000032</v>
      </c>
      <c r="D29" s="337"/>
      <c r="E29" s="275"/>
      <c r="F29" s="275"/>
      <c r="G29" s="337"/>
      <c r="H29" s="337"/>
      <c r="I29" s="337"/>
      <c r="J29" s="275"/>
      <c r="K29" s="275"/>
      <c r="L29" s="275"/>
      <c r="M29" s="275"/>
      <c r="N29" s="275"/>
      <c r="O29" s="275"/>
      <c r="P29" s="275"/>
      <c r="Q29" s="275"/>
      <c r="R29" s="275"/>
      <c r="S29" s="275"/>
      <c r="T29" s="275"/>
      <c r="U29" s="275"/>
      <c r="V29" s="275"/>
      <c r="W29" s="275"/>
      <c r="X29" s="275"/>
      <c r="Y29" s="275"/>
      <c r="Z29" s="275"/>
    </row>
    <row r="30" spans="1:26" x14ac:dyDescent="0.25">
      <c r="A30" s="341" t="s">
        <v>615</v>
      </c>
      <c r="B30" s="351"/>
      <c r="C30" s="356"/>
      <c r="D30" s="337"/>
      <c r="E30" s="275"/>
      <c r="F30" s="275"/>
      <c r="G30" s="337"/>
      <c r="H30" s="337"/>
      <c r="I30" s="337"/>
      <c r="J30" s="275"/>
      <c r="K30" s="275"/>
      <c r="L30" s="275"/>
      <c r="M30" s="275"/>
      <c r="N30" s="275"/>
      <c r="O30" s="275"/>
      <c r="P30" s="275"/>
      <c r="Q30" s="275"/>
      <c r="R30" s="275"/>
      <c r="S30" s="275"/>
      <c r="T30" s="275"/>
      <c r="U30" s="275"/>
      <c r="V30" s="275"/>
      <c r="W30" s="275"/>
      <c r="X30" s="275"/>
      <c r="Y30" s="275"/>
      <c r="Z30" s="275"/>
    </row>
    <row r="31" spans="1:26" x14ac:dyDescent="0.25">
      <c r="A31" s="350" t="s">
        <v>605</v>
      </c>
      <c r="B31" s="351"/>
      <c r="C31" s="349">
        <v>0</v>
      </c>
      <c r="D31" s="337"/>
      <c r="E31" s="275"/>
      <c r="F31" s="275"/>
      <c r="G31" s="337"/>
      <c r="H31" s="337"/>
      <c r="I31" s="337"/>
      <c r="J31" s="275"/>
      <c r="K31" s="275"/>
      <c r="L31" s="275"/>
      <c r="M31" s="275"/>
      <c r="N31" s="275"/>
      <c r="O31" s="275"/>
      <c r="P31" s="275"/>
      <c r="Q31" s="275"/>
      <c r="R31" s="275"/>
      <c r="S31" s="275"/>
      <c r="T31" s="275"/>
      <c r="U31" s="275"/>
      <c r="V31" s="275"/>
      <c r="W31" s="275"/>
      <c r="X31" s="275"/>
      <c r="Y31" s="275"/>
      <c r="Z31" s="275"/>
    </row>
    <row r="32" spans="1:26" x14ac:dyDescent="0.25">
      <c r="A32" s="350" t="s">
        <v>616</v>
      </c>
      <c r="B32" s="351"/>
      <c r="C32" s="349">
        <f>+'ESF=BALANCE'!L61-'ESF=BALANCE'!O61</f>
        <v>-22284.600999999995</v>
      </c>
      <c r="D32" s="337"/>
      <c r="E32" s="275"/>
      <c r="F32" s="275"/>
      <c r="G32" s="337"/>
      <c r="H32" s="337"/>
      <c r="I32" s="337"/>
      <c r="J32" s="275"/>
      <c r="K32" s="275"/>
      <c r="L32" s="275"/>
      <c r="M32" s="275"/>
      <c r="N32" s="275"/>
      <c r="O32" s="275"/>
      <c r="P32" s="275"/>
      <c r="Q32" s="275"/>
      <c r="R32" s="275"/>
      <c r="S32" s="275"/>
      <c r="T32" s="275"/>
      <c r="U32" s="275"/>
      <c r="V32" s="275"/>
      <c r="W32" s="275"/>
      <c r="X32" s="275"/>
      <c r="Y32" s="275"/>
      <c r="Z32" s="275"/>
    </row>
    <row r="33" spans="1:26" x14ac:dyDescent="0.25">
      <c r="A33" s="350" t="s">
        <v>617</v>
      </c>
      <c r="B33" s="351"/>
      <c r="C33" s="349">
        <f>+'ESF=BALANCE'!L66-'ESF=BALANCE'!O63-'ESF=BALANCE'!O66</f>
        <v>11822.417179999815</v>
      </c>
      <c r="D33" s="337"/>
      <c r="E33" s="275"/>
      <c r="F33" s="275"/>
      <c r="G33" s="337"/>
      <c r="H33" s="337"/>
      <c r="I33" s="275"/>
      <c r="J33" s="275"/>
      <c r="K33" s="275"/>
      <c r="L33" s="275"/>
      <c r="M33" s="275"/>
      <c r="N33" s="275"/>
      <c r="O33" s="275"/>
      <c r="P33" s="275"/>
      <c r="Q33" s="275"/>
      <c r="R33" s="275"/>
      <c r="S33" s="275"/>
      <c r="T33" s="275"/>
      <c r="U33" s="275"/>
      <c r="V33" s="275"/>
      <c r="W33" s="275"/>
      <c r="X33" s="275"/>
      <c r="Y33" s="275"/>
      <c r="Z33" s="275"/>
    </row>
    <row r="34" spans="1:26" x14ac:dyDescent="0.25">
      <c r="A34" s="350"/>
      <c r="B34" s="351"/>
      <c r="C34" s="343"/>
      <c r="D34" s="337"/>
      <c r="E34" s="275"/>
      <c r="F34" s="275"/>
      <c r="G34" s="337"/>
      <c r="H34" s="337"/>
      <c r="I34" s="275"/>
      <c r="J34" s="275"/>
      <c r="K34" s="275"/>
      <c r="L34" s="275"/>
      <c r="M34" s="275"/>
      <c r="N34" s="275"/>
      <c r="O34" s="275"/>
      <c r="P34" s="275"/>
      <c r="Q34" s="275"/>
      <c r="R34" s="275"/>
      <c r="S34" s="275"/>
      <c r="T34" s="275"/>
      <c r="U34" s="275"/>
      <c r="V34" s="275"/>
      <c r="W34" s="275"/>
      <c r="X34" s="275"/>
      <c r="Y34" s="275"/>
      <c r="Z34" s="275"/>
    </row>
    <row r="35" spans="1:26" x14ac:dyDescent="0.25">
      <c r="A35" s="350"/>
      <c r="B35" s="351"/>
      <c r="C35" s="343"/>
      <c r="D35" s="337"/>
      <c r="E35" s="275"/>
      <c r="F35" s="275"/>
      <c r="G35" s="275"/>
      <c r="H35" s="275"/>
      <c r="I35" s="275"/>
      <c r="J35" s="275"/>
      <c r="K35" s="275"/>
      <c r="L35" s="275"/>
      <c r="M35" s="275"/>
      <c r="N35" s="275"/>
      <c r="O35" s="275"/>
      <c r="P35" s="275"/>
      <c r="Q35" s="275"/>
      <c r="R35" s="275"/>
      <c r="S35" s="275"/>
      <c r="T35" s="275"/>
      <c r="U35" s="275"/>
      <c r="V35" s="275"/>
      <c r="W35" s="275"/>
      <c r="X35" s="275"/>
      <c r="Y35" s="275"/>
      <c r="Z35" s="275"/>
    </row>
    <row r="36" spans="1:26" ht="15.75" thickBot="1" x14ac:dyDescent="0.3">
      <c r="A36" s="355" t="s">
        <v>618</v>
      </c>
      <c r="B36" s="353"/>
      <c r="C36" s="357">
        <f>SUM(C31:C35)</f>
        <v>-10462.18382000018</v>
      </c>
      <c r="D36" s="337"/>
      <c r="E36" s="275"/>
      <c r="F36" s="275"/>
      <c r="G36" s="275"/>
      <c r="H36" s="275"/>
      <c r="I36" s="275"/>
      <c r="J36" s="275"/>
      <c r="K36" s="275"/>
      <c r="L36" s="275"/>
      <c r="M36" s="275"/>
      <c r="N36" s="275"/>
      <c r="O36" s="275"/>
      <c r="P36" s="275"/>
      <c r="Q36" s="275"/>
      <c r="R36" s="275"/>
      <c r="S36" s="275"/>
      <c r="T36" s="275"/>
      <c r="U36" s="275"/>
      <c r="V36" s="275"/>
      <c r="W36" s="275"/>
      <c r="X36" s="275"/>
      <c r="Y36" s="275"/>
      <c r="Z36" s="275"/>
    </row>
    <row r="37" spans="1:26" ht="15.75" thickBot="1" x14ac:dyDescent="0.3">
      <c r="A37" s="358" t="s">
        <v>619</v>
      </c>
      <c r="B37" s="359"/>
      <c r="C37" s="354">
        <f>+C25+C29+C36</f>
        <v>491591.82049000019</v>
      </c>
      <c r="D37" s="360"/>
      <c r="E37" s="360"/>
      <c r="F37" s="361"/>
      <c r="G37" s="362"/>
      <c r="H37" s="362"/>
      <c r="I37" s="362"/>
      <c r="J37" s="275"/>
      <c r="K37" s="362"/>
      <c r="L37" s="362"/>
      <c r="M37" s="362"/>
      <c r="N37" s="362"/>
      <c r="O37" s="362"/>
      <c r="P37" s="362"/>
      <c r="Q37" s="362"/>
      <c r="R37" s="362"/>
      <c r="S37" s="362"/>
      <c r="T37" s="362"/>
      <c r="U37" s="362"/>
      <c r="V37" s="362"/>
      <c r="W37" s="362"/>
      <c r="X37" s="362"/>
      <c r="Y37" s="362"/>
      <c r="Z37" s="362"/>
    </row>
    <row r="38" spans="1:26" x14ac:dyDescent="0.25">
      <c r="A38" s="363" t="s">
        <v>620</v>
      </c>
      <c r="B38" s="351"/>
      <c r="C38" s="356"/>
      <c r="D38" s="337"/>
      <c r="E38" s="275"/>
      <c r="F38" s="275"/>
      <c r="G38" s="275"/>
      <c r="H38" s="275"/>
      <c r="I38" s="275"/>
      <c r="J38" s="275"/>
      <c r="K38" s="275"/>
      <c r="L38" s="275"/>
      <c r="M38" s="275"/>
      <c r="N38" s="275"/>
      <c r="O38" s="275"/>
      <c r="P38" s="275"/>
      <c r="Q38" s="275"/>
      <c r="R38" s="275"/>
      <c r="S38" s="275"/>
      <c r="T38" s="275"/>
      <c r="U38" s="275"/>
      <c r="V38" s="275"/>
      <c r="W38" s="275"/>
      <c r="X38" s="275"/>
      <c r="Y38" s="275"/>
      <c r="Z38" s="275"/>
    </row>
    <row r="39" spans="1:26" x14ac:dyDescent="0.25">
      <c r="A39" s="350" t="s">
        <v>621</v>
      </c>
      <c r="B39" s="351"/>
      <c r="C39" s="343">
        <f>+'ESF=BALANCE'!G13+'ESF=BALANCE'!G14+'ESF=BALANCE'!G15</f>
        <v>314390.91442000022</v>
      </c>
      <c r="D39" s="337"/>
      <c r="E39" s="275"/>
      <c r="F39" s="360"/>
      <c r="G39" s="275"/>
      <c r="H39" s="275"/>
      <c r="I39" s="275"/>
      <c r="J39" s="275"/>
      <c r="K39" s="275"/>
      <c r="L39" s="275"/>
      <c r="M39" s="275"/>
      <c r="N39" s="275"/>
      <c r="O39" s="275"/>
      <c r="P39" s="275"/>
      <c r="Q39" s="275"/>
      <c r="R39" s="275"/>
      <c r="S39" s="275"/>
      <c r="T39" s="275"/>
      <c r="U39" s="275"/>
      <c r="V39" s="275"/>
      <c r="W39" s="275"/>
      <c r="X39" s="275"/>
      <c r="Y39" s="275"/>
      <c r="Z39" s="275"/>
    </row>
    <row r="40" spans="1:26" x14ac:dyDescent="0.25">
      <c r="A40" s="350" t="s">
        <v>622</v>
      </c>
      <c r="B40" s="351"/>
      <c r="C40" s="343">
        <f>+'ESF=BALANCE'!G16</f>
        <v>1952.4422199999999</v>
      </c>
      <c r="D40" s="337"/>
      <c r="E40" s="275"/>
      <c r="F40" s="360"/>
      <c r="G40" s="275"/>
      <c r="H40" s="275"/>
      <c r="I40" s="275"/>
      <c r="J40" s="275"/>
      <c r="K40" s="275"/>
      <c r="L40" s="275"/>
      <c r="M40" s="275"/>
      <c r="N40" s="275"/>
      <c r="O40" s="275"/>
      <c r="P40" s="275"/>
      <c r="Q40" s="275"/>
      <c r="R40" s="275"/>
      <c r="S40" s="275"/>
      <c r="T40" s="275"/>
      <c r="U40" s="275"/>
      <c r="V40" s="275"/>
      <c r="W40" s="275"/>
      <c r="X40" s="275"/>
      <c r="Y40" s="275"/>
      <c r="Z40" s="275"/>
    </row>
    <row r="41" spans="1:26" ht="15.75" thickBot="1" x14ac:dyDescent="0.3">
      <c r="A41" s="358" t="s">
        <v>623</v>
      </c>
      <c r="B41" s="359"/>
      <c r="C41" s="364">
        <f>+C37+C39+C40</f>
        <v>807935.17713000032</v>
      </c>
      <c r="D41" s="360"/>
      <c r="E41" s="360"/>
      <c r="F41" s="360" t="s">
        <v>186</v>
      </c>
      <c r="G41" s="360">
        <f>+C41-C40-C39-C37</f>
        <v>0</v>
      </c>
      <c r="H41" s="362"/>
      <c r="I41" s="365">
        <f>+'ESF=BALANCE'!D12-EFE!C41</f>
        <v>-668484.04909000045</v>
      </c>
      <c r="J41" s="275"/>
      <c r="K41" s="362"/>
      <c r="L41" s="362"/>
      <c r="M41" s="362"/>
      <c r="N41" s="362"/>
      <c r="O41" s="362"/>
      <c r="P41" s="362"/>
      <c r="Q41" s="362"/>
      <c r="R41" s="362"/>
      <c r="S41" s="362"/>
      <c r="T41" s="362"/>
      <c r="U41" s="362"/>
      <c r="V41" s="362"/>
      <c r="W41" s="362"/>
      <c r="X41" s="362"/>
      <c r="Y41" s="362"/>
      <c r="Z41" s="362"/>
    </row>
    <row r="42" spans="1:26" x14ac:dyDescent="0.25">
      <c r="A42" s="366"/>
      <c r="B42" s="367"/>
      <c r="C42" s="368"/>
      <c r="D42" s="360"/>
      <c r="E42" s="360"/>
      <c r="F42" s="360"/>
      <c r="G42" s="360"/>
      <c r="H42" s="362"/>
      <c r="I42" s="362"/>
      <c r="J42" s="275"/>
      <c r="K42" s="362"/>
      <c r="L42" s="362"/>
      <c r="M42" s="362"/>
      <c r="N42" s="362"/>
      <c r="O42" s="362"/>
      <c r="P42" s="362"/>
      <c r="Q42" s="362"/>
      <c r="R42" s="362"/>
      <c r="S42" s="362"/>
      <c r="T42" s="362"/>
      <c r="U42" s="362"/>
      <c r="V42" s="362"/>
      <c r="W42" s="362"/>
      <c r="X42" s="362"/>
      <c r="Y42" s="362"/>
      <c r="Z42" s="362"/>
    </row>
    <row r="43" spans="1:26" x14ac:dyDescent="0.25">
      <c r="A43" s="366"/>
      <c r="B43" s="367"/>
      <c r="C43" s="368"/>
      <c r="D43" s="360"/>
      <c r="E43" s="360"/>
      <c r="F43" s="360"/>
      <c r="G43" s="360"/>
      <c r="H43" s="362"/>
      <c r="I43" s="362"/>
      <c r="J43" s="275"/>
      <c r="K43" s="362"/>
      <c r="L43" s="362"/>
      <c r="M43" s="362"/>
      <c r="N43" s="362"/>
      <c r="O43" s="362"/>
      <c r="P43" s="362"/>
      <c r="Q43" s="362"/>
      <c r="R43" s="362"/>
      <c r="S43" s="362"/>
      <c r="T43" s="362"/>
      <c r="U43" s="362"/>
      <c r="V43" s="362"/>
      <c r="W43" s="362"/>
      <c r="X43" s="362"/>
      <c r="Y43" s="362"/>
      <c r="Z43" s="362"/>
    </row>
    <row r="44" spans="1:26" x14ac:dyDescent="0.25">
      <c r="A44" s="275"/>
      <c r="B44" s="342"/>
      <c r="C44" s="369"/>
      <c r="D44" s="337"/>
      <c r="E44" s="275"/>
      <c r="F44" s="275"/>
      <c r="G44" s="275"/>
      <c r="H44" s="275"/>
      <c r="I44" s="275"/>
      <c r="J44" s="275"/>
      <c r="K44" s="275"/>
      <c r="L44" s="275"/>
      <c r="M44" s="275"/>
      <c r="N44" s="275"/>
      <c r="O44" s="275"/>
      <c r="P44" s="275"/>
      <c r="Q44" s="275"/>
      <c r="R44" s="275"/>
      <c r="S44" s="275"/>
      <c r="T44" s="275"/>
      <c r="U44" s="275"/>
      <c r="V44" s="275"/>
      <c r="W44" s="275"/>
      <c r="X44" s="275"/>
      <c r="Y44" s="275"/>
      <c r="Z44" s="275"/>
    </row>
    <row r="45" spans="1:26" x14ac:dyDescent="0.25">
      <c r="A45" s="275"/>
      <c r="B45" s="342"/>
      <c r="C45" s="369"/>
      <c r="D45" s="337"/>
      <c r="E45" s="275"/>
      <c r="F45" s="275"/>
      <c r="G45" s="275"/>
      <c r="H45" s="275"/>
      <c r="I45" s="275"/>
      <c r="J45" s="275"/>
      <c r="K45" s="275"/>
      <c r="L45" s="275"/>
      <c r="M45" s="275"/>
      <c r="N45" s="275"/>
      <c r="O45" s="275"/>
      <c r="P45" s="275"/>
      <c r="Q45" s="275"/>
      <c r="R45" s="275"/>
      <c r="S45" s="275"/>
      <c r="T45" s="275"/>
      <c r="U45" s="275"/>
      <c r="V45" s="275"/>
      <c r="W45" s="275"/>
      <c r="X45" s="275"/>
      <c r="Y45" s="275"/>
      <c r="Z45" s="275"/>
    </row>
    <row r="46" spans="1:26" x14ac:dyDescent="0.25">
      <c r="A46" s="275"/>
      <c r="B46" s="342"/>
      <c r="C46" s="369"/>
      <c r="D46" s="337"/>
      <c r="E46" s="275"/>
      <c r="F46" s="275"/>
      <c r="G46" s="275"/>
      <c r="H46" s="275"/>
      <c r="I46" s="275"/>
      <c r="J46" s="275"/>
      <c r="K46" s="275"/>
      <c r="L46" s="275"/>
      <c r="M46" s="275"/>
      <c r="N46" s="275"/>
      <c r="O46" s="275"/>
      <c r="P46" s="275"/>
      <c r="Q46" s="275"/>
      <c r="R46" s="275"/>
      <c r="S46" s="275"/>
      <c r="T46" s="275"/>
      <c r="U46" s="275"/>
      <c r="V46" s="275"/>
      <c r="W46" s="275"/>
      <c r="X46" s="275"/>
      <c r="Y46" s="275"/>
      <c r="Z46" s="275"/>
    </row>
    <row r="47" spans="1:26" x14ac:dyDescent="0.25">
      <c r="A47" s="275"/>
      <c r="B47" s="342"/>
      <c r="C47" s="369"/>
      <c r="D47" s="337"/>
      <c r="E47" s="275"/>
      <c r="F47" s="275"/>
      <c r="G47" s="275"/>
      <c r="H47" s="275"/>
      <c r="I47" s="275"/>
      <c r="J47" s="275"/>
      <c r="K47" s="275"/>
      <c r="L47" s="275"/>
      <c r="M47" s="275"/>
      <c r="N47" s="275"/>
      <c r="O47" s="275"/>
      <c r="P47" s="275"/>
      <c r="Q47" s="275"/>
      <c r="R47" s="275"/>
      <c r="S47" s="275"/>
      <c r="T47" s="275"/>
      <c r="U47" s="275"/>
      <c r="V47" s="275"/>
      <c r="W47" s="275"/>
      <c r="X47" s="275"/>
      <c r="Y47" s="275"/>
      <c r="Z47" s="275"/>
    </row>
    <row r="48" spans="1:26" x14ac:dyDescent="0.25">
      <c r="A48" s="275" t="s">
        <v>624</v>
      </c>
      <c r="B48" s="342" t="s">
        <v>627</v>
      </c>
      <c r="C48" s="369"/>
      <c r="D48" s="337"/>
      <c r="E48" s="275"/>
      <c r="F48" s="275"/>
      <c r="G48" s="275"/>
      <c r="H48" s="275"/>
      <c r="I48" s="275"/>
      <c r="J48" s="275"/>
      <c r="K48" s="275"/>
      <c r="L48" s="275"/>
      <c r="M48" s="275"/>
      <c r="N48" s="275"/>
      <c r="O48" s="275"/>
      <c r="P48" s="275"/>
      <c r="Q48" s="275"/>
      <c r="R48" s="275"/>
      <c r="S48" s="275"/>
      <c r="T48" s="275"/>
      <c r="U48" s="275"/>
      <c r="V48" s="275"/>
      <c r="W48" s="275"/>
      <c r="X48" s="275"/>
      <c r="Y48" s="275"/>
      <c r="Z48" s="275"/>
    </row>
    <row r="49" spans="1:26" x14ac:dyDescent="0.25">
      <c r="A49" s="370" t="str">
        <f>+[1]DATOS!H12</f>
        <v>Diego Botero Jaramillo</v>
      </c>
      <c r="B49" s="371" t="s">
        <v>588</v>
      </c>
      <c r="C49" s="370"/>
      <c r="D49" s="370"/>
      <c r="E49" s="275"/>
      <c r="F49" s="275"/>
      <c r="G49" s="275"/>
      <c r="H49" s="275"/>
      <c r="I49" s="275"/>
      <c r="J49" s="275"/>
      <c r="K49" s="275"/>
      <c r="L49" s="275"/>
      <c r="M49" s="275"/>
      <c r="N49" s="275"/>
      <c r="O49" s="275"/>
      <c r="P49" s="275"/>
      <c r="Q49" s="275"/>
      <c r="R49" s="275"/>
      <c r="S49" s="275"/>
      <c r="T49" s="275"/>
      <c r="U49" s="275"/>
      <c r="V49" s="275"/>
      <c r="W49" s="275"/>
      <c r="X49" s="275"/>
      <c r="Y49" s="275"/>
      <c r="Z49" s="275"/>
    </row>
    <row r="50" spans="1:26" x14ac:dyDescent="0.25">
      <c r="A50" s="370" t="str">
        <f>+[1]DATOS!H13</f>
        <v>C.C 71.787.709</v>
      </c>
      <c r="B50" s="372" t="s">
        <v>625</v>
      </c>
      <c r="C50" s="373"/>
      <c r="D50" s="373"/>
      <c r="E50" s="275"/>
      <c r="F50" s="275"/>
      <c r="G50" s="275"/>
      <c r="H50" s="275"/>
      <c r="I50" s="275"/>
      <c r="J50" s="275"/>
      <c r="K50" s="275"/>
      <c r="L50" s="275"/>
      <c r="M50" s="275"/>
      <c r="N50" s="275"/>
      <c r="O50" s="275"/>
      <c r="P50" s="275"/>
      <c r="Q50" s="275"/>
      <c r="R50" s="275"/>
      <c r="S50" s="275"/>
      <c r="T50" s="275"/>
      <c r="U50" s="275"/>
      <c r="V50" s="275"/>
      <c r="W50" s="275"/>
      <c r="X50" s="275"/>
      <c r="Y50" s="275"/>
      <c r="Z50" s="275"/>
    </row>
    <row r="51" spans="1:26" x14ac:dyDescent="0.25">
      <c r="A51" s="373" t="s">
        <v>388</v>
      </c>
      <c r="B51" s="372" t="s">
        <v>590</v>
      </c>
      <c r="C51" s="373"/>
      <c r="D51" s="373"/>
      <c r="E51" s="275"/>
      <c r="F51" s="275"/>
      <c r="G51" s="275"/>
      <c r="H51" s="275"/>
      <c r="I51" s="275"/>
      <c r="J51" s="275"/>
      <c r="K51" s="275"/>
      <c r="L51" s="275"/>
      <c r="M51" s="275"/>
      <c r="N51" s="275"/>
      <c r="O51" s="275"/>
      <c r="P51" s="275"/>
      <c r="Q51" s="275"/>
      <c r="R51" s="275"/>
      <c r="S51" s="275"/>
      <c r="T51" s="275"/>
      <c r="U51" s="275"/>
      <c r="V51" s="275"/>
      <c r="W51" s="275"/>
      <c r="X51" s="275"/>
      <c r="Y51" s="275"/>
      <c r="Z51" s="275"/>
    </row>
    <row r="52" spans="1:26" x14ac:dyDescent="0.25">
      <c r="A52" s="275"/>
      <c r="B52" s="372" t="s">
        <v>591</v>
      </c>
      <c r="C52" s="369"/>
      <c r="D52" s="337"/>
      <c r="E52" s="275"/>
      <c r="F52" s="275"/>
      <c r="G52" s="275"/>
      <c r="H52" s="275"/>
      <c r="I52" s="275"/>
      <c r="J52" s="275"/>
      <c r="K52" s="275"/>
      <c r="L52" s="275"/>
      <c r="M52" s="275"/>
      <c r="N52" s="275"/>
      <c r="O52" s="275"/>
      <c r="P52" s="275"/>
      <c r="Q52" s="275"/>
      <c r="R52" s="275"/>
      <c r="S52" s="275"/>
      <c r="T52" s="275"/>
      <c r="U52" s="275"/>
      <c r="V52" s="275"/>
      <c r="W52" s="275"/>
      <c r="X52" s="275"/>
      <c r="Y52" s="275"/>
      <c r="Z52" s="275"/>
    </row>
    <row r="53" spans="1:26" x14ac:dyDescent="0.25">
      <c r="A53" s="275"/>
      <c r="B53" s="342"/>
      <c r="C53" s="369"/>
      <c r="D53" s="337"/>
      <c r="E53" s="275"/>
      <c r="F53" s="275"/>
      <c r="G53" s="275"/>
      <c r="H53" s="275"/>
      <c r="I53" s="275"/>
      <c r="J53" s="275"/>
      <c r="K53" s="275"/>
      <c r="L53" s="275"/>
      <c r="M53" s="275"/>
      <c r="N53" s="275"/>
      <c r="O53" s="275"/>
      <c r="P53" s="275"/>
      <c r="Q53" s="275"/>
      <c r="R53" s="275"/>
      <c r="S53" s="275"/>
      <c r="T53" s="275"/>
      <c r="U53" s="275"/>
      <c r="V53" s="275"/>
      <c r="W53" s="275"/>
      <c r="X53" s="275"/>
      <c r="Y53" s="275"/>
      <c r="Z53" s="275"/>
    </row>
    <row r="54" spans="1:26" x14ac:dyDescent="0.25">
      <c r="A54" s="275"/>
      <c r="B54" s="372"/>
      <c r="C54" s="369"/>
      <c r="D54" s="337"/>
      <c r="E54" s="275"/>
      <c r="F54" s="275"/>
      <c r="G54" s="275"/>
      <c r="H54" s="275"/>
      <c r="I54" s="275"/>
      <c r="J54" s="275"/>
      <c r="K54" s="275"/>
      <c r="L54" s="275"/>
      <c r="M54" s="275"/>
      <c r="N54" s="275"/>
      <c r="O54" s="275"/>
      <c r="P54" s="275"/>
      <c r="Q54" s="275"/>
      <c r="R54" s="275"/>
      <c r="S54" s="275"/>
      <c r="T54" s="275"/>
      <c r="U54" s="275"/>
      <c r="V54" s="275"/>
      <c r="W54" s="275"/>
      <c r="X54" s="275"/>
      <c r="Y54" s="275"/>
      <c r="Z54" s="275"/>
    </row>
    <row r="55" spans="1:26" x14ac:dyDescent="0.25">
      <c r="A55" s="275"/>
      <c r="B55" s="342"/>
      <c r="C55" s="369"/>
      <c r="D55" s="337"/>
      <c r="E55" s="275"/>
      <c r="F55" s="275"/>
      <c r="G55" s="275"/>
      <c r="H55" s="275"/>
      <c r="I55" s="275"/>
      <c r="J55" s="275"/>
      <c r="K55" s="275"/>
      <c r="L55" s="275"/>
      <c r="M55" s="275"/>
      <c r="N55" s="275"/>
      <c r="O55" s="275"/>
      <c r="P55" s="275"/>
      <c r="Q55" s="275"/>
      <c r="R55" s="275"/>
      <c r="S55" s="275"/>
      <c r="T55" s="275"/>
      <c r="U55" s="275"/>
      <c r="V55" s="275"/>
      <c r="W55" s="275"/>
      <c r="X55" s="275"/>
      <c r="Y55" s="275"/>
      <c r="Z55" s="275"/>
    </row>
    <row r="56" spans="1:26" x14ac:dyDescent="0.25">
      <c r="A56" s="275"/>
      <c r="B56" s="342"/>
      <c r="C56" s="369"/>
      <c r="D56" s="337"/>
      <c r="E56" s="275"/>
      <c r="F56" s="275"/>
      <c r="G56" s="275"/>
      <c r="H56" s="275"/>
      <c r="I56" s="275"/>
      <c r="J56" s="275"/>
      <c r="K56" s="275"/>
      <c r="L56" s="275"/>
      <c r="M56" s="275"/>
      <c r="N56" s="275"/>
      <c r="O56" s="275"/>
      <c r="P56" s="275"/>
      <c r="Q56" s="275"/>
      <c r="R56" s="275"/>
      <c r="S56" s="275"/>
      <c r="T56" s="275"/>
      <c r="U56" s="275"/>
      <c r="V56" s="275"/>
      <c r="W56" s="275"/>
      <c r="X56" s="275"/>
      <c r="Y56" s="275"/>
      <c r="Z56" s="275"/>
    </row>
    <row r="57" spans="1:26" x14ac:dyDescent="0.25">
      <c r="A57" s="275"/>
      <c r="B57" s="342"/>
      <c r="C57" s="369"/>
      <c r="D57" s="337"/>
      <c r="E57" s="275"/>
      <c r="F57" s="275"/>
      <c r="G57" s="275"/>
      <c r="H57" s="275"/>
      <c r="I57" s="275"/>
      <c r="J57" s="275"/>
      <c r="K57" s="275"/>
      <c r="L57" s="275"/>
      <c r="M57" s="275"/>
      <c r="N57" s="275"/>
      <c r="O57" s="275"/>
      <c r="P57" s="275"/>
      <c r="Q57" s="275"/>
      <c r="R57" s="275"/>
      <c r="S57" s="275"/>
      <c r="T57" s="275"/>
      <c r="U57" s="275"/>
      <c r="V57" s="275"/>
      <c r="W57" s="275"/>
      <c r="X57" s="275"/>
      <c r="Y57" s="275"/>
      <c r="Z57" s="275"/>
    </row>
    <row r="58" spans="1:26" x14ac:dyDescent="0.25">
      <c r="A58" s="275" t="s">
        <v>626</v>
      </c>
      <c r="B58" s="342"/>
      <c r="C58" s="369"/>
      <c r="D58" s="337"/>
      <c r="E58" s="275"/>
      <c r="F58" s="275"/>
      <c r="G58" s="275"/>
      <c r="H58" s="275"/>
      <c r="I58" s="275"/>
      <c r="J58" s="275"/>
      <c r="K58" s="275"/>
      <c r="L58" s="275"/>
      <c r="M58" s="275"/>
      <c r="N58" s="275"/>
      <c r="O58" s="275"/>
      <c r="P58" s="275"/>
      <c r="Q58" s="275"/>
      <c r="R58" s="275"/>
      <c r="S58" s="275"/>
      <c r="T58" s="275"/>
      <c r="U58" s="275"/>
      <c r="V58" s="275"/>
      <c r="W58" s="275"/>
      <c r="X58" s="275"/>
      <c r="Y58" s="275"/>
      <c r="Z58" s="275"/>
    </row>
    <row r="59" spans="1:26" x14ac:dyDescent="0.25">
      <c r="A59" s="370" t="str">
        <f>+DATOS!H14</f>
        <v>Leidy Yasmin Gomez Toro</v>
      </c>
      <c r="B59" s="370"/>
      <c r="C59" s="369"/>
      <c r="D59" s="337"/>
      <c r="E59" s="275"/>
      <c r="F59" s="275"/>
      <c r="G59" s="275"/>
      <c r="H59" s="275"/>
      <c r="I59" s="275"/>
      <c r="J59" s="275"/>
      <c r="K59" s="275"/>
      <c r="L59" s="275"/>
      <c r="M59" s="275"/>
      <c r="N59" s="275"/>
      <c r="O59" s="275"/>
      <c r="P59" s="275"/>
      <c r="Q59" s="275"/>
      <c r="R59" s="275"/>
      <c r="S59" s="275"/>
      <c r="T59" s="275"/>
      <c r="U59" s="275"/>
      <c r="V59" s="275"/>
      <c r="W59" s="275"/>
      <c r="X59" s="275"/>
      <c r="Y59" s="275"/>
      <c r="Z59" s="275"/>
    </row>
    <row r="60" spans="1:26" x14ac:dyDescent="0.25">
      <c r="A60" s="373" t="str">
        <f>"TP: "&amp;+DATOS!H15</f>
        <v>TP: TP: 318364-T</v>
      </c>
      <c r="B60" s="373"/>
      <c r="C60" s="369"/>
      <c r="D60" s="337"/>
      <c r="E60" s="275"/>
      <c r="F60" s="275"/>
      <c r="G60" s="275"/>
      <c r="H60" s="275"/>
      <c r="I60" s="275"/>
      <c r="J60" s="275"/>
      <c r="K60" s="275"/>
      <c r="L60" s="275"/>
      <c r="M60" s="275"/>
      <c r="N60" s="275"/>
      <c r="O60" s="275"/>
      <c r="P60" s="275"/>
      <c r="Q60" s="275"/>
      <c r="R60" s="275"/>
      <c r="S60" s="275"/>
      <c r="T60" s="275"/>
      <c r="U60" s="275"/>
      <c r="V60" s="275"/>
      <c r="W60" s="275"/>
      <c r="X60" s="275"/>
      <c r="Y60" s="275"/>
      <c r="Z60" s="275"/>
    </row>
    <row r="61" spans="1:26" x14ac:dyDescent="0.25">
      <c r="A61" s="373" t="s">
        <v>25</v>
      </c>
      <c r="B61" s="373"/>
      <c r="C61" s="369"/>
      <c r="D61" s="337"/>
      <c r="E61" s="275"/>
      <c r="F61" s="275"/>
      <c r="G61" s="275"/>
      <c r="H61" s="275"/>
      <c r="I61" s="275"/>
      <c r="J61" s="275"/>
      <c r="K61" s="275"/>
      <c r="L61" s="275"/>
      <c r="M61" s="275"/>
      <c r="N61" s="275"/>
      <c r="O61" s="275"/>
      <c r="P61" s="275"/>
      <c r="Q61" s="275"/>
      <c r="R61" s="275"/>
      <c r="S61" s="275"/>
      <c r="T61" s="275"/>
      <c r="U61" s="275"/>
      <c r="V61" s="275"/>
      <c r="W61" s="275"/>
      <c r="X61" s="275"/>
      <c r="Y61" s="275"/>
      <c r="Z61" s="275"/>
    </row>
    <row r="62" spans="1:26" ht="12.75" customHeight="1" x14ac:dyDescent="0.25">
      <c r="A62" s="275"/>
      <c r="B62" s="342"/>
      <c r="C62" s="369"/>
      <c r="D62" s="337"/>
      <c r="E62" s="275"/>
      <c r="F62" s="275"/>
      <c r="G62" s="275"/>
      <c r="H62" s="275"/>
      <c r="I62" s="275"/>
      <c r="J62" s="275"/>
      <c r="K62" s="275"/>
      <c r="L62" s="275"/>
      <c r="M62" s="275"/>
      <c r="N62" s="275"/>
      <c r="O62" s="275"/>
      <c r="P62" s="275"/>
      <c r="Q62" s="275"/>
      <c r="R62" s="275"/>
      <c r="S62" s="275"/>
      <c r="T62" s="275"/>
      <c r="U62" s="275"/>
      <c r="V62" s="275"/>
      <c r="W62" s="275"/>
      <c r="X62" s="275"/>
      <c r="Y62" s="275"/>
      <c r="Z62" s="275"/>
    </row>
    <row r="63" spans="1:26" ht="12.75" customHeight="1" x14ac:dyDescent="0.25">
      <c r="A63" s="275"/>
      <c r="B63" s="342"/>
      <c r="C63" s="369"/>
      <c r="D63" s="337"/>
      <c r="E63" s="275"/>
      <c r="F63" s="275"/>
      <c r="G63" s="275"/>
      <c r="H63" s="275"/>
      <c r="I63" s="275"/>
      <c r="J63" s="275"/>
      <c r="K63" s="275"/>
      <c r="L63" s="275"/>
      <c r="M63" s="275"/>
      <c r="N63" s="275"/>
      <c r="O63" s="275"/>
      <c r="P63" s="275"/>
      <c r="Q63" s="275"/>
      <c r="R63" s="275"/>
      <c r="S63" s="275"/>
      <c r="T63" s="275"/>
      <c r="U63" s="275"/>
      <c r="V63" s="275"/>
      <c r="W63" s="275"/>
      <c r="X63" s="275"/>
      <c r="Y63" s="275"/>
      <c r="Z63" s="275"/>
    </row>
    <row r="64" spans="1:26" ht="12.75" customHeight="1" x14ac:dyDescent="0.25">
      <c r="A64" s="275"/>
      <c r="B64" s="342"/>
      <c r="C64" s="369"/>
      <c r="D64" s="337"/>
      <c r="E64" s="275"/>
      <c r="F64" s="275"/>
      <c r="G64" s="275"/>
      <c r="H64" s="275"/>
      <c r="I64" s="275"/>
      <c r="J64" s="275"/>
      <c r="K64" s="275"/>
      <c r="L64" s="275"/>
      <c r="M64" s="275"/>
      <c r="N64" s="275"/>
      <c r="O64" s="275"/>
      <c r="P64" s="275"/>
      <c r="Q64" s="275"/>
      <c r="R64" s="275"/>
      <c r="S64" s="275"/>
      <c r="T64" s="275"/>
      <c r="U64" s="275"/>
      <c r="V64" s="275"/>
      <c r="W64" s="275"/>
      <c r="X64" s="275"/>
      <c r="Y64" s="275"/>
      <c r="Z64" s="275"/>
    </row>
    <row r="65" spans="1:26" ht="12.75" customHeight="1" x14ac:dyDescent="0.25">
      <c r="A65" s="275"/>
      <c r="B65" s="342"/>
      <c r="C65" s="369"/>
      <c r="D65" s="337"/>
      <c r="E65" s="275"/>
      <c r="F65" s="275"/>
      <c r="G65" s="275"/>
      <c r="H65" s="275"/>
      <c r="I65" s="275"/>
      <c r="J65" s="275"/>
      <c r="K65" s="275"/>
      <c r="L65" s="275"/>
      <c r="M65" s="275"/>
      <c r="N65" s="275"/>
      <c r="O65" s="275"/>
      <c r="P65" s="275"/>
      <c r="Q65" s="275"/>
      <c r="R65" s="275"/>
      <c r="S65" s="275"/>
      <c r="T65" s="275"/>
      <c r="U65" s="275"/>
      <c r="V65" s="275"/>
      <c r="W65" s="275"/>
      <c r="X65" s="275"/>
      <c r="Y65" s="275"/>
      <c r="Z65" s="275"/>
    </row>
    <row r="66" spans="1:26" ht="12.75" customHeight="1" x14ac:dyDescent="0.25">
      <c r="A66" s="275"/>
      <c r="B66" s="342"/>
      <c r="C66" s="369"/>
      <c r="D66" s="337"/>
      <c r="E66" s="275"/>
      <c r="F66" s="275"/>
      <c r="G66" s="275"/>
      <c r="H66" s="275"/>
      <c r="I66" s="275"/>
      <c r="J66" s="275"/>
      <c r="K66" s="275"/>
      <c r="L66" s="275"/>
      <c r="M66" s="275"/>
      <c r="N66" s="275"/>
      <c r="O66" s="275"/>
      <c r="P66" s="275"/>
      <c r="Q66" s="275"/>
      <c r="R66" s="275"/>
      <c r="S66" s="275"/>
      <c r="T66" s="275"/>
      <c r="U66" s="275"/>
      <c r="V66" s="275"/>
      <c r="W66" s="275"/>
      <c r="X66" s="275"/>
      <c r="Y66" s="275"/>
      <c r="Z66" s="275"/>
    </row>
    <row r="67" spans="1:26" ht="12.75" customHeight="1" x14ac:dyDescent="0.25">
      <c r="A67" s="275"/>
      <c r="B67" s="342"/>
      <c r="C67" s="369"/>
      <c r="D67" s="337"/>
      <c r="E67" s="275"/>
      <c r="F67" s="275"/>
      <c r="G67" s="275"/>
      <c r="H67" s="275"/>
      <c r="I67" s="275"/>
      <c r="J67" s="275"/>
      <c r="K67" s="275"/>
      <c r="L67" s="275"/>
      <c r="M67" s="275"/>
      <c r="N67" s="275"/>
      <c r="O67" s="275"/>
      <c r="P67" s="275"/>
      <c r="Q67" s="275"/>
      <c r="R67" s="275"/>
      <c r="S67" s="275"/>
      <c r="T67" s="275"/>
      <c r="U67" s="275"/>
      <c r="V67" s="275"/>
      <c r="W67" s="275"/>
      <c r="X67" s="275"/>
      <c r="Y67" s="275"/>
      <c r="Z67" s="275"/>
    </row>
    <row r="68" spans="1:26" ht="12.75" customHeight="1" x14ac:dyDescent="0.25">
      <c r="A68" s="275"/>
      <c r="B68" s="342"/>
      <c r="C68" s="369"/>
      <c r="D68" s="337"/>
      <c r="E68" s="275"/>
      <c r="F68" s="275"/>
      <c r="G68" s="275"/>
      <c r="H68" s="275"/>
      <c r="I68" s="275"/>
      <c r="J68" s="275"/>
      <c r="K68" s="275"/>
      <c r="L68" s="275"/>
      <c r="M68" s="275"/>
      <c r="N68" s="275"/>
      <c r="O68" s="275"/>
      <c r="P68" s="275"/>
      <c r="Q68" s="275"/>
      <c r="R68" s="275"/>
      <c r="S68" s="275"/>
      <c r="T68" s="275"/>
      <c r="U68" s="275"/>
      <c r="V68" s="275"/>
      <c r="W68" s="275"/>
      <c r="X68" s="275"/>
      <c r="Y68" s="275"/>
      <c r="Z68" s="275"/>
    </row>
    <row r="69" spans="1:26" ht="12.75" customHeight="1" x14ac:dyDescent="0.25">
      <c r="A69" s="275"/>
      <c r="B69" s="342"/>
      <c r="C69" s="369"/>
      <c r="D69" s="337"/>
      <c r="E69" s="275"/>
      <c r="F69" s="275"/>
      <c r="G69" s="275"/>
      <c r="H69" s="275"/>
      <c r="I69" s="275"/>
      <c r="J69" s="275"/>
      <c r="K69" s="275"/>
      <c r="L69" s="275"/>
      <c r="M69" s="275"/>
      <c r="N69" s="275"/>
      <c r="O69" s="275"/>
      <c r="P69" s="275"/>
      <c r="Q69" s="275"/>
      <c r="R69" s="275"/>
      <c r="S69" s="275"/>
      <c r="T69" s="275"/>
      <c r="U69" s="275"/>
      <c r="V69" s="275"/>
      <c r="W69" s="275"/>
      <c r="X69" s="275"/>
      <c r="Y69" s="275"/>
      <c r="Z69" s="275"/>
    </row>
    <row r="70" spans="1:26" ht="12.75" customHeight="1" x14ac:dyDescent="0.25">
      <c r="A70" s="275"/>
      <c r="B70" s="342"/>
      <c r="C70" s="369"/>
      <c r="D70" s="337"/>
      <c r="E70" s="275"/>
      <c r="F70" s="275"/>
      <c r="G70" s="275"/>
      <c r="H70" s="275"/>
      <c r="I70" s="275"/>
      <c r="J70" s="275"/>
      <c r="K70" s="275"/>
      <c r="L70" s="275"/>
      <c r="M70" s="275"/>
      <c r="N70" s="275"/>
      <c r="O70" s="275"/>
      <c r="P70" s="275"/>
      <c r="Q70" s="275"/>
      <c r="R70" s="275"/>
      <c r="S70" s="275"/>
      <c r="T70" s="275"/>
      <c r="U70" s="275"/>
      <c r="V70" s="275"/>
      <c r="W70" s="275"/>
      <c r="X70" s="275"/>
      <c r="Y70" s="275"/>
      <c r="Z70" s="275"/>
    </row>
    <row r="71" spans="1:26" ht="12.75" customHeight="1" x14ac:dyDescent="0.25">
      <c r="A71" s="275"/>
      <c r="B71" s="342"/>
      <c r="C71" s="369"/>
      <c r="D71" s="337"/>
      <c r="E71" s="275"/>
      <c r="F71" s="275"/>
      <c r="G71" s="275"/>
      <c r="H71" s="275"/>
      <c r="I71" s="275"/>
      <c r="J71" s="275"/>
      <c r="K71" s="275"/>
      <c r="L71" s="275"/>
      <c r="M71" s="275"/>
      <c r="N71" s="275"/>
      <c r="O71" s="275"/>
      <c r="P71" s="275"/>
      <c r="Q71" s="275"/>
      <c r="R71" s="275"/>
      <c r="S71" s="275"/>
      <c r="T71" s="275"/>
      <c r="U71" s="275"/>
      <c r="V71" s="275"/>
      <c r="W71" s="275"/>
      <c r="X71" s="275"/>
      <c r="Y71" s="275"/>
      <c r="Z71" s="275"/>
    </row>
    <row r="72" spans="1:26" ht="12.75" customHeight="1" x14ac:dyDescent="0.25">
      <c r="A72" s="275"/>
      <c r="B72" s="342"/>
      <c r="C72" s="369"/>
      <c r="D72" s="337"/>
      <c r="E72" s="275"/>
      <c r="F72" s="275"/>
      <c r="G72" s="275"/>
      <c r="H72" s="275"/>
      <c r="I72" s="275"/>
      <c r="J72" s="275"/>
      <c r="K72" s="275"/>
      <c r="L72" s="275"/>
      <c r="M72" s="275"/>
      <c r="N72" s="275"/>
      <c r="O72" s="275"/>
      <c r="P72" s="275"/>
      <c r="Q72" s="275"/>
      <c r="R72" s="275"/>
      <c r="S72" s="275"/>
      <c r="T72" s="275"/>
      <c r="U72" s="275"/>
      <c r="V72" s="275"/>
      <c r="W72" s="275"/>
      <c r="X72" s="275"/>
      <c r="Y72" s="275"/>
      <c r="Z72" s="275"/>
    </row>
    <row r="73" spans="1:26" ht="12.75" customHeight="1" x14ac:dyDescent="0.25">
      <c r="A73" s="275"/>
      <c r="B73" s="342"/>
      <c r="C73" s="369"/>
      <c r="D73" s="337"/>
      <c r="E73" s="275"/>
      <c r="F73" s="275"/>
      <c r="G73" s="275"/>
      <c r="H73" s="275"/>
      <c r="I73" s="275"/>
      <c r="J73" s="275"/>
      <c r="K73" s="275"/>
      <c r="L73" s="275"/>
      <c r="M73" s="275"/>
      <c r="N73" s="275"/>
      <c r="O73" s="275"/>
      <c r="P73" s="275"/>
      <c r="Q73" s="275"/>
      <c r="R73" s="275"/>
      <c r="S73" s="275"/>
      <c r="T73" s="275"/>
      <c r="U73" s="275"/>
      <c r="V73" s="275"/>
      <c r="W73" s="275"/>
      <c r="X73" s="275"/>
      <c r="Y73" s="275"/>
      <c r="Z73" s="275"/>
    </row>
    <row r="74" spans="1:26" ht="12.75" customHeight="1" x14ac:dyDescent="0.25">
      <c r="A74" s="275"/>
      <c r="B74" s="342"/>
      <c r="C74" s="369"/>
      <c r="D74" s="337"/>
      <c r="E74" s="275"/>
      <c r="F74" s="275"/>
      <c r="G74" s="275"/>
      <c r="H74" s="275"/>
      <c r="I74" s="275"/>
      <c r="J74" s="275"/>
      <c r="K74" s="275"/>
      <c r="L74" s="275"/>
      <c r="M74" s="275"/>
      <c r="N74" s="275"/>
      <c r="O74" s="275"/>
      <c r="P74" s="275"/>
      <c r="Q74" s="275"/>
      <c r="R74" s="275"/>
      <c r="S74" s="275"/>
      <c r="T74" s="275"/>
      <c r="U74" s="275"/>
      <c r="V74" s="275"/>
      <c r="W74" s="275"/>
      <c r="X74" s="275"/>
      <c r="Y74" s="275"/>
      <c r="Z74" s="275"/>
    </row>
    <row r="75" spans="1:26" ht="12.75" customHeight="1" x14ac:dyDescent="0.25">
      <c r="A75" s="275"/>
      <c r="B75" s="342"/>
      <c r="C75" s="369"/>
      <c r="D75" s="337"/>
      <c r="E75" s="275"/>
      <c r="F75" s="275"/>
      <c r="G75" s="275"/>
      <c r="H75" s="275"/>
      <c r="I75" s="275"/>
      <c r="J75" s="275"/>
      <c r="K75" s="275"/>
      <c r="L75" s="275"/>
      <c r="M75" s="275"/>
      <c r="N75" s="275"/>
      <c r="O75" s="275"/>
      <c r="P75" s="275"/>
      <c r="Q75" s="275"/>
      <c r="R75" s="275"/>
      <c r="S75" s="275"/>
      <c r="T75" s="275"/>
      <c r="U75" s="275"/>
      <c r="V75" s="275"/>
      <c r="W75" s="275"/>
      <c r="X75" s="275"/>
      <c r="Y75" s="275"/>
      <c r="Z75" s="275"/>
    </row>
    <row r="76" spans="1:26" ht="12.75" customHeight="1" x14ac:dyDescent="0.25">
      <c r="A76" s="275"/>
      <c r="B76" s="342"/>
      <c r="C76" s="369"/>
      <c r="D76" s="337"/>
      <c r="E76" s="275"/>
      <c r="F76" s="275"/>
      <c r="G76" s="275"/>
      <c r="H76" s="275"/>
      <c r="I76" s="275"/>
      <c r="J76" s="275"/>
      <c r="K76" s="275"/>
      <c r="L76" s="275"/>
      <c r="M76" s="275"/>
      <c r="N76" s="275"/>
      <c r="O76" s="275"/>
      <c r="P76" s="275"/>
      <c r="Q76" s="275"/>
      <c r="R76" s="275"/>
      <c r="S76" s="275"/>
      <c r="T76" s="275"/>
      <c r="U76" s="275"/>
      <c r="V76" s="275"/>
      <c r="W76" s="275"/>
      <c r="X76" s="275"/>
      <c r="Y76" s="275"/>
      <c r="Z76" s="275"/>
    </row>
    <row r="77" spans="1:26" ht="12.75" customHeight="1" x14ac:dyDescent="0.25">
      <c r="A77" s="275"/>
      <c r="B77" s="342"/>
      <c r="C77" s="369"/>
      <c r="D77" s="337"/>
      <c r="E77" s="275"/>
      <c r="F77" s="275"/>
      <c r="G77" s="275"/>
      <c r="H77" s="275"/>
      <c r="I77" s="275"/>
      <c r="J77" s="275"/>
      <c r="K77" s="275"/>
      <c r="L77" s="275"/>
      <c r="M77" s="275"/>
      <c r="N77" s="275"/>
      <c r="O77" s="275"/>
      <c r="P77" s="275"/>
      <c r="Q77" s="275"/>
      <c r="R77" s="275"/>
      <c r="S77" s="275"/>
      <c r="T77" s="275"/>
      <c r="U77" s="275"/>
      <c r="V77" s="275"/>
      <c r="W77" s="275"/>
      <c r="X77" s="275"/>
      <c r="Y77" s="275"/>
      <c r="Z77" s="275"/>
    </row>
    <row r="78" spans="1:26" ht="12.75" customHeight="1" x14ac:dyDescent="0.25">
      <c r="A78" s="275"/>
      <c r="B78" s="342"/>
      <c r="C78" s="369"/>
      <c r="D78" s="337"/>
      <c r="E78" s="275"/>
      <c r="F78" s="275"/>
      <c r="G78" s="275"/>
      <c r="H78" s="275"/>
      <c r="I78" s="275"/>
      <c r="J78" s="275"/>
      <c r="K78" s="275"/>
      <c r="L78" s="275"/>
      <c r="M78" s="275"/>
      <c r="N78" s="275"/>
      <c r="O78" s="275"/>
      <c r="P78" s="275"/>
      <c r="Q78" s="275"/>
      <c r="R78" s="275"/>
      <c r="S78" s="275"/>
      <c r="T78" s="275"/>
      <c r="U78" s="275"/>
      <c r="V78" s="275"/>
      <c r="W78" s="275"/>
      <c r="X78" s="275"/>
      <c r="Y78" s="275"/>
      <c r="Z78" s="275"/>
    </row>
    <row r="79" spans="1:26" ht="12.75" customHeight="1" x14ac:dyDescent="0.25">
      <c r="A79" s="275"/>
      <c r="B79" s="342"/>
      <c r="C79" s="369"/>
      <c r="D79" s="337"/>
      <c r="E79" s="275"/>
      <c r="F79" s="275"/>
      <c r="G79" s="275"/>
      <c r="H79" s="275"/>
      <c r="I79" s="275"/>
      <c r="J79" s="275"/>
      <c r="K79" s="275"/>
      <c r="L79" s="275"/>
      <c r="M79" s="275"/>
      <c r="N79" s="275"/>
      <c r="O79" s="275"/>
      <c r="P79" s="275"/>
      <c r="Q79" s="275"/>
      <c r="R79" s="275"/>
      <c r="S79" s="275"/>
      <c r="T79" s="275"/>
      <c r="U79" s="275"/>
      <c r="V79" s="275"/>
      <c r="W79" s="275"/>
      <c r="X79" s="275"/>
      <c r="Y79" s="275"/>
      <c r="Z79" s="275"/>
    </row>
    <row r="80" spans="1:26" ht="12.75" customHeight="1" x14ac:dyDescent="0.25">
      <c r="A80" s="275"/>
      <c r="B80" s="342"/>
      <c r="C80" s="369"/>
      <c r="D80" s="337"/>
      <c r="E80" s="275"/>
      <c r="F80" s="275"/>
      <c r="G80" s="275"/>
      <c r="H80" s="275"/>
      <c r="I80" s="275"/>
      <c r="J80" s="275"/>
      <c r="K80" s="275"/>
      <c r="L80" s="275"/>
      <c r="M80" s="275"/>
      <c r="N80" s="275"/>
      <c r="O80" s="275"/>
      <c r="P80" s="275"/>
      <c r="Q80" s="275"/>
      <c r="R80" s="275"/>
      <c r="S80" s="275"/>
      <c r="T80" s="275"/>
      <c r="U80" s="275"/>
      <c r="V80" s="275"/>
      <c r="W80" s="275"/>
      <c r="X80" s="275"/>
      <c r="Y80" s="275"/>
      <c r="Z80" s="275"/>
    </row>
    <row r="81" spans="1:26" ht="12.75" customHeight="1" x14ac:dyDescent="0.25">
      <c r="A81" s="275"/>
      <c r="B81" s="342"/>
      <c r="C81" s="369"/>
      <c r="D81" s="337"/>
      <c r="E81" s="275"/>
      <c r="F81" s="275"/>
      <c r="G81" s="275"/>
      <c r="H81" s="275"/>
      <c r="I81" s="275"/>
      <c r="J81" s="275"/>
      <c r="K81" s="275"/>
      <c r="L81" s="275"/>
      <c r="M81" s="275"/>
      <c r="N81" s="275"/>
      <c r="O81" s="275"/>
      <c r="P81" s="275"/>
      <c r="Q81" s="275"/>
      <c r="R81" s="275"/>
      <c r="S81" s="275"/>
      <c r="T81" s="275"/>
      <c r="U81" s="275"/>
      <c r="V81" s="275"/>
      <c r="W81" s="275"/>
      <c r="X81" s="275"/>
      <c r="Y81" s="275"/>
      <c r="Z81" s="275"/>
    </row>
    <row r="82" spans="1:26" ht="12.75" customHeight="1" x14ac:dyDescent="0.25">
      <c r="A82" s="275"/>
      <c r="B82" s="342"/>
      <c r="C82" s="369"/>
      <c r="D82" s="337"/>
      <c r="E82" s="275"/>
      <c r="F82" s="275"/>
      <c r="G82" s="275"/>
      <c r="H82" s="275"/>
      <c r="I82" s="275"/>
      <c r="J82" s="275"/>
      <c r="K82" s="275"/>
      <c r="L82" s="275"/>
      <c r="M82" s="275"/>
      <c r="N82" s="275"/>
      <c r="O82" s="275"/>
      <c r="P82" s="275"/>
      <c r="Q82" s="275"/>
      <c r="R82" s="275"/>
      <c r="S82" s="275"/>
      <c r="T82" s="275"/>
      <c r="U82" s="275"/>
      <c r="V82" s="275"/>
      <c r="W82" s="275"/>
      <c r="X82" s="275"/>
      <c r="Y82" s="275"/>
      <c r="Z82" s="275"/>
    </row>
    <row r="83" spans="1:26" ht="12.75" customHeight="1" x14ac:dyDescent="0.25">
      <c r="A83" s="275"/>
      <c r="B83" s="342"/>
      <c r="C83" s="369"/>
      <c r="D83" s="337"/>
      <c r="E83" s="275"/>
      <c r="F83" s="275"/>
      <c r="G83" s="275"/>
      <c r="H83" s="275"/>
      <c r="I83" s="275"/>
      <c r="J83" s="275"/>
      <c r="K83" s="275"/>
      <c r="L83" s="275"/>
      <c r="M83" s="275"/>
      <c r="N83" s="275"/>
      <c r="O83" s="275"/>
      <c r="P83" s="275"/>
      <c r="Q83" s="275"/>
      <c r="R83" s="275"/>
      <c r="S83" s="275"/>
      <c r="T83" s="275"/>
      <c r="U83" s="275"/>
      <c r="V83" s="275"/>
      <c r="W83" s="275"/>
      <c r="X83" s="275"/>
      <c r="Y83" s="275"/>
      <c r="Z83" s="275"/>
    </row>
    <row r="84" spans="1:26" ht="12.75" customHeight="1" x14ac:dyDescent="0.25">
      <c r="A84" s="275"/>
      <c r="B84" s="342"/>
      <c r="C84" s="369"/>
      <c r="D84" s="337"/>
      <c r="E84" s="275"/>
      <c r="F84" s="275"/>
      <c r="G84" s="275"/>
      <c r="H84" s="275"/>
      <c r="I84" s="275"/>
      <c r="J84" s="275"/>
      <c r="K84" s="275"/>
      <c r="L84" s="275"/>
      <c r="M84" s="275"/>
      <c r="N84" s="275"/>
      <c r="O84" s="275"/>
      <c r="P84" s="275"/>
      <c r="Q84" s="275"/>
      <c r="R84" s="275"/>
      <c r="S84" s="275"/>
      <c r="T84" s="275"/>
      <c r="U84" s="275"/>
      <c r="V84" s="275"/>
      <c r="W84" s="275"/>
      <c r="X84" s="275"/>
      <c r="Y84" s="275"/>
      <c r="Z84" s="275"/>
    </row>
    <row r="85" spans="1:26" ht="12.75" customHeight="1" x14ac:dyDescent="0.25">
      <c r="A85" s="275"/>
      <c r="B85" s="342"/>
      <c r="C85" s="369"/>
      <c r="D85" s="337"/>
      <c r="E85" s="275"/>
      <c r="F85" s="275"/>
      <c r="G85" s="275"/>
      <c r="H85" s="275"/>
      <c r="I85" s="275"/>
      <c r="J85" s="275"/>
      <c r="K85" s="275"/>
      <c r="L85" s="275"/>
      <c r="M85" s="275"/>
      <c r="N85" s="275"/>
      <c r="O85" s="275"/>
      <c r="P85" s="275"/>
      <c r="Q85" s="275"/>
      <c r="R85" s="275"/>
      <c r="S85" s="275"/>
      <c r="T85" s="275"/>
      <c r="U85" s="275"/>
      <c r="V85" s="275"/>
      <c r="W85" s="275"/>
      <c r="X85" s="275"/>
      <c r="Y85" s="275"/>
      <c r="Z85" s="275"/>
    </row>
    <row r="86" spans="1:26" ht="12.75" customHeight="1" x14ac:dyDescent="0.25">
      <c r="A86" s="275"/>
      <c r="B86" s="342"/>
      <c r="C86" s="369"/>
      <c r="D86" s="337"/>
      <c r="E86" s="275"/>
      <c r="F86" s="275"/>
      <c r="G86" s="275"/>
      <c r="H86" s="275"/>
      <c r="I86" s="275"/>
      <c r="J86" s="275"/>
      <c r="K86" s="275"/>
      <c r="L86" s="275"/>
      <c r="M86" s="275"/>
      <c r="N86" s="275"/>
      <c r="O86" s="275"/>
      <c r="P86" s="275"/>
      <c r="Q86" s="275"/>
      <c r="R86" s="275"/>
      <c r="S86" s="275"/>
      <c r="T86" s="275"/>
      <c r="U86" s="275"/>
      <c r="V86" s="275"/>
      <c r="W86" s="275"/>
      <c r="X86" s="275"/>
      <c r="Y86" s="275"/>
      <c r="Z86" s="275"/>
    </row>
    <row r="87" spans="1:26" ht="12.75" customHeight="1" x14ac:dyDescent="0.25">
      <c r="A87" s="275"/>
      <c r="B87" s="342"/>
      <c r="C87" s="369"/>
      <c r="D87" s="337"/>
      <c r="E87" s="275"/>
      <c r="F87" s="275"/>
      <c r="G87" s="275"/>
      <c r="H87" s="275"/>
      <c r="I87" s="275"/>
      <c r="J87" s="275"/>
      <c r="K87" s="275"/>
      <c r="L87" s="275"/>
      <c r="M87" s="275"/>
      <c r="N87" s="275"/>
      <c r="O87" s="275"/>
      <c r="P87" s="275"/>
      <c r="Q87" s="275"/>
      <c r="R87" s="275"/>
      <c r="S87" s="275"/>
      <c r="T87" s="275"/>
      <c r="U87" s="275"/>
      <c r="V87" s="275"/>
      <c r="W87" s="275"/>
      <c r="X87" s="275"/>
      <c r="Y87" s="275"/>
      <c r="Z87" s="275"/>
    </row>
    <row r="88" spans="1:26" ht="12.75" customHeight="1" x14ac:dyDescent="0.25">
      <c r="A88" s="275"/>
      <c r="B88" s="342"/>
      <c r="C88" s="369"/>
      <c r="D88" s="337"/>
      <c r="E88" s="275"/>
      <c r="F88" s="275"/>
      <c r="G88" s="275"/>
      <c r="H88" s="275"/>
      <c r="I88" s="275"/>
      <c r="J88" s="275"/>
      <c r="K88" s="275"/>
      <c r="L88" s="275"/>
      <c r="M88" s="275"/>
      <c r="N88" s="275"/>
      <c r="O88" s="275"/>
      <c r="P88" s="275"/>
      <c r="Q88" s="275"/>
      <c r="R88" s="275"/>
      <c r="S88" s="275"/>
      <c r="T88" s="275"/>
      <c r="U88" s="275"/>
      <c r="V88" s="275"/>
      <c r="W88" s="275"/>
      <c r="X88" s="275"/>
      <c r="Y88" s="275"/>
      <c r="Z88" s="275"/>
    </row>
    <row r="89" spans="1:26" ht="12.75" customHeight="1" x14ac:dyDescent="0.25">
      <c r="A89" s="275"/>
      <c r="B89" s="342"/>
      <c r="C89" s="369"/>
      <c r="D89" s="337"/>
      <c r="E89" s="275"/>
      <c r="F89" s="275"/>
      <c r="G89" s="275"/>
      <c r="H89" s="275"/>
      <c r="I89" s="275"/>
      <c r="J89" s="275"/>
      <c r="K89" s="275"/>
      <c r="L89" s="275"/>
      <c r="M89" s="275"/>
      <c r="N89" s="275"/>
      <c r="O89" s="275"/>
      <c r="P89" s="275"/>
      <c r="Q89" s="275"/>
      <c r="R89" s="275"/>
      <c r="S89" s="275"/>
      <c r="T89" s="275"/>
      <c r="U89" s="275"/>
      <c r="V89" s="275"/>
      <c r="W89" s="275"/>
      <c r="X89" s="275"/>
      <c r="Y89" s="275"/>
      <c r="Z89" s="275"/>
    </row>
    <row r="90" spans="1:26" ht="12.75" customHeight="1" x14ac:dyDescent="0.25">
      <c r="A90" s="275"/>
      <c r="B90" s="342"/>
      <c r="C90" s="369"/>
      <c r="D90" s="337"/>
      <c r="E90" s="275"/>
      <c r="F90" s="275"/>
      <c r="G90" s="275"/>
      <c r="H90" s="275"/>
      <c r="I90" s="275"/>
      <c r="J90" s="275"/>
      <c r="K90" s="275"/>
      <c r="L90" s="275"/>
      <c r="M90" s="275"/>
      <c r="N90" s="275"/>
      <c r="O90" s="275"/>
      <c r="P90" s="275"/>
      <c r="Q90" s="275"/>
      <c r="R90" s="275"/>
      <c r="S90" s="275"/>
      <c r="T90" s="275"/>
      <c r="U90" s="275"/>
      <c r="V90" s="275"/>
      <c r="W90" s="275"/>
      <c r="X90" s="275"/>
      <c r="Y90" s="275"/>
      <c r="Z90" s="275"/>
    </row>
    <row r="91" spans="1:26" ht="12.75" customHeight="1" x14ac:dyDescent="0.25">
      <c r="A91" s="275"/>
      <c r="B91" s="342"/>
      <c r="C91" s="369"/>
      <c r="D91" s="337"/>
      <c r="E91" s="275"/>
      <c r="F91" s="275"/>
      <c r="G91" s="275"/>
      <c r="H91" s="275"/>
      <c r="I91" s="275"/>
      <c r="J91" s="275"/>
      <c r="K91" s="275"/>
      <c r="L91" s="275"/>
      <c r="M91" s="275"/>
      <c r="N91" s="275"/>
      <c r="O91" s="275"/>
      <c r="P91" s="275"/>
      <c r="Q91" s="275"/>
      <c r="R91" s="275"/>
      <c r="S91" s="275"/>
      <c r="T91" s="275"/>
      <c r="U91" s="275"/>
      <c r="V91" s="275"/>
      <c r="W91" s="275"/>
      <c r="X91" s="275"/>
      <c r="Y91" s="275"/>
      <c r="Z91" s="275"/>
    </row>
    <row r="92" spans="1:26" ht="12.75" customHeight="1" x14ac:dyDescent="0.25">
      <c r="A92" s="275"/>
      <c r="B92" s="342"/>
      <c r="C92" s="369"/>
      <c r="D92" s="337"/>
      <c r="E92" s="275"/>
      <c r="F92" s="275"/>
      <c r="G92" s="275"/>
      <c r="H92" s="275"/>
      <c r="I92" s="275"/>
      <c r="J92" s="275"/>
      <c r="K92" s="275"/>
      <c r="L92" s="275"/>
      <c r="M92" s="275"/>
      <c r="N92" s="275"/>
      <c r="O92" s="275"/>
      <c r="P92" s="275"/>
      <c r="Q92" s="275"/>
      <c r="R92" s="275"/>
      <c r="S92" s="275"/>
      <c r="T92" s="275"/>
      <c r="U92" s="275"/>
      <c r="V92" s="275"/>
      <c r="W92" s="275"/>
      <c r="X92" s="275"/>
      <c r="Y92" s="275"/>
      <c r="Z92" s="275"/>
    </row>
    <row r="93" spans="1:26" ht="12.75" customHeight="1" x14ac:dyDescent="0.25">
      <c r="A93" s="275"/>
      <c r="B93" s="342"/>
      <c r="C93" s="369"/>
      <c r="D93" s="337"/>
      <c r="E93" s="275"/>
      <c r="F93" s="275"/>
      <c r="G93" s="275"/>
      <c r="H93" s="275"/>
      <c r="I93" s="275"/>
      <c r="J93" s="275"/>
      <c r="K93" s="275"/>
      <c r="L93" s="275"/>
      <c r="M93" s="275"/>
      <c r="N93" s="275"/>
      <c r="O93" s="275"/>
      <c r="P93" s="275"/>
      <c r="Q93" s="275"/>
      <c r="R93" s="275"/>
      <c r="S93" s="275"/>
      <c r="T93" s="275"/>
      <c r="U93" s="275"/>
      <c r="V93" s="275"/>
      <c r="W93" s="275"/>
      <c r="X93" s="275"/>
      <c r="Y93" s="275"/>
      <c r="Z93" s="275"/>
    </row>
    <row r="94" spans="1:26" ht="12.75" customHeight="1" x14ac:dyDescent="0.25">
      <c r="A94" s="275"/>
      <c r="B94" s="342"/>
      <c r="C94" s="369"/>
      <c r="D94" s="337"/>
      <c r="E94" s="275"/>
      <c r="F94" s="275"/>
      <c r="G94" s="275"/>
      <c r="H94" s="275"/>
      <c r="I94" s="275"/>
      <c r="J94" s="275"/>
      <c r="K94" s="275"/>
      <c r="L94" s="275"/>
      <c r="M94" s="275"/>
      <c r="N94" s="275"/>
      <c r="O94" s="275"/>
      <c r="P94" s="275"/>
      <c r="Q94" s="275"/>
      <c r="R94" s="275"/>
      <c r="S94" s="275"/>
      <c r="T94" s="275"/>
      <c r="U94" s="275"/>
      <c r="V94" s="275"/>
      <c r="W94" s="275"/>
      <c r="X94" s="275"/>
      <c r="Y94" s="275"/>
      <c r="Z94" s="275"/>
    </row>
    <row r="95" spans="1:26" ht="12.75" customHeight="1" x14ac:dyDescent="0.25">
      <c r="A95" s="275"/>
      <c r="B95" s="342"/>
      <c r="C95" s="369"/>
      <c r="D95" s="337"/>
      <c r="E95" s="275"/>
      <c r="F95" s="275"/>
      <c r="G95" s="275"/>
      <c r="H95" s="275"/>
      <c r="I95" s="275"/>
      <c r="J95" s="275"/>
      <c r="K95" s="275"/>
      <c r="L95" s="275"/>
      <c r="M95" s="275"/>
      <c r="N95" s="275"/>
      <c r="O95" s="275"/>
      <c r="P95" s="275"/>
      <c r="Q95" s="275"/>
      <c r="R95" s="275"/>
      <c r="S95" s="275"/>
      <c r="T95" s="275"/>
      <c r="U95" s="275"/>
      <c r="V95" s="275"/>
      <c r="W95" s="275"/>
      <c r="X95" s="275"/>
      <c r="Y95" s="275"/>
      <c r="Z95" s="275"/>
    </row>
    <row r="96" spans="1:26" ht="12.75" customHeight="1" x14ac:dyDescent="0.25">
      <c r="A96" s="275"/>
      <c r="B96" s="342"/>
      <c r="C96" s="369"/>
      <c r="D96" s="337"/>
      <c r="E96" s="275"/>
      <c r="F96" s="275"/>
      <c r="G96" s="275"/>
      <c r="H96" s="275"/>
      <c r="I96" s="275"/>
      <c r="J96" s="275"/>
      <c r="K96" s="275"/>
      <c r="L96" s="275"/>
      <c r="M96" s="275"/>
      <c r="N96" s="275"/>
      <c r="O96" s="275"/>
      <c r="P96" s="275"/>
      <c r="Q96" s="275"/>
      <c r="R96" s="275"/>
      <c r="S96" s="275"/>
      <c r="T96" s="275"/>
      <c r="U96" s="275"/>
      <c r="V96" s="275"/>
      <c r="W96" s="275"/>
      <c r="X96" s="275"/>
      <c r="Y96" s="275"/>
      <c r="Z96" s="275"/>
    </row>
    <row r="97" spans="1:26" ht="12.75" customHeight="1" x14ac:dyDescent="0.25">
      <c r="A97" s="275"/>
      <c r="B97" s="342"/>
      <c r="C97" s="369"/>
      <c r="D97" s="337"/>
      <c r="E97" s="275"/>
      <c r="F97" s="275"/>
      <c r="G97" s="275"/>
      <c r="H97" s="275"/>
      <c r="I97" s="275"/>
      <c r="J97" s="275"/>
      <c r="K97" s="275"/>
      <c r="L97" s="275"/>
      <c r="M97" s="275"/>
      <c r="N97" s="275"/>
      <c r="O97" s="275"/>
      <c r="P97" s="275"/>
      <c r="Q97" s="275"/>
      <c r="R97" s="275"/>
      <c r="S97" s="275"/>
      <c r="T97" s="275"/>
      <c r="U97" s="275"/>
      <c r="V97" s="275"/>
      <c r="W97" s="275"/>
      <c r="X97" s="275"/>
      <c r="Y97" s="275"/>
      <c r="Z97" s="275"/>
    </row>
    <row r="98" spans="1:26" ht="12.75" customHeight="1" x14ac:dyDescent="0.25">
      <c r="A98" s="275"/>
      <c r="B98" s="342"/>
      <c r="C98" s="369"/>
      <c r="D98" s="337"/>
      <c r="E98" s="275"/>
      <c r="F98" s="275"/>
      <c r="G98" s="275"/>
      <c r="H98" s="275"/>
      <c r="I98" s="275"/>
      <c r="J98" s="275"/>
      <c r="K98" s="275"/>
      <c r="L98" s="275"/>
      <c r="M98" s="275"/>
      <c r="N98" s="275"/>
      <c r="O98" s="275"/>
      <c r="P98" s="275"/>
      <c r="Q98" s="275"/>
      <c r="R98" s="275"/>
      <c r="S98" s="275"/>
      <c r="T98" s="275"/>
      <c r="U98" s="275"/>
      <c r="V98" s="275"/>
      <c r="W98" s="275"/>
      <c r="X98" s="275"/>
      <c r="Y98" s="275"/>
      <c r="Z98" s="275"/>
    </row>
    <row r="99" spans="1:26" ht="12.75" customHeight="1" x14ac:dyDescent="0.25">
      <c r="A99" s="275"/>
      <c r="B99" s="342"/>
      <c r="C99" s="369"/>
      <c r="D99" s="337"/>
      <c r="E99" s="275"/>
      <c r="F99" s="275"/>
      <c r="G99" s="275"/>
      <c r="H99" s="275"/>
      <c r="I99" s="275"/>
      <c r="J99" s="275"/>
      <c r="K99" s="275"/>
      <c r="L99" s="275"/>
      <c r="M99" s="275"/>
      <c r="N99" s="275"/>
      <c r="O99" s="275"/>
      <c r="P99" s="275"/>
      <c r="Q99" s="275"/>
      <c r="R99" s="275"/>
      <c r="S99" s="275"/>
      <c r="T99" s="275"/>
      <c r="U99" s="275"/>
      <c r="V99" s="275"/>
      <c r="W99" s="275"/>
      <c r="X99" s="275"/>
      <c r="Y99" s="275"/>
      <c r="Z99" s="275"/>
    </row>
    <row r="100" spans="1:26" ht="12.75" customHeight="1" x14ac:dyDescent="0.25">
      <c r="A100" s="275"/>
      <c r="B100" s="342"/>
      <c r="C100" s="369"/>
      <c r="D100" s="337"/>
      <c r="E100" s="275"/>
      <c r="F100" s="275"/>
      <c r="G100" s="275"/>
      <c r="H100" s="275"/>
      <c r="I100" s="275"/>
      <c r="J100" s="275"/>
      <c r="K100" s="275"/>
      <c r="L100" s="275"/>
      <c r="M100" s="275"/>
      <c r="N100" s="275"/>
      <c r="O100" s="275"/>
      <c r="P100" s="275"/>
      <c r="Q100" s="275"/>
      <c r="R100" s="275"/>
      <c r="S100" s="275"/>
      <c r="T100" s="275"/>
      <c r="U100" s="275"/>
      <c r="V100" s="275"/>
      <c r="W100" s="275"/>
      <c r="X100" s="275"/>
      <c r="Y100" s="275"/>
      <c r="Z100" s="275"/>
    </row>
    <row r="101" spans="1:26" ht="12.75" customHeight="1" x14ac:dyDescent="0.25">
      <c r="A101" s="275"/>
      <c r="B101" s="342"/>
      <c r="C101" s="369"/>
      <c r="D101" s="337"/>
      <c r="E101" s="275"/>
      <c r="F101" s="275"/>
      <c r="G101" s="275"/>
      <c r="H101" s="275"/>
      <c r="I101" s="275"/>
      <c r="J101" s="275"/>
      <c r="K101" s="275"/>
      <c r="L101" s="275"/>
      <c r="M101" s="275"/>
      <c r="N101" s="275"/>
      <c r="O101" s="275"/>
      <c r="P101" s="275"/>
      <c r="Q101" s="275"/>
      <c r="R101" s="275"/>
      <c r="S101" s="275"/>
      <c r="T101" s="275"/>
      <c r="U101" s="275"/>
      <c r="V101" s="275"/>
      <c r="W101" s="275"/>
      <c r="X101" s="275"/>
      <c r="Y101" s="275"/>
      <c r="Z101" s="275"/>
    </row>
    <row r="102" spans="1:26" ht="12.75" customHeight="1" x14ac:dyDescent="0.25">
      <c r="A102" s="275"/>
      <c r="B102" s="342"/>
      <c r="C102" s="369"/>
      <c r="D102" s="337"/>
      <c r="E102" s="275"/>
      <c r="F102" s="275"/>
      <c r="G102" s="275"/>
      <c r="H102" s="275"/>
      <c r="I102" s="275"/>
      <c r="J102" s="275"/>
      <c r="K102" s="275"/>
      <c r="L102" s="275"/>
      <c r="M102" s="275"/>
      <c r="N102" s="275"/>
      <c r="O102" s="275"/>
      <c r="P102" s="275"/>
      <c r="Q102" s="275"/>
      <c r="R102" s="275"/>
      <c r="S102" s="275"/>
      <c r="T102" s="275"/>
      <c r="U102" s="275"/>
      <c r="V102" s="275"/>
      <c r="W102" s="275"/>
      <c r="X102" s="275"/>
      <c r="Y102" s="275"/>
      <c r="Z102" s="275"/>
    </row>
    <row r="103" spans="1:26" ht="12.75" customHeight="1" x14ac:dyDescent="0.25">
      <c r="A103" s="275"/>
      <c r="B103" s="342"/>
      <c r="C103" s="369"/>
      <c r="D103" s="337"/>
      <c r="E103" s="275"/>
      <c r="F103" s="275"/>
      <c r="G103" s="275"/>
      <c r="H103" s="275"/>
      <c r="I103" s="275"/>
      <c r="J103" s="275"/>
      <c r="K103" s="275"/>
      <c r="L103" s="275"/>
      <c r="M103" s="275"/>
      <c r="N103" s="275"/>
      <c r="O103" s="275"/>
      <c r="P103" s="275"/>
      <c r="Q103" s="275"/>
      <c r="R103" s="275"/>
      <c r="S103" s="275"/>
      <c r="T103" s="275"/>
      <c r="U103" s="275"/>
      <c r="V103" s="275"/>
      <c r="W103" s="275"/>
      <c r="X103" s="275"/>
      <c r="Y103" s="275"/>
      <c r="Z103" s="275"/>
    </row>
    <row r="104" spans="1:26" ht="12.75" customHeight="1" x14ac:dyDescent="0.25">
      <c r="A104" s="275"/>
      <c r="B104" s="342"/>
      <c r="C104" s="369"/>
      <c r="D104" s="337"/>
      <c r="E104" s="275"/>
      <c r="F104" s="275"/>
      <c r="G104" s="275"/>
      <c r="H104" s="275"/>
      <c r="I104" s="275"/>
      <c r="J104" s="275"/>
      <c r="K104" s="275"/>
      <c r="L104" s="275"/>
      <c r="M104" s="275"/>
      <c r="N104" s="275"/>
      <c r="O104" s="275"/>
      <c r="P104" s="275"/>
      <c r="Q104" s="275"/>
      <c r="R104" s="275"/>
      <c r="S104" s="275"/>
      <c r="T104" s="275"/>
      <c r="U104" s="275"/>
      <c r="V104" s="275"/>
      <c r="W104" s="275"/>
      <c r="X104" s="275"/>
      <c r="Y104" s="275"/>
      <c r="Z104" s="275"/>
    </row>
    <row r="105" spans="1:26" ht="12.75" customHeight="1" x14ac:dyDescent="0.25">
      <c r="A105" s="275"/>
      <c r="B105" s="342"/>
      <c r="C105" s="369"/>
      <c r="D105" s="337"/>
      <c r="E105" s="275"/>
      <c r="F105" s="275"/>
      <c r="G105" s="275"/>
      <c r="H105" s="275"/>
      <c r="I105" s="275"/>
      <c r="J105" s="275"/>
      <c r="K105" s="275"/>
      <c r="L105" s="275"/>
      <c r="M105" s="275"/>
      <c r="N105" s="275"/>
      <c r="O105" s="275"/>
      <c r="P105" s="275"/>
      <c r="Q105" s="275"/>
      <c r="R105" s="275"/>
      <c r="S105" s="275"/>
      <c r="T105" s="275"/>
      <c r="U105" s="275"/>
      <c r="V105" s="275"/>
      <c r="W105" s="275"/>
      <c r="X105" s="275"/>
      <c r="Y105" s="275"/>
      <c r="Z105" s="275"/>
    </row>
    <row r="106" spans="1:26" ht="12.75" customHeight="1" x14ac:dyDescent="0.25">
      <c r="A106" s="275"/>
      <c r="B106" s="342"/>
      <c r="C106" s="369"/>
      <c r="D106" s="337"/>
      <c r="E106" s="275"/>
      <c r="F106" s="275"/>
      <c r="G106" s="275"/>
      <c r="H106" s="275"/>
      <c r="I106" s="275"/>
      <c r="J106" s="275"/>
      <c r="K106" s="275"/>
      <c r="L106" s="275"/>
      <c r="M106" s="275"/>
      <c r="N106" s="275"/>
      <c r="O106" s="275"/>
      <c r="P106" s="275"/>
      <c r="Q106" s="275"/>
      <c r="R106" s="275"/>
      <c r="S106" s="275"/>
      <c r="T106" s="275"/>
      <c r="U106" s="275"/>
      <c r="V106" s="275"/>
      <c r="W106" s="275"/>
      <c r="X106" s="275"/>
      <c r="Y106" s="275"/>
      <c r="Z106" s="275"/>
    </row>
    <row r="107" spans="1:26" ht="12.75" customHeight="1" x14ac:dyDescent="0.25">
      <c r="A107" s="275"/>
      <c r="B107" s="342"/>
      <c r="C107" s="369"/>
      <c r="D107" s="337"/>
      <c r="E107" s="275"/>
      <c r="F107" s="275"/>
      <c r="G107" s="275"/>
      <c r="H107" s="275"/>
      <c r="I107" s="275"/>
      <c r="J107" s="275"/>
      <c r="K107" s="275"/>
      <c r="L107" s="275"/>
      <c r="M107" s="275"/>
      <c r="N107" s="275"/>
      <c r="O107" s="275"/>
      <c r="P107" s="275"/>
      <c r="Q107" s="275"/>
      <c r="R107" s="275"/>
      <c r="S107" s="275"/>
      <c r="T107" s="275"/>
      <c r="U107" s="275"/>
      <c r="V107" s="275"/>
      <c r="W107" s="275"/>
      <c r="X107" s="275"/>
      <c r="Y107" s="275"/>
      <c r="Z107" s="275"/>
    </row>
    <row r="108" spans="1:26" ht="12.75" customHeight="1" x14ac:dyDescent="0.25">
      <c r="A108" s="275"/>
      <c r="B108" s="342"/>
      <c r="C108" s="369"/>
      <c r="D108" s="337"/>
      <c r="E108" s="275"/>
      <c r="F108" s="275"/>
      <c r="G108" s="275"/>
      <c r="H108" s="275"/>
      <c r="I108" s="275"/>
      <c r="J108" s="275"/>
      <c r="K108" s="275"/>
      <c r="L108" s="275"/>
      <c r="M108" s="275"/>
      <c r="N108" s="275"/>
      <c r="O108" s="275"/>
      <c r="P108" s="275"/>
      <c r="Q108" s="275"/>
      <c r="R108" s="275"/>
      <c r="S108" s="275"/>
      <c r="T108" s="275"/>
      <c r="U108" s="275"/>
      <c r="V108" s="275"/>
      <c r="W108" s="275"/>
      <c r="X108" s="275"/>
      <c r="Y108" s="275"/>
      <c r="Z108" s="275"/>
    </row>
    <row r="109" spans="1:26" ht="12.75" customHeight="1" x14ac:dyDescent="0.25">
      <c r="A109" s="275"/>
      <c r="B109" s="342"/>
      <c r="C109" s="369"/>
      <c r="D109" s="337"/>
      <c r="E109" s="275"/>
      <c r="F109" s="275"/>
      <c r="G109" s="275"/>
      <c r="H109" s="275"/>
      <c r="I109" s="275"/>
      <c r="J109" s="275"/>
      <c r="K109" s="275"/>
      <c r="L109" s="275"/>
      <c r="M109" s="275"/>
      <c r="N109" s="275"/>
      <c r="O109" s="275"/>
      <c r="P109" s="275"/>
      <c r="Q109" s="275"/>
      <c r="R109" s="275"/>
      <c r="S109" s="275"/>
      <c r="T109" s="275"/>
      <c r="U109" s="275"/>
      <c r="V109" s="275"/>
      <c r="W109" s="275"/>
      <c r="X109" s="275"/>
      <c r="Y109" s="275"/>
      <c r="Z109" s="275"/>
    </row>
    <row r="110" spans="1:26" ht="12.75" customHeight="1" x14ac:dyDescent="0.25">
      <c r="A110" s="275"/>
      <c r="B110" s="342"/>
      <c r="C110" s="369"/>
      <c r="D110" s="337"/>
      <c r="E110" s="275"/>
      <c r="F110" s="275"/>
      <c r="G110" s="275"/>
      <c r="H110" s="275"/>
      <c r="I110" s="275"/>
      <c r="J110" s="275"/>
      <c r="K110" s="275"/>
      <c r="L110" s="275"/>
      <c r="M110" s="275"/>
      <c r="N110" s="275"/>
      <c r="O110" s="275"/>
      <c r="P110" s="275"/>
      <c r="Q110" s="275"/>
      <c r="R110" s="275"/>
      <c r="S110" s="275"/>
      <c r="T110" s="275"/>
      <c r="U110" s="275"/>
      <c r="V110" s="275"/>
      <c r="W110" s="275"/>
      <c r="X110" s="275"/>
      <c r="Y110" s="275"/>
      <c r="Z110" s="275"/>
    </row>
    <row r="111" spans="1:26" ht="12.75" customHeight="1" x14ac:dyDescent="0.25">
      <c r="A111" s="275"/>
      <c r="B111" s="342"/>
      <c r="C111" s="369"/>
      <c r="D111" s="337"/>
      <c r="E111" s="275"/>
      <c r="F111" s="275"/>
      <c r="G111" s="275"/>
      <c r="H111" s="275"/>
      <c r="I111" s="275"/>
      <c r="J111" s="275"/>
      <c r="K111" s="275"/>
      <c r="L111" s="275"/>
      <c r="M111" s="275"/>
      <c r="N111" s="275"/>
      <c r="O111" s="275"/>
      <c r="P111" s="275"/>
      <c r="Q111" s="275"/>
      <c r="R111" s="275"/>
      <c r="S111" s="275"/>
      <c r="T111" s="275"/>
      <c r="U111" s="275"/>
      <c r="V111" s="275"/>
      <c r="W111" s="275"/>
      <c r="X111" s="275"/>
      <c r="Y111" s="275"/>
      <c r="Z111" s="275"/>
    </row>
    <row r="112" spans="1:26" ht="12.75" customHeight="1" x14ac:dyDescent="0.25">
      <c r="A112" s="275"/>
      <c r="B112" s="342"/>
      <c r="C112" s="369"/>
      <c r="D112" s="337"/>
      <c r="E112" s="275"/>
      <c r="F112" s="275"/>
      <c r="G112" s="275"/>
      <c r="H112" s="275"/>
      <c r="I112" s="275"/>
      <c r="J112" s="275"/>
      <c r="K112" s="275"/>
      <c r="L112" s="275"/>
      <c r="M112" s="275"/>
      <c r="N112" s="275"/>
      <c r="O112" s="275"/>
      <c r="P112" s="275"/>
      <c r="Q112" s="275"/>
      <c r="R112" s="275"/>
      <c r="S112" s="275"/>
      <c r="T112" s="275"/>
      <c r="U112" s="275"/>
      <c r="V112" s="275"/>
      <c r="W112" s="275"/>
      <c r="X112" s="275"/>
      <c r="Y112" s="275"/>
      <c r="Z112" s="275"/>
    </row>
    <row r="113" spans="1:26" ht="12.75" customHeight="1" x14ac:dyDescent="0.25">
      <c r="A113" s="275"/>
      <c r="B113" s="342"/>
      <c r="C113" s="369"/>
      <c r="D113" s="337"/>
      <c r="E113" s="275"/>
      <c r="F113" s="275"/>
      <c r="G113" s="275"/>
      <c r="H113" s="275"/>
      <c r="I113" s="275"/>
      <c r="J113" s="275"/>
      <c r="K113" s="275"/>
      <c r="L113" s="275"/>
      <c r="M113" s="275"/>
      <c r="N113" s="275"/>
      <c r="O113" s="275"/>
      <c r="P113" s="275"/>
      <c r="Q113" s="275"/>
      <c r="R113" s="275"/>
      <c r="S113" s="275"/>
      <c r="T113" s="275"/>
      <c r="U113" s="275"/>
      <c r="V113" s="275"/>
      <c r="W113" s="275"/>
      <c r="X113" s="275"/>
      <c r="Y113" s="275"/>
      <c r="Z113" s="275"/>
    </row>
    <row r="114" spans="1:26" ht="12.75" customHeight="1" x14ac:dyDescent="0.25">
      <c r="A114" s="275"/>
      <c r="B114" s="342"/>
      <c r="C114" s="369"/>
      <c r="D114" s="337"/>
      <c r="E114" s="275"/>
      <c r="F114" s="275"/>
      <c r="G114" s="275"/>
      <c r="H114" s="275"/>
      <c r="I114" s="275"/>
      <c r="J114" s="275"/>
      <c r="K114" s="275"/>
      <c r="L114" s="275"/>
      <c r="M114" s="275"/>
      <c r="N114" s="275"/>
      <c r="O114" s="275"/>
      <c r="P114" s="275"/>
      <c r="Q114" s="275"/>
      <c r="R114" s="275"/>
      <c r="S114" s="275"/>
      <c r="T114" s="275"/>
      <c r="U114" s="275"/>
      <c r="V114" s="275"/>
      <c r="W114" s="275"/>
      <c r="X114" s="275"/>
      <c r="Y114" s="275"/>
      <c r="Z114" s="275"/>
    </row>
    <row r="115" spans="1:26" ht="12.75" customHeight="1" x14ac:dyDescent="0.25">
      <c r="A115" s="275"/>
      <c r="B115" s="342"/>
      <c r="C115" s="369"/>
      <c r="D115" s="337"/>
      <c r="E115" s="275"/>
      <c r="F115" s="275"/>
      <c r="G115" s="275"/>
      <c r="H115" s="275"/>
      <c r="I115" s="275"/>
      <c r="J115" s="275"/>
      <c r="K115" s="275"/>
      <c r="L115" s="275"/>
      <c r="M115" s="275"/>
      <c r="N115" s="275"/>
      <c r="O115" s="275"/>
      <c r="P115" s="275"/>
      <c r="Q115" s="275"/>
      <c r="R115" s="275"/>
      <c r="S115" s="275"/>
      <c r="T115" s="275"/>
      <c r="U115" s="275"/>
      <c r="V115" s="275"/>
      <c r="W115" s="275"/>
      <c r="X115" s="275"/>
      <c r="Y115" s="275"/>
      <c r="Z115" s="275"/>
    </row>
    <row r="116" spans="1:26" ht="12.75" customHeight="1" x14ac:dyDescent="0.25">
      <c r="A116" s="275"/>
      <c r="B116" s="342"/>
      <c r="C116" s="369"/>
      <c r="D116" s="337"/>
      <c r="E116" s="275"/>
      <c r="F116" s="275"/>
      <c r="G116" s="275"/>
      <c r="H116" s="275"/>
      <c r="I116" s="275"/>
      <c r="J116" s="275"/>
      <c r="K116" s="275"/>
      <c r="L116" s="275"/>
      <c r="M116" s="275"/>
      <c r="N116" s="275"/>
      <c r="O116" s="275"/>
      <c r="P116" s="275"/>
      <c r="Q116" s="275"/>
      <c r="R116" s="275"/>
      <c r="S116" s="275"/>
      <c r="T116" s="275"/>
      <c r="U116" s="275"/>
      <c r="V116" s="275"/>
      <c r="W116" s="275"/>
      <c r="X116" s="275"/>
      <c r="Y116" s="275"/>
      <c r="Z116" s="275"/>
    </row>
    <row r="117" spans="1:26" ht="12.75" customHeight="1" x14ac:dyDescent="0.25">
      <c r="A117" s="275"/>
      <c r="B117" s="342"/>
      <c r="C117" s="369"/>
      <c r="D117" s="337"/>
      <c r="E117" s="275"/>
      <c r="F117" s="275"/>
      <c r="G117" s="275"/>
      <c r="H117" s="275"/>
      <c r="I117" s="275"/>
      <c r="J117" s="275"/>
      <c r="K117" s="275"/>
      <c r="L117" s="275"/>
      <c r="M117" s="275"/>
      <c r="N117" s="275"/>
      <c r="O117" s="275"/>
      <c r="P117" s="275"/>
      <c r="Q117" s="275"/>
      <c r="R117" s="275"/>
      <c r="S117" s="275"/>
      <c r="T117" s="275"/>
      <c r="U117" s="275"/>
      <c r="V117" s="275"/>
      <c r="W117" s="275"/>
      <c r="X117" s="275"/>
      <c r="Y117" s="275"/>
      <c r="Z117" s="275"/>
    </row>
    <row r="118" spans="1:26" ht="12.75" customHeight="1" x14ac:dyDescent="0.25">
      <c r="A118" s="275"/>
      <c r="B118" s="342"/>
      <c r="C118" s="369"/>
      <c r="D118" s="337"/>
      <c r="E118" s="275"/>
      <c r="F118" s="275"/>
      <c r="G118" s="275"/>
      <c r="H118" s="275"/>
      <c r="I118" s="275"/>
      <c r="J118" s="275"/>
      <c r="K118" s="275"/>
      <c r="L118" s="275"/>
      <c r="M118" s="275"/>
      <c r="N118" s="275"/>
      <c r="O118" s="275"/>
      <c r="P118" s="275"/>
      <c r="Q118" s="275"/>
      <c r="R118" s="275"/>
      <c r="S118" s="275"/>
      <c r="T118" s="275"/>
      <c r="U118" s="275"/>
      <c r="V118" s="275"/>
      <c r="W118" s="275"/>
      <c r="X118" s="275"/>
      <c r="Y118" s="275"/>
      <c r="Z118" s="275"/>
    </row>
    <row r="119" spans="1:26" ht="12.75" customHeight="1" x14ac:dyDescent="0.25">
      <c r="A119" s="275"/>
      <c r="B119" s="342"/>
      <c r="C119" s="369"/>
      <c r="D119" s="337"/>
      <c r="E119" s="275"/>
      <c r="F119" s="275"/>
      <c r="G119" s="275"/>
      <c r="H119" s="275"/>
      <c r="I119" s="275"/>
      <c r="J119" s="275"/>
      <c r="K119" s="275"/>
      <c r="L119" s="275"/>
      <c r="M119" s="275"/>
      <c r="N119" s="275"/>
      <c r="O119" s="275"/>
      <c r="P119" s="275"/>
      <c r="Q119" s="275"/>
      <c r="R119" s="275"/>
      <c r="S119" s="275"/>
      <c r="T119" s="275"/>
      <c r="U119" s="275"/>
      <c r="V119" s="275"/>
      <c r="W119" s="275"/>
      <c r="X119" s="275"/>
      <c r="Y119" s="275"/>
      <c r="Z119" s="275"/>
    </row>
    <row r="120" spans="1:26" ht="12.75" customHeight="1" x14ac:dyDescent="0.25">
      <c r="A120" s="275"/>
      <c r="B120" s="342"/>
      <c r="C120" s="369"/>
      <c r="D120" s="337"/>
      <c r="E120" s="275"/>
      <c r="F120" s="275"/>
      <c r="G120" s="275"/>
      <c r="H120" s="275"/>
      <c r="I120" s="275"/>
      <c r="J120" s="275"/>
      <c r="K120" s="275"/>
      <c r="L120" s="275"/>
      <c r="M120" s="275"/>
      <c r="N120" s="275"/>
      <c r="O120" s="275"/>
      <c r="P120" s="275"/>
      <c r="Q120" s="275"/>
      <c r="R120" s="275"/>
      <c r="S120" s="275"/>
      <c r="T120" s="275"/>
      <c r="U120" s="275"/>
      <c r="V120" s="275"/>
      <c r="W120" s="275"/>
      <c r="X120" s="275"/>
      <c r="Y120" s="275"/>
      <c r="Z120" s="275"/>
    </row>
    <row r="121" spans="1:26" ht="12.75" customHeight="1" x14ac:dyDescent="0.25">
      <c r="A121" s="275"/>
      <c r="B121" s="342"/>
      <c r="C121" s="369"/>
      <c r="D121" s="337"/>
      <c r="E121" s="275"/>
      <c r="F121" s="275"/>
      <c r="G121" s="275"/>
      <c r="H121" s="275"/>
      <c r="I121" s="275"/>
      <c r="J121" s="275"/>
      <c r="K121" s="275"/>
      <c r="L121" s="275"/>
      <c r="M121" s="275"/>
      <c r="N121" s="275"/>
      <c r="O121" s="275"/>
      <c r="P121" s="275"/>
      <c r="Q121" s="275"/>
      <c r="R121" s="275"/>
      <c r="S121" s="275"/>
      <c r="T121" s="275"/>
      <c r="U121" s="275"/>
      <c r="V121" s="275"/>
      <c r="W121" s="275"/>
      <c r="X121" s="275"/>
      <c r="Y121" s="275"/>
      <c r="Z121" s="275"/>
    </row>
    <row r="122" spans="1:26" ht="12.75" customHeight="1" x14ac:dyDescent="0.25">
      <c r="A122" s="275"/>
      <c r="B122" s="342"/>
      <c r="C122" s="369"/>
      <c r="D122" s="337"/>
      <c r="E122" s="275"/>
      <c r="F122" s="275"/>
      <c r="G122" s="275"/>
      <c r="H122" s="275"/>
      <c r="I122" s="275"/>
      <c r="J122" s="275"/>
      <c r="K122" s="275"/>
      <c r="L122" s="275"/>
      <c r="M122" s="275"/>
      <c r="N122" s="275"/>
      <c r="O122" s="275"/>
      <c r="P122" s="275"/>
      <c r="Q122" s="275"/>
      <c r="R122" s="275"/>
      <c r="S122" s="275"/>
      <c r="T122" s="275"/>
      <c r="U122" s="275"/>
      <c r="V122" s="275"/>
      <c r="W122" s="275"/>
      <c r="X122" s="275"/>
      <c r="Y122" s="275"/>
      <c r="Z122" s="275"/>
    </row>
    <row r="123" spans="1:26" ht="12.75" customHeight="1" x14ac:dyDescent="0.25">
      <c r="A123" s="275"/>
      <c r="B123" s="342"/>
      <c r="C123" s="369"/>
      <c r="D123" s="337"/>
      <c r="E123" s="275"/>
      <c r="F123" s="275"/>
      <c r="G123" s="275"/>
      <c r="H123" s="275"/>
      <c r="I123" s="275"/>
      <c r="J123" s="275"/>
      <c r="K123" s="275"/>
      <c r="L123" s="275"/>
      <c r="M123" s="275"/>
      <c r="N123" s="275"/>
      <c r="O123" s="275"/>
      <c r="P123" s="275"/>
      <c r="Q123" s="275"/>
      <c r="R123" s="275"/>
      <c r="S123" s="275"/>
      <c r="T123" s="275"/>
      <c r="U123" s="275"/>
      <c r="V123" s="275"/>
      <c r="W123" s="275"/>
      <c r="X123" s="275"/>
      <c r="Y123" s="275"/>
      <c r="Z123" s="275"/>
    </row>
    <row r="124" spans="1:26" ht="12.75" customHeight="1" x14ac:dyDescent="0.25">
      <c r="A124" s="275"/>
      <c r="B124" s="342"/>
      <c r="C124" s="369"/>
      <c r="D124" s="337"/>
      <c r="E124" s="275"/>
      <c r="F124" s="275"/>
      <c r="G124" s="275"/>
      <c r="H124" s="275"/>
      <c r="I124" s="275"/>
      <c r="J124" s="275"/>
      <c r="K124" s="275"/>
      <c r="L124" s="275"/>
      <c r="M124" s="275"/>
      <c r="N124" s="275"/>
      <c r="O124" s="275"/>
      <c r="P124" s="275"/>
      <c r="Q124" s="275"/>
      <c r="R124" s="275"/>
      <c r="S124" s="275"/>
      <c r="T124" s="275"/>
      <c r="U124" s="275"/>
      <c r="V124" s="275"/>
      <c r="W124" s="275"/>
      <c r="X124" s="275"/>
      <c r="Y124" s="275"/>
      <c r="Z124" s="275"/>
    </row>
    <row r="125" spans="1:26" ht="12.75" customHeight="1" x14ac:dyDescent="0.25">
      <c r="A125" s="275"/>
      <c r="B125" s="342"/>
      <c r="C125" s="369"/>
      <c r="D125" s="337"/>
      <c r="E125" s="275"/>
      <c r="F125" s="275"/>
      <c r="G125" s="275"/>
      <c r="H125" s="275"/>
      <c r="I125" s="275"/>
      <c r="J125" s="275"/>
      <c r="K125" s="275"/>
      <c r="L125" s="275"/>
      <c r="M125" s="275"/>
      <c r="N125" s="275"/>
      <c r="O125" s="275"/>
      <c r="P125" s="275"/>
      <c r="Q125" s="275"/>
      <c r="R125" s="275"/>
      <c r="S125" s="275"/>
      <c r="T125" s="275"/>
      <c r="U125" s="275"/>
      <c r="V125" s="275"/>
      <c r="W125" s="275"/>
      <c r="X125" s="275"/>
      <c r="Y125" s="275"/>
      <c r="Z125" s="275"/>
    </row>
    <row r="126" spans="1:26" ht="12.75" customHeight="1" x14ac:dyDescent="0.25">
      <c r="A126" s="275"/>
      <c r="B126" s="342"/>
      <c r="C126" s="369"/>
      <c r="D126" s="337"/>
      <c r="E126" s="275"/>
      <c r="F126" s="275"/>
      <c r="G126" s="275"/>
      <c r="H126" s="275"/>
      <c r="I126" s="275"/>
      <c r="J126" s="275"/>
      <c r="K126" s="275"/>
      <c r="L126" s="275"/>
      <c r="M126" s="275"/>
      <c r="N126" s="275"/>
      <c r="O126" s="275"/>
      <c r="P126" s="275"/>
      <c r="Q126" s="275"/>
      <c r="R126" s="275"/>
      <c r="S126" s="275"/>
      <c r="T126" s="275"/>
      <c r="U126" s="275"/>
      <c r="V126" s="275"/>
      <c r="W126" s="275"/>
      <c r="X126" s="275"/>
      <c r="Y126" s="275"/>
      <c r="Z126" s="275"/>
    </row>
    <row r="127" spans="1:26" ht="12.75" customHeight="1" x14ac:dyDescent="0.25">
      <c r="A127" s="275"/>
      <c r="B127" s="342"/>
      <c r="C127" s="369"/>
      <c r="D127" s="337"/>
      <c r="E127" s="275"/>
      <c r="F127" s="275"/>
      <c r="G127" s="275"/>
      <c r="H127" s="275"/>
      <c r="I127" s="275"/>
      <c r="J127" s="275"/>
      <c r="K127" s="275"/>
      <c r="L127" s="275"/>
      <c r="M127" s="275"/>
      <c r="N127" s="275"/>
      <c r="O127" s="275"/>
      <c r="P127" s="275"/>
      <c r="Q127" s="275"/>
      <c r="R127" s="275"/>
      <c r="S127" s="275"/>
      <c r="T127" s="275"/>
      <c r="U127" s="275"/>
      <c r="V127" s="275"/>
      <c r="W127" s="275"/>
      <c r="X127" s="275"/>
      <c r="Y127" s="275"/>
      <c r="Z127" s="275"/>
    </row>
    <row r="128" spans="1:26" ht="12.75" customHeight="1" x14ac:dyDescent="0.25">
      <c r="A128" s="275"/>
      <c r="B128" s="342"/>
      <c r="C128" s="369"/>
      <c r="D128" s="337"/>
      <c r="E128" s="275"/>
      <c r="F128" s="275"/>
      <c r="G128" s="275"/>
      <c r="H128" s="275"/>
      <c r="I128" s="275"/>
      <c r="J128" s="275"/>
      <c r="K128" s="275"/>
      <c r="L128" s="275"/>
      <c r="M128" s="275"/>
      <c r="N128" s="275"/>
      <c r="O128" s="275"/>
      <c r="P128" s="275"/>
      <c r="Q128" s="275"/>
      <c r="R128" s="275"/>
      <c r="S128" s="275"/>
      <c r="T128" s="275"/>
      <c r="U128" s="275"/>
      <c r="V128" s="275"/>
      <c r="W128" s="275"/>
      <c r="X128" s="275"/>
      <c r="Y128" s="275"/>
      <c r="Z128" s="275"/>
    </row>
    <row r="129" spans="1:26" ht="12.75" customHeight="1" x14ac:dyDescent="0.25">
      <c r="A129" s="275"/>
      <c r="B129" s="342"/>
      <c r="C129" s="369"/>
      <c r="D129" s="337"/>
      <c r="E129" s="275"/>
      <c r="F129" s="275"/>
      <c r="G129" s="275"/>
      <c r="H129" s="275"/>
      <c r="I129" s="275"/>
      <c r="J129" s="275"/>
      <c r="K129" s="275"/>
      <c r="L129" s="275"/>
      <c r="M129" s="275"/>
      <c r="N129" s="275"/>
      <c r="O129" s="275"/>
      <c r="P129" s="275"/>
      <c r="Q129" s="275"/>
      <c r="R129" s="275"/>
      <c r="S129" s="275"/>
      <c r="T129" s="275"/>
      <c r="U129" s="275"/>
      <c r="V129" s="275"/>
      <c r="W129" s="275"/>
      <c r="X129" s="275"/>
      <c r="Y129" s="275"/>
      <c r="Z129" s="275"/>
    </row>
    <row r="130" spans="1:26" ht="12.75" customHeight="1" x14ac:dyDescent="0.25">
      <c r="A130" s="275"/>
      <c r="B130" s="342"/>
      <c r="C130" s="369"/>
      <c r="D130" s="337"/>
      <c r="E130" s="275"/>
      <c r="F130" s="275"/>
      <c r="G130" s="275"/>
      <c r="H130" s="275"/>
      <c r="I130" s="275"/>
      <c r="J130" s="275"/>
      <c r="K130" s="275"/>
      <c r="L130" s="275"/>
      <c r="M130" s="275"/>
      <c r="N130" s="275"/>
      <c r="O130" s="275"/>
      <c r="P130" s="275"/>
      <c r="Q130" s="275"/>
      <c r="R130" s="275"/>
      <c r="S130" s="275"/>
      <c r="T130" s="275"/>
      <c r="U130" s="275"/>
      <c r="V130" s="275"/>
      <c r="W130" s="275"/>
      <c r="X130" s="275"/>
      <c r="Y130" s="275"/>
      <c r="Z130" s="275"/>
    </row>
    <row r="131" spans="1:26" ht="12.75" customHeight="1" x14ac:dyDescent="0.25">
      <c r="A131" s="275"/>
      <c r="B131" s="342"/>
      <c r="C131" s="369"/>
      <c r="D131" s="337"/>
      <c r="E131" s="275"/>
      <c r="F131" s="275"/>
      <c r="G131" s="275"/>
      <c r="H131" s="275"/>
      <c r="I131" s="275"/>
      <c r="J131" s="275"/>
      <c r="K131" s="275"/>
      <c r="L131" s="275"/>
      <c r="M131" s="275"/>
      <c r="N131" s="275"/>
      <c r="O131" s="275"/>
      <c r="P131" s="275"/>
      <c r="Q131" s="275"/>
      <c r="R131" s="275"/>
      <c r="S131" s="275"/>
      <c r="T131" s="275"/>
      <c r="U131" s="275"/>
      <c r="V131" s="275"/>
      <c r="W131" s="275"/>
      <c r="X131" s="275"/>
      <c r="Y131" s="275"/>
      <c r="Z131" s="275"/>
    </row>
    <row r="132" spans="1:26" ht="12.75" customHeight="1" x14ac:dyDescent="0.25">
      <c r="A132" s="275"/>
      <c r="B132" s="342"/>
      <c r="C132" s="369"/>
      <c r="D132" s="337"/>
      <c r="E132" s="275"/>
      <c r="F132" s="275"/>
      <c r="G132" s="275"/>
      <c r="H132" s="275"/>
      <c r="I132" s="275"/>
      <c r="J132" s="275"/>
      <c r="K132" s="275"/>
      <c r="L132" s="275"/>
      <c r="M132" s="275"/>
      <c r="N132" s="275"/>
      <c r="O132" s="275"/>
      <c r="P132" s="275"/>
      <c r="Q132" s="275"/>
      <c r="R132" s="275"/>
      <c r="S132" s="275"/>
      <c r="T132" s="275"/>
      <c r="U132" s="275"/>
      <c r="V132" s="275"/>
      <c r="W132" s="275"/>
      <c r="X132" s="275"/>
      <c r="Y132" s="275"/>
      <c r="Z132" s="275"/>
    </row>
    <row r="133" spans="1:26" ht="12.75" customHeight="1" x14ac:dyDescent="0.25">
      <c r="A133" s="275"/>
      <c r="B133" s="342"/>
      <c r="C133" s="369"/>
      <c r="D133" s="337"/>
      <c r="E133" s="275"/>
      <c r="F133" s="275"/>
      <c r="G133" s="275"/>
      <c r="H133" s="275"/>
      <c r="I133" s="275"/>
      <c r="J133" s="275"/>
      <c r="K133" s="275"/>
      <c r="L133" s="275"/>
      <c r="M133" s="275"/>
      <c r="N133" s="275"/>
      <c r="O133" s="275"/>
      <c r="P133" s="275"/>
      <c r="Q133" s="275"/>
      <c r="R133" s="275"/>
      <c r="S133" s="275"/>
      <c r="T133" s="275"/>
      <c r="U133" s="275"/>
      <c r="V133" s="275"/>
      <c r="W133" s="275"/>
      <c r="X133" s="275"/>
      <c r="Y133" s="275"/>
      <c r="Z133" s="275"/>
    </row>
    <row r="134" spans="1:26" ht="12.75" customHeight="1" x14ac:dyDescent="0.25">
      <c r="A134" s="275"/>
      <c r="B134" s="342"/>
      <c r="C134" s="369"/>
      <c r="D134" s="337"/>
      <c r="E134" s="275"/>
      <c r="F134" s="275"/>
      <c r="G134" s="275"/>
      <c r="H134" s="275"/>
      <c r="I134" s="275"/>
      <c r="J134" s="275"/>
      <c r="K134" s="275"/>
      <c r="L134" s="275"/>
      <c r="M134" s="275"/>
      <c r="N134" s="275"/>
      <c r="O134" s="275"/>
      <c r="P134" s="275"/>
      <c r="Q134" s="275"/>
      <c r="R134" s="275"/>
      <c r="S134" s="275"/>
      <c r="T134" s="275"/>
      <c r="U134" s="275"/>
      <c r="V134" s="275"/>
      <c r="W134" s="275"/>
      <c r="X134" s="275"/>
      <c r="Y134" s="275"/>
      <c r="Z134" s="275"/>
    </row>
    <row r="135" spans="1:26" ht="12.75" customHeight="1" x14ac:dyDescent="0.25">
      <c r="A135" s="275"/>
      <c r="B135" s="342"/>
      <c r="C135" s="369"/>
      <c r="D135" s="337"/>
      <c r="E135" s="275"/>
      <c r="F135" s="275"/>
      <c r="G135" s="275"/>
      <c r="H135" s="275"/>
      <c r="I135" s="275"/>
      <c r="J135" s="275"/>
      <c r="K135" s="275"/>
      <c r="L135" s="275"/>
      <c r="M135" s="275"/>
      <c r="N135" s="275"/>
      <c r="O135" s="275"/>
      <c r="P135" s="275"/>
      <c r="Q135" s="275"/>
      <c r="R135" s="275"/>
      <c r="S135" s="275"/>
      <c r="T135" s="275"/>
      <c r="U135" s="275"/>
      <c r="V135" s="275"/>
      <c r="W135" s="275"/>
      <c r="X135" s="275"/>
      <c r="Y135" s="275"/>
      <c r="Z135" s="275"/>
    </row>
    <row r="136" spans="1:26" ht="12.75" customHeight="1" x14ac:dyDescent="0.25">
      <c r="A136" s="275"/>
      <c r="B136" s="342"/>
      <c r="C136" s="369"/>
      <c r="D136" s="337"/>
      <c r="E136" s="275"/>
      <c r="F136" s="275"/>
      <c r="G136" s="275"/>
      <c r="H136" s="275"/>
      <c r="I136" s="275"/>
      <c r="J136" s="275"/>
      <c r="K136" s="275"/>
      <c r="L136" s="275"/>
      <c r="M136" s="275"/>
      <c r="N136" s="275"/>
      <c r="O136" s="275"/>
      <c r="P136" s="275"/>
      <c r="Q136" s="275"/>
      <c r="R136" s="275"/>
      <c r="S136" s="275"/>
      <c r="T136" s="275"/>
      <c r="U136" s="275"/>
      <c r="V136" s="275"/>
      <c r="W136" s="275"/>
      <c r="X136" s="275"/>
      <c r="Y136" s="275"/>
      <c r="Z136" s="275"/>
    </row>
    <row r="137" spans="1:26" ht="12.75" customHeight="1" x14ac:dyDescent="0.25">
      <c r="A137" s="275"/>
      <c r="B137" s="342"/>
      <c r="C137" s="369"/>
      <c r="D137" s="337"/>
      <c r="E137" s="275"/>
      <c r="F137" s="275"/>
      <c r="G137" s="275"/>
      <c r="H137" s="275"/>
      <c r="I137" s="275"/>
      <c r="J137" s="275"/>
      <c r="K137" s="275"/>
      <c r="L137" s="275"/>
      <c r="M137" s="275"/>
      <c r="N137" s="275"/>
      <c r="O137" s="275"/>
      <c r="P137" s="275"/>
      <c r="Q137" s="275"/>
      <c r="R137" s="275"/>
      <c r="S137" s="275"/>
      <c r="T137" s="275"/>
      <c r="U137" s="275"/>
      <c r="V137" s="275"/>
      <c r="W137" s="275"/>
      <c r="X137" s="275"/>
      <c r="Y137" s="275"/>
      <c r="Z137" s="275"/>
    </row>
    <row r="138" spans="1:26" ht="12.75" customHeight="1" x14ac:dyDescent="0.25">
      <c r="A138" s="275"/>
      <c r="B138" s="342"/>
      <c r="C138" s="369"/>
      <c r="D138" s="337"/>
      <c r="E138" s="275"/>
      <c r="F138" s="275"/>
      <c r="G138" s="275"/>
      <c r="H138" s="275"/>
      <c r="I138" s="275"/>
      <c r="J138" s="275"/>
      <c r="K138" s="275"/>
      <c r="L138" s="275"/>
      <c r="M138" s="275"/>
      <c r="N138" s="275"/>
      <c r="O138" s="275"/>
      <c r="P138" s="275"/>
      <c r="Q138" s="275"/>
      <c r="R138" s="275"/>
      <c r="S138" s="275"/>
      <c r="T138" s="275"/>
      <c r="U138" s="275"/>
      <c r="V138" s="275"/>
      <c r="W138" s="275"/>
      <c r="X138" s="275"/>
      <c r="Y138" s="275"/>
      <c r="Z138" s="275"/>
    </row>
    <row r="139" spans="1:26" ht="12.75" customHeight="1" x14ac:dyDescent="0.25">
      <c r="A139" s="275"/>
      <c r="B139" s="342"/>
      <c r="C139" s="369"/>
      <c r="D139" s="337"/>
      <c r="E139" s="275"/>
      <c r="F139" s="275"/>
      <c r="G139" s="275"/>
      <c r="H139" s="275"/>
      <c r="I139" s="275"/>
      <c r="J139" s="275"/>
      <c r="K139" s="275"/>
      <c r="L139" s="275"/>
      <c r="M139" s="275"/>
      <c r="N139" s="275"/>
      <c r="O139" s="275"/>
      <c r="P139" s="275"/>
      <c r="Q139" s="275"/>
      <c r="R139" s="275"/>
      <c r="S139" s="275"/>
      <c r="T139" s="275"/>
      <c r="U139" s="275"/>
      <c r="V139" s="275"/>
      <c r="W139" s="275"/>
      <c r="X139" s="275"/>
      <c r="Y139" s="275"/>
      <c r="Z139" s="275"/>
    </row>
    <row r="140" spans="1:26" ht="12.75" customHeight="1" x14ac:dyDescent="0.25">
      <c r="A140" s="275"/>
      <c r="B140" s="342"/>
      <c r="C140" s="369"/>
      <c r="D140" s="337"/>
      <c r="E140" s="275"/>
      <c r="F140" s="275"/>
      <c r="G140" s="275"/>
      <c r="H140" s="275"/>
      <c r="I140" s="275"/>
      <c r="J140" s="275"/>
      <c r="K140" s="275"/>
      <c r="L140" s="275"/>
      <c r="M140" s="275"/>
      <c r="N140" s="275"/>
      <c r="O140" s="275"/>
      <c r="P140" s="275"/>
      <c r="Q140" s="275"/>
      <c r="R140" s="275"/>
      <c r="S140" s="275"/>
      <c r="T140" s="275"/>
      <c r="U140" s="275"/>
      <c r="V140" s="275"/>
      <c r="W140" s="275"/>
      <c r="X140" s="275"/>
      <c r="Y140" s="275"/>
      <c r="Z140" s="275"/>
    </row>
    <row r="141" spans="1:26" ht="12.75" customHeight="1" x14ac:dyDescent="0.25">
      <c r="A141" s="275"/>
      <c r="B141" s="342"/>
      <c r="C141" s="369"/>
      <c r="D141" s="337"/>
      <c r="E141" s="275"/>
      <c r="F141" s="275"/>
      <c r="G141" s="275"/>
      <c r="H141" s="275"/>
      <c r="I141" s="275"/>
      <c r="J141" s="275"/>
      <c r="K141" s="275"/>
      <c r="L141" s="275"/>
      <c r="M141" s="275"/>
      <c r="N141" s="275"/>
      <c r="O141" s="275"/>
      <c r="P141" s="275"/>
      <c r="Q141" s="275"/>
      <c r="R141" s="275"/>
      <c r="S141" s="275"/>
      <c r="T141" s="275"/>
      <c r="U141" s="275"/>
      <c r="V141" s="275"/>
      <c r="W141" s="275"/>
      <c r="X141" s="275"/>
      <c r="Y141" s="275"/>
      <c r="Z141" s="275"/>
    </row>
    <row r="142" spans="1:26" ht="12.75" customHeight="1" x14ac:dyDescent="0.25">
      <c r="A142" s="275"/>
      <c r="B142" s="342"/>
      <c r="C142" s="369"/>
      <c r="D142" s="337"/>
      <c r="E142" s="275"/>
      <c r="F142" s="275"/>
      <c r="G142" s="275"/>
      <c r="H142" s="275"/>
      <c r="I142" s="275"/>
      <c r="J142" s="275"/>
      <c r="K142" s="275"/>
      <c r="L142" s="275"/>
      <c r="M142" s="275"/>
      <c r="N142" s="275"/>
      <c r="O142" s="275"/>
      <c r="P142" s="275"/>
      <c r="Q142" s="275"/>
      <c r="R142" s="275"/>
      <c r="S142" s="275"/>
      <c r="T142" s="275"/>
      <c r="U142" s="275"/>
      <c r="V142" s="275"/>
      <c r="W142" s="275"/>
      <c r="X142" s="275"/>
      <c r="Y142" s="275"/>
      <c r="Z142" s="275"/>
    </row>
    <row r="143" spans="1:26" ht="12.75" customHeight="1" x14ac:dyDescent="0.25">
      <c r="A143" s="275"/>
      <c r="B143" s="342"/>
      <c r="C143" s="369"/>
      <c r="D143" s="337"/>
      <c r="E143" s="275"/>
      <c r="F143" s="275"/>
      <c r="G143" s="275"/>
      <c r="H143" s="275"/>
      <c r="I143" s="275"/>
      <c r="J143" s="275"/>
      <c r="K143" s="275"/>
      <c r="L143" s="275"/>
      <c r="M143" s="275"/>
      <c r="N143" s="275"/>
      <c r="O143" s="275"/>
      <c r="P143" s="275"/>
      <c r="Q143" s="275"/>
      <c r="R143" s="275"/>
      <c r="S143" s="275"/>
      <c r="T143" s="275"/>
      <c r="U143" s="275"/>
      <c r="V143" s="275"/>
      <c r="W143" s="275"/>
      <c r="X143" s="275"/>
      <c r="Y143" s="275"/>
      <c r="Z143" s="275"/>
    </row>
    <row r="144" spans="1:26" ht="12.75" customHeight="1" x14ac:dyDescent="0.25">
      <c r="A144" s="275"/>
      <c r="B144" s="342"/>
      <c r="C144" s="369"/>
      <c r="D144" s="337"/>
      <c r="E144" s="275"/>
      <c r="F144" s="275"/>
      <c r="G144" s="275"/>
      <c r="H144" s="275"/>
      <c r="I144" s="275"/>
      <c r="J144" s="275"/>
      <c r="K144" s="275"/>
      <c r="L144" s="275"/>
      <c r="M144" s="275"/>
      <c r="N144" s="275"/>
      <c r="O144" s="275"/>
      <c r="P144" s="275"/>
      <c r="Q144" s="275"/>
      <c r="R144" s="275"/>
      <c r="S144" s="275"/>
      <c r="T144" s="275"/>
      <c r="U144" s="275"/>
      <c r="V144" s="275"/>
      <c r="W144" s="275"/>
      <c r="X144" s="275"/>
      <c r="Y144" s="275"/>
      <c r="Z144" s="275"/>
    </row>
    <row r="145" spans="1:26" ht="12.75" customHeight="1" x14ac:dyDescent="0.25">
      <c r="A145" s="275"/>
      <c r="B145" s="342"/>
      <c r="C145" s="369"/>
      <c r="D145" s="337"/>
      <c r="E145" s="275"/>
      <c r="F145" s="275"/>
      <c r="G145" s="275"/>
      <c r="H145" s="275"/>
      <c r="I145" s="275"/>
      <c r="J145" s="275"/>
      <c r="K145" s="275"/>
      <c r="L145" s="275"/>
      <c r="M145" s="275"/>
      <c r="N145" s="275"/>
      <c r="O145" s="275"/>
      <c r="P145" s="275"/>
      <c r="Q145" s="275"/>
      <c r="R145" s="275"/>
      <c r="S145" s="275"/>
      <c r="T145" s="275"/>
      <c r="U145" s="275"/>
      <c r="V145" s="275"/>
      <c r="W145" s="275"/>
      <c r="X145" s="275"/>
      <c r="Y145" s="275"/>
      <c r="Z145" s="275"/>
    </row>
    <row r="146" spans="1:26" ht="12.75" customHeight="1" x14ac:dyDescent="0.25">
      <c r="A146" s="275"/>
      <c r="B146" s="342"/>
      <c r="C146" s="369"/>
      <c r="D146" s="337"/>
      <c r="E146" s="275"/>
      <c r="F146" s="275"/>
      <c r="G146" s="275"/>
      <c r="H146" s="275"/>
      <c r="I146" s="275"/>
      <c r="J146" s="275"/>
      <c r="K146" s="275"/>
      <c r="L146" s="275"/>
      <c r="M146" s="275"/>
      <c r="N146" s="275"/>
      <c r="O146" s="275"/>
      <c r="P146" s="275"/>
      <c r="Q146" s="275"/>
      <c r="R146" s="275"/>
      <c r="S146" s="275"/>
      <c r="T146" s="275"/>
      <c r="U146" s="275"/>
      <c r="V146" s="275"/>
      <c r="W146" s="275"/>
      <c r="X146" s="275"/>
      <c r="Y146" s="275"/>
      <c r="Z146" s="275"/>
    </row>
    <row r="147" spans="1:26" ht="12.75" customHeight="1" x14ac:dyDescent="0.25">
      <c r="A147" s="275"/>
      <c r="B147" s="342"/>
      <c r="C147" s="369"/>
      <c r="D147" s="337"/>
      <c r="E147" s="275"/>
      <c r="F147" s="275"/>
      <c r="G147" s="275"/>
      <c r="H147" s="275"/>
      <c r="I147" s="275"/>
      <c r="J147" s="275"/>
      <c r="K147" s="275"/>
      <c r="L147" s="275"/>
      <c r="M147" s="275"/>
      <c r="N147" s="275"/>
      <c r="O147" s="275"/>
      <c r="P147" s="275"/>
      <c r="Q147" s="275"/>
      <c r="R147" s="275"/>
      <c r="S147" s="275"/>
      <c r="T147" s="275"/>
      <c r="U147" s="275"/>
      <c r="V147" s="275"/>
      <c r="W147" s="275"/>
      <c r="X147" s="275"/>
      <c r="Y147" s="275"/>
      <c r="Z147" s="275"/>
    </row>
    <row r="148" spans="1:26" ht="12.75" customHeight="1" x14ac:dyDescent="0.25">
      <c r="A148" s="275"/>
      <c r="B148" s="342"/>
      <c r="C148" s="369"/>
      <c r="D148" s="337"/>
      <c r="E148" s="275"/>
      <c r="F148" s="275"/>
      <c r="G148" s="275"/>
      <c r="H148" s="275"/>
      <c r="I148" s="275"/>
      <c r="J148" s="275"/>
      <c r="K148" s="275"/>
      <c r="L148" s="275"/>
      <c r="M148" s="275"/>
      <c r="N148" s="275"/>
      <c r="O148" s="275"/>
      <c r="P148" s="275"/>
      <c r="Q148" s="275"/>
      <c r="R148" s="275"/>
      <c r="S148" s="275"/>
      <c r="T148" s="275"/>
      <c r="U148" s="275"/>
      <c r="V148" s="275"/>
      <c r="W148" s="275"/>
      <c r="X148" s="275"/>
      <c r="Y148" s="275"/>
      <c r="Z148" s="275"/>
    </row>
    <row r="149" spans="1:26" ht="12.75" customHeight="1" x14ac:dyDescent="0.25">
      <c r="A149" s="275"/>
      <c r="B149" s="342"/>
      <c r="C149" s="369"/>
      <c r="D149" s="337"/>
      <c r="E149" s="275"/>
      <c r="F149" s="275"/>
      <c r="G149" s="275"/>
      <c r="H149" s="275"/>
      <c r="I149" s="275"/>
      <c r="J149" s="275"/>
      <c r="K149" s="275"/>
      <c r="L149" s="275"/>
      <c r="M149" s="275"/>
      <c r="N149" s="275"/>
      <c r="O149" s="275"/>
      <c r="P149" s="275"/>
      <c r="Q149" s="275"/>
      <c r="R149" s="275"/>
      <c r="S149" s="275"/>
      <c r="T149" s="275"/>
      <c r="U149" s="275"/>
      <c r="V149" s="275"/>
      <c r="W149" s="275"/>
      <c r="X149" s="275"/>
      <c r="Y149" s="275"/>
      <c r="Z149" s="275"/>
    </row>
    <row r="150" spans="1:26" ht="12.75" customHeight="1" x14ac:dyDescent="0.25">
      <c r="A150" s="275"/>
      <c r="B150" s="342"/>
      <c r="C150" s="369"/>
      <c r="D150" s="337"/>
      <c r="E150" s="275"/>
      <c r="F150" s="275"/>
      <c r="G150" s="275"/>
      <c r="H150" s="275"/>
      <c r="I150" s="275"/>
      <c r="J150" s="275"/>
      <c r="K150" s="275"/>
      <c r="L150" s="275"/>
      <c r="M150" s="275"/>
      <c r="N150" s="275"/>
      <c r="O150" s="275"/>
      <c r="P150" s="275"/>
      <c r="Q150" s="275"/>
      <c r="R150" s="275"/>
      <c r="S150" s="275"/>
      <c r="T150" s="275"/>
      <c r="U150" s="275"/>
      <c r="V150" s="275"/>
      <c r="W150" s="275"/>
      <c r="X150" s="275"/>
      <c r="Y150" s="275"/>
      <c r="Z150" s="275"/>
    </row>
    <row r="151" spans="1:26" ht="12.75" customHeight="1" x14ac:dyDescent="0.25">
      <c r="A151" s="275"/>
      <c r="B151" s="342"/>
      <c r="C151" s="369"/>
      <c r="D151" s="337"/>
      <c r="E151" s="275"/>
      <c r="F151" s="275"/>
      <c r="G151" s="275"/>
      <c r="H151" s="275"/>
      <c r="I151" s="275"/>
      <c r="J151" s="275"/>
      <c r="K151" s="275"/>
      <c r="L151" s="275"/>
      <c r="M151" s="275"/>
      <c r="N151" s="275"/>
      <c r="O151" s="275"/>
      <c r="P151" s="275"/>
      <c r="Q151" s="275"/>
      <c r="R151" s="275"/>
      <c r="S151" s="275"/>
      <c r="T151" s="275"/>
      <c r="U151" s="275"/>
      <c r="V151" s="275"/>
      <c r="W151" s="275"/>
      <c r="X151" s="275"/>
      <c r="Y151" s="275"/>
      <c r="Z151" s="275"/>
    </row>
    <row r="152" spans="1:26" ht="12.75" customHeight="1" x14ac:dyDescent="0.25">
      <c r="A152" s="275"/>
      <c r="B152" s="342"/>
      <c r="C152" s="369"/>
      <c r="D152" s="337"/>
      <c r="E152" s="275"/>
      <c r="F152" s="275"/>
      <c r="G152" s="275"/>
      <c r="H152" s="275"/>
      <c r="I152" s="275"/>
      <c r="J152" s="275"/>
      <c r="K152" s="275"/>
      <c r="L152" s="275"/>
      <c r="M152" s="275"/>
      <c r="N152" s="275"/>
      <c r="O152" s="275"/>
      <c r="P152" s="275"/>
      <c r="Q152" s="275"/>
      <c r="R152" s="275"/>
      <c r="S152" s="275"/>
      <c r="T152" s="275"/>
      <c r="U152" s="275"/>
      <c r="V152" s="275"/>
      <c r="W152" s="275"/>
      <c r="X152" s="275"/>
      <c r="Y152" s="275"/>
      <c r="Z152" s="275"/>
    </row>
    <row r="153" spans="1:26" ht="12.75" customHeight="1" x14ac:dyDescent="0.25">
      <c r="A153" s="275"/>
      <c r="B153" s="342"/>
      <c r="C153" s="369"/>
      <c r="D153" s="337"/>
      <c r="E153" s="275"/>
      <c r="F153" s="275"/>
      <c r="G153" s="275"/>
      <c r="H153" s="275"/>
      <c r="I153" s="275"/>
      <c r="J153" s="275"/>
      <c r="K153" s="275"/>
      <c r="L153" s="275"/>
      <c r="M153" s="275"/>
      <c r="N153" s="275"/>
      <c r="O153" s="275"/>
      <c r="P153" s="275"/>
      <c r="Q153" s="275"/>
      <c r="R153" s="275"/>
      <c r="S153" s="275"/>
      <c r="T153" s="275"/>
      <c r="U153" s="275"/>
      <c r="V153" s="275"/>
      <c r="W153" s="275"/>
      <c r="X153" s="275"/>
      <c r="Y153" s="275"/>
      <c r="Z153" s="275"/>
    </row>
    <row r="154" spans="1:26" ht="12.75" customHeight="1" x14ac:dyDescent="0.25">
      <c r="A154" s="275"/>
      <c r="B154" s="342"/>
      <c r="C154" s="369"/>
      <c r="D154" s="337"/>
      <c r="E154" s="275"/>
      <c r="F154" s="275"/>
      <c r="G154" s="275"/>
      <c r="H154" s="275"/>
      <c r="I154" s="275"/>
      <c r="J154" s="275"/>
      <c r="K154" s="275"/>
      <c r="L154" s="275"/>
      <c r="M154" s="275"/>
      <c r="N154" s="275"/>
      <c r="O154" s="275"/>
      <c r="P154" s="275"/>
      <c r="Q154" s="275"/>
      <c r="R154" s="275"/>
      <c r="S154" s="275"/>
      <c r="T154" s="275"/>
      <c r="U154" s="275"/>
      <c r="V154" s="275"/>
      <c r="W154" s="275"/>
      <c r="X154" s="275"/>
      <c r="Y154" s="275"/>
      <c r="Z154" s="275"/>
    </row>
    <row r="155" spans="1:26" ht="12.75" customHeight="1" x14ac:dyDescent="0.25">
      <c r="A155" s="275"/>
      <c r="B155" s="342"/>
      <c r="C155" s="369"/>
      <c r="D155" s="337"/>
      <c r="E155" s="275"/>
      <c r="F155" s="275"/>
      <c r="G155" s="275"/>
      <c r="H155" s="275"/>
      <c r="I155" s="275"/>
      <c r="J155" s="275"/>
      <c r="K155" s="275"/>
      <c r="L155" s="275"/>
      <c r="M155" s="275"/>
      <c r="N155" s="275"/>
      <c r="O155" s="275"/>
      <c r="P155" s="275"/>
      <c r="Q155" s="275"/>
      <c r="R155" s="275"/>
      <c r="S155" s="275"/>
      <c r="T155" s="275"/>
      <c r="U155" s="275"/>
      <c r="V155" s="275"/>
      <c r="W155" s="275"/>
      <c r="X155" s="275"/>
      <c r="Y155" s="275"/>
      <c r="Z155" s="275"/>
    </row>
    <row r="156" spans="1:26" ht="12.75" customHeight="1" x14ac:dyDescent="0.25">
      <c r="A156" s="275"/>
      <c r="B156" s="342"/>
      <c r="C156" s="369"/>
      <c r="D156" s="337"/>
      <c r="E156" s="275"/>
      <c r="F156" s="275"/>
      <c r="G156" s="275"/>
      <c r="H156" s="275"/>
      <c r="I156" s="275"/>
      <c r="J156" s="275"/>
      <c r="K156" s="275"/>
      <c r="L156" s="275"/>
      <c r="M156" s="275"/>
      <c r="N156" s="275"/>
      <c r="O156" s="275"/>
      <c r="P156" s="275"/>
      <c r="Q156" s="275"/>
      <c r="R156" s="275"/>
      <c r="S156" s="275"/>
      <c r="T156" s="275"/>
      <c r="U156" s="275"/>
      <c r="V156" s="275"/>
      <c r="W156" s="275"/>
      <c r="X156" s="275"/>
      <c r="Y156" s="275"/>
      <c r="Z156" s="275"/>
    </row>
    <row r="157" spans="1:26" ht="12.75" customHeight="1" x14ac:dyDescent="0.25">
      <c r="A157" s="275"/>
      <c r="B157" s="342"/>
      <c r="C157" s="369"/>
      <c r="D157" s="337"/>
      <c r="E157" s="275"/>
      <c r="F157" s="275"/>
      <c r="G157" s="275"/>
      <c r="H157" s="275"/>
      <c r="I157" s="275"/>
      <c r="J157" s="275"/>
      <c r="K157" s="275"/>
      <c r="L157" s="275"/>
      <c r="M157" s="275"/>
      <c r="N157" s="275"/>
      <c r="O157" s="275"/>
      <c r="P157" s="275"/>
      <c r="Q157" s="275"/>
      <c r="R157" s="275"/>
      <c r="S157" s="275"/>
      <c r="T157" s="275"/>
      <c r="U157" s="275"/>
      <c r="V157" s="275"/>
      <c r="W157" s="275"/>
      <c r="X157" s="275"/>
      <c r="Y157" s="275"/>
      <c r="Z157" s="275"/>
    </row>
    <row r="158" spans="1:26" ht="12.75" customHeight="1" x14ac:dyDescent="0.25">
      <c r="A158" s="275"/>
      <c r="B158" s="342"/>
      <c r="C158" s="369"/>
      <c r="D158" s="337"/>
      <c r="E158" s="275"/>
      <c r="F158" s="275"/>
      <c r="G158" s="275"/>
      <c r="H158" s="275"/>
      <c r="I158" s="275"/>
      <c r="J158" s="275"/>
      <c r="K158" s="275"/>
      <c r="L158" s="275"/>
      <c r="M158" s="275"/>
      <c r="N158" s="275"/>
      <c r="O158" s="275"/>
      <c r="P158" s="275"/>
      <c r="Q158" s="275"/>
      <c r="R158" s="275"/>
      <c r="S158" s="275"/>
      <c r="T158" s="275"/>
      <c r="U158" s="275"/>
      <c r="V158" s="275"/>
      <c r="W158" s="275"/>
      <c r="X158" s="275"/>
      <c r="Y158" s="275"/>
      <c r="Z158" s="275"/>
    </row>
    <row r="159" spans="1:26" ht="12.75" customHeight="1" x14ac:dyDescent="0.25">
      <c r="A159" s="275"/>
      <c r="B159" s="342"/>
      <c r="C159" s="369"/>
      <c r="D159" s="337"/>
      <c r="E159" s="275"/>
      <c r="F159" s="275"/>
      <c r="G159" s="275"/>
      <c r="H159" s="275"/>
      <c r="I159" s="275"/>
      <c r="J159" s="275"/>
      <c r="K159" s="275"/>
      <c r="L159" s="275"/>
      <c r="M159" s="275"/>
      <c r="N159" s="275"/>
      <c r="O159" s="275"/>
      <c r="P159" s="275"/>
      <c r="Q159" s="275"/>
      <c r="R159" s="275"/>
      <c r="S159" s="275"/>
      <c r="T159" s="275"/>
      <c r="U159" s="275"/>
      <c r="V159" s="275"/>
      <c r="W159" s="275"/>
      <c r="X159" s="275"/>
      <c r="Y159" s="275"/>
      <c r="Z159" s="275"/>
    </row>
    <row r="160" spans="1:26" ht="12.75" customHeight="1" x14ac:dyDescent="0.25">
      <c r="A160" s="275"/>
      <c r="B160" s="342"/>
      <c r="C160" s="369"/>
      <c r="D160" s="337"/>
      <c r="E160" s="275"/>
      <c r="F160" s="275"/>
      <c r="G160" s="275"/>
      <c r="H160" s="275"/>
      <c r="I160" s="275"/>
      <c r="J160" s="275"/>
      <c r="K160" s="275"/>
      <c r="L160" s="275"/>
      <c r="M160" s="275"/>
      <c r="N160" s="275"/>
      <c r="O160" s="275"/>
      <c r="P160" s="275"/>
      <c r="Q160" s="275"/>
      <c r="R160" s="275"/>
      <c r="S160" s="275"/>
      <c r="T160" s="275"/>
      <c r="U160" s="275"/>
      <c r="V160" s="275"/>
      <c r="W160" s="275"/>
      <c r="X160" s="275"/>
      <c r="Y160" s="275"/>
      <c r="Z160" s="275"/>
    </row>
    <row r="161" spans="1:26" ht="12.75" customHeight="1" x14ac:dyDescent="0.25">
      <c r="A161" s="275"/>
      <c r="B161" s="342"/>
      <c r="C161" s="369"/>
      <c r="D161" s="337"/>
      <c r="E161" s="275"/>
      <c r="F161" s="275"/>
      <c r="G161" s="275"/>
      <c r="H161" s="275"/>
      <c r="I161" s="275"/>
      <c r="J161" s="275"/>
      <c r="K161" s="275"/>
      <c r="L161" s="275"/>
      <c r="M161" s="275"/>
      <c r="N161" s="275"/>
      <c r="O161" s="275"/>
      <c r="P161" s="275"/>
      <c r="Q161" s="275"/>
      <c r="R161" s="275"/>
      <c r="S161" s="275"/>
      <c r="T161" s="275"/>
      <c r="U161" s="275"/>
      <c r="V161" s="275"/>
      <c r="W161" s="275"/>
      <c r="X161" s="275"/>
      <c r="Y161" s="275"/>
      <c r="Z161" s="275"/>
    </row>
    <row r="162" spans="1:26" ht="12.75" customHeight="1" x14ac:dyDescent="0.25">
      <c r="A162" s="275"/>
      <c r="B162" s="342"/>
      <c r="C162" s="369"/>
      <c r="D162" s="337"/>
      <c r="E162" s="275"/>
      <c r="F162" s="275"/>
      <c r="G162" s="275"/>
      <c r="H162" s="275"/>
      <c r="I162" s="275"/>
      <c r="J162" s="275"/>
      <c r="K162" s="275"/>
      <c r="L162" s="275"/>
      <c r="M162" s="275"/>
      <c r="N162" s="275"/>
      <c r="O162" s="275"/>
      <c r="P162" s="275"/>
      <c r="Q162" s="275"/>
      <c r="R162" s="275"/>
      <c r="S162" s="275"/>
      <c r="T162" s="275"/>
      <c r="U162" s="275"/>
      <c r="V162" s="275"/>
      <c r="W162" s="275"/>
      <c r="X162" s="275"/>
      <c r="Y162" s="275"/>
      <c r="Z162" s="275"/>
    </row>
    <row r="163" spans="1:26" ht="12.75" customHeight="1" x14ac:dyDescent="0.25">
      <c r="A163" s="275"/>
      <c r="B163" s="342"/>
      <c r="C163" s="369"/>
      <c r="D163" s="337"/>
      <c r="E163" s="275"/>
      <c r="F163" s="275"/>
      <c r="G163" s="275"/>
      <c r="H163" s="275"/>
      <c r="I163" s="275"/>
      <c r="J163" s="275"/>
      <c r="K163" s="275"/>
      <c r="L163" s="275"/>
      <c r="M163" s="275"/>
      <c r="N163" s="275"/>
      <c r="O163" s="275"/>
      <c r="P163" s="275"/>
      <c r="Q163" s="275"/>
      <c r="R163" s="275"/>
      <c r="S163" s="275"/>
      <c r="T163" s="275"/>
      <c r="U163" s="275"/>
      <c r="V163" s="275"/>
      <c r="W163" s="275"/>
      <c r="X163" s="275"/>
      <c r="Y163" s="275"/>
      <c r="Z163" s="275"/>
    </row>
    <row r="164" spans="1:26" ht="12.75" customHeight="1" x14ac:dyDescent="0.25">
      <c r="A164" s="275"/>
      <c r="B164" s="342"/>
      <c r="C164" s="369"/>
      <c r="D164" s="337"/>
      <c r="E164" s="275"/>
      <c r="F164" s="275"/>
      <c r="G164" s="275"/>
      <c r="H164" s="275"/>
      <c r="I164" s="275"/>
      <c r="J164" s="275"/>
      <c r="K164" s="275"/>
      <c r="L164" s="275"/>
      <c r="M164" s="275"/>
      <c r="N164" s="275"/>
      <c r="O164" s="275"/>
      <c r="P164" s="275"/>
      <c r="Q164" s="275"/>
      <c r="R164" s="275"/>
      <c r="S164" s="275"/>
      <c r="T164" s="275"/>
      <c r="U164" s="275"/>
      <c r="V164" s="275"/>
      <c r="W164" s="275"/>
      <c r="X164" s="275"/>
      <c r="Y164" s="275"/>
      <c r="Z164" s="275"/>
    </row>
    <row r="165" spans="1:26" ht="12.75" customHeight="1" x14ac:dyDescent="0.25">
      <c r="A165" s="275"/>
      <c r="B165" s="342"/>
      <c r="C165" s="369"/>
      <c r="D165" s="337"/>
      <c r="E165" s="275"/>
      <c r="F165" s="275"/>
      <c r="G165" s="275"/>
      <c r="H165" s="275"/>
      <c r="I165" s="275"/>
      <c r="J165" s="275"/>
      <c r="K165" s="275"/>
      <c r="L165" s="275"/>
      <c r="M165" s="275"/>
      <c r="N165" s="275"/>
      <c r="O165" s="275"/>
      <c r="P165" s="275"/>
      <c r="Q165" s="275"/>
      <c r="R165" s="275"/>
      <c r="S165" s="275"/>
      <c r="T165" s="275"/>
      <c r="U165" s="275"/>
      <c r="V165" s="275"/>
      <c r="W165" s="275"/>
      <c r="X165" s="275"/>
      <c r="Y165" s="275"/>
      <c r="Z165" s="275"/>
    </row>
    <row r="166" spans="1:26" ht="12.75" customHeight="1" x14ac:dyDescent="0.25">
      <c r="A166" s="275"/>
      <c r="B166" s="342"/>
      <c r="C166" s="369"/>
      <c r="D166" s="337"/>
      <c r="E166" s="275"/>
      <c r="F166" s="275"/>
      <c r="G166" s="275"/>
      <c r="H166" s="275"/>
      <c r="I166" s="275"/>
      <c r="J166" s="275"/>
      <c r="K166" s="275"/>
      <c r="L166" s="275"/>
      <c r="M166" s="275"/>
      <c r="N166" s="275"/>
      <c r="O166" s="275"/>
      <c r="P166" s="275"/>
      <c r="Q166" s="275"/>
      <c r="R166" s="275"/>
      <c r="S166" s="275"/>
      <c r="T166" s="275"/>
      <c r="U166" s="275"/>
      <c r="V166" s="275"/>
      <c r="W166" s="275"/>
      <c r="X166" s="275"/>
      <c r="Y166" s="275"/>
      <c r="Z166" s="275"/>
    </row>
    <row r="167" spans="1:26" ht="12.75" customHeight="1" x14ac:dyDescent="0.25">
      <c r="A167" s="275"/>
      <c r="B167" s="342"/>
      <c r="C167" s="369"/>
      <c r="D167" s="337"/>
      <c r="E167" s="275"/>
      <c r="F167" s="275"/>
      <c r="G167" s="275"/>
      <c r="H167" s="275"/>
      <c r="I167" s="275"/>
      <c r="J167" s="275"/>
      <c r="K167" s="275"/>
      <c r="L167" s="275"/>
      <c r="M167" s="275"/>
      <c r="N167" s="275"/>
      <c r="O167" s="275"/>
      <c r="P167" s="275"/>
      <c r="Q167" s="275"/>
      <c r="R167" s="275"/>
      <c r="S167" s="275"/>
      <c r="T167" s="275"/>
      <c r="U167" s="275"/>
      <c r="V167" s="275"/>
      <c r="W167" s="275"/>
      <c r="X167" s="275"/>
      <c r="Y167" s="275"/>
      <c r="Z167" s="275"/>
    </row>
    <row r="168" spans="1:26" ht="12.75" customHeight="1" x14ac:dyDescent="0.25">
      <c r="A168" s="275"/>
      <c r="B168" s="342"/>
      <c r="C168" s="369"/>
      <c r="D168" s="337"/>
      <c r="E168" s="275"/>
      <c r="F168" s="275"/>
      <c r="G168" s="275"/>
      <c r="H168" s="275"/>
      <c r="I168" s="275"/>
      <c r="J168" s="275"/>
      <c r="K168" s="275"/>
      <c r="L168" s="275"/>
      <c r="M168" s="275"/>
      <c r="N168" s="275"/>
      <c r="O168" s="275"/>
      <c r="P168" s="275"/>
      <c r="Q168" s="275"/>
      <c r="R168" s="275"/>
      <c r="S168" s="275"/>
      <c r="T168" s="275"/>
      <c r="U168" s="275"/>
      <c r="V168" s="275"/>
      <c r="W168" s="275"/>
      <c r="X168" s="275"/>
      <c r="Y168" s="275"/>
      <c r="Z168" s="275"/>
    </row>
    <row r="169" spans="1:26" ht="12.75" customHeight="1" x14ac:dyDescent="0.25">
      <c r="A169" s="275"/>
      <c r="B169" s="342"/>
      <c r="C169" s="369"/>
      <c r="D169" s="337"/>
      <c r="E169" s="275"/>
      <c r="F169" s="275"/>
      <c r="G169" s="275"/>
      <c r="H169" s="275"/>
      <c r="I169" s="275"/>
      <c r="J169" s="275"/>
      <c r="K169" s="275"/>
      <c r="L169" s="275"/>
      <c r="M169" s="275"/>
      <c r="N169" s="275"/>
      <c r="O169" s="275"/>
      <c r="P169" s="275"/>
      <c r="Q169" s="275"/>
      <c r="R169" s="275"/>
      <c r="S169" s="275"/>
      <c r="T169" s="275"/>
      <c r="U169" s="275"/>
      <c r="V169" s="275"/>
      <c r="W169" s="275"/>
      <c r="X169" s="275"/>
      <c r="Y169" s="275"/>
      <c r="Z169" s="275"/>
    </row>
    <row r="170" spans="1:26" ht="12.75" customHeight="1" x14ac:dyDescent="0.25">
      <c r="A170" s="275"/>
      <c r="B170" s="342"/>
      <c r="C170" s="369"/>
      <c r="D170" s="337"/>
      <c r="E170" s="275"/>
      <c r="F170" s="275"/>
      <c r="G170" s="275"/>
      <c r="H170" s="275"/>
      <c r="I170" s="275"/>
      <c r="J170" s="275"/>
      <c r="K170" s="275"/>
      <c r="L170" s="275"/>
      <c r="M170" s="275"/>
      <c r="N170" s="275"/>
      <c r="O170" s="275"/>
      <c r="P170" s="275"/>
      <c r="Q170" s="275"/>
      <c r="R170" s="275"/>
      <c r="S170" s="275"/>
      <c r="T170" s="275"/>
      <c r="U170" s="275"/>
      <c r="V170" s="275"/>
      <c r="W170" s="275"/>
      <c r="X170" s="275"/>
      <c r="Y170" s="275"/>
      <c r="Z170" s="275"/>
    </row>
    <row r="171" spans="1:26" ht="12.75" customHeight="1" x14ac:dyDescent="0.25">
      <c r="A171" s="275"/>
      <c r="B171" s="342"/>
      <c r="C171" s="369"/>
      <c r="D171" s="337"/>
      <c r="E171" s="275"/>
      <c r="F171" s="275"/>
      <c r="G171" s="275"/>
      <c r="H171" s="275"/>
      <c r="I171" s="275"/>
      <c r="J171" s="275"/>
      <c r="K171" s="275"/>
      <c r="L171" s="275"/>
      <c r="M171" s="275"/>
      <c r="N171" s="275"/>
      <c r="O171" s="275"/>
      <c r="P171" s="275"/>
      <c r="Q171" s="275"/>
      <c r="R171" s="275"/>
      <c r="S171" s="275"/>
      <c r="T171" s="275"/>
      <c r="U171" s="275"/>
      <c r="V171" s="275"/>
      <c r="W171" s="275"/>
      <c r="X171" s="275"/>
      <c r="Y171" s="275"/>
      <c r="Z171" s="275"/>
    </row>
    <row r="172" spans="1:26" ht="12.75" customHeight="1" x14ac:dyDescent="0.25">
      <c r="A172" s="275"/>
      <c r="B172" s="342"/>
      <c r="C172" s="369"/>
      <c r="D172" s="337"/>
      <c r="E172" s="275"/>
      <c r="F172" s="275"/>
      <c r="G172" s="275"/>
      <c r="H172" s="275"/>
      <c r="I172" s="275"/>
      <c r="J172" s="275"/>
      <c r="K172" s="275"/>
      <c r="L172" s="275"/>
      <c r="M172" s="275"/>
      <c r="N172" s="275"/>
      <c r="O172" s="275"/>
      <c r="P172" s="275"/>
      <c r="Q172" s="275"/>
      <c r="R172" s="275"/>
      <c r="S172" s="275"/>
      <c r="T172" s="275"/>
      <c r="U172" s="275"/>
      <c r="V172" s="275"/>
      <c r="W172" s="275"/>
      <c r="X172" s="275"/>
      <c r="Y172" s="275"/>
      <c r="Z172" s="275"/>
    </row>
    <row r="173" spans="1:26" ht="12.75" customHeight="1" x14ac:dyDescent="0.25">
      <c r="A173" s="275"/>
      <c r="B173" s="342"/>
      <c r="C173" s="369"/>
      <c r="D173" s="337"/>
      <c r="E173" s="275"/>
      <c r="F173" s="275"/>
      <c r="G173" s="275"/>
      <c r="H173" s="275"/>
      <c r="I173" s="275"/>
      <c r="J173" s="275"/>
      <c r="K173" s="275"/>
      <c r="L173" s="275"/>
      <c r="M173" s="275"/>
      <c r="N173" s="275"/>
      <c r="O173" s="275"/>
      <c r="P173" s="275"/>
      <c r="Q173" s="275"/>
      <c r="R173" s="275"/>
      <c r="S173" s="275"/>
      <c r="T173" s="275"/>
      <c r="U173" s="275"/>
      <c r="V173" s="275"/>
      <c r="W173" s="275"/>
      <c r="X173" s="275"/>
      <c r="Y173" s="275"/>
      <c r="Z173" s="275"/>
    </row>
    <row r="174" spans="1:26" ht="12.75" customHeight="1" x14ac:dyDescent="0.25">
      <c r="A174" s="275"/>
      <c r="B174" s="342"/>
      <c r="C174" s="369"/>
      <c r="D174" s="337"/>
      <c r="E174" s="275"/>
      <c r="F174" s="275"/>
      <c r="G174" s="275"/>
      <c r="H174" s="275"/>
      <c r="I174" s="275"/>
      <c r="J174" s="275"/>
      <c r="K174" s="275"/>
      <c r="L174" s="275"/>
      <c r="M174" s="275"/>
      <c r="N174" s="275"/>
      <c r="O174" s="275"/>
      <c r="P174" s="275"/>
      <c r="Q174" s="275"/>
      <c r="R174" s="275"/>
      <c r="S174" s="275"/>
      <c r="T174" s="275"/>
      <c r="U174" s="275"/>
      <c r="V174" s="275"/>
      <c r="W174" s="275"/>
      <c r="X174" s="275"/>
      <c r="Y174" s="275"/>
      <c r="Z174" s="275"/>
    </row>
    <row r="175" spans="1:26" ht="12.75" customHeight="1" x14ac:dyDescent="0.25">
      <c r="A175" s="275"/>
      <c r="B175" s="342"/>
      <c r="C175" s="369"/>
      <c r="D175" s="337"/>
      <c r="E175" s="275"/>
      <c r="F175" s="275"/>
      <c r="G175" s="275"/>
      <c r="H175" s="275"/>
      <c r="I175" s="275"/>
      <c r="J175" s="275"/>
      <c r="K175" s="275"/>
      <c r="L175" s="275"/>
      <c r="M175" s="275"/>
      <c r="N175" s="275"/>
      <c r="O175" s="275"/>
      <c r="P175" s="275"/>
      <c r="Q175" s="275"/>
      <c r="R175" s="275"/>
      <c r="S175" s="275"/>
      <c r="T175" s="275"/>
      <c r="U175" s="275"/>
      <c r="V175" s="275"/>
      <c r="W175" s="275"/>
      <c r="X175" s="275"/>
      <c r="Y175" s="275"/>
      <c r="Z175" s="275"/>
    </row>
    <row r="176" spans="1:26" ht="12.75" customHeight="1" x14ac:dyDescent="0.25">
      <c r="A176" s="275"/>
      <c r="B176" s="342"/>
      <c r="C176" s="369"/>
      <c r="D176" s="337"/>
      <c r="E176" s="275"/>
      <c r="F176" s="275"/>
      <c r="G176" s="275"/>
      <c r="H176" s="275"/>
      <c r="I176" s="275"/>
      <c r="J176" s="275"/>
      <c r="K176" s="275"/>
      <c r="L176" s="275"/>
      <c r="M176" s="275"/>
      <c r="N176" s="275"/>
      <c r="O176" s="275"/>
      <c r="P176" s="275"/>
      <c r="Q176" s="275"/>
      <c r="R176" s="275"/>
      <c r="S176" s="275"/>
      <c r="T176" s="275"/>
      <c r="U176" s="275"/>
      <c r="V176" s="275"/>
      <c r="W176" s="275"/>
      <c r="X176" s="275"/>
      <c r="Y176" s="275"/>
      <c r="Z176" s="275"/>
    </row>
    <row r="177" spans="1:26" ht="12.75" customHeight="1" x14ac:dyDescent="0.25">
      <c r="A177" s="275"/>
      <c r="B177" s="342"/>
      <c r="C177" s="369"/>
      <c r="D177" s="337"/>
      <c r="E177" s="275"/>
      <c r="F177" s="275"/>
      <c r="G177" s="275"/>
      <c r="H177" s="275"/>
      <c r="I177" s="275"/>
      <c r="J177" s="275"/>
      <c r="K177" s="275"/>
      <c r="L177" s="275"/>
      <c r="M177" s="275"/>
      <c r="N177" s="275"/>
      <c r="O177" s="275"/>
      <c r="P177" s="275"/>
      <c r="Q177" s="275"/>
      <c r="R177" s="275"/>
      <c r="S177" s="275"/>
      <c r="T177" s="275"/>
      <c r="U177" s="275"/>
      <c r="V177" s="275"/>
      <c r="W177" s="275"/>
      <c r="X177" s="275"/>
      <c r="Y177" s="275"/>
      <c r="Z177" s="275"/>
    </row>
    <row r="178" spans="1:26" ht="12.75" customHeight="1" x14ac:dyDescent="0.25">
      <c r="A178" s="275"/>
      <c r="B178" s="342"/>
      <c r="C178" s="369"/>
      <c r="D178" s="337"/>
      <c r="E178" s="275"/>
      <c r="F178" s="275"/>
      <c r="G178" s="275"/>
      <c r="H178" s="275"/>
      <c r="I178" s="275"/>
      <c r="J178" s="275"/>
      <c r="K178" s="275"/>
      <c r="L178" s="275"/>
      <c r="M178" s="275"/>
      <c r="N178" s="275"/>
      <c r="O178" s="275"/>
      <c r="P178" s="275"/>
      <c r="Q178" s="275"/>
      <c r="R178" s="275"/>
      <c r="S178" s="275"/>
      <c r="T178" s="275"/>
      <c r="U178" s="275"/>
      <c r="V178" s="275"/>
      <c r="W178" s="275"/>
      <c r="X178" s="275"/>
      <c r="Y178" s="275"/>
      <c r="Z178" s="275"/>
    </row>
    <row r="179" spans="1:26" ht="12.75" customHeight="1" x14ac:dyDescent="0.25">
      <c r="A179" s="275"/>
      <c r="B179" s="342"/>
      <c r="C179" s="369"/>
      <c r="D179" s="337"/>
      <c r="E179" s="275"/>
      <c r="F179" s="275"/>
      <c r="G179" s="275"/>
      <c r="H179" s="275"/>
      <c r="I179" s="275"/>
      <c r="J179" s="275"/>
      <c r="K179" s="275"/>
      <c r="L179" s="275"/>
      <c r="M179" s="275"/>
      <c r="N179" s="275"/>
      <c r="O179" s="275"/>
      <c r="P179" s="275"/>
      <c r="Q179" s="275"/>
      <c r="R179" s="275"/>
      <c r="S179" s="275"/>
      <c r="T179" s="275"/>
      <c r="U179" s="275"/>
      <c r="V179" s="275"/>
      <c r="W179" s="275"/>
      <c r="X179" s="275"/>
      <c r="Y179" s="275"/>
      <c r="Z179" s="275"/>
    </row>
    <row r="180" spans="1:26" ht="12.75" customHeight="1" x14ac:dyDescent="0.25">
      <c r="A180" s="275"/>
      <c r="B180" s="342"/>
      <c r="C180" s="369"/>
      <c r="D180" s="337"/>
      <c r="E180" s="275"/>
      <c r="F180" s="275"/>
      <c r="G180" s="275"/>
      <c r="H180" s="275"/>
      <c r="I180" s="275"/>
      <c r="J180" s="275"/>
      <c r="K180" s="275"/>
      <c r="L180" s="275"/>
      <c r="M180" s="275"/>
      <c r="N180" s="275"/>
      <c r="O180" s="275"/>
      <c r="P180" s="275"/>
      <c r="Q180" s="275"/>
      <c r="R180" s="275"/>
      <c r="S180" s="275"/>
      <c r="T180" s="275"/>
      <c r="U180" s="275"/>
      <c r="V180" s="275"/>
      <c r="W180" s="275"/>
      <c r="X180" s="275"/>
      <c r="Y180" s="275"/>
      <c r="Z180" s="275"/>
    </row>
    <row r="181" spans="1:26" ht="12.75" customHeight="1" x14ac:dyDescent="0.25">
      <c r="A181" s="275"/>
      <c r="B181" s="342"/>
      <c r="C181" s="369"/>
      <c r="D181" s="337"/>
      <c r="E181" s="275"/>
      <c r="F181" s="275"/>
      <c r="G181" s="275"/>
      <c r="H181" s="275"/>
      <c r="I181" s="275"/>
      <c r="J181" s="275"/>
      <c r="K181" s="275"/>
      <c r="L181" s="275"/>
      <c r="M181" s="275"/>
      <c r="N181" s="275"/>
      <c r="O181" s="275"/>
      <c r="P181" s="275"/>
      <c r="Q181" s="275"/>
      <c r="R181" s="275"/>
      <c r="S181" s="275"/>
      <c r="T181" s="275"/>
      <c r="U181" s="275"/>
      <c r="V181" s="275"/>
      <c r="W181" s="275"/>
      <c r="X181" s="275"/>
      <c r="Y181" s="275"/>
      <c r="Z181" s="275"/>
    </row>
    <row r="182" spans="1:26" ht="12.75" customHeight="1" x14ac:dyDescent="0.25">
      <c r="A182" s="275"/>
      <c r="B182" s="342"/>
      <c r="C182" s="369"/>
      <c r="D182" s="337"/>
      <c r="E182" s="275"/>
      <c r="F182" s="275"/>
      <c r="G182" s="275"/>
      <c r="H182" s="275"/>
      <c r="I182" s="275"/>
      <c r="J182" s="275"/>
      <c r="K182" s="275"/>
      <c r="L182" s="275"/>
      <c r="M182" s="275"/>
      <c r="N182" s="275"/>
      <c r="O182" s="275"/>
      <c r="P182" s="275"/>
      <c r="Q182" s="275"/>
      <c r="R182" s="275"/>
      <c r="S182" s="275"/>
      <c r="T182" s="275"/>
      <c r="U182" s="275"/>
      <c r="V182" s="275"/>
      <c r="W182" s="275"/>
      <c r="X182" s="275"/>
      <c r="Y182" s="275"/>
      <c r="Z182" s="275"/>
    </row>
    <row r="183" spans="1:26" ht="12.75" customHeight="1" x14ac:dyDescent="0.25">
      <c r="A183" s="275"/>
      <c r="B183" s="342"/>
      <c r="C183" s="369"/>
      <c r="D183" s="337"/>
      <c r="E183" s="275"/>
      <c r="F183" s="275"/>
      <c r="G183" s="275"/>
      <c r="H183" s="275"/>
      <c r="I183" s="275"/>
      <c r="J183" s="275"/>
      <c r="K183" s="275"/>
      <c r="L183" s="275"/>
      <c r="M183" s="275"/>
      <c r="N183" s="275"/>
      <c r="O183" s="275"/>
      <c r="P183" s="275"/>
      <c r="Q183" s="275"/>
      <c r="R183" s="275"/>
      <c r="S183" s="275"/>
      <c r="T183" s="275"/>
      <c r="U183" s="275"/>
      <c r="V183" s="275"/>
      <c r="W183" s="275"/>
      <c r="X183" s="275"/>
      <c r="Y183" s="275"/>
      <c r="Z183" s="275"/>
    </row>
    <row r="184" spans="1:26" ht="12.75" customHeight="1" x14ac:dyDescent="0.25">
      <c r="A184" s="275"/>
      <c r="B184" s="342"/>
      <c r="C184" s="369"/>
      <c r="D184" s="337"/>
      <c r="E184" s="275"/>
      <c r="F184" s="275"/>
      <c r="G184" s="275"/>
      <c r="H184" s="275"/>
      <c r="I184" s="275"/>
      <c r="J184" s="275"/>
      <c r="K184" s="275"/>
      <c r="L184" s="275"/>
      <c r="M184" s="275"/>
      <c r="N184" s="275"/>
      <c r="O184" s="275"/>
      <c r="P184" s="275"/>
      <c r="Q184" s="275"/>
      <c r="R184" s="275"/>
      <c r="S184" s="275"/>
      <c r="T184" s="275"/>
      <c r="U184" s="275"/>
      <c r="V184" s="275"/>
      <c r="W184" s="275"/>
      <c r="X184" s="275"/>
      <c r="Y184" s="275"/>
      <c r="Z184" s="275"/>
    </row>
    <row r="185" spans="1:26" ht="12.75" customHeight="1" x14ac:dyDescent="0.25">
      <c r="A185" s="275"/>
      <c r="B185" s="342"/>
      <c r="C185" s="369"/>
      <c r="D185" s="337"/>
      <c r="E185" s="275"/>
      <c r="F185" s="275"/>
      <c r="G185" s="275"/>
      <c r="H185" s="275"/>
      <c r="I185" s="275"/>
      <c r="J185" s="275"/>
      <c r="K185" s="275"/>
      <c r="L185" s="275"/>
      <c r="M185" s="275"/>
      <c r="N185" s="275"/>
      <c r="O185" s="275"/>
      <c r="P185" s="275"/>
      <c r="Q185" s="275"/>
      <c r="R185" s="275"/>
      <c r="S185" s="275"/>
      <c r="T185" s="275"/>
      <c r="U185" s="275"/>
      <c r="V185" s="275"/>
      <c r="W185" s="275"/>
      <c r="X185" s="275"/>
      <c r="Y185" s="275"/>
      <c r="Z185" s="275"/>
    </row>
    <row r="186" spans="1:26" ht="12.75" customHeight="1" x14ac:dyDescent="0.25">
      <c r="A186" s="275"/>
      <c r="B186" s="342"/>
      <c r="C186" s="369"/>
      <c r="D186" s="337"/>
      <c r="E186" s="275"/>
      <c r="F186" s="275"/>
      <c r="G186" s="275"/>
      <c r="H186" s="275"/>
      <c r="I186" s="275"/>
      <c r="J186" s="275"/>
      <c r="K186" s="275"/>
      <c r="L186" s="275"/>
      <c r="M186" s="275"/>
      <c r="N186" s="275"/>
      <c r="O186" s="275"/>
      <c r="P186" s="275"/>
      <c r="Q186" s="275"/>
      <c r="R186" s="275"/>
      <c r="S186" s="275"/>
      <c r="T186" s="275"/>
      <c r="U186" s="275"/>
      <c r="V186" s="275"/>
      <c r="W186" s="275"/>
      <c r="X186" s="275"/>
      <c r="Y186" s="275"/>
      <c r="Z186" s="275"/>
    </row>
    <row r="187" spans="1:26" ht="12.75" customHeight="1" x14ac:dyDescent="0.25">
      <c r="A187" s="275"/>
      <c r="B187" s="342"/>
      <c r="C187" s="369"/>
      <c r="D187" s="337"/>
      <c r="E187" s="275"/>
      <c r="F187" s="275"/>
      <c r="G187" s="275"/>
      <c r="H187" s="275"/>
      <c r="I187" s="275"/>
      <c r="J187" s="275"/>
      <c r="K187" s="275"/>
      <c r="L187" s="275"/>
      <c r="M187" s="275"/>
      <c r="N187" s="275"/>
      <c r="O187" s="275"/>
      <c r="P187" s="275"/>
      <c r="Q187" s="275"/>
      <c r="R187" s="275"/>
      <c r="S187" s="275"/>
      <c r="T187" s="275"/>
      <c r="U187" s="275"/>
      <c r="V187" s="275"/>
      <c r="W187" s="275"/>
      <c r="X187" s="275"/>
      <c r="Y187" s="275"/>
      <c r="Z187" s="275"/>
    </row>
    <row r="188" spans="1:26" ht="12.75" customHeight="1" x14ac:dyDescent="0.25">
      <c r="A188" s="275"/>
      <c r="B188" s="342"/>
      <c r="C188" s="369"/>
      <c r="D188" s="337"/>
      <c r="E188" s="275"/>
      <c r="F188" s="275"/>
      <c r="G188" s="275"/>
      <c r="H188" s="275"/>
      <c r="I188" s="275"/>
      <c r="J188" s="275"/>
      <c r="K188" s="275"/>
      <c r="L188" s="275"/>
      <c r="M188" s="275"/>
      <c r="N188" s="275"/>
      <c r="O188" s="275"/>
      <c r="P188" s="275"/>
      <c r="Q188" s="275"/>
      <c r="R188" s="275"/>
      <c r="S188" s="275"/>
      <c r="T188" s="275"/>
      <c r="U188" s="275"/>
      <c r="V188" s="275"/>
      <c r="W188" s="275"/>
      <c r="X188" s="275"/>
      <c r="Y188" s="275"/>
      <c r="Z188" s="275"/>
    </row>
    <row r="189" spans="1:26" ht="12.75" customHeight="1" x14ac:dyDescent="0.25">
      <c r="A189" s="275"/>
      <c r="B189" s="342"/>
      <c r="C189" s="369"/>
      <c r="D189" s="337"/>
      <c r="E189" s="275"/>
      <c r="F189" s="275"/>
      <c r="G189" s="275"/>
      <c r="H189" s="275"/>
      <c r="I189" s="275"/>
      <c r="J189" s="275"/>
      <c r="K189" s="275"/>
      <c r="L189" s="275"/>
      <c r="M189" s="275"/>
      <c r="N189" s="275"/>
      <c r="O189" s="275"/>
      <c r="P189" s="275"/>
      <c r="Q189" s="275"/>
      <c r="R189" s="275"/>
      <c r="S189" s="275"/>
      <c r="T189" s="275"/>
      <c r="U189" s="275"/>
      <c r="V189" s="275"/>
      <c r="W189" s="275"/>
      <c r="X189" s="275"/>
      <c r="Y189" s="275"/>
      <c r="Z189" s="275"/>
    </row>
    <row r="190" spans="1:26" ht="12.75" customHeight="1" x14ac:dyDescent="0.25">
      <c r="A190" s="275"/>
      <c r="B190" s="342"/>
      <c r="C190" s="369"/>
      <c r="D190" s="337"/>
      <c r="E190" s="275"/>
      <c r="F190" s="275"/>
      <c r="G190" s="275"/>
      <c r="H190" s="275"/>
      <c r="I190" s="275"/>
      <c r="J190" s="275"/>
      <c r="K190" s="275"/>
      <c r="L190" s="275"/>
      <c r="M190" s="275"/>
      <c r="N190" s="275"/>
      <c r="O190" s="275"/>
      <c r="P190" s="275"/>
      <c r="Q190" s="275"/>
      <c r="R190" s="275"/>
      <c r="S190" s="275"/>
      <c r="T190" s="275"/>
      <c r="U190" s="275"/>
      <c r="V190" s="275"/>
      <c r="W190" s="275"/>
      <c r="X190" s="275"/>
      <c r="Y190" s="275"/>
      <c r="Z190" s="275"/>
    </row>
    <row r="191" spans="1:26" ht="12.75" customHeight="1" x14ac:dyDescent="0.25">
      <c r="A191" s="275"/>
      <c r="B191" s="342"/>
      <c r="C191" s="369"/>
      <c r="D191" s="337"/>
      <c r="E191" s="275"/>
      <c r="F191" s="275"/>
      <c r="G191" s="275"/>
      <c r="H191" s="275"/>
      <c r="I191" s="275"/>
      <c r="J191" s="275"/>
      <c r="K191" s="275"/>
      <c r="L191" s="275"/>
      <c r="M191" s="275"/>
      <c r="N191" s="275"/>
      <c r="O191" s="275"/>
      <c r="P191" s="275"/>
      <c r="Q191" s="275"/>
      <c r="R191" s="275"/>
      <c r="S191" s="275"/>
      <c r="T191" s="275"/>
      <c r="U191" s="275"/>
      <c r="V191" s="275"/>
      <c r="W191" s="275"/>
      <c r="X191" s="275"/>
      <c r="Y191" s="275"/>
      <c r="Z191" s="275"/>
    </row>
    <row r="192" spans="1:26" ht="12.75" customHeight="1" x14ac:dyDescent="0.25">
      <c r="A192" s="275"/>
      <c r="B192" s="342"/>
      <c r="C192" s="369"/>
      <c r="D192" s="337"/>
      <c r="E192" s="275"/>
      <c r="F192" s="275"/>
      <c r="G192" s="275"/>
      <c r="H192" s="275"/>
      <c r="I192" s="275"/>
      <c r="J192" s="275"/>
      <c r="K192" s="275"/>
      <c r="L192" s="275"/>
      <c r="M192" s="275"/>
      <c r="N192" s="275"/>
      <c r="O192" s="275"/>
      <c r="P192" s="275"/>
      <c r="Q192" s="275"/>
      <c r="R192" s="275"/>
      <c r="S192" s="275"/>
      <c r="T192" s="275"/>
      <c r="U192" s="275"/>
      <c r="V192" s="275"/>
      <c r="W192" s="275"/>
      <c r="X192" s="275"/>
      <c r="Y192" s="275"/>
      <c r="Z192" s="275"/>
    </row>
    <row r="193" spans="1:26" ht="12.75" customHeight="1" x14ac:dyDescent="0.25">
      <c r="A193" s="275"/>
      <c r="B193" s="342"/>
      <c r="C193" s="369"/>
      <c r="D193" s="337"/>
      <c r="E193" s="275"/>
      <c r="F193" s="275"/>
      <c r="G193" s="275"/>
      <c r="H193" s="275"/>
      <c r="I193" s="275"/>
      <c r="J193" s="275"/>
      <c r="K193" s="275"/>
      <c r="L193" s="275"/>
      <c r="M193" s="275"/>
      <c r="N193" s="275"/>
      <c r="O193" s="275"/>
      <c r="P193" s="275"/>
      <c r="Q193" s="275"/>
      <c r="R193" s="275"/>
      <c r="S193" s="275"/>
      <c r="T193" s="275"/>
      <c r="U193" s="275"/>
      <c r="V193" s="275"/>
      <c r="W193" s="275"/>
      <c r="X193" s="275"/>
      <c r="Y193" s="275"/>
      <c r="Z193" s="275"/>
    </row>
    <row r="194" spans="1:26" ht="12.75" customHeight="1" x14ac:dyDescent="0.25">
      <c r="A194" s="275"/>
      <c r="B194" s="342"/>
      <c r="C194" s="369"/>
      <c r="D194" s="337"/>
      <c r="E194" s="275"/>
      <c r="F194" s="275"/>
      <c r="G194" s="275"/>
      <c r="H194" s="275"/>
      <c r="I194" s="275"/>
      <c r="J194" s="275"/>
      <c r="K194" s="275"/>
      <c r="L194" s="275"/>
      <c r="M194" s="275"/>
      <c r="N194" s="275"/>
      <c r="O194" s="275"/>
      <c r="P194" s="275"/>
      <c r="Q194" s="275"/>
      <c r="R194" s="275"/>
      <c r="S194" s="275"/>
      <c r="T194" s="275"/>
      <c r="U194" s="275"/>
      <c r="V194" s="275"/>
      <c r="W194" s="275"/>
      <c r="X194" s="275"/>
      <c r="Y194" s="275"/>
      <c r="Z194" s="275"/>
    </row>
    <row r="195" spans="1:26" ht="12.75" customHeight="1" x14ac:dyDescent="0.25">
      <c r="A195" s="275"/>
      <c r="B195" s="342"/>
      <c r="C195" s="369"/>
      <c r="D195" s="337"/>
      <c r="E195" s="275"/>
      <c r="F195" s="275"/>
      <c r="G195" s="275"/>
      <c r="H195" s="275"/>
      <c r="I195" s="275"/>
      <c r="J195" s="275"/>
      <c r="K195" s="275"/>
      <c r="L195" s="275"/>
      <c r="M195" s="275"/>
      <c r="N195" s="275"/>
      <c r="O195" s="275"/>
      <c r="P195" s="275"/>
      <c r="Q195" s="275"/>
      <c r="R195" s="275"/>
      <c r="S195" s="275"/>
      <c r="T195" s="275"/>
      <c r="U195" s="275"/>
      <c r="V195" s="275"/>
      <c r="W195" s="275"/>
      <c r="X195" s="275"/>
      <c r="Y195" s="275"/>
      <c r="Z195" s="275"/>
    </row>
    <row r="196" spans="1:26" ht="12.75" customHeight="1" x14ac:dyDescent="0.25">
      <c r="A196" s="275"/>
      <c r="B196" s="342"/>
      <c r="C196" s="369"/>
      <c r="D196" s="337"/>
      <c r="E196" s="275"/>
      <c r="F196" s="275"/>
      <c r="G196" s="275"/>
      <c r="H196" s="275"/>
      <c r="I196" s="275"/>
      <c r="J196" s="275"/>
      <c r="K196" s="275"/>
      <c r="L196" s="275"/>
      <c r="M196" s="275"/>
      <c r="N196" s="275"/>
      <c r="O196" s="275"/>
      <c r="P196" s="275"/>
      <c r="Q196" s="275"/>
      <c r="R196" s="275"/>
      <c r="S196" s="275"/>
      <c r="T196" s="275"/>
      <c r="U196" s="275"/>
      <c r="V196" s="275"/>
      <c r="W196" s="275"/>
      <c r="X196" s="275"/>
      <c r="Y196" s="275"/>
      <c r="Z196" s="275"/>
    </row>
    <row r="197" spans="1:26" ht="12.75" customHeight="1" x14ac:dyDescent="0.25">
      <c r="A197" s="275"/>
      <c r="B197" s="342"/>
      <c r="C197" s="369"/>
      <c r="D197" s="337"/>
      <c r="E197" s="275"/>
      <c r="F197" s="275"/>
      <c r="G197" s="275"/>
      <c r="H197" s="275"/>
      <c r="I197" s="275"/>
      <c r="J197" s="275"/>
      <c r="K197" s="275"/>
      <c r="L197" s="275"/>
      <c r="M197" s="275"/>
      <c r="N197" s="275"/>
      <c r="O197" s="275"/>
      <c r="P197" s="275"/>
      <c r="Q197" s="275"/>
      <c r="R197" s="275"/>
      <c r="S197" s="275"/>
      <c r="T197" s="275"/>
      <c r="U197" s="275"/>
      <c r="V197" s="275"/>
      <c r="W197" s="275"/>
      <c r="X197" s="275"/>
      <c r="Y197" s="275"/>
      <c r="Z197" s="275"/>
    </row>
    <row r="198" spans="1:26" ht="12.75" customHeight="1" x14ac:dyDescent="0.25">
      <c r="A198" s="275"/>
      <c r="B198" s="342"/>
      <c r="C198" s="369"/>
      <c r="D198" s="337"/>
      <c r="E198" s="275"/>
      <c r="F198" s="275"/>
      <c r="G198" s="275"/>
      <c r="H198" s="275"/>
      <c r="I198" s="275"/>
      <c r="J198" s="275"/>
      <c r="K198" s="275"/>
      <c r="L198" s="275"/>
      <c r="M198" s="275"/>
      <c r="N198" s="275"/>
      <c r="O198" s="275"/>
      <c r="P198" s="275"/>
      <c r="Q198" s="275"/>
      <c r="R198" s="275"/>
      <c r="S198" s="275"/>
      <c r="T198" s="275"/>
      <c r="U198" s="275"/>
      <c r="V198" s="275"/>
      <c r="W198" s="275"/>
      <c r="X198" s="275"/>
      <c r="Y198" s="275"/>
      <c r="Z198" s="275"/>
    </row>
    <row r="199" spans="1:26" ht="12.75" customHeight="1" x14ac:dyDescent="0.25">
      <c r="A199" s="275"/>
      <c r="B199" s="342"/>
      <c r="C199" s="369"/>
      <c r="D199" s="337"/>
      <c r="E199" s="275"/>
      <c r="F199" s="275"/>
      <c r="G199" s="275"/>
      <c r="H199" s="275"/>
      <c r="I199" s="275"/>
      <c r="J199" s="275"/>
      <c r="K199" s="275"/>
      <c r="L199" s="275"/>
      <c r="M199" s="275"/>
      <c r="N199" s="275"/>
      <c r="O199" s="275"/>
      <c r="P199" s="275"/>
      <c r="Q199" s="275"/>
      <c r="R199" s="275"/>
      <c r="S199" s="275"/>
      <c r="T199" s="275"/>
      <c r="U199" s="275"/>
      <c r="V199" s="275"/>
      <c r="W199" s="275"/>
      <c r="X199" s="275"/>
      <c r="Y199" s="275"/>
      <c r="Z199" s="275"/>
    </row>
    <row r="200" spans="1:26" ht="12.75" customHeight="1" x14ac:dyDescent="0.25">
      <c r="A200" s="275"/>
      <c r="B200" s="342"/>
      <c r="C200" s="369"/>
      <c r="D200" s="337"/>
      <c r="E200" s="275"/>
      <c r="F200" s="275"/>
      <c r="G200" s="275"/>
      <c r="H200" s="275"/>
      <c r="I200" s="275"/>
      <c r="J200" s="275"/>
      <c r="K200" s="275"/>
      <c r="L200" s="275"/>
      <c r="M200" s="275"/>
      <c r="N200" s="275"/>
      <c r="O200" s="275"/>
      <c r="P200" s="275"/>
      <c r="Q200" s="275"/>
      <c r="R200" s="275"/>
      <c r="S200" s="275"/>
      <c r="T200" s="275"/>
      <c r="U200" s="275"/>
      <c r="V200" s="275"/>
      <c r="W200" s="275"/>
      <c r="X200" s="275"/>
      <c r="Y200" s="275"/>
      <c r="Z200" s="275"/>
    </row>
    <row r="201" spans="1:26" ht="12.75" customHeight="1" x14ac:dyDescent="0.25">
      <c r="A201" s="275"/>
      <c r="B201" s="342"/>
      <c r="C201" s="369"/>
      <c r="D201" s="337"/>
      <c r="E201" s="275"/>
      <c r="F201" s="275"/>
      <c r="G201" s="275"/>
      <c r="H201" s="275"/>
      <c r="I201" s="275"/>
      <c r="J201" s="275"/>
      <c r="K201" s="275"/>
      <c r="L201" s="275"/>
      <c r="M201" s="275"/>
      <c r="N201" s="275"/>
      <c r="O201" s="275"/>
      <c r="P201" s="275"/>
      <c r="Q201" s="275"/>
      <c r="R201" s="275"/>
      <c r="S201" s="275"/>
      <c r="T201" s="275"/>
      <c r="U201" s="275"/>
      <c r="V201" s="275"/>
      <c r="W201" s="275"/>
      <c r="X201" s="275"/>
      <c r="Y201" s="275"/>
      <c r="Z201" s="275"/>
    </row>
    <row r="202" spans="1:26" ht="12.75" customHeight="1" x14ac:dyDescent="0.25">
      <c r="A202" s="275"/>
      <c r="B202" s="342"/>
      <c r="C202" s="369"/>
      <c r="D202" s="337"/>
      <c r="E202" s="275"/>
      <c r="F202" s="275"/>
      <c r="G202" s="275"/>
      <c r="H202" s="275"/>
      <c r="I202" s="275"/>
      <c r="J202" s="275"/>
      <c r="K202" s="275"/>
      <c r="L202" s="275"/>
      <c r="M202" s="275"/>
      <c r="N202" s="275"/>
      <c r="O202" s="275"/>
      <c r="P202" s="275"/>
      <c r="Q202" s="275"/>
      <c r="R202" s="275"/>
      <c r="S202" s="275"/>
      <c r="T202" s="275"/>
      <c r="U202" s="275"/>
      <c r="V202" s="275"/>
      <c r="W202" s="275"/>
      <c r="X202" s="275"/>
      <c r="Y202" s="275"/>
      <c r="Z202" s="275"/>
    </row>
    <row r="203" spans="1:26" ht="12.75" customHeight="1" x14ac:dyDescent="0.25">
      <c r="A203" s="275"/>
      <c r="B203" s="342"/>
      <c r="C203" s="369"/>
      <c r="D203" s="337"/>
      <c r="E203" s="275"/>
      <c r="F203" s="275"/>
      <c r="G203" s="275"/>
      <c r="H203" s="275"/>
      <c r="I203" s="275"/>
      <c r="J203" s="275"/>
      <c r="K203" s="275"/>
      <c r="L203" s="275"/>
      <c r="M203" s="275"/>
      <c r="N203" s="275"/>
      <c r="O203" s="275"/>
      <c r="P203" s="275"/>
      <c r="Q203" s="275"/>
      <c r="R203" s="275"/>
      <c r="S203" s="275"/>
      <c r="T203" s="275"/>
      <c r="U203" s="275"/>
      <c r="V203" s="275"/>
      <c r="W203" s="275"/>
      <c r="X203" s="275"/>
      <c r="Y203" s="275"/>
      <c r="Z203" s="275"/>
    </row>
    <row r="204" spans="1:26" ht="12.75" customHeight="1" x14ac:dyDescent="0.25">
      <c r="A204" s="275"/>
      <c r="B204" s="342"/>
      <c r="C204" s="369"/>
      <c r="D204" s="337"/>
      <c r="E204" s="275"/>
      <c r="F204" s="275"/>
      <c r="G204" s="275"/>
      <c r="H204" s="275"/>
      <c r="I204" s="275"/>
      <c r="J204" s="275"/>
      <c r="K204" s="275"/>
      <c r="L204" s="275"/>
      <c r="M204" s="275"/>
      <c r="N204" s="275"/>
      <c r="O204" s="275"/>
      <c r="P204" s="275"/>
      <c r="Q204" s="275"/>
      <c r="R204" s="275"/>
      <c r="S204" s="275"/>
      <c r="T204" s="275"/>
      <c r="U204" s="275"/>
      <c r="V204" s="275"/>
      <c r="W204" s="275"/>
      <c r="X204" s="275"/>
      <c r="Y204" s="275"/>
      <c r="Z204" s="275"/>
    </row>
    <row r="205" spans="1:26" ht="12.75" customHeight="1" x14ac:dyDescent="0.25">
      <c r="A205" s="275"/>
      <c r="B205" s="342"/>
      <c r="C205" s="369"/>
      <c r="D205" s="337"/>
      <c r="E205" s="275"/>
      <c r="F205" s="275"/>
      <c r="G205" s="275"/>
      <c r="H205" s="275"/>
      <c r="I205" s="275"/>
      <c r="J205" s="275"/>
      <c r="K205" s="275"/>
      <c r="L205" s="275"/>
      <c r="M205" s="275"/>
      <c r="N205" s="275"/>
      <c r="O205" s="275"/>
      <c r="P205" s="275"/>
      <c r="Q205" s="275"/>
      <c r="R205" s="275"/>
      <c r="S205" s="275"/>
      <c r="T205" s="275"/>
      <c r="U205" s="275"/>
      <c r="V205" s="275"/>
      <c r="W205" s="275"/>
      <c r="X205" s="275"/>
      <c r="Y205" s="275"/>
      <c r="Z205" s="275"/>
    </row>
    <row r="206" spans="1:26" ht="12.75" customHeight="1" x14ac:dyDescent="0.25">
      <c r="A206" s="275"/>
      <c r="B206" s="342"/>
      <c r="C206" s="369"/>
      <c r="D206" s="337"/>
      <c r="E206" s="275"/>
      <c r="F206" s="275"/>
      <c r="G206" s="275"/>
      <c r="H206" s="275"/>
      <c r="I206" s="275"/>
      <c r="J206" s="275"/>
      <c r="K206" s="275"/>
      <c r="L206" s="275"/>
      <c r="M206" s="275"/>
      <c r="N206" s="275"/>
      <c r="O206" s="275"/>
      <c r="P206" s="275"/>
      <c r="Q206" s="275"/>
      <c r="R206" s="275"/>
      <c r="S206" s="275"/>
      <c r="T206" s="275"/>
      <c r="U206" s="275"/>
      <c r="V206" s="275"/>
      <c r="W206" s="275"/>
      <c r="X206" s="275"/>
      <c r="Y206" s="275"/>
      <c r="Z206" s="275"/>
    </row>
    <row r="207" spans="1:26" ht="12.75" customHeight="1" x14ac:dyDescent="0.25">
      <c r="A207" s="275"/>
      <c r="B207" s="342"/>
      <c r="C207" s="369"/>
      <c r="D207" s="337"/>
      <c r="E207" s="275"/>
      <c r="F207" s="275"/>
      <c r="G207" s="275"/>
      <c r="H207" s="275"/>
      <c r="I207" s="275"/>
      <c r="J207" s="275"/>
      <c r="K207" s="275"/>
      <c r="L207" s="275"/>
      <c r="M207" s="275"/>
      <c r="N207" s="275"/>
      <c r="O207" s="275"/>
      <c r="P207" s="275"/>
      <c r="Q207" s="275"/>
      <c r="R207" s="275"/>
      <c r="S207" s="275"/>
      <c r="T207" s="275"/>
      <c r="U207" s="275"/>
      <c r="V207" s="275"/>
      <c r="W207" s="275"/>
      <c r="X207" s="275"/>
      <c r="Y207" s="275"/>
      <c r="Z207" s="275"/>
    </row>
    <row r="208" spans="1:26" ht="12.75" customHeight="1" x14ac:dyDescent="0.25">
      <c r="A208" s="275"/>
      <c r="B208" s="342"/>
      <c r="C208" s="369"/>
      <c r="D208" s="337"/>
      <c r="E208" s="275"/>
      <c r="F208" s="275"/>
      <c r="G208" s="275"/>
      <c r="H208" s="275"/>
      <c r="I208" s="275"/>
      <c r="J208" s="275"/>
      <c r="K208" s="275"/>
      <c r="L208" s="275"/>
      <c r="M208" s="275"/>
      <c r="N208" s="275"/>
      <c r="O208" s="275"/>
      <c r="P208" s="275"/>
      <c r="Q208" s="275"/>
      <c r="R208" s="275"/>
      <c r="S208" s="275"/>
      <c r="T208" s="275"/>
      <c r="U208" s="275"/>
      <c r="V208" s="275"/>
      <c r="W208" s="275"/>
      <c r="X208" s="275"/>
      <c r="Y208" s="275"/>
      <c r="Z208" s="275"/>
    </row>
    <row r="209" spans="1:26" ht="12.75" customHeight="1" x14ac:dyDescent="0.25">
      <c r="A209" s="275"/>
      <c r="B209" s="342"/>
      <c r="C209" s="369"/>
      <c r="D209" s="337"/>
      <c r="E209" s="275"/>
      <c r="F209" s="275"/>
      <c r="G209" s="275"/>
      <c r="H209" s="275"/>
      <c r="I209" s="275"/>
      <c r="J209" s="275"/>
      <c r="K209" s="275"/>
      <c r="L209" s="275"/>
      <c r="M209" s="275"/>
      <c r="N209" s="275"/>
      <c r="O209" s="275"/>
      <c r="P209" s="275"/>
      <c r="Q209" s="275"/>
      <c r="R209" s="275"/>
      <c r="S209" s="275"/>
      <c r="T209" s="275"/>
      <c r="U209" s="275"/>
      <c r="V209" s="275"/>
      <c r="W209" s="275"/>
      <c r="X209" s="275"/>
      <c r="Y209" s="275"/>
      <c r="Z209" s="275"/>
    </row>
    <row r="210" spans="1:26" ht="12.75" customHeight="1" x14ac:dyDescent="0.25">
      <c r="A210" s="275"/>
      <c r="B210" s="342"/>
      <c r="C210" s="369"/>
      <c r="D210" s="337"/>
      <c r="E210" s="275"/>
      <c r="F210" s="275"/>
      <c r="G210" s="275"/>
      <c r="H210" s="275"/>
      <c r="I210" s="275"/>
      <c r="J210" s="275"/>
      <c r="K210" s="275"/>
      <c r="L210" s="275"/>
      <c r="M210" s="275"/>
      <c r="N210" s="275"/>
      <c r="O210" s="275"/>
      <c r="P210" s="275"/>
      <c r="Q210" s="275"/>
      <c r="R210" s="275"/>
      <c r="S210" s="275"/>
      <c r="T210" s="275"/>
      <c r="U210" s="275"/>
      <c r="V210" s="275"/>
      <c r="W210" s="275"/>
      <c r="X210" s="275"/>
      <c r="Y210" s="275"/>
      <c r="Z210" s="275"/>
    </row>
    <row r="211" spans="1:26" ht="12.75" customHeight="1" x14ac:dyDescent="0.25">
      <c r="A211" s="275"/>
      <c r="B211" s="342"/>
      <c r="C211" s="369"/>
      <c r="D211" s="337"/>
      <c r="E211" s="275"/>
      <c r="F211" s="275"/>
      <c r="G211" s="275"/>
      <c r="H211" s="275"/>
      <c r="I211" s="275"/>
      <c r="J211" s="275"/>
      <c r="K211" s="275"/>
      <c r="L211" s="275"/>
      <c r="M211" s="275"/>
      <c r="N211" s="275"/>
      <c r="O211" s="275"/>
      <c r="P211" s="275"/>
      <c r="Q211" s="275"/>
      <c r="R211" s="275"/>
      <c r="S211" s="275"/>
      <c r="T211" s="275"/>
      <c r="U211" s="275"/>
      <c r="V211" s="275"/>
      <c r="W211" s="275"/>
      <c r="X211" s="275"/>
      <c r="Y211" s="275"/>
      <c r="Z211" s="275"/>
    </row>
    <row r="212" spans="1:26" ht="12.75" customHeight="1" x14ac:dyDescent="0.25">
      <c r="A212" s="275"/>
      <c r="B212" s="342"/>
      <c r="C212" s="369"/>
      <c r="D212" s="337"/>
      <c r="E212" s="275"/>
      <c r="F212" s="275"/>
      <c r="G212" s="275"/>
      <c r="H212" s="275"/>
      <c r="I212" s="275"/>
      <c r="J212" s="275"/>
      <c r="K212" s="275"/>
      <c r="L212" s="275"/>
      <c r="M212" s="275"/>
      <c r="N212" s="275"/>
      <c r="O212" s="275"/>
      <c r="P212" s="275"/>
      <c r="Q212" s="275"/>
      <c r="R212" s="275"/>
      <c r="S212" s="275"/>
      <c r="T212" s="275"/>
      <c r="U212" s="275"/>
      <c r="V212" s="275"/>
      <c r="W212" s="275"/>
      <c r="X212" s="275"/>
      <c r="Y212" s="275"/>
      <c r="Z212" s="275"/>
    </row>
    <row r="213" spans="1:26" ht="12.75" customHeight="1" x14ac:dyDescent="0.25">
      <c r="A213" s="275"/>
      <c r="B213" s="342"/>
      <c r="C213" s="369"/>
      <c r="D213" s="337"/>
      <c r="E213" s="275"/>
      <c r="F213" s="275"/>
      <c r="G213" s="275"/>
      <c r="H213" s="275"/>
      <c r="I213" s="275"/>
      <c r="J213" s="275"/>
      <c r="K213" s="275"/>
      <c r="L213" s="275"/>
      <c r="M213" s="275"/>
      <c r="N213" s="275"/>
      <c r="O213" s="275"/>
      <c r="P213" s="275"/>
      <c r="Q213" s="275"/>
      <c r="R213" s="275"/>
      <c r="S213" s="275"/>
      <c r="T213" s="275"/>
      <c r="U213" s="275"/>
      <c r="V213" s="275"/>
      <c r="W213" s="275"/>
      <c r="X213" s="275"/>
      <c r="Y213" s="275"/>
      <c r="Z213" s="275"/>
    </row>
    <row r="214" spans="1:26" ht="12.75" customHeight="1" x14ac:dyDescent="0.25">
      <c r="A214" s="275"/>
      <c r="B214" s="342"/>
      <c r="C214" s="369"/>
      <c r="D214" s="337"/>
      <c r="E214" s="275"/>
      <c r="F214" s="275"/>
      <c r="G214" s="275"/>
      <c r="H214" s="275"/>
      <c r="I214" s="275"/>
      <c r="J214" s="275"/>
      <c r="K214" s="275"/>
      <c r="L214" s="275"/>
      <c r="M214" s="275"/>
      <c r="N214" s="275"/>
      <c r="O214" s="275"/>
      <c r="P214" s="275"/>
      <c r="Q214" s="275"/>
      <c r="R214" s="275"/>
      <c r="S214" s="275"/>
      <c r="T214" s="275"/>
      <c r="U214" s="275"/>
      <c r="V214" s="275"/>
      <c r="W214" s="275"/>
      <c r="X214" s="275"/>
      <c r="Y214" s="275"/>
      <c r="Z214" s="275"/>
    </row>
    <row r="215" spans="1:26" ht="12.75" customHeight="1" x14ac:dyDescent="0.25">
      <c r="A215" s="275"/>
      <c r="B215" s="342"/>
      <c r="C215" s="369"/>
      <c r="D215" s="337"/>
      <c r="E215" s="275"/>
      <c r="F215" s="275"/>
      <c r="G215" s="275"/>
      <c r="H215" s="275"/>
      <c r="I215" s="275"/>
      <c r="J215" s="275"/>
      <c r="K215" s="275"/>
      <c r="L215" s="275"/>
      <c r="M215" s="275"/>
      <c r="N215" s="275"/>
      <c r="O215" s="275"/>
      <c r="P215" s="275"/>
      <c r="Q215" s="275"/>
      <c r="R215" s="275"/>
      <c r="S215" s="275"/>
      <c r="T215" s="275"/>
      <c r="U215" s="275"/>
      <c r="V215" s="275"/>
      <c r="W215" s="275"/>
      <c r="X215" s="275"/>
      <c r="Y215" s="275"/>
      <c r="Z215" s="275"/>
    </row>
    <row r="216" spans="1:26" ht="12.75" customHeight="1" x14ac:dyDescent="0.25">
      <c r="A216" s="275"/>
      <c r="B216" s="342"/>
      <c r="C216" s="369"/>
      <c r="D216" s="337"/>
      <c r="E216" s="275"/>
      <c r="F216" s="275"/>
      <c r="G216" s="275"/>
      <c r="H216" s="275"/>
      <c r="I216" s="275"/>
      <c r="J216" s="275"/>
      <c r="K216" s="275"/>
      <c r="L216" s="275"/>
      <c r="M216" s="275"/>
      <c r="N216" s="275"/>
      <c r="O216" s="275"/>
      <c r="P216" s="275"/>
      <c r="Q216" s="275"/>
      <c r="R216" s="275"/>
      <c r="S216" s="275"/>
      <c r="T216" s="275"/>
      <c r="U216" s="275"/>
      <c r="V216" s="275"/>
      <c r="W216" s="275"/>
      <c r="X216" s="275"/>
      <c r="Y216" s="275"/>
      <c r="Z216" s="275"/>
    </row>
    <row r="217" spans="1:26" ht="12.75" customHeight="1" x14ac:dyDescent="0.25">
      <c r="A217" s="275"/>
      <c r="B217" s="342"/>
      <c r="C217" s="369"/>
      <c r="D217" s="337"/>
      <c r="E217" s="275"/>
      <c r="F217" s="275"/>
      <c r="G217" s="275"/>
      <c r="H217" s="275"/>
      <c r="I217" s="275"/>
      <c r="J217" s="275"/>
      <c r="K217" s="275"/>
      <c r="L217" s="275"/>
      <c r="M217" s="275"/>
      <c r="N217" s="275"/>
      <c r="O217" s="275"/>
      <c r="P217" s="275"/>
      <c r="Q217" s="275"/>
      <c r="R217" s="275"/>
      <c r="S217" s="275"/>
      <c r="T217" s="275"/>
      <c r="U217" s="275"/>
      <c r="V217" s="275"/>
      <c r="W217" s="275"/>
      <c r="X217" s="275"/>
      <c r="Y217" s="275"/>
      <c r="Z217" s="275"/>
    </row>
    <row r="218" spans="1:26" ht="12.75" customHeight="1" x14ac:dyDescent="0.25">
      <c r="A218" s="275"/>
      <c r="B218" s="342"/>
      <c r="C218" s="369"/>
      <c r="D218" s="337"/>
      <c r="E218" s="275"/>
      <c r="F218" s="275"/>
      <c r="G218" s="275"/>
      <c r="H218" s="275"/>
      <c r="I218" s="275"/>
      <c r="J218" s="275"/>
      <c r="K218" s="275"/>
      <c r="L218" s="275"/>
      <c r="M218" s="275"/>
      <c r="N218" s="275"/>
      <c r="O218" s="275"/>
      <c r="P218" s="275"/>
      <c r="Q218" s="275"/>
      <c r="R218" s="275"/>
      <c r="S218" s="275"/>
      <c r="T218" s="275"/>
      <c r="U218" s="275"/>
      <c r="V218" s="275"/>
      <c r="W218" s="275"/>
      <c r="X218" s="275"/>
      <c r="Y218" s="275"/>
      <c r="Z218" s="275"/>
    </row>
    <row r="219" spans="1:26" ht="12.75" customHeight="1" x14ac:dyDescent="0.25">
      <c r="A219" s="275"/>
      <c r="B219" s="342"/>
      <c r="C219" s="369"/>
      <c r="D219" s="337"/>
      <c r="E219" s="275"/>
      <c r="F219" s="275"/>
      <c r="G219" s="275"/>
      <c r="H219" s="275"/>
      <c r="I219" s="275"/>
      <c r="J219" s="275"/>
      <c r="K219" s="275"/>
      <c r="L219" s="275"/>
      <c r="M219" s="275"/>
      <c r="N219" s="275"/>
      <c r="O219" s="275"/>
      <c r="P219" s="275"/>
      <c r="Q219" s="275"/>
      <c r="R219" s="275"/>
      <c r="S219" s="275"/>
      <c r="T219" s="275"/>
      <c r="U219" s="275"/>
      <c r="V219" s="275"/>
      <c r="W219" s="275"/>
      <c r="X219" s="275"/>
      <c r="Y219" s="275"/>
      <c r="Z219" s="275"/>
    </row>
    <row r="220" spans="1:26" ht="12.75" customHeight="1" x14ac:dyDescent="0.25">
      <c r="A220" s="275"/>
      <c r="B220" s="342"/>
      <c r="C220" s="369"/>
      <c r="D220" s="337"/>
      <c r="E220" s="275"/>
      <c r="F220" s="275"/>
      <c r="G220" s="275"/>
      <c r="H220" s="275"/>
      <c r="I220" s="275"/>
      <c r="J220" s="275"/>
      <c r="K220" s="275"/>
      <c r="L220" s="275"/>
      <c r="M220" s="275"/>
      <c r="N220" s="275"/>
      <c r="O220" s="275"/>
      <c r="P220" s="275"/>
      <c r="Q220" s="275"/>
      <c r="R220" s="275"/>
      <c r="S220" s="275"/>
      <c r="T220" s="275"/>
      <c r="U220" s="275"/>
      <c r="V220" s="275"/>
      <c r="W220" s="275"/>
      <c r="X220" s="275"/>
      <c r="Y220" s="275"/>
      <c r="Z220" s="275"/>
    </row>
    <row r="221" spans="1:26" ht="12.75" customHeight="1" x14ac:dyDescent="0.25">
      <c r="A221" s="275"/>
      <c r="B221" s="342"/>
      <c r="C221" s="369"/>
      <c r="D221" s="337"/>
      <c r="E221" s="275"/>
      <c r="F221" s="275"/>
      <c r="G221" s="275"/>
      <c r="H221" s="275"/>
      <c r="I221" s="275"/>
      <c r="J221" s="275"/>
      <c r="K221" s="275"/>
      <c r="L221" s="275"/>
      <c r="M221" s="275"/>
      <c r="N221" s="275"/>
      <c r="O221" s="275"/>
      <c r="P221" s="275"/>
      <c r="Q221" s="275"/>
      <c r="R221" s="275"/>
      <c r="S221" s="275"/>
      <c r="T221" s="275"/>
      <c r="U221" s="275"/>
      <c r="V221" s="275"/>
      <c r="W221" s="275"/>
      <c r="X221" s="275"/>
      <c r="Y221" s="275"/>
      <c r="Z221" s="275"/>
    </row>
    <row r="222" spans="1:26" ht="12.75" customHeight="1" x14ac:dyDescent="0.25">
      <c r="A222" s="275"/>
      <c r="B222" s="342"/>
      <c r="C222" s="369"/>
      <c r="D222" s="337"/>
      <c r="E222" s="275"/>
      <c r="F222" s="275"/>
      <c r="G222" s="275"/>
      <c r="H222" s="275"/>
      <c r="I222" s="275"/>
      <c r="J222" s="275"/>
      <c r="K222" s="275"/>
      <c r="L222" s="275"/>
      <c r="M222" s="275"/>
      <c r="N222" s="275"/>
      <c r="O222" s="275"/>
      <c r="P222" s="275"/>
      <c r="Q222" s="275"/>
      <c r="R222" s="275"/>
      <c r="S222" s="275"/>
      <c r="T222" s="275"/>
      <c r="U222" s="275"/>
      <c r="V222" s="275"/>
      <c r="W222" s="275"/>
      <c r="X222" s="275"/>
      <c r="Y222" s="275"/>
      <c r="Z222" s="275"/>
    </row>
    <row r="223" spans="1:26" ht="12.75" customHeight="1" x14ac:dyDescent="0.25">
      <c r="A223" s="275"/>
      <c r="B223" s="342"/>
      <c r="C223" s="369"/>
      <c r="D223" s="337"/>
      <c r="E223" s="275"/>
      <c r="F223" s="275"/>
      <c r="G223" s="275"/>
      <c r="H223" s="275"/>
      <c r="I223" s="275"/>
      <c r="J223" s="275"/>
      <c r="K223" s="275"/>
      <c r="L223" s="275"/>
      <c r="M223" s="275"/>
      <c r="N223" s="275"/>
      <c r="O223" s="275"/>
      <c r="P223" s="275"/>
      <c r="Q223" s="275"/>
      <c r="R223" s="275"/>
      <c r="S223" s="275"/>
      <c r="T223" s="275"/>
      <c r="U223" s="275"/>
      <c r="V223" s="275"/>
      <c r="W223" s="275"/>
      <c r="X223" s="275"/>
      <c r="Y223" s="275"/>
      <c r="Z223" s="275"/>
    </row>
    <row r="224" spans="1:26" ht="12.75" customHeight="1" x14ac:dyDescent="0.25">
      <c r="A224" s="275"/>
      <c r="B224" s="342"/>
      <c r="C224" s="369"/>
      <c r="D224" s="337"/>
      <c r="E224" s="275"/>
      <c r="F224" s="275"/>
      <c r="G224" s="275"/>
      <c r="H224" s="275"/>
      <c r="I224" s="275"/>
      <c r="J224" s="275"/>
      <c r="K224" s="275"/>
      <c r="L224" s="275"/>
      <c r="M224" s="275"/>
      <c r="N224" s="275"/>
      <c r="O224" s="275"/>
      <c r="P224" s="275"/>
      <c r="Q224" s="275"/>
      <c r="R224" s="275"/>
      <c r="S224" s="275"/>
      <c r="T224" s="275"/>
      <c r="U224" s="275"/>
      <c r="V224" s="275"/>
      <c r="W224" s="275"/>
      <c r="X224" s="275"/>
      <c r="Y224" s="275"/>
      <c r="Z224" s="275"/>
    </row>
    <row r="225" spans="1:26" ht="12.75" customHeight="1" x14ac:dyDescent="0.25">
      <c r="A225" s="275"/>
      <c r="B225" s="342"/>
      <c r="C225" s="369"/>
      <c r="D225" s="337"/>
      <c r="E225" s="275"/>
      <c r="F225" s="275"/>
      <c r="G225" s="275"/>
      <c r="H225" s="275"/>
      <c r="I225" s="275"/>
      <c r="J225" s="275"/>
      <c r="K225" s="275"/>
      <c r="L225" s="275"/>
      <c r="M225" s="275"/>
      <c r="N225" s="275"/>
      <c r="O225" s="275"/>
      <c r="P225" s="275"/>
      <c r="Q225" s="275"/>
      <c r="R225" s="275"/>
      <c r="S225" s="275"/>
      <c r="T225" s="275"/>
      <c r="U225" s="275"/>
      <c r="V225" s="275"/>
      <c r="W225" s="275"/>
      <c r="X225" s="275"/>
      <c r="Y225" s="275"/>
      <c r="Z225" s="275"/>
    </row>
    <row r="226" spans="1:26" ht="12.75" customHeight="1" x14ac:dyDescent="0.25">
      <c r="A226" s="275"/>
      <c r="B226" s="342"/>
      <c r="C226" s="369"/>
      <c r="D226" s="337"/>
      <c r="E226" s="275"/>
      <c r="F226" s="275"/>
      <c r="G226" s="275"/>
      <c r="H226" s="275"/>
      <c r="I226" s="275"/>
      <c r="J226" s="275"/>
      <c r="K226" s="275"/>
      <c r="L226" s="275"/>
      <c r="M226" s="275"/>
      <c r="N226" s="275"/>
      <c r="O226" s="275"/>
      <c r="P226" s="275"/>
      <c r="Q226" s="275"/>
      <c r="R226" s="275"/>
      <c r="S226" s="275"/>
      <c r="T226" s="275"/>
      <c r="U226" s="275"/>
      <c r="V226" s="275"/>
      <c r="W226" s="275"/>
      <c r="X226" s="275"/>
      <c r="Y226" s="275"/>
      <c r="Z226" s="275"/>
    </row>
    <row r="227" spans="1:26" ht="12.75" customHeight="1" x14ac:dyDescent="0.25">
      <c r="A227" s="275"/>
      <c r="B227" s="342"/>
      <c r="C227" s="369"/>
      <c r="D227" s="337"/>
      <c r="E227" s="275"/>
      <c r="F227" s="275"/>
      <c r="G227" s="275"/>
      <c r="H227" s="275"/>
      <c r="I227" s="275"/>
      <c r="J227" s="275"/>
      <c r="K227" s="275"/>
      <c r="L227" s="275"/>
      <c r="M227" s="275"/>
      <c r="N227" s="275"/>
      <c r="O227" s="275"/>
      <c r="P227" s="275"/>
      <c r="Q227" s="275"/>
      <c r="R227" s="275"/>
      <c r="S227" s="275"/>
      <c r="T227" s="275"/>
      <c r="U227" s="275"/>
      <c r="V227" s="275"/>
      <c r="W227" s="275"/>
      <c r="X227" s="275"/>
      <c r="Y227" s="275"/>
      <c r="Z227" s="275"/>
    </row>
    <row r="228" spans="1:26" ht="12.75" customHeight="1" x14ac:dyDescent="0.25">
      <c r="A228" s="275"/>
      <c r="B228" s="342"/>
      <c r="C228" s="369"/>
      <c r="D228" s="337"/>
      <c r="E228" s="275"/>
      <c r="F228" s="275"/>
      <c r="G228" s="275"/>
      <c r="H228" s="275"/>
      <c r="I228" s="275"/>
      <c r="J228" s="275"/>
      <c r="K228" s="275"/>
      <c r="L228" s="275"/>
      <c r="M228" s="275"/>
      <c r="N228" s="275"/>
      <c r="O228" s="275"/>
      <c r="P228" s="275"/>
      <c r="Q228" s="275"/>
      <c r="R228" s="275"/>
      <c r="S228" s="275"/>
      <c r="T228" s="275"/>
      <c r="U228" s="275"/>
      <c r="V228" s="275"/>
      <c r="W228" s="275"/>
      <c r="X228" s="275"/>
      <c r="Y228" s="275"/>
      <c r="Z228" s="275"/>
    </row>
    <row r="229" spans="1:26" ht="12.75" customHeight="1" x14ac:dyDescent="0.25">
      <c r="A229" s="275"/>
      <c r="B229" s="342"/>
      <c r="C229" s="369"/>
      <c r="D229" s="337"/>
      <c r="E229" s="275"/>
      <c r="F229" s="275"/>
      <c r="G229" s="275"/>
      <c r="H229" s="275"/>
      <c r="I229" s="275"/>
      <c r="J229" s="275"/>
      <c r="K229" s="275"/>
      <c r="L229" s="275"/>
      <c r="M229" s="275"/>
      <c r="N229" s="275"/>
      <c r="O229" s="275"/>
      <c r="P229" s="275"/>
      <c r="Q229" s="275"/>
      <c r="R229" s="275"/>
      <c r="S229" s="275"/>
      <c r="T229" s="275"/>
      <c r="U229" s="275"/>
      <c r="V229" s="275"/>
      <c r="W229" s="275"/>
      <c r="X229" s="275"/>
      <c r="Y229" s="275"/>
      <c r="Z229" s="275"/>
    </row>
    <row r="230" spans="1:26" ht="12.75" customHeight="1" x14ac:dyDescent="0.25">
      <c r="A230" s="275"/>
      <c r="B230" s="342"/>
      <c r="C230" s="369"/>
      <c r="D230" s="337"/>
      <c r="E230" s="275"/>
      <c r="F230" s="275"/>
      <c r="G230" s="275"/>
      <c r="H230" s="275"/>
      <c r="I230" s="275"/>
      <c r="J230" s="275"/>
      <c r="K230" s="275"/>
      <c r="L230" s="275"/>
      <c r="M230" s="275"/>
      <c r="N230" s="275"/>
      <c r="O230" s="275"/>
      <c r="P230" s="275"/>
      <c r="Q230" s="275"/>
      <c r="R230" s="275"/>
      <c r="S230" s="275"/>
      <c r="T230" s="275"/>
      <c r="U230" s="275"/>
      <c r="V230" s="275"/>
      <c r="W230" s="275"/>
      <c r="X230" s="275"/>
      <c r="Y230" s="275"/>
      <c r="Z230" s="275"/>
    </row>
    <row r="231" spans="1:26" ht="12.75" customHeight="1" x14ac:dyDescent="0.25">
      <c r="A231" s="275"/>
      <c r="B231" s="342"/>
      <c r="C231" s="369"/>
      <c r="D231" s="337"/>
      <c r="E231" s="275"/>
      <c r="F231" s="275"/>
      <c r="G231" s="275"/>
      <c r="H231" s="275"/>
      <c r="I231" s="275"/>
      <c r="J231" s="275"/>
      <c r="K231" s="275"/>
      <c r="L231" s="275"/>
      <c r="M231" s="275"/>
      <c r="N231" s="275"/>
      <c r="O231" s="275"/>
      <c r="P231" s="275"/>
      <c r="Q231" s="275"/>
      <c r="R231" s="275"/>
      <c r="S231" s="275"/>
      <c r="T231" s="275"/>
      <c r="U231" s="275"/>
      <c r="V231" s="275"/>
      <c r="W231" s="275"/>
      <c r="X231" s="275"/>
      <c r="Y231" s="275"/>
      <c r="Z231" s="275"/>
    </row>
    <row r="232" spans="1:26" ht="12.75" customHeight="1" x14ac:dyDescent="0.25">
      <c r="A232" s="275"/>
      <c r="B232" s="342"/>
      <c r="C232" s="369"/>
      <c r="D232" s="337"/>
      <c r="E232" s="275"/>
      <c r="F232" s="275"/>
      <c r="G232" s="275"/>
      <c r="H232" s="275"/>
      <c r="I232" s="275"/>
      <c r="J232" s="275"/>
      <c r="K232" s="275"/>
      <c r="L232" s="275"/>
      <c r="M232" s="275"/>
      <c r="N232" s="275"/>
      <c r="O232" s="275"/>
      <c r="P232" s="275"/>
      <c r="Q232" s="275"/>
      <c r="R232" s="275"/>
      <c r="S232" s="275"/>
      <c r="T232" s="275"/>
      <c r="U232" s="275"/>
      <c r="V232" s="275"/>
      <c r="W232" s="275"/>
      <c r="X232" s="275"/>
      <c r="Y232" s="275"/>
      <c r="Z232" s="275"/>
    </row>
    <row r="233" spans="1:26" ht="12.75" customHeight="1" x14ac:dyDescent="0.25">
      <c r="A233" s="275"/>
      <c r="B233" s="342"/>
      <c r="C233" s="369"/>
      <c r="D233" s="337"/>
      <c r="E233" s="275"/>
      <c r="F233" s="275"/>
      <c r="G233" s="275"/>
      <c r="H233" s="275"/>
      <c r="I233" s="275"/>
      <c r="J233" s="275"/>
      <c r="K233" s="275"/>
      <c r="L233" s="275"/>
      <c r="M233" s="275"/>
      <c r="N233" s="275"/>
      <c r="O233" s="275"/>
      <c r="P233" s="275"/>
      <c r="Q233" s="275"/>
      <c r="R233" s="275"/>
      <c r="S233" s="275"/>
      <c r="T233" s="275"/>
      <c r="U233" s="275"/>
      <c r="V233" s="275"/>
      <c r="W233" s="275"/>
      <c r="X233" s="275"/>
      <c r="Y233" s="275"/>
      <c r="Z233" s="275"/>
    </row>
    <row r="234" spans="1:26" ht="12.75" customHeight="1" x14ac:dyDescent="0.25">
      <c r="A234" s="275"/>
      <c r="B234" s="342"/>
      <c r="C234" s="369"/>
      <c r="D234" s="337"/>
      <c r="E234" s="275"/>
      <c r="F234" s="275"/>
      <c r="G234" s="275"/>
      <c r="H234" s="275"/>
      <c r="I234" s="275"/>
      <c r="J234" s="275"/>
      <c r="K234" s="275"/>
      <c r="L234" s="275"/>
      <c r="M234" s="275"/>
      <c r="N234" s="275"/>
      <c r="O234" s="275"/>
      <c r="P234" s="275"/>
      <c r="Q234" s="275"/>
      <c r="R234" s="275"/>
      <c r="S234" s="275"/>
      <c r="T234" s="275"/>
      <c r="U234" s="275"/>
      <c r="V234" s="275"/>
      <c r="W234" s="275"/>
      <c r="X234" s="275"/>
      <c r="Y234" s="275"/>
      <c r="Z234" s="275"/>
    </row>
    <row r="235" spans="1:26" ht="12.75" customHeight="1" x14ac:dyDescent="0.25">
      <c r="A235" s="275"/>
      <c r="B235" s="342"/>
      <c r="C235" s="369"/>
      <c r="D235" s="337"/>
      <c r="E235" s="275"/>
      <c r="F235" s="275"/>
      <c r="G235" s="275"/>
      <c r="H235" s="275"/>
      <c r="I235" s="275"/>
      <c r="J235" s="275"/>
      <c r="K235" s="275"/>
      <c r="L235" s="275"/>
      <c r="M235" s="275"/>
      <c r="N235" s="275"/>
      <c r="O235" s="275"/>
      <c r="P235" s="275"/>
      <c r="Q235" s="275"/>
      <c r="R235" s="275"/>
      <c r="S235" s="275"/>
      <c r="T235" s="275"/>
      <c r="U235" s="275"/>
      <c r="V235" s="275"/>
      <c r="W235" s="275"/>
      <c r="X235" s="275"/>
      <c r="Y235" s="275"/>
      <c r="Z235" s="275"/>
    </row>
    <row r="236" spans="1:26" ht="12.75" customHeight="1" x14ac:dyDescent="0.25">
      <c r="A236" s="275"/>
      <c r="B236" s="342"/>
      <c r="C236" s="369"/>
      <c r="D236" s="337"/>
      <c r="E236" s="275"/>
      <c r="F236" s="275"/>
      <c r="G236" s="275"/>
      <c r="H236" s="275"/>
      <c r="I236" s="275"/>
      <c r="J236" s="275"/>
      <c r="K236" s="275"/>
      <c r="L236" s="275"/>
      <c r="M236" s="275"/>
      <c r="N236" s="275"/>
      <c r="O236" s="275"/>
      <c r="P236" s="275"/>
      <c r="Q236" s="275"/>
      <c r="R236" s="275"/>
      <c r="S236" s="275"/>
      <c r="T236" s="275"/>
      <c r="U236" s="275"/>
      <c r="V236" s="275"/>
      <c r="W236" s="275"/>
      <c r="X236" s="275"/>
      <c r="Y236" s="275"/>
      <c r="Z236" s="275"/>
    </row>
    <row r="237" spans="1:26" ht="12.75" customHeight="1" x14ac:dyDescent="0.25">
      <c r="A237" s="275"/>
      <c r="B237" s="342"/>
      <c r="C237" s="369"/>
      <c r="D237" s="337"/>
      <c r="E237" s="275"/>
      <c r="F237" s="275"/>
      <c r="G237" s="275"/>
      <c r="H237" s="275"/>
      <c r="I237" s="275"/>
      <c r="J237" s="275"/>
      <c r="K237" s="275"/>
      <c r="L237" s="275"/>
      <c r="M237" s="275"/>
      <c r="N237" s="275"/>
      <c r="O237" s="275"/>
      <c r="P237" s="275"/>
      <c r="Q237" s="275"/>
      <c r="R237" s="275"/>
      <c r="S237" s="275"/>
      <c r="T237" s="275"/>
      <c r="U237" s="275"/>
      <c r="V237" s="275"/>
      <c r="W237" s="275"/>
      <c r="X237" s="275"/>
      <c r="Y237" s="275"/>
      <c r="Z237" s="275"/>
    </row>
    <row r="238" spans="1:26" ht="12.75" customHeight="1" x14ac:dyDescent="0.25">
      <c r="A238" s="275"/>
      <c r="B238" s="342"/>
      <c r="C238" s="369"/>
      <c r="D238" s="337"/>
      <c r="E238" s="275"/>
      <c r="F238" s="275"/>
      <c r="G238" s="275"/>
      <c r="H238" s="275"/>
      <c r="I238" s="275"/>
      <c r="J238" s="275"/>
      <c r="K238" s="275"/>
      <c r="L238" s="275"/>
      <c r="M238" s="275"/>
      <c r="N238" s="275"/>
      <c r="O238" s="275"/>
      <c r="P238" s="275"/>
      <c r="Q238" s="275"/>
      <c r="R238" s="275"/>
      <c r="S238" s="275"/>
      <c r="T238" s="275"/>
      <c r="U238" s="275"/>
      <c r="V238" s="275"/>
      <c r="W238" s="275"/>
      <c r="X238" s="275"/>
      <c r="Y238" s="275"/>
      <c r="Z238" s="275"/>
    </row>
    <row r="239" spans="1:26" ht="12.75" customHeight="1" x14ac:dyDescent="0.25">
      <c r="A239" s="275"/>
      <c r="B239" s="342"/>
      <c r="C239" s="369"/>
      <c r="D239" s="337"/>
      <c r="E239" s="275"/>
      <c r="F239" s="275"/>
      <c r="G239" s="275"/>
      <c r="H239" s="275"/>
      <c r="I239" s="275"/>
      <c r="J239" s="275"/>
      <c r="K239" s="275"/>
      <c r="L239" s="275"/>
      <c r="M239" s="275"/>
      <c r="N239" s="275"/>
      <c r="O239" s="275"/>
      <c r="P239" s="275"/>
      <c r="Q239" s="275"/>
      <c r="R239" s="275"/>
      <c r="S239" s="275"/>
      <c r="T239" s="275"/>
      <c r="U239" s="275"/>
      <c r="V239" s="275"/>
      <c r="W239" s="275"/>
      <c r="X239" s="275"/>
      <c r="Y239" s="275"/>
      <c r="Z239" s="275"/>
    </row>
    <row r="240" spans="1:26" ht="12.75" customHeight="1" x14ac:dyDescent="0.25">
      <c r="A240" s="275"/>
      <c r="B240" s="342"/>
      <c r="C240" s="369"/>
      <c r="D240" s="337"/>
      <c r="E240" s="275"/>
      <c r="F240" s="275"/>
      <c r="G240" s="275"/>
      <c r="H240" s="275"/>
      <c r="I240" s="275"/>
      <c r="J240" s="275"/>
      <c r="K240" s="275"/>
      <c r="L240" s="275"/>
      <c r="M240" s="275"/>
      <c r="N240" s="275"/>
      <c r="O240" s="275"/>
      <c r="P240" s="275"/>
      <c r="Q240" s="275"/>
      <c r="R240" s="275"/>
      <c r="S240" s="275"/>
      <c r="T240" s="275"/>
      <c r="U240" s="275"/>
      <c r="V240" s="275"/>
      <c r="W240" s="275"/>
      <c r="X240" s="275"/>
      <c r="Y240" s="275"/>
      <c r="Z240" s="275"/>
    </row>
    <row r="241" spans="1:26" ht="12.75" customHeight="1" x14ac:dyDescent="0.25">
      <c r="A241" s="275"/>
      <c r="B241" s="342"/>
      <c r="C241" s="369"/>
      <c r="D241" s="337"/>
      <c r="E241" s="275"/>
      <c r="F241" s="275"/>
      <c r="G241" s="275"/>
      <c r="H241" s="275"/>
      <c r="I241" s="275"/>
      <c r="J241" s="275"/>
      <c r="K241" s="275"/>
      <c r="L241" s="275"/>
      <c r="M241" s="275"/>
      <c r="N241" s="275"/>
      <c r="O241" s="275"/>
      <c r="P241" s="275"/>
      <c r="Q241" s="275"/>
      <c r="R241" s="275"/>
      <c r="S241" s="275"/>
      <c r="T241" s="275"/>
      <c r="U241" s="275"/>
      <c r="V241" s="275"/>
      <c r="W241" s="275"/>
      <c r="X241" s="275"/>
      <c r="Y241" s="275"/>
      <c r="Z241" s="275"/>
    </row>
    <row r="242" spans="1:26" ht="12.75" customHeight="1" x14ac:dyDescent="0.25">
      <c r="A242" s="275"/>
      <c r="B242" s="342"/>
      <c r="C242" s="369"/>
      <c r="D242" s="337"/>
      <c r="E242" s="275"/>
      <c r="F242" s="275"/>
      <c r="G242" s="275"/>
      <c r="H242" s="275"/>
      <c r="I242" s="275"/>
      <c r="J242" s="275"/>
      <c r="K242" s="275"/>
      <c r="L242" s="275"/>
      <c r="M242" s="275"/>
      <c r="N242" s="275"/>
      <c r="O242" s="275"/>
      <c r="P242" s="275"/>
      <c r="Q242" s="275"/>
      <c r="R242" s="275"/>
      <c r="S242" s="275"/>
      <c r="T242" s="275"/>
      <c r="U242" s="275"/>
      <c r="V242" s="275"/>
      <c r="W242" s="275"/>
      <c r="X242" s="275"/>
      <c r="Y242" s="275"/>
      <c r="Z242" s="275"/>
    </row>
    <row r="243" spans="1:26" ht="12.75" customHeight="1" x14ac:dyDescent="0.25">
      <c r="A243" s="275"/>
      <c r="B243" s="342"/>
      <c r="C243" s="369"/>
      <c r="D243" s="337"/>
      <c r="E243" s="275"/>
      <c r="F243" s="275"/>
      <c r="G243" s="275"/>
      <c r="H243" s="275"/>
      <c r="I243" s="275"/>
      <c r="J243" s="275"/>
      <c r="K243" s="275"/>
      <c r="L243" s="275"/>
      <c r="M243" s="275"/>
      <c r="N243" s="275"/>
      <c r="O243" s="275"/>
      <c r="P243" s="275"/>
      <c r="Q243" s="275"/>
      <c r="R243" s="275"/>
      <c r="S243" s="275"/>
      <c r="T243" s="275"/>
      <c r="U243" s="275"/>
      <c r="V243" s="275"/>
      <c r="W243" s="275"/>
      <c r="X243" s="275"/>
      <c r="Y243" s="275"/>
      <c r="Z243" s="275"/>
    </row>
    <row r="244" spans="1:26" ht="12.75" customHeight="1" x14ac:dyDescent="0.25">
      <c r="A244" s="275"/>
      <c r="B244" s="342"/>
      <c r="C244" s="369"/>
      <c r="D244" s="337"/>
      <c r="E244" s="275"/>
      <c r="F244" s="275"/>
      <c r="G244" s="275"/>
      <c r="H244" s="275"/>
      <c r="I244" s="275"/>
      <c r="J244" s="275"/>
      <c r="K244" s="275"/>
      <c r="L244" s="275"/>
      <c r="M244" s="275"/>
      <c r="N244" s="275"/>
      <c r="O244" s="275"/>
      <c r="P244" s="275"/>
      <c r="Q244" s="275"/>
      <c r="R244" s="275"/>
      <c r="S244" s="275"/>
      <c r="T244" s="275"/>
      <c r="U244" s="275"/>
      <c r="V244" s="275"/>
      <c r="W244" s="275"/>
      <c r="X244" s="275"/>
      <c r="Y244" s="275"/>
      <c r="Z244" s="275"/>
    </row>
    <row r="245" spans="1:26" ht="12.75" customHeight="1" x14ac:dyDescent="0.25">
      <c r="A245" s="275"/>
      <c r="B245" s="342"/>
      <c r="C245" s="369"/>
      <c r="D245" s="337"/>
      <c r="E245" s="275"/>
      <c r="F245" s="275"/>
      <c r="G245" s="275"/>
      <c r="H245" s="275"/>
      <c r="I245" s="275"/>
      <c r="J245" s="275"/>
      <c r="K245" s="275"/>
      <c r="L245" s="275"/>
      <c r="M245" s="275"/>
      <c r="N245" s="275"/>
      <c r="O245" s="275"/>
      <c r="P245" s="275"/>
      <c r="Q245" s="275"/>
      <c r="R245" s="275"/>
      <c r="S245" s="275"/>
      <c r="T245" s="275"/>
      <c r="U245" s="275"/>
      <c r="V245" s="275"/>
      <c r="W245" s="275"/>
      <c r="X245" s="275"/>
      <c r="Y245" s="275"/>
      <c r="Z245" s="275"/>
    </row>
    <row r="246" spans="1:26" ht="12.75" customHeight="1" x14ac:dyDescent="0.25">
      <c r="A246" s="275"/>
      <c r="B246" s="342"/>
      <c r="C246" s="369"/>
      <c r="D246" s="337"/>
      <c r="E246" s="275"/>
      <c r="F246" s="275"/>
      <c r="G246" s="275"/>
      <c r="H246" s="275"/>
      <c r="I246" s="275"/>
      <c r="J246" s="275"/>
      <c r="K246" s="275"/>
      <c r="L246" s="275"/>
      <c r="M246" s="275"/>
      <c r="N246" s="275"/>
      <c r="O246" s="275"/>
      <c r="P246" s="275"/>
      <c r="Q246" s="275"/>
      <c r="R246" s="275"/>
      <c r="S246" s="275"/>
      <c r="T246" s="275"/>
      <c r="U246" s="275"/>
      <c r="V246" s="275"/>
      <c r="W246" s="275"/>
      <c r="X246" s="275"/>
      <c r="Y246" s="275"/>
      <c r="Z246" s="275"/>
    </row>
    <row r="247" spans="1:26" ht="12.75" customHeight="1" x14ac:dyDescent="0.25">
      <c r="A247" s="275"/>
      <c r="B247" s="342"/>
      <c r="C247" s="369"/>
      <c r="D247" s="337"/>
      <c r="E247" s="275"/>
      <c r="F247" s="275"/>
      <c r="G247" s="275"/>
      <c r="H247" s="275"/>
      <c r="I247" s="275"/>
      <c r="J247" s="275"/>
      <c r="K247" s="275"/>
      <c r="L247" s="275"/>
      <c r="M247" s="275"/>
      <c r="N247" s="275"/>
      <c r="O247" s="275"/>
      <c r="P247" s="275"/>
      <c r="Q247" s="275"/>
      <c r="R247" s="275"/>
      <c r="S247" s="275"/>
      <c r="T247" s="275"/>
      <c r="U247" s="275"/>
      <c r="V247" s="275"/>
      <c r="W247" s="275"/>
      <c r="X247" s="275"/>
      <c r="Y247" s="275"/>
      <c r="Z247" s="275"/>
    </row>
    <row r="248" spans="1:26" ht="12.75" customHeight="1" x14ac:dyDescent="0.25">
      <c r="A248" s="275"/>
      <c r="B248" s="342"/>
      <c r="C248" s="369"/>
      <c r="D248" s="337"/>
      <c r="E248" s="275"/>
      <c r="F248" s="275"/>
      <c r="G248" s="275"/>
      <c r="H248" s="275"/>
      <c r="I248" s="275"/>
      <c r="J248" s="275"/>
      <c r="K248" s="275"/>
      <c r="L248" s="275"/>
      <c r="M248" s="275"/>
      <c r="N248" s="275"/>
      <c r="O248" s="275"/>
      <c r="P248" s="275"/>
      <c r="Q248" s="275"/>
      <c r="R248" s="275"/>
      <c r="S248" s="275"/>
      <c r="T248" s="275"/>
      <c r="U248" s="275"/>
      <c r="V248" s="275"/>
      <c r="W248" s="275"/>
      <c r="X248" s="275"/>
      <c r="Y248" s="275"/>
      <c r="Z248" s="275"/>
    </row>
    <row r="249" spans="1:26" ht="12.75" customHeight="1" x14ac:dyDescent="0.25">
      <c r="A249" s="275"/>
      <c r="B249" s="342"/>
      <c r="C249" s="369"/>
      <c r="D249" s="337"/>
      <c r="E249" s="275"/>
      <c r="F249" s="275"/>
      <c r="G249" s="275"/>
      <c r="H249" s="275"/>
      <c r="I249" s="275"/>
      <c r="J249" s="275"/>
      <c r="K249" s="275"/>
      <c r="L249" s="275"/>
      <c r="M249" s="275"/>
      <c r="N249" s="275"/>
      <c r="O249" s="275"/>
      <c r="P249" s="275"/>
      <c r="Q249" s="275"/>
      <c r="R249" s="275"/>
      <c r="S249" s="275"/>
      <c r="T249" s="275"/>
      <c r="U249" s="275"/>
      <c r="V249" s="275"/>
      <c r="W249" s="275"/>
      <c r="X249" s="275"/>
      <c r="Y249" s="275"/>
      <c r="Z249" s="275"/>
    </row>
    <row r="250" spans="1:26" ht="12.75" customHeight="1" x14ac:dyDescent="0.25">
      <c r="A250" s="275"/>
      <c r="B250" s="342"/>
      <c r="C250" s="369"/>
      <c r="D250" s="337"/>
      <c r="E250" s="275"/>
      <c r="F250" s="275"/>
      <c r="G250" s="275"/>
      <c r="H250" s="275"/>
      <c r="I250" s="275"/>
      <c r="J250" s="275"/>
      <c r="K250" s="275"/>
      <c r="L250" s="275"/>
      <c r="M250" s="275"/>
      <c r="N250" s="275"/>
      <c r="O250" s="275"/>
      <c r="P250" s="275"/>
      <c r="Q250" s="275"/>
      <c r="R250" s="275"/>
      <c r="S250" s="275"/>
      <c r="T250" s="275"/>
      <c r="U250" s="275"/>
      <c r="V250" s="275"/>
      <c r="W250" s="275"/>
      <c r="X250" s="275"/>
      <c r="Y250" s="275"/>
      <c r="Z250" s="275"/>
    </row>
    <row r="251" spans="1:26" ht="12.75" customHeight="1" x14ac:dyDescent="0.25">
      <c r="A251" s="275"/>
      <c r="B251" s="342"/>
      <c r="C251" s="369"/>
      <c r="D251" s="337"/>
      <c r="E251" s="275"/>
      <c r="F251" s="275"/>
      <c r="G251" s="275"/>
      <c r="H251" s="275"/>
      <c r="I251" s="275"/>
      <c r="J251" s="275"/>
      <c r="K251" s="275"/>
      <c r="L251" s="275"/>
      <c r="M251" s="275"/>
      <c r="N251" s="275"/>
      <c r="O251" s="275"/>
      <c r="P251" s="275"/>
      <c r="Q251" s="275"/>
      <c r="R251" s="275"/>
      <c r="S251" s="275"/>
      <c r="T251" s="275"/>
      <c r="U251" s="275"/>
      <c r="V251" s="275"/>
      <c r="W251" s="275"/>
      <c r="X251" s="275"/>
      <c r="Y251" s="275"/>
      <c r="Z251" s="275"/>
    </row>
    <row r="252" spans="1:26" ht="12.75" customHeight="1" x14ac:dyDescent="0.25">
      <c r="A252" s="275"/>
      <c r="B252" s="342"/>
      <c r="C252" s="369"/>
      <c r="D252" s="337"/>
      <c r="E252" s="275"/>
      <c r="F252" s="275"/>
      <c r="G252" s="275"/>
      <c r="H252" s="275"/>
      <c r="I252" s="275"/>
      <c r="J252" s="275"/>
      <c r="K252" s="275"/>
      <c r="L252" s="275"/>
      <c r="M252" s="275"/>
      <c r="N252" s="275"/>
      <c r="O252" s="275"/>
      <c r="P252" s="275"/>
      <c r="Q252" s="275"/>
      <c r="R252" s="275"/>
      <c r="S252" s="275"/>
      <c r="T252" s="275"/>
      <c r="U252" s="275"/>
      <c r="V252" s="275"/>
      <c r="W252" s="275"/>
      <c r="X252" s="275"/>
      <c r="Y252" s="275"/>
      <c r="Z252" s="275"/>
    </row>
    <row r="253" spans="1:26" ht="12.75" customHeight="1" x14ac:dyDescent="0.25">
      <c r="A253" s="275"/>
      <c r="B253" s="342"/>
      <c r="C253" s="369"/>
      <c r="D253" s="337"/>
      <c r="E253" s="275"/>
      <c r="F253" s="275"/>
      <c r="G253" s="275"/>
      <c r="H253" s="275"/>
      <c r="I253" s="275"/>
      <c r="J253" s="275"/>
      <c r="K253" s="275"/>
      <c r="L253" s="275"/>
      <c r="M253" s="275"/>
      <c r="N253" s="275"/>
      <c r="O253" s="275"/>
      <c r="P253" s="275"/>
      <c r="Q253" s="275"/>
      <c r="R253" s="275"/>
      <c r="S253" s="275"/>
      <c r="T253" s="275"/>
      <c r="U253" s="275"/>
      <c r="V253" s="275"/>
      <c r="W253" s="275"/>
      <c r="X253" s="275"/>
      <c r="Y253" s="275"/>
      <c r="Z253" s="275"/>
    </row>
    <row r="254" spans="1:26" ht="12.75" customHeight="1" x14ac:dyDescent="0.25">
      <c r="A254" s="275"/>
      <c r="B254" s="342"/>
      <c r="C254" s="369"/>
      <c r="D254" s="337"/>
      <c r="E254" s="275"/>
      <c r="F254" s="275"/>
      <c r="G254" s="275"/>
      <c r="H254" s="275"/>
      <c r="I254" s="275"/>
      <c r="J254" s="275"/>
      <c r="K254" s="275"/>
      <c r="L254" s="275"/>
      <c r="M254" s="275"/>
      <c r="N254" s="275"/>
      <c r="O254" s="275"/>
      <c r="P254" s="275"/>
      <c r="Q254" s="275"/>
      <c r="R254" s="275"/>
      <c r="S254" s="275"/>
      <c r="T254" s="275"/>
      <c r="U254" s="275"/>
      <c r="V254" s="275"/>
      <c r="W254" s="275"/>
      <c r="X254" s="275"/>
      <c r="Y254" s="275"/>
      <c r="Z254" s="275"/>
    </row>
    <row r="255" spans="1:26" ht="12.75" customHeight="1" x14ac:dyDescent="0.25">
      <c r="A255" s="275"/>
      <c r="B255" s="342"/>
      <c r="C255" s="369"/>
      <c r="D255" s="337"/>
      <c r="E255" s="275"/>
      <c r="F255" s="275"/>
      <c r="G255" s="275"/>
      <c r="H255" s="275"/>
      <c r="I255" s="275"/>
      <c r="J255" s="275"/>
      <c r="K255" s="275"/>
      <c r="L255" s="275"/>
      <c r="M255" s="275"/>
      <c r="N255" s="275"/>
      <c r="O255" s="275"/>
      <c r="P255" s="275"/>
      <c r="Q255" s="275"/>
      <c r="R255" s="275"/>
      <c r="S255" s="275"/>
      <c r="T255" s="275"/>
      <c r="U255" s="275"/>
      <c r="V255" s="275"/>
      <c r="W255" s="275"/>
      <c r="X255" s="275"/>
      <c r="Y255" s="275"/>
      <c r="Z255" s="275"/>
    </row>
    <row r="256" spans="1:26" ht="12.75" customHeight="1" x14ac:dyDescent="0.25">
      <c r="A256" s="275"/>
      <c r="B256" s="342"/>
      <c r="C256" s="369"/>
      <c r="D256" s="337"/>
      <c r="E256" s="275"/>
      <c r="F256" s="275"/>
      <c r="G256" s="275"/>
      <c r="H256" s="275"/>
      <c r="I256" s="275"/>
      <c r="J256" s="275"/>
      <c r="K256" s="275"/>
      <c r="L256" s="275"/>
      <c r="M256" s="275"/>
      <c r="N256" s="275"/>
      <c r="O256" s="275"/>
      <c r="P256" s="275"/>
      <c r="Q256" s="275"/>
      <c r="R256" s="275"/>
      <c r="S256" s="275"/>
      <c r="T256" s="275"/>
      <c r="U256" s="275"/>
      <c r="V256" s="275"/>
      <c r="W256" s="275"/>
      <c r="X256" s="275"/>
      <c r="Y256" s="275"/>
      <c r="Z256" s="275"/>
    </row>
    <row r="257" spans="1:26" ht="12.75" customHeight="1" x14ac:dyDescent="0.25">
      <c r="A257" s="275"/>
      <c r="B257" s="342"/>
      <c r="C257" s="369"/>
      <c r="D257" s="337"/>
      <c r="E257" s="275"/>
      <c r="F257" s="275"/>
      <c r="G257" s="275"/>
      <c r="H257" s="275"/>
      <c r="I257" s="275"/>
      <c r="J257" s="275"/>
      <c r="K257" s="275"/>
      <c r="L257" s="275"/>
      <c r="M257" s="275"/>
      <c r="N257" s="275"/>
      <c r="O257" s="275"/>
      <c r="P257" s="275"/>
      <c r="Q257" s="275"/>
      <c r="R257" s="275"/>
      <c r="S257" s="275"/>
      <c r="T257" s="275"/>
      <c r="U257" s="275"/>
      <c r="V257" s="275"/>
      <c r="W257" s="275"/>
      <c r="X257" s="275"/>
      <c r="Y257" s="275"/>
      <c r="Z257" s="275"/>
    </row>
    <row r="258" spans="1:26" ht="12.75" customHeight="1" x14ac:dyDescent="0.25">
      <c r="A258" s="275"/>
      <c r="B258" s="342"/>
      <c r="C258" s="369"/>
      <c r="D258" s="337"/>
      <c r="E258" s="275"/>
      <c r="F258" s="275"/>
      <c r="G258" s="275"/>
      <c r="H258" s="275"/>
      <c r="I258" s="275"/>
      <c r="J258" s="275"/>
      <c r="K258" s="275"/>
      <c r="L258" s="275"/>
      <c r="M258" s="275"/>
      <c r="N258" s="275"/>
      <c r="O258" s="275"/>
      <c r="P258" s="275"/>
      <c r="Q258" s="275"/>
      <c r="R258" s="275"/>
      <c r="S258" s="275"/>
      <c r="T258" s="275"/>
      <c r="U258" s="275"/>
      <c r="V258" s="275"/>
      <c r="W258" s="275"/>
      <c r="X258" s="275"/>
      <c r="Y258" s="275"/>
      <c r="Z258" s="275"/>
    </row>
    <row r="259" spans="1:26" ht="12.75" customHeight="1" x14ac:dyDescent="0.25">
      <c r="A259" s="275"/>
      <c r="B259" s="342"/>
      <c r="C259" s="369"/>
      <c r="D259" s="337"/>
      <c r="E259" s="275"/>
      <c r="F259" s="275"/>
      <c r="G259" s="275"/>
      <c r="H259" s="275"/>
      <c r="I259" s="275"/>
      <c r="J259" s="275"/>
      <c r="K259" s="275"/>
      <c r="L259" s="275"/>
      <c r="M259" s="275"/>
      <c r="N259" s="275"/>
      <c r="O259" s="275"/>
      <c r="P259" s="275"/>
      <c r="Q259" s="275"/>
      <c r="R259" s="275"/>
      <c r="S259" s="275"/>
      <c r="T259" s="275"/>
      <c r="U259" s="275"/>
      <c r="V259" s="275"/>
      <c r="W259" s="275"/>
      <c r="X259" s="275"/>
      <c r="Y259" s="275"/>
      <c r="Z259" s="275"/>
    </row>
    <row r="260" spans="1:26" ht="12.75" customHeight="1" x14ac:dyDescent="0.25">
      <c r="A260" s="275"/>
      <c r="B260" s="342"/>
      <c r="C260" s="369"/>
      <c r="D260" s="337"/>
      <c r="E260" s="275"/>
      <c r="F260" s="275"/>
      <c r="G260" s="275"/>
      <c r="H260" s="275"/>
      <c r="I260" s="275"/>
      <c r="J260" s="275"/>
      <c r="K260" s="275"/>
      <c r="L260" s="275"/>
      <c r="M260" s="275"/>
      <c r="N260" s="275"/>
      <c r="O260" s="275"/>
      <c r="P260" s="275"/>
      <c r="Q260" s="275"/>
      <c r="R260" s="275"/>
      <c r="S260" s="275"/>
      <c r="T260" s="275"/>
      <c r="U260" s="275"/>
      <c r="V260" s="275"/>
      <c r="W260" s="275"/>
      <c r="X260" s="275"/>
      <c r="Y260" s="275"/>
      <c r="Z260" s="275"/>
    </row>
    <row r="261" spans="1:26" ht="12.75" customHeight="1" x14ac:dyDescent="0.25">
      <c r="A261" s="275"/>
      <c r="B261" s="342"/>
      <c r="C261" s="369"/>
      <c r="D261" s="337"/>
      <c r="E261" s="275"/>
      <c r="F261" s="275"/>
      <c r="G261" s="275"/>
      <c r="H261" s="275"/>
      <c r="I261" s="275"/>
      <c r="J261" s="275"/>
      <c r="K261" s="275"/>
      <c r="L261" s="275"/>
      <c r="M261" s="275"/>
      <c r="N261" s="275"/>
      <c r="O261" s="275"/>
      <c r="P261" s="275"/>
      <c r="Q261" s="275"/>
      <c r="R261" s="275"/>
      <c r="S261" s="275"/>
      <c r="T261" s="275"/>
      <c r="U261" s="275"/>
      <c r="V261" s="275"/>
      <c r="W261" s="275"/>
      <c r="X261" s="275"/>
      <c r="Y261" s="275"/>
      <c r="Z261" s="275"/>
    </row>
    <row r="262" spans="1:26" ht="12.75" customHeight="1" x14ac:dyDescent="0.25">
      <c r="A262" s="275"/>
      <c r="B262" s="342"/>
      <c r="C262" s="369"/>
      <c r="D262" s="337"/>
      <c r="E262" s="275"/>
      <c r="F262" s="275"/>
      <c r="G262" s="275"/>
      <c r="H262" s="275"/>
      <c r="I262" s="275"/>
      <c r="J262" s="275"/>
      <c r="K262" s="275"/>
      <c r="L262" s="275"/>
      <c r="M262" s="275"/>
      <c r="N262" s="275"/>
      <c r="O262" s="275"/>
      <c r="P262" s="275"/>
      <c r="Q262" s="275"/>
      <c r="R262" s="275"/>
      <c r="S262" s="275"/>
      <c r="T262" s="275"/>
      <c r="U262" s="275"/>
      <c r="V262" s="275"/>
      <c r="W262" s="275"/>
      <c r="X262" s="275"/>
      <c r="Y262" s="275"/>
      <c r="Z262" s="275"/>
    </row>
    <row r="263" spans="1:26" ht="12.75" customHeight="1" x14ac:dyDescent="0.25">
      <c r="A263" s="275"/>
      <c r="B263" s="342"/>
      <c r="C263" s="369"/>
      <c r="D263" s="337"/>
      <c r="E263" s="275"/>
      <c r="F263" s="275"/>
      <c r="G263" s="275"/>
      <c r="H263" s="275"/>
      <c r="I263" s="275"/>
      <c r="J263" s="275"/>
      <c r="K263" s="275"/>
      <c r="L263" s="275"/>
      <c r="M263" s="275"/>
      <c r="N263" s="275"/>
      <c r="O263" s="275"/>
      <c r="P263" s="275"/>
      <c r="Q263" s="275"/>
      <c r="R263" s="275"/>
      <c r="S263" s="275"/>
      <c r="T263" s="275"/>
      <c r="U263" s="275"/>
      <c r="V263" s="275"/>
      <c r="W263" s="275"/>
      <c r="X263" s="275"/>
      <c r="Y263" s="275"/>
      <c r="Z263" s="275"/>
    </row>
    <row r="264" spans="1:26" ht="12.75" customHeight="1" x14ac:dyDescent="0.25">
      <c r="A264" s="275"/>
      <c r="B264" s="342"/>
      <c r="C264" s="369"/>
      <c r="D264" s="337"/>
      <c r="E264" s="275"/>
      <c r="F264" s="275"/>
      <c r="G264" s="275"/>
      <c r="H264" s="275"/>
      <c r="I264" s="275"/>
      <c r="J264" s="275"/>
      <c r="K264" s="275"/>
      <c r="L264" s="275"/>
      <c r="M264" s="275"/>
      <c r="N264" s="275"/>
      <c r="O264" s="275"/>
      <c r="P264" s="275"/>
      <c r="Q264" s="275"/>
      <c r="R264" s="275"/>
      <c r="S264" s="275"/>
      <c r="T264" s="275"/>
      <c r="U264" s="275"/>
      <c r="V264" s="275"/>
      <c r="W264" s="275"/>
      <c r="X264" s="275"/>
      <c r="Y264" s="275"/>
      <c r="Z264" s="275"/>
    </row>
    <row r="265" spans="1:26" ht="12.75" customHeight="1" x14ac:dyDescent="0.25">
      <c r="A265" s="275"/>
      <c r="B265" s="342"/>
      <c r="C265" s="369"/>
      <c r="D265" s="337"/>
      <c r="E265" s="275"/>
      <c r="F265" s="275"/>
      <c r="G265" s="275"/>
      <c r="H265" s="275"/>
      <c r="I265" s="275"/>
      <c r="J265" s="275"/>
      <c r="K265" s="275"/>
      <c r="L265" s="275"/>
      <c r="M265" s="275"/>
      <c r="N265" s="275"/>
      <c r="O265" s="275"/>
      <c r="P265" s="275"/>
      <c r="Q265" s="275"/>
      <c r="R265" s="275"/>
      <c r="S265" s="275"/>
      <c r="T265" s="275"/>
      <c r="U265" s="275"/>
      <c r="V265" s="275"/>
      <c r="W265" s="275"/>
      <c r="X265" s="275"/>
      <c r="Y265" s="275"/>
      <c r="Z265" s="275"/>
    </row>
    <row r="266" spans="1:26" ht="12.75" customHeight="1" x14ac:dyDescent="0.25">
      <c r="A266" s="275"/>
      <c r="B266" s="342"/>
      <c r="C266" s="369"/>
      <c r="D266" s="337"/>
      <c r="E266" s="275"/>
      <c r="F266" s="275"/>
      <c r="G266" s="275"/>
      <c r="H266" s="275"/>
      <c r="I266" s="275"/>
      <c r="J266" s="275"/>
      <c r="K266" s="275"/>
      <c r="L266" s="275"/>
      <c r="M266" s="275"/>
      <c r="N266" s="275"/>
      <c r="O266" s="275"/>
      <c r="P266" s="275"/>
      <c r="Q266" s="275"/>
      <c r="R266" s="275"/>
      <c r="S266" s="275"/>
      <c r="T266" s="275"/>
      <c r="U266" s="275"/>
      <c r="V266" s="275"/>
      <c r="W266" s="275"/>
      <c r="X266" s="275"/>
      <c r="Y266" s="275"/>
      <c r="Z266" s="275"/>
    </row>
    <row r="267" spans="1:26" ht="12.75" customHeight="1" x14ac:dyDescent="0.25">
      <c r="A267" s="275"/>
      <c r="B267" s="342"/>
      <c r="C267" s="369"/>
      <c r="D267" s="337"/>
      <c r="E267" s="275"/>
      <c r="F267" s="275"/>
      <c r="G267" s="275"/>
      <c r="H267" s="275"/>
      <c r="I267" s="275"/>
      <c r="J267" s="275"/>
      <c r="K267" s="275"/>
      <c r="L267" s="275"/>
      <c r="M267" s="275"/>
      <c r="N267" s="275"/>
      <c r="O267" s="275"/>
      <c r="P267" s="275"/>
      <c r="Q267" s="275"/>
      <c r="R267" s="275"/>
      <c r="S267" s="275"/>
      <c r="T267" s="275"/>
      <c r="U267" s="275"/>
      <c r="V267" s="275"/>
      <c r="W267" s="275"/>
      <c r="X267" s="275"/>
      <c r="Y267" s="275"/>
      <c r="Z267" s="275"/>
    </row>
    <row r="268" spans="1:26" ht="12.75" customHeight="1" x14ac:dyDescent="0.25">
      <c r="A268" s="275"/>
      <c r="B268" s="342"/>
      <c r="C268" s="369"/>
      <c r="D268" s="337"/>
      <c r="E268" s="275"/>
      <c r="F268" s="275"/>
      <c r="G268" s="275"/>
      <c r="H268" s="275"/>
      <c r="I268" s="275"/>
      <c r="J268" s="275"/>
      <c r="K268" s="275"/>
      <c r="L268" s="275"/>
      <c r="M268" s="275"/>
      <c r="N268" s="275"/>
      <c r="O268" s="275"/>
      <c r="P268" s="275"/>
      <c r="Q268" s="275"/>
      <c r="R268" s="275"/>
      <c r="S268" s="275"/>
      <c r="T268" s="275"/>
      <c r="U268" s="275"/>
      <c r="V268" s="275"/>
      <c r="W268" s="275"/>
      <c r="X268" s="275"/>
      <c r="Y268" s="275"/>
      <c r="Z268" s="275"/>
    </row>
    <row r="269" spans="1:26" ht="12.75" customHeight="1" x14ac:dyDescent="0.25">
      <c r="A269" s="275"/>
      <c r="B269" s="342"/>
      <c r="C269" s="369"/>
      <c r="D269" s="337"/>
      <c r="E269" s="275"/>
      <c r="F269" s="275"/>
      <c r="G269" s="275"/>
      <c r="H269" s="275"/>
      <c r="I269" s="275"/>
      <c r="J269" s="275"/>
      <c r="K269" s="275"/>
      <c r="L269" s="275"/>
      <c r="M269" s="275"/>
      <c r="N269" s="275"/>
      <c r="O269" s="275"/>
      <c r="P269" s="275"/>
      <c r="Q269" s="275"/>
      <c r="R269" s="275"/>
      <c r="S269" s="275"/>
      <c r="T269" s="275"/>
      <c r="U269" s="275"/>
      <c r="V269" s="275"/>
      <c r="W269" s="275"/>
      <c r="X269" s="275"/>
      <c r="Y269" s="275"/>
      <c r="Z269" s="275"/>
    </row>
    <row r="270" spans="1:26" ht="12.75" customHeight="1" x14ac:dyDescent="0.25">
      <c r="A270" s="275"/>
      <c r="B270" s="342"/>
      <c r="C270" s="369"/>
      <c r="D270" s="337"/>
      <c r="E270" s="275"/>
      <c r="F270" s="275"/>
      <c r="G270" s="275"/>
      <c r="H270" s="275"/>
      <c r="I270" s="275"/>
      <c r="J270" s="275"/>
      <c r="K270" s="275"/>
      <c r="L270" s="275"/>
      <c r="M270" s="275"/>
      <c r="N270" s="275"/>
      <c r="O270" s="275"/>
      <c r="P270" s="275"/>
      <c r="Q270" s="275"/>
      <c r="R270" s="275"/>
      <c r="S270" s="275"/>
      <c r="T270" s="275"/>
      <c r="U270" s="275"/>
      <c r="V270" s="275"/>
      <c r="W270" s="275"/>
      <c r="X270" s="275"/>
      <c r="Y270" s="275"/>
      <c r="Z270" s="275"/>
    </row>
    <row r="271" spans="1:26" ht="12.75" customHeight="1" x14ac:dyDescent="0.25">
      <c r="A271" s="275"/>
      <c r="B271" s="342"/>
      <c r="C271" s="369"/>
      <c r="D271" s="337"/>
      <c r="E271" s="275"/>
      <c r="F271" s="275"/>
      <c r="G271" s="275"/>
      <c r="H271" s="275"/>
      <c r="I271" s="275"/>
      <c r="J271" s="275"/>
      <c r="K271" s="275"/>
      <c r="L271" s="275"/>
      <c r="M271" s="275"/>
      <c r="N271" s="275"/>
      <c r="O271" s="275"/>
      <c r="P271" s="275"/>
      <c r="Q271" s="275"/>
      <c r="R271" s="275"/>
      <c r="S271" s="275"/>
      <c r="T271" s="275"/>
      <c r="U271" s="275"/>
      <c r="V271" s="275"/>
      <c r="W271" s="275"/>
      <c r="X271" s="275"/>
      <c r="Y271" s="275"/>
      <c r="Z271" s="275"/>
    </row>
    <row r="272" spans="1:26" ht="12.75" customHeight="1" x14ac:dyDescent="0.25">
      <c r="A272" s="275"/>
      <c r="B272" s="342"/>
      <c r="C272" s="369"/>
      <c r="D272" s="337"/>
      <c r="E272" s="275"/>
      <c r="F272" s="275"/>
      <c r="G272" s="275"/>
      <c r="H272" s="275"/>
      <c r="I272" s="275"/>
      <c r="J272" s="275"/>
      <c r="K272" s="275"/>
      <c r="L272" s="275"/>
      <c r="M272" s="275"/>
      <c r="N272" s="275"/>
      <c r="O272" s="275"/>
      <c r="P272" s="275"/>
      <c r="Q272" s="275"/>
      <c r="R272" s="275"/>
      <c r="S272" s="275"/>
      <c r="T272" s="275"/>
      <c r="U272" s="275"/>
      <c r="V272" s="275"/>
      <c r="W272" s="275"/>
      <c r="X272" s="275"/>
      <c r="Y272" s="275"/>
      <c r="Z272" s="275"/>
    </row>
    <row r="273" spans="1:26" ht="12.75" customHeight="1" x14ac:dyDescent="0.25">
      <c r="A273" s="275"/>
      <c r="B273" s="342"/>
      <c r="C273" s="369"/>
      <c r="D273" s="337"/>
      <c r="E273" s="275"/>
      <c r="F273" s="275"/>
      <c r="G273" s="275"/>
      <c r="H273" s="275"/>
      <c r="I273" s="275"/>
      <c r="J273" s="275"/>
      <c r="K273" s="275"/>
      <c r="L273" s="275"/>
      <c r="M273" s="275"/>
      <c r="N273" s="275"/>
      <c r="O273" s="275"/>
      <c r="P273" s="275"/>
      <c r="Q273" s="275"/>
      <c r="R273" s="275"/>
      <c r="S273" s="275"/>
      <c r="T273" s="275"/>
      <c r="U273" s="275"/>
      <c r="V273" s="275"/>
      <c r="W273" s="275"/>
      <c r="X273" s="275"/>
      <c r="Y273" s="275"/>
      <c r="Z273" s="275"/>
    </row>
    <row r="274" spans="1:26" ht="12.75" customHeight="1" x14ac:dyDescent="0.25">
      <c r="A274" s="275"/>
      <c r="B274" s="342"/>
      <c r="C274" s="369"/>
      <c r="D274" s="337"/>
      <c r="E274" s="275"/>
      <c r="F274" s="275"/>
      <c r="G274" s="275"/>
      <c r="H274" s="275"/>
      <c r="I274" s="275"/>
      <c r="J274" s="275"/>
      <c r="K274" s="275"/>
      <c r="L274" s="275"/>
      <c r="M274" s="275"/>
      <c r="N274" s="275"/>
      <c r="O274" s="275"/>
      <c r="P274" s="275"/>
      <c r="Q274" s="275"/>
      <c r="R274" s="275"/>
      <c r="S274" s="275"/>
      <c r="T274" s="275"/>
      <c r="U274" s="275"/>
      <c r="V274" s="275"/>
      <c r="W274" s="275"/>
      <c r="X274" s="275"/>
      <c r="Y274" s="275"/>
      <c r="Z274" s="275"/>
    </row>
    <row r="275" spans="1:26" ht="12.75" customHeight="1" x14ac:dyDescent="0.25">
      <c r="A275" s="275"/>
      <c r="B275" s="342"/>
      <c r="C275" s="369"/>
      <c r="D275" s="337"/>
      <c r="E275" s="275"/>
      <c r="F275" s="275"/>
      <c r="G275" s="275"/>
      <c r="H275" s="275"/>
      <c r="I275" s="275"/>
      <c r="J275" s="275"/>
      <c r="K275" s="275"/>
      <c r="L275" s="275"/>
      <c r="M275" s="275"/>
      <c r="N275" s="275"/>
      <c r="O275" s="275"/>
      <c r="P275" s="275"/>
      <c r="Q275" s="275"/>
      <c r="R275" s="275"/>
      <c r="S275" s="275"/>
      <c r="T275" s="275"/>
      <c r="U275" s="275"/>
      <c r="V275" s="275"/>
      <c r="W275" s="275"/>
      <c r="X275" s="275"/>
      <c r="Y275" s="275"/>
      <c r="Z275" s="275"/>
    </row>
    <row r="276" spans="1:26" ht="12.75" customHeight="1" x14ac:dyDescent="0.25">
      <c r="A276" s="275"/>
      <c r="B276" s="342"/>
      <c r="C276" s="369"/>
      <c r="D276" s="337"/>
      <c r="E276" s="275"/>
      <c r="F276" s="275"/>
      <c r="G276" s="275"/>
      <c r="H276" s="275"/>
      <c r="I276" s="275"/>
      <c r="J276" s="275"/>
      <c r="K276" s="275"/>
      <c r="L276" s="275"/>
      <c r="M276" s="275"/>
      <c r="N276" s="275"/>
      <c r="O276" s="275"/>
      <c r="P276" s="275"/>
      <c r="Q276" s="275"/>
      <c r="R276" s="275"/>
      <c r="S276" s="275"/>
      <c r="T276" s="275"/>
      <c r="U276" s="275"/>
      <c r="V276" s="275"/>
      <c r="W276" s="275"/>
      <c r="X276" s="275"/>
      <c r="Y276" s="275"/>
      <c r="Z276" s="275"/>
    </row>
    <row r="277" spans="1:26" ht="12.75" customHeight="1" x14ac:dyDescent="0.25">
      <c r="A277" s="275"/>
      <c r="B277" s="342"/>
      <c r="C277" s="369"/>
      <c r="D277" s="337"/>
      <c r="E277" s="275"/>
      <c r="F277" s="275"/>
      <c r="G277" s="275"/>
      <c r="H277" s="275"/>
      <c r="I277" s="275"/>
      <c r="J277" s="275"/>
      <c r="K277" s="275"/>
      <c r="L277" s="275"/>
      <c r="M277" s="275"/>
      <c r="N277" s="275"/>
      <c r="O277" s="275"/>
      <c r="P277" s="275"/>
      <c r="Q277" s="275"/>
      <c r="R277" s="275"/>
      <c r="S277" s="275"/>
      <c r="T277" s="275"/>
      <c r="U277" s="275"/>
      <c r="V277" s="275"/>
      <c r="W277" s="275"/>
      <c r="X277" s="275"/>
      <c r="Y277" s="275"/>
      <c r="Z277" s="275"/>
    </row>
    <row r="278" spans="1:26" ht="12.75" customHeight="1" x14ac:dyDescent="0.25">
      <c r="A278" s="275"/>
      <c r="B278" s="342"/>
      <c r="C278" s="369"/>
      <c r="D278" s="337"/>
      <c r="E278" s="275"/>
      <c r="F278" s="275"/>
      <c r="G278" s="275"/>
      <c r="H278" s="275"/>
      <c r="I278" s="275"/>
      <c r="J278" s="275"/>
      <c r="K278" s="275"/>
      <c r="L278" s="275"/>
      <c r="M278" s="275"/>
      <c r="N278" s="275"/>
      <c r="O278" s="275"/>
      <c r="P278" s="275"/>
      <c r="Q278" s="275"/>
      <c r="R278" s="275"/>
      <c r="S278" s="275"/>
      <c r="T278" s="275"/>
      <c r="U278" s="275"/>
      <c r="V278" s="275"/>
      <c r="W278" s="275"/>
      <c r="X278" s="275"/>
      <c r="Y278" s="275"/>
      <c r="Z278" s="275"/>
    </row>
    <row r="279" spans="1:26" ht="12.75" customHeight="1" x14ac:dyDescent="0.25">
      <c r="A279" s="275"/>
      <c r="B279" s="342"/>
      <c r="C279" s="369"/>
      <c r="D279" s="337"/>
      <c r="E279" s="275"/>
      <c r="F279" s="275"/>
      <c r="G279" s="275"/>
      <c r="H279" s="275"/>
      <c r="I279" s="275"/>
      <c r="J279" s="275"/>
      <c r="K279" s="275"/>
      <c r="L279" s="275"/>
      <c r="M279" s="275"/>
      <c r="N279" s="275"/>
      <c r="O279" s="275"/>
      <c r="P279" s="275"/>
      <c r="Q279" s="275"/>
      <c r="R279" s="275"/>
      <c r="S279" s="275"/>
      <c r="T279" s="275"/>
      <c r="U279" s="275"/>
      <c r="V279" s="275"/>
      <c r="W279" s="275"/>
      <c r="X279" s="275"/>
      <c r="Y279" s="275"/>
      <c r="Z279" s="275"/>
    </row>
    <row r="280" spans="1:26" ht="12.75" customHeight="1" x14ac:dyDescent="0.25">
      <c r="A280" s="275"/>
      <c r="B280" s="342"/>
      <c r="C280" s="369"/>
      <c r="D280" s="337"/>
      <c r="E280" s="275"/>
      <c r="F280" s="275"/>
      <c r="G280" s="275"/>
      <c r="H280" s="275"/>
      <c r="I280" s="275"/>
      <c r="J280" s="275"/>
      <c r="K280" s="275"/>
      <c r="L280" s="275"/>
      <c r="M280" s="275"/>
      <c r="N280" s="275"/>
      <c r="O280" s="275"/>
      <c r="P280" s="275"/>
      <c r="Q280" s="275"/>
      <c r="R280" s="275"/>
      <c r="S280" s="275"/>
      <c r="T280" s="275"/>
      <c r="U280" s="275"/>
      <c r="V280" s="275"/>
      <c r="W280" s="275"/>
      <c r="X280" s="275"/>
      <c r="Y280" s="275"/>
      <c r="Z280" s="275"/>
    </row>
    <row r="281" spans="1:26" ht="12.75" customHeight="1" x14ac:dyDescent="0.25">
      <c r="A281" s="275"/>
      <c r="B281" s="342"/>
      <c r="C281" s="369"/>
      <c r="D281" s="337"/>
      <c r="E281" s="275"/>
      <c r="F281" s="275"/>
      <c r="G281" s="275"/>
      <c r="H281" s="275"/>
      <c r="I281" s="275"/>
      <c r="J281" s="275"/>
      <c r="K281" s="275"/>
      <c r="L281" s="275"/>
      <c r="M281" s="275"/>
      <c r="N281" s="275"/>
      <c r="O281" s="275"/>
      <c r="P281" s="275"/>
      <c r="Q281" s="275"/>
      <c r="R281" s="275"/>
      <c r="S281" s="275"/>
      <c r="T281" s="275"/>
      <c r="U281" s="275"/>
      <c r="V281" s="275"/>
      <c r="W281" s="275"/>
      <c r="X281" s="275"/>
      <c r="Y281" s="275"/>
      <c r="Z281" s="275"/>
    </row>
    <row r="282" spans="1:26" ht="12.75" customHeight="1" x14ac:dyDescent="0.25">
      <c r="A282" s="275"/>
      <c r="B282" s="342"/>
      <c r="C282" s="369"/>
      <c r="D282" s="337"/>
      <c r="E282" s="275"/>
      <c r="F282" s="275"/>
      <c r="G282" s="275"/>
      <c r="H282" s="275"/>
      <c r="I282" s="275"/>
      <c r="J282" s="275"/>
      <c r="K282" s="275"/>
      <c r="L282" s="275"/>
      <c r="M282" s="275"/>
      <c r="N282" s="275"/>
      <c r="O282" s="275"/>
      <c r="P282" s="275"/>
      <c r="Q282" s="275"/>
      <c r="R282" s="275"/>
      <c r="S282" s="275"/>
      <c r="T282" s="275"/>
      <c r="U282" s="275"/>
      <c r="V282" s="275"/>
      <c r="W282" s="275"/>
      <c r="X282" s="275"/>
      <c r="Y282" s="275"/>
      <c r="Z282" s="275"/>
    </row>
    <row r="283" spans="1:26" ht="12.75" customHeight="1" x14ac:dyDescent="0.25">
      <c r="A283" s="275"/>
      <c r="B283" s="342"/>
      <c r="C283" s="369"/>
      <c r="D283" s="337"/>
      <c r="E283" s="275"/>
      <c r="F283" s="275"/>
      <c r="G283" s="275"/>
      <c r="H283" s="275"/>
      <c r="I283" s="275"/>
      <c r="J283" s="275"/>
      <c r="K283" s="275"/>
      <c r="L283" s="275"/>
      <c r="M283" s="275"/>
      <c r="N283" s="275"/>
      <c r="O283" s="275"/>
      <c r="P283" s="275"/>
      <c r="Q283" s="275"/>
      <c r="R283" s="275"/>
      <c r="S283" s="275"/>
      <c r="T283" s="275"/>
      <c r="U283" s="275"/>
      <c r="V283" s="275"/>
      <c r="W283" s="275"/>
      <c r="X283" s="275"/>
      <c r="Y283" s="275"/>
      <c r="Z283" s="275"/>
    </row>
    <row r="284" spans="1:26" ht="12.75" customHeight="1" x14ac:dyDescent="0.25">
      <c r="A284" s="275"/>
      <c r="B284" s="342"/>
      <c r="C284" s="369"/>
      <c r="D284" s="337"/>
      <c r="E284" s="275"/>
      <c r="F284" s="275"/>
      <c r="G284" s="275"/>
      <c r="H284" s="275"/>
      <c r="I284" s="275"/>
      <c r="J284" s="275"/>
      <c r="K284" s="275"/>
      <c r="L284" s="275"/>
      <c r="M284" s="275"/>
      <c r="N284" s="275"/>
      <c r="O284" s="275"/>
      <c r="P284" s="275"/>
      <c r="Q284" s="275"/>
      <c r="R284" s="275"/>
      <c r="S284" s="275"/>
      <c r="T284" s="275"/>
      <c r="U284" s="275"/>
      <c r="V284" s="275"/>
      <c r="W284" s="275"/>
      <c r="X284" s="275"/>
      <c r="Y284" s="275"/>
      <c r="Z284" s="275"/>
    </row>
    <row r="285" spans="1:26" ht="12.75" customHeight="1" x14ac:dyDescent="0.25">
      <c r="A285" s="275"/>
      <c r="B285" s="342"/>
      <c r="C285" s="369"/>
      <c r="D285" s="337"/>
      <c r="E285" s="275"/>
      <c r="F285" s="275"/>
      <c r="G285" s="275"/>
      <c r="H285" s="275"/>
      <c r="I285" s="275"/>
      <c r="J285" s="275"/>
      <c r="K285" s="275"/>
      <c r="L285" s="275"/>
      <c r="M285" s="275"/>
      <c r="N285" s="275"/>
      <c r="O285" s="275"/>
      <c r="P285" s="275"/>
      <c r="Q285" s="275"/>
      <c r="R285" s="275"/>
      <c r="S285" s="275"/>
      <c r="T285" s="275"/>
      <c r="U285" s="275"/>
      <c r="V285" s="275"/>
      <c r="W285" s="275"/>
      <c r="X285" s="275"/>
      <c r="Y285" s="275"/>
      <c r="Z285" s="275"/>
    </row>
    <row r="286" spans="1:26" ht="12.75" customHeight="1" x14ac:dyDescent="0.25">
      <c r="A286" s="275"/>
      <c r="B286" s="342"/>
      <c r="C286" s="369"/>
      <c r="D286" s="337"/>
      <c r="E286" s="275"/>
      <c r="F286" s="275"/>
      <c r="G286" s="275"/>
      <c r="H286" s="275"/>
      <c r="I286" s="275"/>
      <c r="J286" s="275"/>
      <c r="K286" s="275"/>
      <c r="L286" s="275"/>
      <c r="M286" s="275"/>
      <c r="N286" s="275"/>
      <c r="O286" s="275"/>
      <c r="P286" s="275"/>
      <c r="Q286" s="275"/>
      <c r="R286" s="275"/>
      <c r="S286" s="275"/>
      <c r="T286" s="275"/>
      <c r="U286" s="275"/>
      <c r="V286" s="275"/>
      <c r="W286" s="275"/>
      <c r="X286" s="275"/>
      <c r="Y286" s="275"/>
      <c r="Z286" s="275"/>
    </row>
    <row r="287" spans="1:26" ht="12.75" customHeight="1" x14ac:dyDescent="0.25">
      <c r="A287" s="275"/>
      <c r="B287" s="342"/>
      <c r="C287" s="369"/>
      <c r="D287" s="337"/>
      <c r="E287" s="275"/>
      <c r="F287" s="275"/>
      <c r="G287" s="275"/>
      <c r="H287" s="275"/>
      <c r="I287" s="275"/>
      <c r="J287" s="275"/>
      <c r="K287" s="275"/>
      <c r="L287" s="275"/>
      <c r="M287" s="275"/>
      <c r="N287" s="275"/>
      <c r="O287" s="275"/>
      <c r="P287" s="275"/>
      <c r="Q287" s="275"/>
      <c r="R287" s="275"/>
      <c r="S287" s="275"/>
      <c r="T287" s="275"/>
      <c r="U287" s="275"/>
      <c r="V287" s="275"/>
      <c r="W287" s="275"/>
      <c r="X287" s="275"/>
      <c r="Y287" s="275"/>
      <c r="Z287" s="275"/>
    </row>
    <row r="288" spans="1:26" ht="12.75" customHeight="1" x14ac:dyDescent="0.25">
      <c r="A288" s="275"/>
      <c r="B288" s="342"/>
      <c r="C288" s="369"/>
      <c r="D288" s="337"/>
      <c r="E288" s="275"/>
      <c r="F288" s="275"/>
      <c r="G288" s="275"/>
      <c r="H288" s="275"/>
      <c r="I288" s="275"/>
      <c r="J288" s="275"/>
      <c r="K288" s="275"/>
      <c r="L288" s="275"/>
      <c r="M288" s="275"/>
      <c r="N288" s="275"/>
      <c r="O288" s="275"/>
      <c r="P288" s="275"/>
      <c r="Q288" s="275"/>
      <c r="R288" s="275"/>
      <c r="S288" s="275"/>
      <c r="T288" s="275"/>
      <c r="U288" s="275"/>
      <c r="V288" s="275"/>
      <c r="W288" s="275"/>
      <c r="X288" s="275"/>
      <c r="Y288" s="275"/>
      <c r="Z288" s="275"/>
    </row>
    <row r="289" spans="1:26" ht="12.75" customHeight="1" x14ac:dyDescent="0.25">
      <c r="A289" s="275"/>
      <c r="B289" s="342"/>
      <c r="C289" s="369"/>
      <c r="D289" s="337"/>
      <c r="E289" s="275"/>
      <c r="F289" s="275"/>
      <c r="G289" s="275"/>
      <c r="H289" s="275"/>
      <c r="I289" s="275"/>
      <c r="J289" s="275"/>
      <c r="K289" s="275"/>
      <c r="L289" s="275"/>
      <c r="M289" s="275"/>
      <c r="N289" s="275"/>
      <c r="O289" s="275"/>
      <c r="P289" s="275"/>
      <c r="Q289" s="275"/>
      <c r="R289" s="275"/>
      <c r="S289" s="275"/>
      <c r="T289" s="275"/>
      <c r="U289" s="275"/>
      <c r="V289" s="275"/>
      <c r="W289" s="275"/>
      <c r="X289" s="275"/>
      <c r="Y289" s="275"/>
      <c r="Z289" s="275"/>
    </row>
    <row r="290" spans="1:26" ht="12.75" customHeight="1" x14ac:dyDescent="0.25">
      <c r="A290" s="275"/>
      <c r="B290" s="342"/>
      <c r="C290" s="369"/>
      <c r="D290" s="337"/>
      <c r="E290" s="275"/>
      <c r="F290" s="275"/>
      <c r="G290" s="275"/>
      <c r="H290" s="275"/>
      <c r="I290" s="275"/>
      <c r="J290" s="275"/>
      <c r="K290" s="275"/>
      <c r="L290" s="275"/>
      <c r="M290" s="275"/>
      <c r="N290" s="275"/>
      <c r="O290" s="275"/>
      <c r="P290" s="275"/>
      <c r="Q290" s="275"/>
      <c r="R290" s="275"/>
      <c r="S290" s="275"/>
      <c r="T290" s="275"/>
      <c r="U290" s="275"/>
      <c r="V290" s="275"/>
      <c r="W290" s="275"/>
      <c r="X290" s="275"/>
      <c r="Y290" s="275"/>
      <c r="Z290" s="275"/>
    </row>
    <row r="291" spans="1:26" ht="12.75" customHeight="1" x14ac:dyDescent="0.25">
      <c r="A291" s="275"/>
      <c r="B291" s="342"/>
      <c r="C291" s="369"/>
      <c r="D291" s="337"/>
      <c r="E291" s="275"/>
      <c r="F291" s="275"/>
      <c r="G291" s="275"/>
      <c r="H291" s="275"/>
      <c r="I291" s="275"/>
      <c r="J291" s="275"/>
      <c r="K291" s="275"/>
      <c r="L291" s="275"/>
      <c r="M291" s="275"/>
      <c r="N291" s="275"/>
      <c r="O291" s="275"/>
      <c r="P291" s="275"/>
      <c r="Q291" s="275"/>
      <c r="R291" s="275"/>
      <c r="S291" s="275"/>
      <c r="T291" s="275"/>
      <c r="U291" s="275"/>
      <c r="V291" s="275"/>
      <c r="W291" s="275"/>
      <c r="X291" s="275"/>
      <c r="Y291" s="275"/>
      <c r="Z291" s="275"/>
    </row>
    <row r="292" spans="1:26" ht="12.75" customHeight="1" x14ac:dyDescent="0.25">
      <c r="A292" s="275"/>
      <c r="B292" s="342"/>
      <c r="C292" s="369"/>
      <c r="D292" s="337"/>
      <c r="E292" s="275"/>
      <c r="F292" s="275"/>
      <c r="G292" s="275"/>
      <c r="H292" s="275"/>
      <c r="I292" s="275"/>
      <c r="J292" s="275"/>
      <c r="K292" s="275"/>
      <c r="L292" s="275"/>
      <c r="M292" s="275"/>
      <c r="N292" s="275"/>
      <c r="O292" s="275"/>
      <c r="P292" s="275"/>
      <c r="Q292" s="275"/>
      <c r="R292" s="275"/>
      <c r="S292" s="275"/>
      <c r="T292" s="275"/>
      <c r="U292" s="275"/>
      <c r="V292" s="275"/>
      <c r="W292" s="275"/>
      <c r="X292" s="275"/>
      <c r="Y292" s="275"/>
      <c r="Z292" s="275"/>
    </row>
    <row r="293" spans="1:26" ht="12.75" customHeight="1" x14ac:dyDescent="0.25">
      <c r="A293" s="275"/>
      <c r="B293" s="342"/>
      <c r="C293" s="369"/>
      <c r="D293" s="337"/>
      <c r="E293" s="275"/>
      <c r="F293" s="275"/>
      <c r="G293" s="275"/>
      <c r="H293" s="275"/>
      <c r="I293" s="275"/>
      <c r="J293" s="275"/>
      <c r="K293" s="275"/>
      <c r="L293" s="275"/>
      <c r="M293" s="275"/>
      <c r="N293" s="275"/>
      <c r="O293" s="275"/>
      <c r="P293" s="275"/>
      <c r="Q293" s="275"/>
      <c r="R293" s="275"/>
      <c r="S293" s="275"/>
      <c r="T293" s="275"/>
      <c r="U293" s="275"/>
      <c r="V293" s="275"/>
      <c r="W293" s="275"/>
      <c r="X293" s="275"/>
      <c r="Y293" s="275"/>
      <c r="Z293" s="275"/>
    </row>
    <row r="294" spans="1:26" ht="12.75" customHeight="1" x14ac:dyDescent="0.25">
      <c r="A294" s="275"/>
      <c r="B294" s="342"/>
      <c r="C294" s="369"/>
      <c r="D294" s="337"/>
      <c r="E294" s="275"/>
      <c r="F294" s="275"/>
      <c r="G294" s="275"/>
      <c r="H294" s="275"/>
      <c r="I294" s="275"/>
      <c r="J294" s="275"/>
      <c r="K294" s="275"/>
      <c r="L294" s="275"/>
      <c r="M294" s="275"/>
      <c r="N294" s="275"/>
      <c r="O294" s="275"/>
      <c r="P294" s="275"/>
      <c r="Q294" s="275"/>
      <c r="R294" s="275"/>
      <c r="S294" s="275"/>
      <c r="T294" s="275"/>
      <c r="U294" s="275"/>
      <c r="V294" s="275"/>
      <c r="W294" s="275"/>
      <c r="X294" s="275"/>
      <c r="Y294" s="275"/>
      <c r="Z294" s="275"/>
    </row>
    <row r="295" spans="1:26" ht="12.75" customHeight="1" x14ac:dyDescent="0.25">
      <c r="A295" s="275"/>
      <c r="B295" s="342"/>
      <c r="C295" s="369"/>
      <c r="D295" s="337"/>
      <c r="E295" s="275"/>
      <c r="F295" s="275"/>
      <c r="G295" s="275"/>
      <c r="H295" s="275"/>
      <c r="I295" s="275"/>
      <c r="J295" s="275"/>
      <c r="K295" s="275"/>
      <c r="L295" s="275"/>
      <c r="M295" s="275"/>
      <c r="N295" s="275"/>
      <c r="O295" s="275"/>
      <c r="P295" s="275"/>
      <c r="Q295" s="275"/>
      <c r="R295" s="275"/>
      <c r="S295" s="275"/>
      <c r="T295" s="275"/>
      <c r="U295" s="275"/>
      <c r="V295" s="275"/>
      <c r="W295" s="275"/>
      <c r="X295" s="275"/>
      <c r="Y295" s="275"/>
      <c r="Z295" s="275"/>
    </row>
    <row r="296" spans="1:26" ht="12.75" customHeight="1" x14ac:dyDescent="0.25">
      <c r="A296" s="275"/>
      <c r="B296" s="342"/>
      <c r="C296" s="369"/>
      <c r="D296" s="337"/>
      <c r="E296" s="275"/>
      <c r="F296" s="275"/>
      <c r="G296" s="275"/>
      <c r="H296" s="275"/>
      <c r="I296" s="275"/>
      <c r="J296" s="275"/>
      <c r="K296" s="275"/>
      <c r="L296" s="275"/>
      <c r="M296" s="275"/>
      <c r="N296" s="275"/>
      <c r="O296" s="275"/>
      <c r="P296" s="275"/>
      <c r="Q296" s="275"/>
      <c r="R296" s="275"/>
      <c r="S296" s="275"/>
      <c r="T296" s="275"/>
      <c r="U296" s="275"/>
      <c r="V296" s="275"/>
      <c r="W296" s="275"/>
      <c r="X296" s="275"/>
      <c r="Y296" s="275"/>
      <c r="Z296" s="275"/>
    </row>
    <row r="297" spans="1:26" ht="12.75" customHeight="1" x14ac:dyDescent="0.25">
      <c r="A297" s="275"/>
      <c r="B297" s="342"/>
      <c r="C297" s="369"/>
      <c r="D297" s="337"/>
      <c r="E297" s="275"/>
      <c r="F297" s="275"/>
      <c r="G297" s="275"/>
      <c r="H297" s="275"/>
      <c r="I297" s="275"/>
      <c r="J297" s="275"/>
      <c r="K297" s="275"/>
      <c r="L297" s="275"/>
      <c r="M297" s="275"/>
      <c r="N297" s="275"/>
      <c r="O297" s="275"/>
      <c r="P297" s="275"/>
      <c r="Q297" s="275"/>
      <c r="R297" s="275"/>
      <c r="S297" s="275"/>
      <c r="T297" s="275"/>
      <c r="U297" s="275"/>
      <c r="V297" s="275"/>
      <c r="W297" s="275"/>
      <c r="X297" s="275"/>
      <c r="Y297" s="275"/>
      <c r="Z297" s="275"/>
    </row>
    <row r="298" spans="1:26" ht="12.75" customHeight="1" x14ac:dyDescent="0.25">
      <c r="A298" s="275"/>
      <c r="B298" s="342"/>
      <c r="C298" s="369"/>
      <c r="D298" s="337"/>
      <c r="E298" s="275"/>
      <c r="F298" s="275"/>
      <c r="G298" s="275"/>
      <c r="H298" s="275"/>
      <c r="I298" s="275"/>
      <c r="J298" s="275"/>
      <c r="K298" s="275"/>
      <c r="L298" s="275"/>
      <c r="M298" s="275"/>
      <c r="N298" s="275"/>
      <c r="O298" s="275"/>
      <c r="P298" s="275"/>
      <c r="Q298" s="275"/>
      <c r="R298" s="275"/>
      <c r="S298" s="275"/>
      <c r="T298" s="275"/>
      <c r="U298" s="275"/>
      <c r="V298" s="275"/>
      <c r="W298" s="275"/>
      <c r="X298" s="275"/>
      <c r="Y298" s="275"/>
      <c r="Z298" s="275"/>
    </row>
    <row r="299" spans="1:26" ht="12.75" customHeight="1" x14ac:dyDescent="0.25">
      <c r="A299" s="275"/>
      <c r="B299" s="342"/>
      <c r="C299" s="369"/>
      <c r="D299" s="337"/>
      <c r="E299" s="275"/>
      <c r="F299" s="275"/>
      <c r="G299" s="275"/>
      <c r="H299" s="275"/>
      <c r="I299" s="275"/>
      <c r="J299" s="275"/>
      <c r="K299" s="275"/>
      <c r="L299" s="275"/>
      <c r="M299" s="275"/>
      <c r="N299" s="275"/>
      <c r="O299" s="275"/>
      <c r="P299" s="275"/>
      <c r="Q299" s="275"/>
      <c r="R299" s="275"/>
      <c r="S299" s="275"/>
      <c r="T299" s="275"/>
      <c r="U299" s="275"/>
      <c r="V299" s="275"/>
      <c r="W299" s="275"/>
      <c r="X299" s="275"/>
      <c r="Y299" s="275"/>
      <c r="Z299" s="275"/>
    </row>
    <row r="300" spans="1:26" ht="12.75" customHeight="1" x14ac:dyDescent="0.25">
      <c r="A300" s="275"/>
      <c r="B300" s="342"/>
      <c r="C300" s="369"/>
      <c r="D300" s="337"/>
      <c r="E300" s="275"/>
      <c r="F300" s="275"/>
      <c r="G300" s="275"/>
      <c r="H300" s="275"/>
      <c r="I300" s="275"/>
      <c r="J300" s="275"/>
      <c r="K300" s="275"/>
      <c r="L300" s="275"/>
      <c r="M300" s="275"/>
      <c r="N300" s="275"/>
      <c r="O300" s="275"/>
      <c r="P300" s="275"/>
      <c r="Q300" s="275"/>
      <c r="R300" s="275"/>
      <c r="S300" s="275"/>
      <c r="T300" s="275"/>
      <c r="U300" s="275"/>
      <c r="V300" s="275"/>
      <c r="W300" s="275"/>
      <c r="X300" s="275"/>
      <c r="Y300" s="275"/>
      <c r="Z300" s="275"/>
    </row>
    <row r="301" spans="1:26" ht="12.75" customHeight="1" x14ac:dyDescent="0.25">
      <c r="A301" s="275"/>
      <c r="B301" s="342"/>
      <c r="C301" s="369"/>
      <c r="D301" s="337"/>
      <c r="E301" s="275"/>
      <c r="F301" s="275"/>
      <c r="G301" s="275"/>
      <c r="H301" s="275"/>
      <c r="I301" s="275"/>
      <c r="J301" s="275"/>
      <c r="K301" s="275"/>
      <c r="L301" s="275"/>
      <c r="M301" s="275"/>
      <c r="N301" s="275"/>
      <c r="O301" s="275"/>
      <c r="P301" s="275"/>
      <c r="Q301" s="275"/>
      <c r="R301" s="275"/>
      <c r="S301" s="275"/>
      <c r="T301" s="275"/>
      <c r="U301" s="275"/>
      <c r="V301" s="275"/>
      <c r="W301" s="275"/>
      <c r="X301" s="275"/>
      <c r="Y301" s="275"/>
      <c r="Z301" s="275"/>
    </row>
    <row r="302" spans="1:26" ht="12.75" customHeight="1" x14ac:dyDescent="0.25">
      <c r="A302" s="275"/>
      <c r="B302" s="342"/>
      <c r="C302" s="369"/>
      <c r="D302" s="337"/>
      <c r="E302" s="275"/>
      <c r="F302" s="275"/>
      <c r="G302" s="275"/>
      <c r="H302" s="275"/>
      <c r="I302" s="275"/>
      <c r="J302" s="275"/>
      <c r="K302" s="275"/>
      <c r="L302" s="275"/>
      <c r="M302" s="275"/>
      <c r="N302" s="275"/>
      <c r="O302" s="275"/>
      <c r="P302" s="275"/>
      <c r="Q302" s="275"/>
      <c r="R302" s="275"/>
      <c r="S302" s="275"/>
      <c r="T302" s="275"/>
      <c r="U302" s="275"/>
      <c r="V302" s="275"/>
      <c r="W302" s="275"/>
      <c r="X302" s="275"/>
      <c r="Y302" s="275"/>
      <c r="Z302" s="275"/>
    </row>
    <row r="303" spans="1:26" ht="12.75" customHeight="1" x14ac:dyDescent="0.25">
      <c r="A303" s="275"/>
      <c r="B303" s="342"/>
      <c r="C303" s="369"/>
      <c r="D303" s="337"/>
      <c r="E303" s="275"/>
      <c r="F303" s="275"/>
      <c r="G303" s="275"/>
      <c r="H303" s="275"/>
      <c r="I303" s="275"/>
      <c r="J303" s="275"/>
      <c r="K303" s="275"/>
      <c r="L303" s="275"/>
      <c r="M303" s="275"/>
      <c r="N303" s="275"/>
      <c r="O303" s="275"/>
      <c r="P303" s="275"/>
      <c r="Q303" s="275"/>
      <c r="R303" s="275"/>
      <c r="S303" s="275"/>
      <c r="T303" s="275"/>
      <c r="U303" s="275"/>
      <c r="V303" s="275"/>
      <c r="W303" s="275"/>
      <c r="X303" s="275"/>
      <c r="Y303" s="275"/>
      <c r="Z303" s="275"/>
    </row>
    <row r="304" spans="1:26" ht="12.75" customHeight="1" x14ac:dyDescent="0.25">
      <c r="A304" s="275"/>
      <c r="B304" s="342"/>
      <c r="C304" s="369"/>
      <c r="D304" s="337"/>
      <c r="E304" s="275"/>
      <c r="F304" s="275"/>
      <c r="G304" s="275"/>
      <c r="H304" s="275"/>
      <c r="I304" s="275"/>
      <c r="J304" s="275"/>
      <c r="K304" s="275"/>
      <c r="L304" s="275"/>
      <c r="M304" s="275"/>
      <c r="N304" s="275"/>
      <c r="O304" s="275"/>
      <c r="P304" s="275"/>
      <c r="Q304" s="275"/>
      <c r="R304" s="275"/>
      <c r="S304" s="275"/>
      <c r="T304" s="275"/>
      <c r="U304" s="275"/>
      <c r="V304" s="275"/>
      <c r="W304" s="275"/>
      <c r="X304" s="275"/>
      <c r="Y304" s="275"/>
      <c r="Z304" s="275"/>
    </row>
    <row r="305" spans="1:26" ht="12.75" customHeight="1" x14ac:dyDescent="0.25">
      <c r="A305" s="275"/>
      <c r="B305" s="342"/>
      <c r="C305" s="369"/>
      <c r="D305" s="337"/>
      <c r="E305" s="275"/>
      <c r="F305" s="275"/>
      <c r="G305" s="275"/>
      <c r="H305" s="275"/>
      <c r="I305" s="275"/>
      <c r="J305" s="275"/>
      <c r="K305" s="275"/>
      <c r="L305" s="275"/>
      <c r="M305" s="275"/>
      <c r="N305" s="275"/>
      <c r="O305" s="275"/>
      <c r="P305" s="275"/>
      <c r="Q305" s="275"/>
      <c r="R305" s="275"/>
      <c r="S305" s="275"/>
      <c r="T305" s="275"/>
      <c r="U305" s="275"/>
      <c r="V305" s="275"/>
      <c r="W305" s="275"/>
      <c r="X305" s="275"/>
      <c r="Y305" s="275"/>
      <c r="Z305" s="275"/>
    </row>
    <row r="306" spans="1:26" ht="12.75" customHeight="1" x14ac:dyDescent="0.25">
      <c r="A306" s="275"/>
      <c r="B306" s="342"/>
      <c r="C306" s="369"/>
      <c r="D306" s="337"/>
      <c r="E306" s="275"/>
      <c r="F306" s="275"/>
      <c r="G306" s="275"/>
      <c r="H306" s="275"/>
      <c r="I306" s="275"/>
      <c r="J306" s="275"/>
      <c r="K306" s="275"/>
      <c r="L306" s="275"/>
      <c r="M306" s="275"/>
      <c r="N306" s="275"/>
      <c r="O306" s="275"/>
      <c r="P306" s="275"/>
      <c r="Q306" s="275"/>
      <c r="R306" s="275"/>
      <c r="S306" s="275"/>
      <c r="T306" s="275"/>
      <c r="U306" s="275"/>
      <c r="V306" s="275"/>
      <c r="W306" s="275"/>
      <c r="X306" s="275"/>
      <c r="Y306" s="275"/>
      <c r="Z306" s="275"/>
    </row>
    <row r="307" spans="1:26" ht="12.75" customHeight="1" x14ac:dyDescent="0.25">
      <c r="A307" s="275"/>
      <c r="B307" s="342"/>
      <c r="C307" s="369"/>
      <c r="D307" s="337"/>
      <c r="E307" s="275"/>
      <c r="F307" s="275"/>
      <c r="G307" s="275"/>
      <c r="H307" s="275"/>
      <c r="I307" s="275"/>
      <c r="J307" s="275"/>
      <c r="K307" s="275"/>
      <c r="L307" s="275"/>
      <c r="M307" s="275"/>
      <c r="N307" s="275"/>
      <c r="O307" s="275"/>
      <c r="P307" s="275"/>
      <c r="Q307" s="275"/>
      <c r="R307" s="275"/>
      <c r="S307" s="275"/>
      <c r="T307" s="275"/>
      <c r="U307" s="275"/>
      <c r="V307" s="275"/>
      <c r="W307" s="275"/>
      <c r="X307" s="275"/>
      <c r="Y307" s="275"/>
      <c r="Z307" s="275"/>
    </row>
    <row r="308" spans="1:26" ht="12.75" customHeight="1" x14ac:dyDescent="0.25">
      <c r="A308" s="275"/>
      <c r="B308" s="342"/>
      <c r="C308" s="369"/>
      <c r="D308" s="337"/>
      <c r="E308" s="275"/>
      <c r="F308" s="275"/>
      <c r="G308" s="275"/>
      <c r="H308" s="275"/>
      <c r="I308" s="275"/>
      <c r="J308" s="275"/>
      <c r="K308" s="275"/>
      <c r="L308" s="275"/>
      <c r="M308" s="275"/>
      <c r="N308" s="275"/>
      <c r="O308" s="275"/>
      <c r="P308" s="275"/>
      <c r="Q308" s="275"/>
      <c r="R308" s="275"/>
      <c r="S308" s="275"/>
      <c r="T308" s="275"/>
      <c r="U308" s="275"/>
      <c r="V308" s="275"/>
      <c r="W308" s="275"/>
      <c r="X308" s="275"/>
      <c r="Y308" s="275"/>
      <c r="Z308" s="275"/>
    </row>
    <row r="309" spans="1:26" ht="12.75" customHeight="1" x14ac:dyDescent="0.25">
      <c r="A309" s="275"/>
      <c r="B309" s="342"/>
      <c r="C309" s="369"/>
      <c r="D309" s="337"/>
      <c r="E309" s="275"/>
      <c r="F309" s="275"/>
      <c r="G309" s="275"/>
      <c r="H309" s="275"/>
      <c r="I309" s="275"/>
      <c r="J309" s="275"/>
      <c r="K309" s="275"/>
      <c r="L309" s="275"/>
      <c r="M309" s="275"/>
      <c r="N309" s="275"/>
      <c r="O309" s="275"/>
      <c r="P309" s="275"/>
      <c r="Q309" s="275"/>
      <c r="R309" s="275"/>
      <c r="S309" s="275"/>
      <c r="T309" s="275"/>
      <c r="U309" s="275"/>
      <c r="V309" s="275"/>
      <c r="W309" s="275"/>
      <c r="X309" s="275"/>
      <c r="Y309" s="275"/>
      <c r="Z309" s="275"/>
    </row>
    <row r="310" spans="1:26" ht="12.75" customHeight="1" x14ac:dyDescent="0.25">
      <c r="A310" s="275"/>
      <c r="B310" s="342"/>
      <c r="C310" s="369"/>
      <c r="D310" s="337"/>
      <c r="E310" s="275"/>
      <c r="F310" s="275"/>
      <c r="G310" s="275"/>
      <c r="H310" s="275"/>
      <c r="I310" s="275"/>
      <c r="J310" s="275"/>
      <c r="K310" s="275"/>
      <c r="L310" s="275"/>
      <c r="M310" s="275"/>
      <c r="N310" s="275"/>
      <c r="O310" s="275"/>
      <c r="P310" s="275"/>
      <c r="Q310" s="275"/>
      <c r="R310" s="275"/>
      <c r="S310" s="275"/>
      <c r="T310" s="275"/>
      <c r="U310" s="275"/>
      <c r="V310" s="275"/>
      <c r="W310" s="275"/>
      <c r="X310" s="275"/>
      <c r="Y310" s="275"/>
      <c r="Z310" s="275"/>
    </row>
    <row r="311" spans="1:26" ht="12.75" customHeight="1" x14ac:dyDescent="0.25">
      <c r="A311" s="275"/>
      <c r="B311" s="342"/>
      <c r="C311" s="369"/>
      <c r="D311" s="337"/>
      <c r="E311" s="275"/>
      <c r="F311" s="275"/>
      <c r="G311" s="275"/>
      <c r="H311" s="275"/>
      <c r="I311" s="275"/>
      <c r="J311" s="275"/>
      <c r="K311" s="275"/>
      <c r="L311" s="275"/>
      <c r="M311" s="275"/>
      <c r="N311" s="275"/>
      <c r="O311" s="275"/>
      <c r="P311" s="275"/>
      <c r="Q311" s="275"/>
      <c r="R311" s="275"/>
      <c r="S311" s="275"/>
      <c r="T311" s="275"/>
      <c r="U311" s="275"/>
      <c r="V311" s="275"/>
      <c r="W311" s="275"/>
      <c r="X311" s="275"/>
      <c r="Y311" s="275"/>
      <c r="Z311" s="275"/>
    </row>
    <row r="312" spans="1:26" ht="12.75" customHeight="1" x14ac:dyDescent="0.25">
      <c r="A312" s="275"/>
      <c r="B312" s="342"/>
      <c r="C312" s="369"/>
      <c r="D312" s="337"/>
      <c r="E312" s="275"/>
      <c r="F312" s="275"/>
      <c r="G312" s="275"/>
      <c r="H312" s="275"/>
      <c r="I312" s="275"/>
      <c r="J312" s="275"/>
      <c r="K312" s="275"/>
      <c r="L312" s="275"/>
      <c r="M312" s="275"/>
      <c r="N312" s="275"/>
      <c r="O312" s="275"/>
      <c r="P312" s="275"/>
      <c r="Q312" s="275"/>
      <c r="R312" s="275"/>
      <c r="S312" s="275"/>
      <c r="T312" s="275"/>
      <c r="U312" s="275"/>
      <c r="V312" s="275"/>
      <c r="W312" s="275"/>
      <c r="X312" s="275"/>
      <c r="Y312" s="275"/>
      <c r="Z312" s="275"/>
    </row>
    <row r="313" spans="1:26" ht="12.75" customHeight="1" x14ac:dyDescent="0.25">
      <c r="A313" s="275"/>
      <c r="B313" s="342"/>
      <c r="C313" s="369"/>
      <c r="D313" s="337"/>
      <c r="E313" s="275"/>
      <c r="F313" s="275"/>
      <c r="G313" s="275"/>
      <c r="H313" s="275"/>
      <c r="I313" s="275"/>
      <c r="J313" s="275"/>
      <c r="K313" s="275"/>
      <c r="L313" s="275"/>
      <c r="M313" s="275"/>
      <c r="N313" s="275"/>
      <c r="O313" s="275"/>
      <c r="P313" s="275"/>
      <c r="Q313" s="275"/>
      <c r="R313" s="275"/>
      <c r="S313" s="275"/>
      <c r="T313" s="275"/>
      <c r="U313" s="275"/>
      <c r="V313" s="275"/>
      <c r="W313" s="275"/>
      <c r="X313" s="275"/>
      <c r="Y313" s="275"/>
      <c r="Z313" s="275"/>
    </row>
    <row r="314" spans="1:26" ht="12.75" customHeight="1" x14ac:dyDescent="0.25">
      <c r="A314" s="275"/>
      <c r="B314" s="342"/>
      <c r="C314" s="369"/>
      <c r="D314" s="337"/>
      <c r="E314" s="275"/>
      <c r="F314" s="275"/>
      <c r="G314" s="275"/>
      <c r="H314" s="275"/>
      <c r="I314" s="275"/>
      <c r="J314" s="275"/>
      <c r="K314" s="275"/>
      <c r="L314" s="275"/>
      <c r="M314" s="275"/>
      <c r="N314" s="275"/>
      <c r="O314" s="275"/>
      <c r="P314" s="275"/>
      <c r="Q314" s="275"/>
      <c r="R314" s="275"/>
      <c r="S314" s="275"/>
      <c r="T314" s="275"/>
      <c r="U314" s="275"/>
      <c r="V314" s="275"/>
      <c r="W314" s="275"/>
      <c r="X314" s="275"/>
      <c r="Y314" s="275"/>
      <c r="Z314" s="275"/>
    </row>
    <row r="315" spans="1:26" ht="12.75" customHeight="1" x14ac:dyDescent="0.25">
      <c r="A315" s="275"/>
      <c r="B315" s="342"/>
      <c r="C315" s="369"/>
      <c r="D315" s="337"/>
      <c r="E315" s="275"/>
      <c r="F315" s="275"/>
      <c r="G315" s="275"/>
      <c r="H315" s="275"/>
      <c r="I315" s="275"/>
      <c r="J315" s="275"/>
      <c r="K315" s="275"/>
      <c r="L315" s="275"/>
      <c r="M315" s="275"/>
      <c r="N315" s="275"/>
      <c r="O315" s="275"/>
      <c r="P315" s="275"/>
      <c r="Q315" s="275"/>
      <c r="R315" s="275"/>
      <c r="S315" s="275"/>
      <c r="T315" s="275"/>
      <c r="U315" s="275"/>
      <c r="V315" s="275"/>
      <c r="W315" s="275"/>
      <c r="X315" s="275"/>
      <c r="Y315" s="275"/>
      <c r="Z315" s="275"/>
    </row>
    <row r="316" spans="1:26" ht="12.75" customHeight="1" x14ac:dyDescent="0.25">
      <c r="A316" s="275"/>
      <c r="B316" s="342"/>
      <c r="C316" s="369"/>
      <c r="D316" s="337"/>
      <c r="E316" s="275"/>
      <c r="F316" s="275"/>
      <c r="G316" s="275"/>
      <c r="H316" s="275"/>
      <c r="I316" s="275"/>
      <c r="J316" s="275"/>
      <c r="K316" s="275"/>
      <c r="L316" s="275"/>
      <c r="M316" s="275"/>
      <c r="N316" s="275"/>
      <c r="O316" s="275"/>
      <c r="P316" s="275"/>
      <c r="Q316" s="275"/>
      <c r="R316" s="275"/>
      <c r="S316" s="275"/>
      <c r="T316" s="275"/>
      <c r="U316" s="275"/>
      <c r="V316" s="275"/>
      <c r="W316" s="275"/>
      <c r="X316" s="275"/>
      <c r="Y316" s="275"/>
      <c r="Z316" s="275"/>
    </row>
    <row r="317" spans="1:26" ht="12.75" customHeight="1" x14ac:dyDescent="0.25">
      <c r="A317" s="275"/>
      <c r="B317" s="342"/>
      <c r="C317" s="369"/>
      <c r="D317" s="337"/>
      <c r="E317" s="275"/>
      <c r="F317" s="275"/>
      <c r="G317" s="275"/>
      <c r="H317" s="275"/>
      <c r="I317" s="275"/>
      <c r="J317" s="275"/>
      <c r="K317" s="275"/>
      <c r="L317" s="275"/>
      <c r="M317" s="275"/>
      <c r="N317" s="275"/>
      <c r="O317" s="275"/>
      <c r="P317" s="275"/>
      <c r="Q317" s="275"/>
      <c r="R317" s="275"/>
      <c r="S317" s="275"/>
      <c r="T317" s="275"/>
      <c r="U317" s="275"/>
      <c r="V317" s="275"/>
      <c r="W317" s="275"/>
      <c r="X317" s="275"/>
      <c r="Y317" s="275"/>
      <c r="Z317" s="275"/>
    </row>
    <row r="318" spans="1:26" ht="12.75" customHeight="1" x14ac:dyDescent="0.25">
      <c r="A318" s="275"/>
      <c r="B318" s="342"/>
      <c r="C318" s="369"/>
      <c r="D318" s="337"/>
      <c r="E318" s="275"/>
      <c r="F318" s="275"/>
      <c r="G318" s="275"/>
      <c r="H318" s="275"/>
      <c r="I318" s="275"/>
      <c r="J318" s="275"/>
      <c r="K318" s="275"/>
      <c r="L318" s="275"/>
      <c r="M318" s="275"/>
      <c r="N318" s="275"/>
      <c r="O318" s="275"/>
      <c r="P318" s="275"/>
      <c r="Q318" s="275"/>
      <c r="R318" s="275"/>
      <c r="S318" s="275"/>
      <c r="T318" s="275"/>
      <c r="U318" s="275"/>
      <c r="V318" s="275"/>
      <c r="W318" s="275"/>
      <c r="X318" s="275"/>
      <c r="Y318" s="275"/>
      <c r="Z318" s="275"/>
    </row>
    <row r="319" spans="1:26" ht="12.75" customHeight="1" x14ac:dyDescent="0.25">
      <c r="A319" s="275"/>
      <c r="B319" s="342"/>
      <c r="C319" s="369"/>
      <c r="D319" s="337"/>
      <c r="E319" s="275"/>
      <c r="F319" s="275"/>
      <c r="G319" s="275"/>
      <c r="H319" s="275"/>
      <c r="I319" s="275"/>
      <c r="J319" s="275"/>
      <c r="K319" s="275"/>
      <c r="L319" s="275"/>
      <c r="M319" s="275"/>
      <c r="N319" s="275"/>
      <c r="O319" s="275"/>
      <c r="P319" s="275"/>
      <c r="Q319" s="275"/>
      <c r="R319" s="275"/>
      <c r="S319" s="275"/>
      <c r="T319" s="275"/>
      <c r="U319" s="275"/>
      <c r="V319" s="275"/>
      <c r="W319" s="275"/>
      <c r="X319" s="275"/>
      <c r="Y319" s="275"/>
      <c r="Z319" s="275"/>
    </row>
    <row r="320" spans="1:26" ht="12.75" customHeight="1" x14ac:dyDescent="0.25">
      <c r="A320" s="275"/>
      <c r="B320" s="342"/>
      <c r="C320" s="369"/>
      <c r="D320" s="337"/>
      <c r="E320" s="275"/>
      <c r="F320" s="275"/>
      <c r="G320" s="275"/>
      <c r="H320" s="275"/>
      <c r="I320" s="275"/>
      <c r="J320" s="275"/>
      <c r="K320" s="275"/>
      <c r="L320" s="275"/>
      <c r="M320" s="275"/>
      <c r="N320" s="275"/>
      <c r="O320" s="275"/>
      <c r="P320" s="275"/>
      <c r="Q320" s="275"/>
      <c r="R320" s="275"/>
      <c r="S320" s="275"/>
      <c r="T320" s="275"/>
      <c r="U320" s="275"/>
      <c r="V320" s="275"/>
      <c r="W320" s="275"/>
      <c r="X320" s="275"/>
      <c r="Y320" s="275"/>
      <c r="Z320" s="275"/>
    </row>
    <row r="321" spans="1:26" ht="12.75" customHeight="1" x14ac:dyDescent="0.25">
      <c r="A321" s="275"/>
      <c r="B321" s="342"/>
      <c r="C321" s="369"/>
      <c r="D321" s="337"/>
      <c r="E321" s="275"/>
      <c r="F321" s="275"/>
      <c r="G321" s="275"/>
      <c r="H321" s="275"/>
      <c r="I321" s="275"/>
      <c r="J321" s="275"/>
      <c r="K321" s="275"/>
      <c r="L321" s="275"/>
      <c r="M321" s="275"/>
      <c r="N321" s="275"/>
      <c r="O321" s="275"/>
      <c r="P321" s="275"/>
      <c r="Q321" s="275"/>
      <c r="R321" s="275"/>
      <c r="S321" s="275"/>
      <c r="T321" s="275"/>
      <c r="U321" s="275"/>
      <c r="V321" s="275"/>
      <c r="W321" s="275"/>
      <c r="X321" s="275"/>
      <c r="Y321" s="275"/>
      <c r="Z321" s="275"/>
    </row>
    <row r="322" spans="1:26" ht="12.75" customHeight="1" x14ac:dyDescent="0.25">
      <c r="A322" s="275"/>
      <c r="B322" s="342"/>
      <c r="C322" s="369"/>
      <c r="D322" s="337"/>
      <c r="E322" s="275"/>
      <c r="F322" s="275"/>
      <c r="G322" s="275"/>
      <c r="H322" s="275"/>
      <c r="I322" s="275"/>
      <c r="J322" s="275"/>
      <c r="K322" s="275"/>
      <c r="L322" s="275"/>
      <c r="M322" s="275"/>
      <c r="N322" s="275"/>
      <c r="O322" s="275"/>
      <c r="P322" s="275"/>
      <c r="Q322" s="275"/>
      <c r="R322" s="275"/>
      <c r="S322" s="275"/>
      <c r="T322" s="275"/>
      <c r="U322" s="275"/>
      <c r="V322" s="275"/>
      <c r="W322" s="275"/>
      <c r="X322" s="275"/>
      <c r="Y322" s="275"/>
      <c r="Z322" s="275"/>
    </row>
    <row r="323" spans="1:26" ht="12.75" customHeight="1" x14ac:dyDescent="0.25">
      <c r="A323" s="275"/>
      <c r="B323" s="342"/>
      <c r="C323" s="369"/>
      <c r="D323" s="337"/>
      <c r="E323" s="275"/>
      <c r="F323" s="275"/>
      <c r="G323" s="275"/>
      <c r="H323" s="275"/>
      <c r="I323" s="275"/>
      <c r="J323" s="275"/>
      <c r="K323" s="275"/>
      <c r="L323" s="275"/>
      <c r="M323" s="275"/>
      <c r="N323" s="275"/>
      <c r="O323" s="275"/>
      <c r="P323" s="275"/>
      <c r="Q323" s="275"/>
      <c r="R323" s="275"/>
      <c r="S323" s="275"/>
      <c r="T323" s="275"/>
      <c r="U323" s="275"/>
      <c r="V323" s="275"/>
      <c r="W323" s="275"/>
      <c r="X323" s="275"/>
      <c r="Y323" s="275"/>
      <c r="Z323" s="275"/>
    </row>
    <row r="324" spans="1:26" ht="12.75" customHeight="1" x14ac:dyDescent="0.25">
      <c r="A324" s="275"/>
      <c r="B324" s="342"/>
      <c r="C324" s="369"/>
      <c r="D324" s="337"/>
      <c r="E324" s="275"/>
      <c r="F324" s="275"/>
      <c r="G324" s="275"/>
      <c r="H324" s="275"/>
      <c r="I324" s="275"/>
      <c r="J324" s="275"/>
      <c r="K324" s="275"/>
      <c r="L324" s="275"/>
      <c r="M324" s="275"/>
      <c r="N324" s="275"/>
      <c r="O324" s="275"/>
      <c r="P324" s="275"/>
      <c r="Q324" s="275"/>
      <c r="R324" s="275"/>
      <c r="S324" s="275"/>
      <c r="T324" s="275"/>
      <c r="U324" s="275"/>
      <c r="V324" s="275"/>
      <c r="W324" s="275"/>
      <c r="X324" s="275"/>
      <c r="Y324" s="275"/>
      <c r="Z324" s="275"/>
    </row>
    <row r="325" spans="1:26" ht="12.75" customHeight="1" x14ac:dyDescent="0.25">
      <c r="A325" s="275"/>
      <c r="B325" s="342"/>
      <c r="C325" s="369"/>
      <c r="D325" s="337"/>
      <c r="E325" s="275"/>
      <c r="F325" s="275"/>
      <c r="G325" s="275"/>
      <c r="H325" s="275"/>
      <c r="I325" s="275"/>
      <c r="J325" s="275"/>
      <c r="K325" s="275"/>
      <c r="L325" s="275"/>
      <c r="M325" s="275"/>
      <c r="N325" s="275"/>
      <c r="O325" s="275"/>
      <c r="P325" s="275"/>
      <c r="Q325" s="275"/>
      <c r="R325" s="275"/>
      <c r="S325" s="275"/>
      <c r="T325" s="275"/>
      <c r="U325" s="275"/>
      <c r="V325" s="275"/>
      <c r="W325" s="275"/>
      <c r="X325" s="275"/>
      <c r="Y325" s="275"/>
      <c r="Z325" s="275"/>
    </row>
    <row r="326" spans="1:26" ht="12.75" customHeight="1" x14ac:dyDescent="0.25">
      <c r="A326" s="275"/>
      <c r="B326" s="342"/>
      <c r="C326" s="369"/>
      <c r="D326" s="337"/>
      <c r="E326" s="275"/>
      <c r="F326" s="275"/>
      <c r="G326" s="275"/>
      <c r="H326" s="275"/>
      <c r="I326" s="275"/>
      <c r="J326" s="275"/>
      <c r="K326" s="275"/>
      <c r="L326" s="275"/>
      <c r="M326" s="275"/>
      <c r="N326" s="275"/>
      <c r="O326" s="275"/>
      <c r="P326" s="275"/>
      <c r="Q326" s="275"/>
      <c r="R326" s="275"/>
      <c r="S326" s="275"/>
      <c r="T326" s="275"/>
      <c r="U326" s="275"/>
      <c r="V326" s="275"/>
      <c r="W326" s="275"/>
      <c r="X326" s="275"/>
      <c r="Y326" s="275"/>
      <c r="Z326" s="275"/>
    </row>
    <row r="327" spans="1:26" ht="12.75" customHeight="1" x14ac:dyDescent="0.25">
      <c r="A327" s="275"/>
      <c r="B327" s="342"/>
      <c r="C327" s="369"/>
      <c r="D327" s="337"/>
      <c r="E327" s="275"/>
      <c r="F327" s="275"/>
      <c r="G327" s="275"/>
      <c r="H327" s="275"/>
      <c r="I327" s="275"/>
      <c r="J327" s="275"/>
      <c r="K327" s="275"/>
      <c r="L327" s="275"/>
      <c r="M327" s="275"/>
      <c r="N327" s="275"/>
      <c r="O327" s="275"/>
      <c r="P327" s="275"/>
      <c r="Q327" s="275"/>
      <c r="R327" s="275"/>
      <c r="S327" s="275"/>
      <c r="T327" s="275"/>
      <c r="U327" s="275"/>
      <c r="V327" s="275"/>
      <c r="W327" s="275"/>
      <c r="X327" s="275"/>
      <c r="Y327" s="275"/>
      <c r="Z327" s="275"/>
    </row>
    <row r="328" spans="1:26" ht="12.75" customHeight="1" x14ac:dyDescent="0.25">
      <c r="A328" s="275"/>
      <c r="B328" s="342"/>
      <c r="C328" s="369"/>
      <c r="D328" s="337"/>
      <c r="E328" s="275"/>
      <c r="F328" s="275"/>
      <c r="G328" s="275"/>
      <c r="H328" s="275"/>
      <c r="I328" s="275"/>
      <c r="J328" s="275"/>
      <c r="K328" s="275"/>
      <c r="L328" s="275"/>
      <c r="M328" s="275"/>
      <c r="N328" s="275"/>
      <c r="O328" s="275"/>
      <c r="P328" s="275"/>
      <c r="Q328" s="275"/>
      <c r="R328" s="275"/>
      <c r="S328" s="275"/>
      <c r="T328" s="275"/>
      <c r="U328" s="275"/>
      <c r="V328" s="275"/>
      <c r="W328" s="275"/>
      <c r="X328" s="275"/>
      <c r="Y328" s="275"/>
      <c r="Z328" s="275"/>
    </row>
    <row r="329" spans="1:26" ht="12.75" customHeight="1" x14ac:dyDescent="0.25">
      <c r="A329" s="275"/>
      <c r="B329" s="342"/>
      <c r="C329" s="369"/>
      <c r="D329" s="337"/>
      <c r="E329" s="275"/>
      <c r="F329" s="275"/>
      <c r="G329" s="275"/>
      <c r="H329" s="275"/>
      <c r="I329" s="275"/>
      <c r="J329" s="275"/>
      <c r="K329" s="275"/>
      <c r="L329" s="275"/>
      <c r="M329" s="275"/>
      <c r="N329" s="275"/>
      <c r="O329" s="275"/>
      <c r="P329" s="275"/>
      <c r="Q329" s="275"/>
      <c r="R329" s="275"/>
      <c r="S329" s="275"/>
      <c r="T329" s="275"/>
      <c r="U329" s="275"/>
      <c r="V329" s="275"/>
      <c r="W329" s="275"/>
      <c r="X329" s="275"/>
      <c r="Y329" s="275"/>
      <c r="Z329" s="275"/>
    </row>
    <row r="330" spans="1:26" ht="12.75" customHeight="1" x14ac:dyDescent="0.25">
      <c r="A330" s="275"/>
      <c r="B330" s="342"/>
      <c r="C330" s="369"/>
      <c r="D330" s="337"/>
      <c r="E330" s="275"/>
      <c r="F330" s="275"/>
      <c r="G330" s="275"/>
      <c r="H330" s="275"/>
      <c r="I330" s="275"/>
      <c r="J330" s="275"/>
      <c r="K330" s="275"/>
      <c r="L330" s="275"/>
      <c r="M330" s="275"/>
      <c r="N330" s="275"/>
      <c r="O330" s="275"/>
      <c r="P330" s="275"/>
      <c r="Q330" s="275"/>
      <c r="R330" s="275"/>
      <c r="S330" s="275"/>
      <c r="T330" s="275"/>
      <c r="U330" s="275"/>
      <c r="V330" s="275"/>
      <c r="W330" s="275"/>
      <c r="X330" s="275"/>
      <c r="Y330" s="275"/>
      <c r="Z330" s="275"/>
    </row>
    <row r="331" spans="1:26" ht="12.75" customHeight="1" x14ac:dyDescent="0.25">
      <c r="A331" s="275"/>
      <c r="B331" s="342"/>
      <c r="C331" s="369"/>
      <c r="D331" s="337"/>
      <c r="E331" s="275"/>
      <c r="F331" s="275"/>
      <c r="G331" s="275"/>
      <c r="H331" s="275"/>
      <c r="I331" s="275"/>
      <c r="J331" s="275"/>
      <c r="K331" s="275"/>
      <c r="L331" s="275"/>
      <c r="M331" s="275"/>
      <c r="N331" s="275"/>
      <c r="O331" s="275"/>
      <c r="P331" s="275"/>
      <c r="Q331" s="275"/>
      <c r="R331" s="275"/>
      <c r="S331" s="275"/>
      <c r="T331" s="275"/>
      <c r="U331" s="275"/>
      <c r="V331" s="275"/>
      <c r="W331" s="275"/>
      <c r="X331" s="275"/>
      <c r="Y331" s="275"/>
      <c r="Z331" s="275"/>
    </row>
    <row r="332" spans="1:26" ht="12.75" customHeight="1" x14ac:dyDescent="0.25">
      <c r="A332" s="275"/>
      <c r="B332" s="342"/>
      <c r="C332" s="369"/>
      <c r="D332" s="337"/>
      <c r="E332" s="275"/>
      <c r="F332" s="275"/>
      <c r="G332" s="275"/>
      <c r="H332" s="275"/>
      <c r="I332" s="275"/>
      <c r="J332" s="275"/>
      <c r="K332" s="275"/>
      <c r="L332" s="275"/>
      <c r="M332" s="275"/>
      <c r="N332" s="275"/>
      <c r="O332" s="275"/>
      <c r="P332" s="275"/>
      <c r="Q332" s="275"/>
      <c r="R332" s="275"/>
      <c r="S332" s="275"/>
      <c r="T332" s="275"/>
      <c r="U332" s="275"/>
      <c r="V332" s="275"/>
      <c r="W332" s="275"/>
      <c r="X332" s="275"/>
      <c r="Y332" s="275"/>
      <c r="Z332" s="275"/>
    </row>
    <row r="333" spans="1:26" ht="12.75" customHeight="1" x14ac:dyDescent="0.25">
      <c r="A333" s="275"/>
      <c r="B333" s="342"/>
      <c r="C333" s="369"/>
      <c r="D333" s="337"/>
      <c r="E333" s="275"/>
      <c r="F333" s="275"/>
      <c r="G333" s="275"/>
      <c r="H333" s="275"/>
      <c r="I333" s="275"/>
      <c r="J333" s="275"/>
      <c r="K333" s="275"/>
      <c r="L333" s="275"/>
      <c r="M333" s="275"/>
      <c r="N333" s="275"/>
      <c r="O333" s="275"/>
      <c r="P333" s="275"/>
      <c r="Q333" s="275"/>
      <c r="R333" s="275"/>
      <c r="S333" s="275"/>
      <c r="T333" s="275"/>
      <c r="U333" s="275"/>
      <c r="V333" s="275"/>
      <c r="W333" s="275"/>
      <c r="X333" s="275"/>
      <c r="Y333" s="275"/>
      <c r="Z333" s="275"/>
    </row>
    <row r="334" spans="1:26" ht="12.75" customHeight="1" x14ac:dyDescent="0.25">
      <c r="A334" s="275"/>
      <c r="B334" s="342"/>
      <c r="C334" s="369"/>
      <c r="D334" s="337"/>
      <c r="E334" s="275"/>
      <c r="F334" s="275"/>
      <c r="G334" s="275"/>
      <c r="H334" s="275"/>
      <c r="I334" s="275"/>
      <c r="J334" s="275"/>
      <c r="K334" s="275"/>
      <c r="L334" s="275"/>
      <c r="M334" s="275"/>
      <c r="N334" s="275"/>
      <c r="O334" s="275"/>
      <c r="P334" s="275"/>
      <c r="Q334" s="275"/>
      <c r="R334" s="275"/>
      <c r="S334" s="275"/>
      <c r="T334" s="275"/>
      <c r="U334" s="275"/>
      <c r="V334" s="275"/>
      <c r="W334" s="275"/>
      <c r="X334" s="275"/>
      <c r="Y334" s="275"/>
      <c r="Z334" s="275"/>
    </row>
    <row r="335" spans="1:26" ht="12.75" customHeight="1" x14ac:dyDescent="0.25">
      <c r="A335" s="275"/>
      <c r="B335" s="342"/>
      <c r="C335" s="369"/>
      <c r="D335" s="337"/>
      <c r="E335" s="275"/>
      <c r="F335" s="275"/>
      <c r="G335" s="275"/>
      <c r="H335" s="275"/>
      <c r="I335" s="275"/>
      <c r="J335" s="275"/>
      <c r="K335" s="275"/>
      <c r="L335" s="275"/>
      <c r="M335" s="275"/>
      <c r="N335" s="275"/>
      <c r="O335" s="275"/>
      <c r="P335" s="275"/>
      <c r="Q335" s="275"/>
      <c r="R335" s="275"/>
      <c r="S335" s="275"/>
      <c r="T335" s="275"/>
      <c r="U335" s="275"/>
      <c r="V335" s="275"/>
      <c r="W335" s="275"/>
      <c r="X335" s="275"/>
      <c r="Y335" s="275"/>
      <c r="Z335" s="275"/>
    </row>
    <row r="336" spans="1:26" ht="12.75" customHeight="1" x14ac:dyDescent="0.25">
      <c r="A336" s="275"/>
      <c r="B336" s="342"/>
      <c r="C336" s="369"/>
      <c r="D336" s="337"/>
      <c r="E336" s="275"/>
      <c r="F336" s="275"/>
      <c r="G336" s="275"/>
      <c r="H336" s="275"/>
      <c r="I336" s="275"/>
      <c r="J336" s="275"/>
      <c r="K336" s="275"/>
      <c r="L336" s="275"/>
      <c r="M336" s="275"/>
      <c r="N336" s="275"/>
      <c r="O336" s="275"/>
      <c r="P336" s="275"/>
      <c r="Q336" s="275"/>
      <c r="R336" s="275"/>
      <c r="S336" s="275"/>
      <c r="T336" s="275"/>
      <c r="U336" s="275"/>
      <c r="V336" s="275"/>
      <c r="W336" s="275"/>
      <c r="X336" s="275"/>
      <c r="Y336" s="275"/>
      <c r="Z336" s="275"/>
    </row>
    <row r="337" spans="1:26" ht="12.75" customHeight="1" x14ac:dyDescent="0.25">
      <c r="A337" s="275"/>
      <c r="B337" s="342"/>
      <c r="C337" s="369"/>
      <c r="D337" s="337"/>
      <c r="E337" s="275"/>
      <c r="F337" s="275"/>
      <c r="G337" s="275"/>
      <c r="H337" s="275"/>
      <c r="I337" s="275"/>
      <c r="J337" s="275"/>
      <c r="K337" s="275"/>
      <c r="L337" s="275"/>
      <c r="M337" s="275"/>
      <c r="N337" s="275"/>
      <c r="O337" s="275"/>
      <c r="P337" s="275"/>
      <c r="Q337" s="275"/>
      <c r="R337" s="275"/>
      <c r="S337" s="275"/>
      <c r="T337" s="275"/>
      <c r="U337" s="275"/>
      <c r="V337" s="275"/>
      <c r="W337" s="275"/>
      <c r="X337" s="275"/>
      <c r="Y337" s="275"/>
      <c r="Z337" s="275"/>
    </row>
    <row r="338" spans="1:26" ht="12.75" customHeight="1" x14ac:dyDescent="0.25">
      <c r="A338" s="275"/>
      <c r="B338" s="342"/>
      <c r="C338" s="369"/>
      <c r="D338" s="337"/>
      <c r="E338" s="275"/>
      <c r="F338" s="275"/>
      <c r="G338" s="275"/>
      <c r="H338" s="275"/>
      <c r="I338" s="275"/>
      <c r="J338" s="275"/>
      <c r="K338" s="275"/>
      <c r="L338" s="275"/>
      <c r="M338" s="275"/>
      <c r="N338" s="275"/>
      <c r="O338" s="275"/>
      <c r="P338" s="275"/>
      <c r="Q338" s="275"/>
      <c r="R338" s="275"/>
      <c r="S338" s="275"/>
      <c r="T338" s="275"/>
      <c r="U338" s="275"/>
      <c r="V338" s="275"/>
      <c r="W338" s="275"/>
      <c r="X338" s="275"/>
      <c r="Y338" s="275"/>
      <c r="Z338" s="275"/>
    </row>
    <row r="339" spans="1:26" ht="12.75" customHeight="1" x14ac:dyDescent="0.25">
      <c r="A339" s="275"/>
      <c r="B339" s="342"/>
      <c r="C339" s="369"/>
      <c r="D339" s="337"/>
      <c r="E339" s="275"/>
      <c r="F339" s="275"/>
      <c r="G339" s="275"/>
      <c r="H339" s="275"/>
      <c r="I339" s="275"/>
      <c r="J339" s="275"/>
      <c r="K339" s="275"/>
      <c r="L339" s="275"/>
      <c r="M339" s="275"/>
      <c r="N339" s="275"/>
      <c r="O339" s="275"/>
      <c r="P339" s="275"/>
      <c r="Q339" s="275"/>
      <c r="R339" s="275"/>
      <c r="S339" s="275"/>
      <c r="T339" s="275"/>
      <c r="U339" s="275"/>
      <c r="V339" s="275"/>
      <c r="W339" s="275"/>
      <c r="X339" s="275"/>
      <c r="Y339" s="275"/>
      <c r="Z339" s="275"/>
    </row>
    <row r="340" spans="1:26" ht="12.75" customHeight="1" x14ac:dyDescent="0.25">
      <c r="A340" s="275"/>
      <c r="B340" s="342"/>
      <c r="C340" s="369"/>
      <c r="D340" s="337"/>
      <c r="E340" s="275"/>
      <c r="F340" s="275"/>
      <c r="G340" s="275"/>
      <c r="H340" s="275"/>
      <c r="I340" s="275"/>
      <c r="J340" s="275"/>
      <c r="K340" s="275"/>
      <c r="L340" s="275"/>
      <c r="M340" s="275"/>
      <c r="N340" s="275"/>
      <c r="O340" s="275"/>
      <c r="P340" s="275"/>
      <c r="Q340" s="275"/>
      <c r="R340" s="275"/>
      <c r="S340" s="275"/>
      <c r="T340" s="275"/>
      <c r="U340" s="275"/>
      <c r="V340" s="275"/>
      <c r="W340" s="275"/>
      <c r="X340" s="275"/>
      <c r="Y340" s="275"/>
      <c r="Z340" s="275"/>
    </row>
    <row r="341" spans="1:26" ht="12.75" customHeight="1" x14ac:dyDescent="0.25">
      <c r="A341" s="275"/>
      <c r="B341" s="342"/>
      <c r="C341" s="369"/>
      <c r="D341" s="337"/>
      <c r="E341" s="275"/>
      <c r="F341" s="275"/>
      <c r="G341" s="275"/>
      <c r="H341" s="275"/>
      <c r="I341" s="275"/>
      <c r="J341" s="275"/>
      <c r="K341" s="275"/>
      <c r="L341" s="275"/>
      <c r="M341" s="275"/>
      <c r="N341" s="275"/>
      <c r="O341" s="275"/>
      <c r="P341" s="275"/>
      <c r="Q341" s="275"/>
      <c r="R341" s="275"/>
      <c r="S341" s="275"/>
      <c r="T341" s="275"/>
      <c r="U341" s="275"/>
      <c r="V341" s="275"/>
      <c r="W341" s="275"/>
      <c r="X341" s="275"/>
      <c r="Y341" s="275"/>
      <c r="Z341" s="275"/>
    </row>
    <row r="342" spans="1:26" ht="12.75" customHeight="1" x14ac:dyDescent="0.25">
      <c r="A342" s="275"/>
      <c r="B342" s="342"/>
      <c r="C342" s="369"/>
      <c r="D342" s="337"/>
      <c r="E342" s="275"/>
      <c r="F342" s="275"/>
      <c r="G342" s="275"/>
      <c r="H342" s="275"/>
      <c r="I342" s="275"/>
      <c r="J342" s="275"/>
      <c r="K342" s="275"/>
      <c r="L342" s="275"/>
      <c r="M342" s="275"/>
      <c r="N342" s="275"/>
      <c r="O342" s="275"/>
      <c r="P342" s="275"/>
      <c r="Q342" s="275"/>
      <c r="R342" s="275"/>
      <c r="S342" s="275"/>
      <c r="T342" s="275"/>
      <c r="U342" s="275"/>
      <c r="V342" s="275"/>
      <c r="W342" s="275"/>
      <c r="X342" s="275"/>
      <c r="Y342" s="275"/>
      <c r="Z342" s="275"/>
    </row>
    <row r="343" spans="1:26" ht="12.75" customHeight="1" x14ac:dyDescent="0.25">
      <c r="A343" s="275"/>
      <c r="B343" s="342"/>
      <c r="C343" s="369"/>
      <c r="D343" s="337"/>
      <c r="E343" s="275"/>
      <c r="F343" s="275"/>
      <c r="G343" s="275"/>
      <c r="H343" s="275"/>
      <c r="I343" s="275"/>
      <c r="J343" s="275"/>
      <c r="K343" s="275"/>
      <c r="L343" s="275"/>
      <c r="M343" s="275"/>
      <c r="N343" s="275"/>
      <c r="O343" s="275"/>
      <c r="P343" s="275"/>
      <c r="Q343" s="275"/>
      <c r="R343" s="275"/>
      <c r="S343" s="275"/>
      <c r="T343" s="275"/>
      <c r="U343" s="275"/>
      <c r="V343" s="275"/>
      <c r="W343" s="275"/>
      <c r="X343" s="275"/>
      <c r="Y343" s="275"/>
      <c r="Z343" s="275"/>
    </row>
    <row r="344" spans="1:26" ht="12.75" customHeight="1" x14ac:dyDescent="0.25">
      <c r="A344" s="275"/>
      <c r="B344" s="342"/>
      <c r="C344" s="369"/>
      <c r="D344" s="337"/>
      <c r="E344" s="275"/>
      <c r="F344" s="275"/>
      <c r="G344" s="275"/>
      <c r="H344" s="275"/>
      <c r="I344" s="275"/>
      <c r="J344" s="275"/>
      <c r="K344" s="275"/>
      <c r="L344" s="275"/>
      <c r="M344" s="275"/>
      <c r="N344" s="275"/>
      <c r="O344" s="275"/>
      <c r="P344" s="275"/>
      <c r="Q344" s="275"/>
      <c r="R344" s="275"/>
      <c r="S344" s="275"/>
      <c r="T344" s="275"/>
      <c r="U344" s="275"/>
      <c r="V344" s="275"/>
      <c r="W344" s="275"/>
      <c r="X344" s="275"/>
      <c r="Y344" s="275"/>
      <c r="Z344" s="275"/>
    </row>
    <row r="345" spans="1:26" ht="12.75" customHeight="1" x14ac:dyDescent="0.25">
      <c r="A345" s="275"/>
      <c r="B345" s="342"/>
      <c r="C345" s="369"/>
      <c r="D345" s="337"/>
      <c r="E345" s="275"/>
      <c r="F345" s="275"/>
      <c r="G345" s="275"/>
      <c r="H345" s="275"/>
      <c r="I345" s="275"/>
      <c r="J345" s="275"/>
      <c r="K345" s="275"/>
      <c r="L345" s="275"/>
      <c r="M345" s="275"/>
      <c r="N345" s="275"/>
      <c r="O345" s="275"/>
      <c r="P345" s="275"/>
      <c r="Q345" s="275"/>
      <c r="R345" s="275"/>
      <c r="S345" s="275"/>
      <c r="T345" s="275"/>
      <c r="U345" s="275"/>
      <c r="V345" s="275"/>
      <c r="W345" s="275"/>
      <c r="X345" s="275"/>
      <c r="Y345" s="275"/>
      <c r="Z345" s="275"/>
    </row>
    <row r="346" spans="1:26" ht="12.75" customHeight="1" x14ac:dyDescent="0.25">
      <c r="A346" s="275"/>
      <c r="B346" s="342"/>
      <c r="C346" s="369"/>
      <c r="D346" s="337"/>
      <c r="E346" s="275"/>
      <c r="F346" s="275"/>
      <c r="G346" s="275"/>
      <c r="H346" s="275"/>
      <c r="I346" s="275"/>
      <c r="J346" s="275"/>
      <c r="K346" s="275"/>
      <c r="L346" s="275"/>
      <c r="M346" s="275"/>
      <c r="N346" s="275"/>
      <c r="O346" s="275"/>
      <c r="P346" s="275"/>
      <c r="Q346" s="275"/>
      <c r="R346" s="275"/>
      <c r="S346" s="275"/>
      <c r="T346" s="275"/>
      <c r="U346" s="275"/>
      <c r="V346" s="275"/>
      <c r="W346" s="275"/>
      <c r="X346" s="275"/>
      <c r="Y346" s="275"/>
      <c r="Z346" s="275"/>
    </row>
    <row r="347" spans="1:26" ht="12.75" customHeight="1" x14ac:dyDescent="0.25">
      <c r="A347" s="275"/>
      <c r="B347" s="342"/>
      <c r="C347" s="369"/>
      <c r="D347" s="337"/>
      <c r="E347" s="275"/>
      <c r="F347" s="275"/>
      <c r="G347" s="275"/>
      <c r="H347" s="275"/>
      <c r="I347" s="275"/>
      <c r="J347" s="275"/>
      <c r="K347" s="275"/>
      <c r="L347" s="275"/>
      <c r="M347" s="275"/>
      <c r="N347" s="275"/>
      <c r="O347" s="275"/>
      <c r="P347" s="275"/>
      <c r="Q347" s="275"/>
      <c r="R347" s="275"/>
      <c r="S347" s="275"/>
      <c r="T347" s="275"/>
      <c r="U347" s="275"/>
      <c r="V347" s="275"/>
      <c r="W347" s="275"/>
      <c r="X347" s="275"/>
      <c r="Y347" s="275"/>
      <c r="Z347" s="275"/>
    </row>
    <row r="348" spans="1:26" ht="12.75" customHeight="1" x14ac:dyDescent="0.25">
      <c r="A348" s="275"/>
      <c r="B348" s="342"/>
      <c r="C348" s="369"/>
      <c r="D348" s="337"/>
      <c r="E348" s="275"/>
      <c r="F348" s="275"/>
      <c r="G348" s="275"/>
      <c r="H348" s="275"/>
      <c r="I348" s="275"/>
      <c r="J348" s="275"/>
      <c r="K348" s="275"/>
      <c r="L348" s="275"/>
      <c r="M348" s="275"/>
      <c r="N348" s="275"/>
      <c r="O348" s="275"/>
      <c r="P348" s="275"/>
      <c r="Q348" s="275"/>
      <c r="R348" s="275"/>
      <c r="S348" s="275"/>
      <c r="T348" s="275"/>
      <c r="U348" s="275"/>
      <c r="V348" s="275"/>
      <c r="W348" s="275"/>
      <c r="X348" s="275"/>
      <c r="Y348" s="275"/>
      <c r="Z348" s="275"/>
    </row>
    <row r="349" spans="1:26" ht="12.75" customHeight="1" x14ac:dyDescent="0.25">
      <c r="A349" s="275"/>
      <c r="B349" s="342"/>
      <c r="C349" s="369"/>
      <c r="D349" s="337"/>
      <c r="E349" s="275"/>
      <c r="F349" s="275"/>
      <c r="G349" s="275"/>
      <c r="H349" s="275"/>
      <c r="I349" s="275"/>
      <c r="J349" s="275"/>
      <c r="K349" s="275"/>
      <c r="L349" s="275"/>
      <c r="M349" s="275"/>
      <c r="N349" s="275"/>
      <c r="O349" s="275"/>
      <c r="P349" s="275"/>
      <c r="Q349" s="275"/>
      <c r="R349" s="275"/>
      <c r="S349" s="275"/>
      <c r="T349" s="275"/>
      <c r="U349" s="275"/>
      <c r="V349" s="275"/>
      <c r="W349" s="275"/>
      <c r="X349" s="275"/>
      <c r="Y349" s="275"/>
      <c r="Z349" s="275"/>
    </row>
    <row r="350" spans="1:26" ht="12.75" customHeight="1" x14ac:dyDescent="0.25">
      <c r="A350" s="275"/>
      <c r="B350" s="342"/>
      <c r="C350" s="369"/>
      <c r="D350" s="337"/>
      <c r="E350" s="275"/>
      <c r="F350" s="275"/>
      <c r="G350" s="275"/>
      <c r="H350" s="275"/>
      <c r="I350" s="275"/>
      <c r="J350" s="275"/>
      <c r="K350" s="275"/>
      <c r="L350" s="275"/>
      <c r="M350" s="275"/>
      <c r="N350" s="275"/>
      <c r="O350" s="275"/>
      <c r="P350" s="275"/>
      <c r="Q350" s="275"/>
      <c r="R350" s="275"/>
      <c r="S350" s="275"/>
      <c r="T350" s="275"/>
      <c r="U350" s="275"/>
      <c r="V350" s="275"/>
      <c r="W350" s="275"/>
      <c r="X350" s="275"/>
      <c r="Y350" s="275"/>
      <c r="Z350" s="275"/>
    </row>
    <row r="351" spans="1:26" ht="12.75" customHeight="1" x14ac:dyDescent="0.25">
      <c r="A351" s="275"/>
      <c r="B351" s="342"/>
      <c r="C351" s="369"/>
      <c r="D351" s="337"/>
      <c r="E351" s="275"/>
      <c r="F351" s="275"/>
      <c r="G351" s="275"/>
      <c r="H351" s="275"/>
      <c r="I351" s="275"/>
      <c r="J351" s="275"/>
      <c r="K351" s="275"/>
      <c r="L351" s="275"/>
      <c r="M351" s="275"/>
      <c r="N351" s="275"/>
      <c r="O351" s="275"/>
      <c r="P351" s="275"/>
      <c r="Q351" s="275"/>
      <c r="R351" s="275"/>
      <c r="S351" s="275"/>
      <c r="T351" s="275"/>
      <c r="U351" s="275"/>
      <c r="V351" s="275"/>
      <c r="W351" s="275"/>
      <c r="X351" s="275"/>
      <c r="Y351" s="275"/>
      <c r="Z351" s="275"/>
    </row>
    <row r="352" spans="1:26" ht="12.75" customHeight="1" x14ac:dyDescent="0.25">
      <c r="A352" s="275"/>
      <c r="B352" s="342"/>
      <c r="C352" s="369"/>
      <c r="D352" s="337"/>
      <c r="E352" s="275"/>
      <c r="F352" s="275"/>
      <c r="G352" s="275"/>
      <c r="H352" s="275"/>
      <c r="I352" s="275"/>
      <c r="J352" s="275"/>
      <c r="K352" s="275"/>
      <c r="L352" s="275"/>
      <c r="M352" s="275"/>
      <c r="N352" s="275"/>
      <c r="O352" s="275"/>
      <c r="P352" s="275"/>
      <c r="Q352" s="275"/>
      <c r="R352" s="275"/>
      <c r="S352" s="275"/>
      <c r="T352" s="275"/>
      <c r="U352" s="275"/>
      <c r="V352" s="275"/>
      <c r="W352" s="275"/>
      <c r="X352" s="275"/>
      <c r="Y352" s="275"/>
      <c r="Z352" s="275"/>
    </row>
    <row r="353" spans="1:26" ht="12.75" customHeight="1" x14ac:dyDescent="0.25">
      <c r="A353" s="275"/>
      <c r="B353" s="342"/>
      <c r="C353" s="369"/>
      <c r="D353" s="337"/>
      <c r="E353" s="275"/>
      <c r="F353" s="275"/>
      <c r="G353" s="275"/>
      <c r="H353" s="275"/>
      <c r="I353" s="275"/>
      <c r="J353" s="275"/>
      <c r="K353" s="275"/>
      <c r="L353" s="275"/>
      <c r="M353" s="275"/>
      <c r="N353" s="275"/>
      <c r="O353" s="275"/>
      <c r="P353" s="275"/>
      <c r="Q353" s="275"/>
      <c r="R353" s="275"/>
      <c r="S353" s="275"/>
      <c r="T353" s="275"/>
      <c r="U353" s="275"/>
      <c r="V353" s="275"/>
      <c r="W353" s="275"/>
      <c r="X353" s="275"/>
      <c r="Y353" s="275"/>
      <c r="Z353" s="275"/>
    </row>
    <row r="354" spans="1:26" ht="12.75" customHeight="1" x14ac:dyDescent="0.25">
      <c r="A354" s="275"/>
      <c r="B354" s="342"/>
      <c r="C354" s="369"/>
      <c r="D354" s="337"/>
      <c r="E354" s="275"/>
      <c r="F354" s="275"/>
      <c r="G354" s="275"/>
      <c r="H354" s="275"/>
      <c r="I354" s="275"/>
      <c r="J354" s="275"/>
      <c r="K354" s="275"/>
      <c r="L354" s="275"/>
      <c r="M354" s="275"/>
      <c r="N354" s="275"/>
      <c r="O354" s="275"/>
      <c r="P354" s="275"/>
      <c r="Q354" s="275"/>
      <c r="R354" s="275"/>
      <c r="S354" s="275"/>
      <c r="T354" s="275"/>
      <c r="U354" s="275"/>
      <c r="V354" s="275"/>
      <c r="W354" s="275"/>
      <c r="X354" s="275"/>
      <c r="Y354" s="275"/>
      <c r="Z354" s="275"/>
    </row>
    <row r="355" spans="1:26" ht="12.75" customHeight="1" x14ac:dyDescent="0.25">
      <c r="A355" s="275"/>
      <c r="B355" s="342"/>
      <c r="C355" s="369"/>
      <c r="D355" s="337"/>
      <c r="E355" s="275"/>
      <c r="F355" s="275"/>
      <c r="G355" s="275"/>
      <c r="H355" s="275"/>
      <c r="I355" s="275"/>
      <c r="J355" s="275"/>
      <c r="K355" s="275"/>
      <c r="L355" s="275"/>
      <c r="M355" s="275"/>
      <c r="N355" s="275"/>
      <c r="O355" s="275"/>
      <c r="P355" s="275"/>
      <c r="Q355" s="275"/>
      <c r="R355" s="275"/>
      <c r="S355" s="275"/>
      <c r="T355" s="275"/>
      <c r="U355" s="275"/>
      <c r="V355" s="275"/>
      <c r="W355" s="275"/>
      <c r="X355" s="275"/>
      <c r="Y355" s="275"/>
      <c r="Z355" s="275"/>
    </row>
    <row r="356" spans="1:26" ht="12.75" customHeight="1" x14ac:dyDescent="0.25">
      <c r="A356" s="275"/>
      <c r="B356" s="342"/>
      <c r="C356" s="369"/>
      <c r="D356" s="337"/>
      <c r="E356" s="275"/>
      <c r="F356" s="275"/>
      <c r="G356" s="275"/>
      <c r="H356" s="275"/>
      <c r="I356" s="275"/>
      <c r="J356" s="275"/>
      <c r="K356" s="275"/>
      <c r="L356" s="275"/>
      <c r="M356" s="275"/>
      <c r="N356" s="275"/>
      <c r="O356" s="275"/>
      <c r="P356" s="275"/>
      <c r="Q356" s="275"/>
      <c r="R356" s="275"/>
      <c r="S356" s="275"/>
      <c r="T356" s="275"/>
      <c r="U356" s="275"/>
      <c r="V356" s="275"/>
      <c r="W356" s="275"/>
      <c r="X356" s="275"/>
      <c r="Y356" s="275"/>
      <c r="Z356" s="275"/>
    </row>
    <row r="357" spans="1:26" ht="12.75" customHeight="1" x14ac:dyDescent="0.25">
      <c r="A357" s="275"/>
      <c r="B357" s="342"/>
      <c r="C357" s="369"/>
      <c r="D357" s="337"/>
      <c r="E357" s="275"/>
      <c r="F357" s="275"/>
      <c r="G357" s="275"/>
      <c r="H357" s="275"/>
      <c r="I357" s="275"/>
      <c r="J357" s="275"/>
      <c r="K357" s="275"/>
      <c r="L357" s="275"/>
      <c r="M357" s="275"/>
      <c r="N357" s="275"/>
      <c r="O357" s="275"/>
      <c r="P357" s="275"/>
      <c r="Q357" s="275"/>
      <c r="R357" s="275"/>
      <c r="S357" s="275"/>
      <c r="T357" s="275"/>
      <c r="U357" s="275"/>
      <c r="V357" s="275"/>
      <c r="W357" s="275"/>
      <c r="X357" s="275"/>
      <c r="Y357" s="275"/>
      <c r="Z357" s="275"/>
    </row>
    <row r="358" spans="1:26" ht="12.75" customHeight="1" x14ac:dyDescent="0.25">
      <c r="A358" s="275"/>
      <c r="B358" s="342"/>
      <c r="C358" s="369"/>
      <c r="D358" s="337"/>
      <c r="E358" s="275"/>
      <c r="F358" s="275"/>
      <c r="G358" s="275"/>
      <c r="H358" s="275"/>
      <c r="I358" s="275"/>
      <c r="J358" s="275"/>
      <c r="K358" s="275"/>
      <c r="L358" s="275"/>
      <c r="M358" s="275"/>
      <c r="N358" s="275"/>
      <c r="O358" s="275"/>
      <c r="P358" s="275"/>
      <c r="Q358" s="275"/>
      <c r="R358" s="275"/>
      <c r="S358" s="275"/>
      <c r="T358" s="275"/>
      <c r="U358" s="275"/>
      <c r="V358" s="275"/>
      <c r="W358" s="275"/>
      <c r="X358" s="275"/>
      <c r="Y358" s="275"/>
      <c r="Z358" s="275"/>
    </row>
    <row r="359" spans="1:26" ht="12.75" customHeight="1" x14ac:dyDescent="0.25">
      <c r="A359" s="275"/>
      <c r="B359" s="342"/>
      <c r="C359" s="369"/>
      <c r="D359" s="337"/>
      <c r="E359" s="275"/>
      <c r="F359" s="275"/>
      <c r="G359" s="275"/>
      <c r="H359" s="275"/>
      <c r="I359" s="275"/>
      <c r="J359" s="275"/>
      <c r="K359" s="275"/>
      <c r="L359" s="275"/>
      <c r="M359" s="275"/>
      <c r="N359" s="275"/>
      <c r="O359" s="275"/>
      <c r="P359" s="275"/>
      <c r="Q359" s="275"/>
      <c r="R359" s="275"/>
      <c r="S359" s="275"/>
      <c r="T359" s="275"/>
      <c r="U359" s="275"/>
      <c r="V359" s="275"/>
      <c r="W359" s="275"/>
      <c r="X359" s="275"/>
      <c r="Y359" s="275"/>
      <c r="Z359" s="275"/>
    </row>
    <row r="360" spans="1:26" ht="12.75" customHeight="1" x14ac:dyDescent="0.25">
      <c r="A360" s="275"/>
      <c r="B360" s="342"/>
      <c r="C360" s="369"/>
      <c r="D360" s="337"/>
      <c r="E360" s="275"/>
      <c r="F360" s="275"/>
      <c r="G360" s="275"/>
      <c r="H360" s="275"/>
      <c r="I360" s="275"/>
      <c r="J360" s="275"/>
      <c r="K360" s="275"/>
      <c r="L360" s="275"/>
      <c r="M360" s="275"/>
      <c r="N360" s="275"/>
      <c r="O360" s="275"/>
      <c r="P360" s="275"/>
      <c r="Q360" s="275"/>
      <c r="R360" s="275"/>
      <c r="S360" s="275"/>
      <c r="T360" s="275"/>
      <c r="U360" s="275"/>
      <c r="V360" s="275"/>
      <c r="W360" s="275"/>
      <c r="X360" s="275"/>
      <c r="Y360" s="275"/>
      <c r="Z360" s="275"/>
    </row>
    <row r="361" spans="1:26" ht="12.75" customHeight="1" x14ac:dyDescent="0.25">
      <c r="A361" s="275"/>
      <c r="B361" s="342"/>
      <c r="C361" s="369"/>
      <c r="D361" s="337"/>
      <c r="E361" s="275"/>
      <c r="F361" s="275"/>
      <c r="G361" s="275"/>
      <c r="H361" s="275"/>
      <c r="I361" s="275"/>
      <c r="J361" s="275"/>
      <c r="K361" s="275"/>
      <c r="L361" s="275"/>
      <c r="M361" s="275"/>
      <c r="N361" s="275"/>
      <c r="O361" s="275"/>
      <c r="P361" s="275"/>
      <c r="Q361" s="275"/>
      <c r="R361" s="275"/>
      <c r="S361" s="275"/>
      <c r="T361" s="275"/>
      <c r="U361" s="275"/>
      <c r="V361" s="275"/>
      <c r="W361" s="275"/>
      <c r="X361" s="275"/>
      <c r="Y361" s="275"/>
      <c r="Z361" s="275"/>
    </row>
    <row r="362" spans="1:26" ht="12.75" customHeight="1" x14ac:dyDescent="0.25">
      <c r="A362" s="275"/>
      <c r="B362" s="342"/>
      <c r="C362" s="369"/>
      <c r="D362" s="337"/>
      <c r="E362" s="275"/>
      <c r="F362" s="275"/>
      <c r="G362" s="275"/>
      <c r="H362" s="275"/>
      <c r="I362" s="275"/>
      <c r="J362" s="275"/>
      <c r="K362" s="275"/>
      <c r="L362" s="275"/>
      <c r="M362" s="275"/>
      <c r="N362" s="275"/>
      <c r="O362" s="275"/>
      <c r="P362" s="275"/>
      <c r="Q362" s="275"/>
      <c r="R362" s="275"/>
      <c r="S362" s="275"/>
      <c r="T362" s="275"/>
      <c r="U362" s="275"/>
      <c r="V362" s="275"/>
      <c r="W362" s="275"/>
      <c r="X362" s="275"/>
      <c r="Y362" s="275"/>
      <c r="Z362" s="275"/>
    </row>
    <row r="363" spans="1:26" ht="12.75" customHeight="1" x14ac:dyDescent="0.25">
      <c r="A363" s="275"/>
      <c r="B363" s="342"/>
      <c r="C363" s="369"/>
      <c r="D363" s="337"/>
      <c r="E363" s="275"/>
      <c r="F363" s="275"/>
      <c r="G363" s="275"/>
      <c r="H363" s="275"/>
      <c r="I363" s="275"/>
      <c r="J363" s="275"/>
      <c r="K363" s="275"/>
      <c r="L363" s="275"/>
      <c r="M363" s="275"/>
      <c r="N363" s="275"/>
      <c r="O363" s="275"/>
      <c r="P363" s="275"/>
      <c r="Q363" s="275"/>
      <c r="R363" s="275"/>
      <c r="S363" s="275"/>
      <c r="T363" s="275"/>
      <c r="U363" s="275"/>
      <c r="V363" s="275"/>
      <c r="W363" s="275"/>
      <c r="X363" s="275"/>
      <c r="Y363" s="275"/>
      <c r="Z363" s="275"/>
    </row>
    <row r="364" spans="1:26" ht="12.75" customHeight="1" x14ac:dyDescent="0.25">
      <c r="A364" s="275"/>
      <c r="B364" s="342"/>
      <c r="C364" s="369"/>
      <c r="D364" s="337"/>
      <c r="E364" s="275"/>
      <c r="F364" s="275"/>
      <c r="G364" s="275"/>
      <c r="H364" s="275"/>
      <c r="I364" s="275"/>
      <c r="J364" s="275"/>
      <c r="K364" s="275"/>
      <c r="L364" s="275"/>
      <c r="M364" s="275"/>
      <c r="N364" s="275"/>
      <c r="O364" s="275"/>
      <c r="P364" s="275"/>
      <c r="Q364" s="275"/>
      <c r="R364" s="275"/>
      <c r="S364" s="275"/>
      <c r="T364" s="275"/>
      <c r="U364" s="275"/>
      <c r="V364" s="275"/>
      <c r="W364" s="275"/>
      <c r="X364" s="275"/>
      <c r="Y364" s="275"/>
      <c r="Z364" s="275"/>
    </row>
    <row r="365" spans="1:26" ht="12.75" customHeight="1" x14ac:dyDescent="0.25">
      <c r="A365" s="275"/>
      <c r="B365" s="342"/>
      <c r="C365" s="369"/>
      <c r="D365" s="337"/>
      <c r="E365" s="275"/>
      <c r="F365" s="275"/>
      <c r="G365" s="275"/>
      <c r="H365" s="275"/>
      <c r="I365" s="275"/>
      <c r="J365" s="275"/>
      <c r="K365" s="275"/>
      <c r="L365" s="275"/>
      <c r="M365" s="275"/>
      <c r="N365" s="275"/>
      <c r="O365" s="275"/>
      <c r="P365" s="275"/>
      <c r="Q365" s="275"/>
      <c r="R365" s="275"/>
      <c r="S365" s="275"/>
      <c r="T365" s="275"/>
      <c r="U365" s="275"/>
      <c r="V365" s="275"/>
      <c r="W365" s="275"/>
      <c r="X365" s="275"/>
      <c r="Y365" s="275"/>
      <c r="Z365" s="275"/>
    </row>
    <row r="366" spans="1:26" ht="12.75" customHeight="1" x14ac:dyDescent="0.25">
      <c r="A366" s="275"/>
      <c r="B366" s="342"/>
      <c r="C366" s="369"/>
      <c r="D366" s="337"/>
      <c r="E366" s="275"/>
      <c r="F366" s="275"/>
      <c r="G366" s="275"/>
      <c r="H366" s="275"/>
      <c r="I366" s="275"/>
      <c r="J366" s="275"/>
      <c r="K366" s="275"/>
      <c r="L366" s="275"/>
      <c r="M366" s="275"/>
      <c r="N366" s="275"/>
      <c r="O366" s="275"/>
      <c r="P366" s="275"/>
      <c r="Q366" s="275"/>
      <c r="R366" s="275"/>
      <c r="S366" s="275"/>
      <c r="T366" s="275"/>
      <c r="U366" s="275"/>
      <c r="V366" s="275"/>
      <c r="W366" s="275"/>
      <c r="X366" s="275"/>
      <c r="Y366" s="275"/>
      <c r="Z366" s="275"/>
    </row>
    <row r="367" spans="1:26" ht="12.75" customHeight="1" x14ac:dyDescent="0.25">
      <c r="A367" s="275"/>
      <c r="B367" s="342"/>
      <c r="C367" s="369"/>
      <c r="D367" s="337"/>
      <c r="E367" s="275"/>
      <c r="F367" s="275"/>
      <c r="G367" s="275"/>
      <c r="H367" s="275"/>
      <c r="I367" s="275"/>
      <c r="J367" s="275"/>
      <c r="K367" s="275"/>
      <c r="L367" s="275"/>
      <c r="M367" s="275"/>
      <c r="N367" s="275"/>
      <c r="O367" s="275"/>
      <c r="P367" s="275"/>
      <c r="Q367" s="275"/>
      <c r="R367" s="275"/>
      <c r="S367" s="275"/>
      <c r="T367" s="275"/>
      <c r="U367" s="275"/>
      <c r="V367" s="275"/>
      <c r="W367" s="275"/>
      <c r="X367" s="275"/>
      <c r="Y367" s="275"/>
      <c r="Z367" s="275"/>
    </row>
    <row r="368" spans="1:26" ht="12.75" customHeight="1" x14ac:dyDescent="0.25">
      <c r="A368" s="275"/>
      <c r="B368" s="342"/>
      <c r="C368" s="369"/>
      <c r="D368" s="337"/>
      <c r="E368" s="275"/>
      <c r="F368" s="275"/>
      <c r="G368" s="275"/>
      <c r="H368" s="275"/>
      <c r="I368" s="275"/>
      <c r="J368" s="275"/>
      <c r="K368" s="275"/>
      <c r="L368" s="275"/>
      <c r="M368" s="275"/>
      <c r="N368" s="275"/>
      <c r="O368" s="275"/>
      <c r="P368" s="275"/>
      <c r="Q368" s="275"/>
      <c r="R368" s="275"/>
      <c r="S368" s="275"/>
      <c r="T368" s="275"/>
      <c r="U368" s="275"/>
      <c r="V368" s="275"/>
      <c r="W368" s="275"/>
      <c r="X368" s="275"/>
      <c r="Y368" s="275"/>
      <c r="Z368" s="275"/>
    </row>
    <row r="369" spans="1:26" ht="12.75" customHeight="1" x14ac:dyDescent="0.25">
      <c r="A369" s="275"/>
      <c r="B369" s="342"/>
      <c r="C369" s="369"/>
      <c r="D369" s="337"/>
      <c r="E369" s="275"/>
      <c r="F369" s="275"/>
      <c r="G369" s="275"/>
      <c r="H369" s="275"/>
      <c r="I369" s="275"/>
      <c r="J369" s="275"/>
      <c r="K369" s="275"/>
      <c r="L369" s="275"/>
      <c r="M369" s="275"/>
      <c r="N369" s="275"/>
      <c r="O369" s="275"/>
      <c r="P369" s="275"/>
      <c r="Q369" s="275"/>
      <c r="R369" s="275"/>
      <c r="S369" s="275"/>
      <c r="T369" s="275"/>
      <c r="U369" s="275"/>
      <c r="V369" s="275"/>
      <c r="W369" s="275"/>
      <c r="X369" s="275"/>
      <c r="Y369" s="275"/>
      <c r="Z369" s="275"/>
    </row>
    <row r="370" spans="1:26" ht="12.75" customHeight="1" x14ac:dyDescent="0.25">
      <c r="A370" s="275"/>
      <c r="B370" s="342"/>
      <c r="C370" s="369"/>
      <c r="D370" s="337"/>
      <c r="E370" s="275"/>
      <c r="F370" s="275"/>
      <c r="G370" s="275"/>
      <c r="H370" s="275"/>
      <c r="I370" s="275"/>
      <c r="J370" s="275"/>
      <c r="K370" s="275"/>
      <c r="L370" s="275"/>
      <c r="M370" s="275"/>
      <c r="N370" s="275"/>
      <c r="O370" s="275"/>
      <c r="P370" s="275"/>
      <c r="Q370" s="275"/>
      <c r="R370" s="275"/>
      <c r="S370" s="275"/>
      <c r="T370" s="275"/>
      <c r="U370" s="275"/>
      <c r="V370" s="275"/>
      <c r="W370" s="275"/>
      <c r="X370" s="275"/>
      <c r="Y370" s="275"/>
      <c r="Z370" s="275"/>
    </row>
    <row r="371" spans="1:26" ht="12.75" customHeight="1" x14ac:dyDescent="0.25">
      <c r="A371" s="275"/>
      <c r="B371" s="342"/>
      <c r="C371" s="369"/>
      <c r="D371" s="337"/>
      <c r="E371" s="275"/>
      <c r="F371" s="275"/>
      <c r="G371" s="275"/>
      <c r="H371" s="275"/>
      <c r="I371" s="275"/>
      <c r="J371" s="275"/>
      <c r="K371" s="275"/>
      <c r="L371" s="275"/>
      <c r="M371" s="275"/>
      <c r="N371" s="275"/>
      <c r="O371" s="275"/>
      <c r="P371" s="275"/>
      <c r="Q371" s="275"/>
      <c r="R371" s="275"/>
      <c r="S371" s="275"/>
      <c r="T371" s="275"/>
      <c r="U371" s="275"/>
      <c r="V371" s="275"/>
      <c r="W371" s="275"/>
      <c r="X371" s="275"/>
      <c r="Y371" s="275"/>
      <c r="Z371" s="275"/>
    </row>
    <row r="372" spans="1:26" ht="12.75" customHeight="1" x14ac:dyDescent="0.25">
      <c r="A372" s="275"/>
      <c r="B372" s="342"/>
      <c r="C372" s="369"/>
      <c r="D372" s="337"/>
      <c r="E372" s="275"/>
      <c r="F372" s="275"/>
      <c r="G372" s="275"/>
      <c r="H372" s="275"/>
      <c r="I372" s="275"/>
      <c r="J372" s="275"/>
      <c r="K372" s="275"/>
      <c r="L372" s="275"/>
      <c r="M372" s="275"/>
      <c r="N372" s="275"/>
      <c r="O372" s="275"/>
      <c r="P372" s="275"/>
      <c r="Q372" s="275"/>
      <c r="R372" s="275"/>
      <c r="S372" s="275"/>
      <c r="T372" s="275"/>
      <c r="U372" s="275"/>
      <c r="V372" s="275"/>
      <c r="W372" s="275"/>
      <c r="X372" s="275"/>
      <c r="Y372" s="275"/>
      <c r="Z372" s="275"/>
    </row>
    <row r="373" spans="1:26" ht="12.75" customHeight="1" x14ac:dyDescent="0.25">
      <c r="A373" s="275"/>
      <c r="B373" s="342"/>
      <c r="C373" s="369"/>
      <c r="D373" s="337"/>
      <c r="E373" s="275"/>
      <c r="F373" s="275"/>
      <c r="G373" s="275"/>
      <c r="H373" s="275"/>
      <c r="I373" s="275"/>
      <c r="J373" s="275"/>
      <c r="K373" s="275"/>
      <c r="L373" s="275"/>
      <c r="M373" s="275"/>
      <c r="N373" s="275"/>
      <c r="O373" s="275"/>
      <c r="P373" s="275"/>
      <c r="Q373" s="275"/>
      <c r="R373" s="275"/>
      <c r="S373" s="275"/>
      <c r="T373" s="275"/>
      <c r="U373" s="275"/>
      <c r="V373" s="275"/>
      <c r="W373" s="275"/>
      <c r="X373" s="275"/>
      <c r="Y373" s="275"/>
      <c r="Z373" s="275"/>
    </row>
    <row r="374" spans="1:26" ht="12.75" customHeight="1" x14ac:dyDescent="0.25">
      <c r="A374" s="275"/>
      <c r="B374" s="342"/>
      <c r="C374" s="369"/>
      <c r="D374" s="337"/>
      <c r="E374" s="275"/>
      <c r="F374" s="275"/>
      <c r="G374" s="275"/>
      <c r="H374" s="275"/>
      <c r="I374" s="275"/>
      <c r="J374" s="275"/>
      <c r="K374" s="275"/>
      <c r="L374" s="275"/>
      <c r="M374" s="275"/>
      <c r="N374" s="275"/>
      <c r="O374" s="275"/>
      <c r="P374" s="275"/>
      <c r="Q374" s="275"/>
      <c r="R374" s="275"/>
      <c r="S374" s="275"/>
      <c r="T374" s="275"/>
      <c r="U374" s="275"/>
      <c r="V374" s="275"/>
      <c r="W374" s="275"/>
      <c r="X374" s="275"/>
      <c r="Y374" s="275"/>
      <c r="Z374" s="275"/>
    </row>
    <row r="375" spans="1:26" ht="12.75" customHeight="1" x14ac:dyDescent="0.25">
      <c r="A375" s="275"/>
      <c r="B375" s="342"/>
      <c r="C375" s="369"/>
      <c r="D375" s="337"/>
      <c r="E375" s="275"/>
      <c r="F375" s="275"/>
      <c r="G375" s="275"/>
      <c r="H375" s="275"/>
      <c r="I375" s="275"/>
      <c r="J375" s="275"/>
      <c r="K375" s="275"/>
      <c r="L375" s="275"/>
      <c r="M375" s="275"/>
      <c r="N375" s="275"/>
      <c r="O375" s="275"/>
      <c r="P375" s="275"/>
      <c r="Q375" s="275"/>
      <c r="R375" s="275"/>
      <c r="S375" s="275"/>
      <c r="T375" s="275"/>
      <c r="U375" s="275"/>
      <c r="V375" s="275"/>
      <c r="W375" s="275"/>
      <c r="X375" s="275"/>
      <c r="Y375" s="275"/>
      <c r="Z375" s="275"/>
    </row>
    <row r="376" spans="1:26" ht="12.75" customHeight="1" x14ac:dyDescent="0.25">
      <c r="A376" s="275"/>
      <c r="B376" s="342"/>
      <c r="C376" s="369"/>
      <c r="D376" s="337"/>
      <c r="E376" s="275"/>
      <c r="F376" s="275"/>
      <c r="G376" s="275"/>
      <c r="H376" s="275"/>
      <c r="I376" s="275"/>
      <c r="J376" s="275"/>
      <c r="K376" s="275"/>
      <c r="L376" s="275"/>
      <c r="M376" s="275"/>
      <c r="N376" s="275"/>
      <c r="O376" s="275"/>
      <c r="P376" s="275"/>
      <c r="Q376" s="275"/>
      <c r="R376" s="275"/>
      <c r="S376" s="275"/>
      <c r="T376" s="275"/>
      <c r="U376" s="275"/>
      <c r="V376" s="275"/>
      <c r="W376" s="275"/>
      <c r="X376" s="275"/>
      <c r="Y376" s="275"/>
      <c r="Z376" s="275"/>
    </row>
    <row r="377" spans="1:26" ht="12.75" customHeight="1" x14ac:dyDescent="0.25">
      <c r="A377" s="275"/>
      <c r="B377" s="342"/>
      <c r="C377" s="369"/>
      <c r="D377" s="337"/>
      <c r="E377" s="275"/>
      <c r="F377" s="275"/>
      <c r="G377" s="275"/>
      <c r="H377" s="275"/>
      <c r="I377" s="275"/>
      <c r="J377" s="275"/>
      <c r="K377" s="275"/>
      <c r="L377" s="275"/>
      <c r="M377" s="275"/>
      <c r="N377" s="275"/>
      <c r="O377" s="275"/>
      <c r="P377" s="275"/>
      <c r="Q377" s="275"/>
      <c r="R377" s="275"/>
      <c r="S377" s="275"/>
      <c r="T377" s="275"/>
      <c r="U377" s="275"/>
      <c r="V377" s="275"/>
      <c r="W377" s="275"/>
      <c r="X377" s="275"/>
      <c r="Y377" s="275"/>
      <c r="Z377" s="275"/>
    </row>
    <row r="378" spans="1:26" ht="12.75" customHeight="1" x14ac:dyDescent="0.25">
      <c r="A378" s="275"/>
      <c r="B378" s="342"/>
      <c r="C378" s="369"/>
      <c r="D378" s="337"/>
      <c r="E378" s="275"/>
      <c r="F378" s="275"/>
      <c r="G378" s="275"/>
      <c r="H378" s="275"/>
      <c r="I378" s="275"/>
      <c r="J378" s="275"/>
      <c r="K378" s="275"/>
      <c r="L378" s="275"/>
      <c r="M378" s="275"/>
      <c r="N378" s="275"/>
      <c r="O378" s="275"/>
      <c r="P378" s="275"/>
      <c r="Q378" s="275"/>
      <c r="R378" s="275"/>
      <c r="S378" s="275"/>
      <c r="T378" s="275"/>
      <c r="U378" s="275"/>
      <c r="V378" s="275"/>
      <c r="W378" s="275"/>
      <c r="X378" s="275"/>
      <c r="Y378" s="275"/>
      <c r="Z378" s="275"/>
    </row>
    <row r="379" spans="1:26" ht="12.75" customHeight="1" x14ac:dyDescent="0.25">
      <c r="A379" s="275"/>
      <c r="B379" s="342"/>
      <c r="C379" s="369"/>
      <c r="D379" s="337"/>
      <c r="E379" s="275"/>
      <c r="F379" s="275"/>
      <c r="G379" s="275"/>
      <c r="H379" s="275"/>
      <c r="I379" s="275"/>
      <c r="J379" s="275"/>
      <c r="K379" s="275"/>
      <c r="L379" s="275"/>
      <c r="M379" s="275"/>
      <c r="N379" s="275"/>
      <c r="O379" s="275"/>
      <c r="P379" s="275"/>
      <c r="Q379" s="275"/>
      <c r="R379" s="275"/>
      <c r="S379" s="275"/>
      <c r="T379" s="275"/>
      <c r="U379" s="275"/>
      <c r="V379" s="275"/>
      <c r="W379" s="275"/>
      <c r="X379" s="275"/>
      <c r="Y379" s="275"/>
      <c r="Z379" s="275"/>
    </row>
    <row r="380" spans="1:26" ht="12.75" customHeight="1" x14ac:dyDescent="0.25">
      <c r="A380" s="275"/>
      <c r="B380" s="342"/>
      <c r="C380" s="369"/>
      <c r="D380" s="337"/>
      <c r="E380" s="275"/>
      <c r="F380" s="275"/>
      <c r="G380" s="275"/>
      <c r="H380" s="275"/>
      <c r="I380" s="275"/>
      <c r="J380" s="275"/>
      <c r="K380" s="275"/>
      <c r="L380" s="275"/>
      <c r="M380" s="275"/>
      <c r="N380" s="275"/>
      <c r="O380" s="275"/>
      <c r="P380" s="275"/>
      <c r="Q380" s="275"/>
      <c r="R380" s="275"/>
      <c r="S380" s="275"/>
      <c r="T380" s="275"/>
      <c r="U380" s="275"/>
      <c r="V380" s="275"/>
      <c r="W380" s="275"/>
      <c r="X380" s="275"/>
      <c r="Y380" s="275"/>
      <c r="Z380" s="275"/>
    </row>
    <row r="381" spans="1:26" ht="12.75" customHeight="1" x14ac:dyDescent="0.25">
      <c r="A381" s="275"/>
      <c r="B381" s="342"/>
      <c r="C381" s="369"/>
      <c r="D381" s="337"/>
      <c r="E381" s="275"/>
      <c r="F381" s="275"/>
      <c r="G381" s="275"/>
      <c r="H381" s="275"/>
      <c r="I381" s="275"/>
      <c r="J381" s="275"/>
      <c r="K381" s="275"/>
      <c r="L381" s="275"/>
      <c r="M381" s="275"/>
      <c r="N381" s="275"/>
      <c r="O381" s="275"/>
      <c r="P381" s="275"/>
      <c r="Q381" s="275"/>
      <c r="R381" s="275"/>
      <c r="S381" s="275"/>
      <c r="T381" s="275"/>
      <c r="U381" s="275"/>
      <c r="V381" s="275"/>
      <c r="W381" s="275"/>
      <c r="X381" s="275"/>
      <c r="Y381" s="275"/>
      <c r="Z381" s="275"/>
    </row>
    <row r="382" spans="1:26" ht="12.75" customHeight="1" x14ac:dyDescent="0.25">
      <c r="A382" s="275"/>
      <c r="B382" s="342"/>
      <c r="C382" s="369"/>
      <c r="D382" s="337"/>
      <c r="E382" s="275"/>
      <c r="F382" s="275"/>
      <c r="G382" s="275"/>
      <c r="H382" s="275"/>
      <c r="I382" s="275"/>
      <c r="J382" s="275"/>
      <c r="K382" s="275"/>
      <c r="L382" s="275"/>
      <c r="M382" s="275"/>
      <c r="N382" s="275"/>
      <c r="O382" s="275"/>
      <c r="P382" s="275"/>
      <c r="Q382" s="275"/>
      <c r="R382" s="275"/>
      <c r="S382" s="275"/>
      <c r="T382" s="275"/>
      <c r="U382" s="275"/>
      <c r="V382" s="275"/>
      <c r="W382" s="275"/>
      <c r="X382" s="275"/>
      <c r="Y382" s="275"/>
      <c r="Z382" s="275"/>
    </row>
    <row r="383" spans="1:26" ht="12.75" customHeight="1" x14ac:dyDescent="0.25">
      <c r="A383" s="275"/>
      <c r="B383" s="342"/>
      <c r="C383" s="369"/>
      <c r="D383" s="337"/>
      <c r="E383" s="275"/>
      <c r="F383" s="275"/>
      <c r="G383" s="275"/>
      <c r="H383" s="275"/>
      <c r="I383" s="275"/>
      <c r="J383" s="275"/>
      <c r="K383" s="275"/>
      <c r="L383" s="275"/>
      <c r="M383" s="275"/>
      <c r="N383" s="275"/>
      <c r="O383" s="275"/>
      <c r="P383" s="275"/>
      <c r="Q383" s="275"/>
      <c r="R383" s="275"/>
      <c r="S383" s="275"/>
      <c r="T383" s="275"/>
      <c r="U383" s="275"/>
      <c r="V383" s="275"/>
      <c r="W383" s="275"/>
      <c r="X383" s="275"/>
      <c r="Y383" s="275"/>
      <c r="Z383" s="275"/>
    </row>
    <row r="384" spans="1:26" ht="12.75" customHeight="1" x14ac:dyDescent="0.25">
      <c r="A384" s="275"/>
      <c r="B384" s="342"/>
      <c r="C384" s="369"/>
      <c r="D384" s="337"/>
      <c r="E384" s="275"/>
      <c r="F384" s="275"/>
      <c r="G384" s="275"/>
      <c r="H384" s="275"/>
      <c r="I384" s="275"/>
      <c r="J384" s="275"/>
      <c r="K384" s="275"/>
      <c r="L384" s="275"/>
      <c r="M384" s="275"/>
      <c r="N384" s="275"/>
      <c r="O384" s="275"/>
      <c r="P384" s="275"/>
      <c r="Q384" s="275"/>
      <c r="R384" s="275"/>
      <c r="S384" s="275"/>
      <c r="T384" s="275"/>
      <c r="U384" s="275"/>
      <c r="V384" s="275"/>
      <c r="W384" s="275"/>
      <c r="X384" s="275"/>
      <c r="Y384" s="275"/>
      <c r="Z384" s="275"/>
    </row>
    <row r="385" spans="1:26" ht="12.75" customHeight="1" x14ac:dyDescent="0.25">
      <c r="A385" s="275"/>
      <c r="B385" s="342"/>
      <c r="C385" s="369"/>
      <c r="D385" s="337"/>
      <c r="E385" s="275"/>
      <c r="F385" s="275"/>
      <c r="G385" s="275"/>
      <c r="H385" s="275"/>
      <c r="I385" s="275"/>
      <c r="J385" s="275"/>
      <c r="K385" s="275"/>
      <c r="L385" s="275"/>
      <c r="M385" s="275"/>
      <c r="N385" s="275"/>
      <c r="O385" s="275"/>
      <c r="P385" s="275"/>
      <c r="Q385" s="275"/>
      <c r="R385" s="275"/>
      <c r="S385" s="275"/>
      <c r="T385" s="275"/>
      <c r="U385" s="275"/>
      <c r="V385" s="275"/>
      <c r="W385" s="275"/>
      <c r="X385" s="275"/>
      <c r="Y385" s="275"/>
      <c r="Z385" s="275"/>
    </row>
    <row r="386" spans="1:26" ht="12.75" customHeight="1" x14ac:dyDescent="0.25">
      <c r="A386" s="275"/>
      <c r="B386" s="342"/>
      <c r="C386" s="369"/>
      <c r="D386" s="337"/>
      <c r="E386" s="275"/>
      <c r="F386" s="275"/>
      <c r="G386" s="275"/>
      <c r="H386" s="275"/>
      <c r="I386" s="275"/>
      <c r="J386" s="275"/>
      <c r="K386" s="275"/>
      <c r="L386" s="275"/>
      <c r="M386" s="275"/>
      <c r="N386" s="275"/>
      <c r="O386" s="275"/>
      <c r="P386" s="275"/>
      <c r="Q386" s="275"/>
      <c r="R386" s="275"/>
      <c r="S386" s="275"/>
      <c r="T386" s="275"/>
      <c r="U386" s="275"/>
      <c r="V386" s="275"/>
      <c r="W386" s="275"/>
      <c r="X386" s="275"/>
      <c r="Y386" s="275"/>
      <c r="Z386" s="275"/>
    </row>
    <row r="387" spans="1:26" ht="12.75" customHeight="1" x14ac:dyDescent="0.25">
      <c r="A387" s="275"/>
      <c r="B387" s="342"/>
      <c r="C387" s="369"/>
      <c r="D387" s="337"/>
      <c r="E387" s="275"/>
      <c r="F387" s="275"/>
      <c r="G387" s="275"/>
      <c r="H387" s="275"/>
      <c r="I387" s="275"/>
      <c r="J387" s="275"/>
      <c r="K387" s="275"/>
      <c r="L387" s="275"/>
      <c r="M387" s="275"/>
      <c r="N387" s="275"/>
      <c r="O387" s="275"/>
      <c r="P387" s="275"/>
      <c r="Q387" s="275"/>
      <c r="R387" s="275"/>
      <c r="S387" s="275"/>
      <c r="T387" s="275"/>
      <c r="U387" s="275"/>
      <c r="V387" s="275"/>
      <c r="W387" s="275"/>
      <c r="X387" s="275"/>
      <c r="Y387" s="275"/>
      <c r="Z387" s="275"/>
    </row>
    <row r="388" spans="1:26" ht="12.75" customHeight="1" x14ac:dyDescent="0.25">
      <c r="A388" s="275"/>
      <c r="B388" s="342"/>
      <c r="C388" s="369"/>
      <c r="D388" s="337"/>
      <c r="E388" s="275"/>
      <c r="F388" s="275"/>
      <c r="G388" s="275"/>
      <c r="H388" s="275"/>
      <c r="I388" s="275"/>
      <c r="J388" s="275"/>
      <c r="K388" s="275"/>
      <c r="L388" s="275"/>
      <c r="M388" s="275"/>
      <c r="N388" s="275"/>
      <c r="O388" s="275"/>
      <c r="P388" s="275"/>
      <c r="Q388" s="275"/>
      <c r="R388" s="275"/>
      <c r="S388" s="275"/>
      <c r="T388" s="275"/>
      <c r="U388" s="275"/>
      <c r="V388" s="275"/>
      <c r="W388" s="275"/>
      <c r="X388" s="275"/>
      <c r="Y388" s="275"/>
      <c r="Z388" s="275"/>
    </row>
    <row r="389" spans="1:26" ht="12.75" customHeight="1" x14ac:dyDescent="0.25">
      <c r="A389" s="275"/>
      <c r="B389" s="342"/>
      <c r="C389" s="369"/>
      <c r="D389" s="337"/>
      <c r="E389" s="275"/>
      <c r="F389" s="275"/>
      <c r="G389" s="275"/>
      <c r="H389" s="275"/>
      <c r="I389" s="275"/>
      <c r="J389" s="275"/>
      <c r="K389" s="275"/>
      <c r="L389" s="275"/>
      <c r="M389" s="275"/>
      <c r="N389" s="275"/>
      <c r="O389" s="275"/>
      <c r="P389" s="275"/>
      <c r="Q389" s="275"/>
      <c r="R389" s="275"/>
      <c r="S389" s="275"/>
      <c r="T389" s="275"/>
      <c r="U389" s="275"/>
      <c r="V389" s="275"/>
      <c r="W389" s="275"/>
      <c r="X389" s="275"/>
      <c r="Y389" s="275"/>
      <c r="Z389" s="275"/>
    </row>
    <row r="390" spans="1:26" ht="12.75" customHeight="1" x14ac:dyDescent="0.25">
      <c r="A390" s="275"/>
      <c r="B390" s="342"/>
      <c r="C390" s="369"/>
      <c r="D390" s="337"/>
      <c r="E390" s="275"/>
      <c r="F390" s="275"/>
      <c r="G390" s="275"/>
      <c r="H390" s="275"/>
      <c r="I390" s="275"/>
      <c r="J390" s="275"/>
      <c r="K390" s="275"/>
      <c r="L390" s="275"/>
      <c r="M390" s="275"/>
      <c r="N390" s="275"/>
      <c r="O390" s="275"/>
      <c r="P390" s="275"/>
      <c r="Q390" s="275"/>
      <c r="R390" s="275"/>
      <c r="S390" s="275"/>
      <c r="T390" s="275"/>
      <c r="U390" s="275"/>
      <c r="V390" s="275"/>
      <c r="W390" s="275"/>
      <c r="X390" s="275"/>
      <c r="Y390" s="275"/>
      <c r="Z390" s="275"/>
    </row>
    <row r="391" spans="1:26" ht="12.75" customHeight="1" x14ac:dyDescent="0.25">
      <c r="A391" s="275"/>
      <c r="B391" s="342"/>
      <c r="C391" s="369"/>
      <c r="D391" s="337"/>
      <c r="E391" s="275"/>
      <c r="F391" s="275"/>
      <c r="G391" s="275"/>
      <c r="H391" s="275"/>
      <c r="I391" s="275"/>
      <c r="J391" s="275"/>
      <c r="K391" s="275"/>
      <c r="L391" s="275"/>
      <c r="M391" s="275"/>
      <c r="N391" s="275"/>
      <c r="O391" s="275"/>
      <c r="P391" s="275"/>
      <c r="Q391" s="275"/>
      <c r="R391" s="275"/>
      <c r="S391" s="275"/>
      <c r="T391" s="275"/>
      <c r="U391" s="275"/>
      <c r="V391" s="275"/>
      <c r="W391" s="275"/>
      <c r="X391" s="275"/>
      <c r="Y391" s="275"/>
      <c r="Z391" s="275"/>
    </row>
    <row r="392" spans="1:26" ht="12.75" customHeight="1" x14ac:dyDescent="0.25">
      <c r="A392" s="275"/>
      <c r="B392" s="342"/>
      <c r="C392" s="369"/>
      <c r="D392" s="337"/>
      <c r="E392" s="275"/>
      <c r="F392" s="275"/>
      <c r="G392" s="275"/>
      <c r="H392" s="275"/>
      <c r="I392" s="275"/>
      <c r="J392" s="275"/>
      <c r="K392" s="275"/>
      <c r="L392" s="275"/>
      <c r="M392" s="275"/>
      <c r="N392" s="275"/>
      <c r="O392" s="275"/>
      <c r="P392" s="275"/>
      <c r="Q392" s="275"/>
      <c r="R392" s="275"/>
      <c r="S392" s="275"/>
      <c r="T392" s="275"/>
      <c r="U392" s="275"/>
      <c r="V392" s="275"/>
      <c r="W392" s="275"/>
      <c r="X392" s="275"/>
      <c r="Y392" s="275"/>
      <c r="Z392" s="275"/>
    </row>
    <row r="393" spans="1:26" ht="12.75" customHeight="1" x14ac:dyDescent="0.25">
      <c r="A393" s="275"/>
      <c r="B393" s="342"/>
      <c r="C393" s="369"/>
      <c r="D393" s="337"/>
      <c r="E393" s="275"/>
      <c r="F393" s="275"/>
      <c r="G393" s="275"/>
      <c r="H393" s="275"/>
      <c r="I393" s="275"/>
      <c r="J393" s="275"/>
      <c r="K393" s="275"/>
      <c r="L393" s="275"/>
      <c r="M393" s="275"/>
      <c r="N393" s="275"/>
      <c r="O393" s="275"/>
      <c r="P393" s="275"/>
      <c r="Q393" s="275"/>
      <c r="R393" s="275"/>
      <c r="S393" s="275"/>
      <c r="T393" s="275"/>
      <c r="U393" s="275"/>
      <c r="V393" s="275"/>
      <c r="W393" s="275"/>
      <c r="X393" s="275"/>
      <c r="Y393" s="275"/>
      <c r="Z393" s="275"/>
    </row>
    <row r="394" spans="1:26" ht="12.75" customHeight="1" x14ac:dyDescent="0.25">
      <c r="A394" s="275"/>
      <c r="B394" s="342"/>
      <c r="C394" s="369"/>
      <c r="D394" s="337"/>
      <c r="E394" s="275"/>
      <c r="F394" s="275"/>
      <c r="G394" s="275"/>
      <c r="H394" s="275"/>
      <c r="I394" s="275"/>
      <c r="J394" s="275"/>
      <c r="K394" s="275"/>
      <c r="L394" s="275"/>
      <c r="M394" s="275"/>
      <c r="N394" s="275"/>
      <c r="O394" s="275"/>
      <c r="P394" s="275"/>
      <c r="Q394" s="275"/>
      <c r="R394" s="275"/>
      <c r="S394" s="275"/>
      <c r="T394" s="275"/>
      <c r="U394" s="275"/>
      <c r="V394" s="275"/>
      <c r="W394" s="275"/>
      <c r="X394" s="275"/>
      <c r="Y394" s="275"/>
      <c r="Z394" s="275"/>
    </row>
    <row r="395" spans="1:26" ht="12.75" customHeight="1" x14ac:dyDescent="0.25">
      <c r="A395" s="275"/>
      <c r="B395" s="342"/>
      <c r="C395" s="369"/>
      <c r="D395" s="337"/>
      <c r="E395" s="275"/>
      <c r="F395" s="275"/>
      <c r="G395" s="275"/>
      <c r="H395" s="275"/>
      <c r="I395" s="275"/>
      <c r="J395" s="275"/>
      <c r="K395" s="275"/>
      <c r="L395" s="275"/>
      <c r="M395" s="275"/>
      <c r="N395" s="275"/>
      <c r="O395" s="275"/>
      <c r="P395" s="275"/>
      <c r="Q395" s="275"/>
      <c r="R395" s="275"/>
      <c r="S395" s="275"/>
      <c r="T395" s="275"/>
      <c r="U395" s="275"/>
      <c r="V395" s="275"/>
      <c r="W395" s="275"/>
      <c r="X395" s="275"/>
      <c r="Y395" s="275"/>
      <c r="Z395" s="275"/>
    </row>
    <row r="396" spans="1:26" ht="12.75" customHeight="1" x14ac:dyDescent="0.25">
      <c r="A396" s="275"/>
      <c r="B396" s="342"/>
      <c r="C396" s="369"/>
      <c r="D396" s="337"/>
      <c r="E396" s="275"/>
      <c r="F396" s="275"/>
      <c r="G396" s="275"/>
      <c r="H396" s="275"/>
      <c r="I396" s="275"/>
      <c r="J396" s="275"/>
      <c r="K396" s="275"/>
      <c r="L396" s="275"/>
      <c r="M396" s="275"/>
      <c r="N396" s="275"/>
      <c r="O396" s="275"/>
      <c r="P396" s="275"/>
      <c r="Q396" s="275"/>
      <c r="R396" s="275"/>
      <c r="S396" s="275"/>
      <c r="T396" s="275"/>
      <c r="U396" s="275"/>
      <c r="V396" s="275"/>
      <c r="W396" s="275"/>
      <c r="X396" s="275"/>
      <c r="Y396" s="275"/>
      <c r="Z396" s="275"/>
    </row>
    <row r="397" spans="1:26" ht="12.75" customHeight="1" x14ac:dyDescent="0.25">
      <c r="A397" s="275"/>
      <c r="B397" s="342"/>
      <c r="C397" s="369"/>
      <c r="D397" s="337"/>
      <c r="E397" s="275"/>
      <c r="F397" s="275"/>
      <c r="G397" s="275"/>
      <c r="H397" s="275"/>
      <c r="I397" s="275"/>
      <c r="J397" s="275"/>
      <c r="K397" s="275"/>
      <c r="L397" s="275"/>
      <c r="M397" s="275"/>
      <c r="N397" s="275"/>
      <c r="O397" s="275"/>
      <c r="P397" s="275"/>
      <c r="Q397" s="275"/>
      <c r="R397" s="275"/>
      <c r="S397" s="275"/>
      <c r="T397" s="275"/>
      <c r="U397" s="275"/>
      <c r="V397" s="275"/>
      <c r="W397" s="275"/>
      <c r="X397" s="275"/>
      <c r="Y397" s="275"/>
      <c r="Z397" s="275"/>
    </row>
    <row r="398" spans="1:26" ht="12.75" customHeight="1" x14ac:dyDescent="0.25">
      <c r="A398" s="275"/>
      <c r="B398" s="342"/>
      <c r="C398" s="369"/>
      <c r="D398" s="337"/>
      <c r="E398" s="275"/>
      <c r="F398" s="275"/>
      <c r="G398" s="275"/>
      <c r="H398" s="275"/>
      <c r="I398" s="275"/>
      <c r="J398" s="275"/>
      <c r="K398" s="275"/>
      <c r="L398" s="275"/>
      <c r="M398" s="275"/>
      <c r="N398" s="275"/>
      <c r="O398" s="275"/>
      <c r="P398" s="275"/>
      <c r="Q398" s="275"/>
      <c r="R398" s="275"/>
      <c r="S398" s="275"/>
      <c r="T398" s="275"/>
      <c r="U398" s="275"/>
      <c r="V398" s="275"/>
      <c r="W398" s="275"/>
      <c r="X398" s="275"/>
      <c r="Y398" s="275"/>
      <c r="Z398" s="275"/>
    </row>
    <row r="399" spans="1:26" ht="12.75" customHeight="1" x14ac:dyDescent="0.25">
      <c r="A399" s="275"/>
      <c r="B399" s="342"/>
      <c r="C399" s="369"/>
      <c r="D399" s="337"/>
      <c r="E399" s="275"/>
      <c r="F399" s="275"/>
      <c r="G399" s="275"/>
      <c r="H399" s="275"/>
      <c r="I399" s="275"/>
      <c r="J399" s="275"/>
      <c r="K399" s="275"/>
      <c r="L399" s="275"/>
      <c r="M399" s="275"/>
      <c r="N399" s="275"/>
      <c r="O399" s="275"/>
      <c r="P399" s="275"/>
      <c r="Q399" s="275"/>
      <c r="R399" s="275"/>
      <c r="S399" s="275"/>
      <c r="T399" s="275"/>
      <c r="U399" s="275"/>
      <c r="V399" s="275"/>
      <c r="W399" s="275"/>
      <c r="X399" s="275"/>
      <c r="Y399" s="275"/>
      <c r="Z399" s="275"/>
    </row>
    <row r="400" spans="1:26" ht="12.75" customHeight="1" x14ac:dyDescent="0.25">
      <c r="A400" s="275"/>
      <c r="B400" s="342"/>
      <c r="C400" s="369"/>
      <c r="D400" s="337"/>
      <c r="E400" s="275"/>
      <c r="F400" s="275"/>
      <c r="G400" s="275"/>
      <c r="H400" s="275"/>
      <c r="I400" s="275"/>
      <c r="J400" s="275"/>
      <c r="K400" s="275"/>
      <c r="L400" s="275"/>
      <c r="M400" s="275"/>
      <c r="N400" s="275"/>
      <c r="O400" s="275"/>
      <c r="P400" s="275"/>
      <c r="Q400" s="275"/>
      <c r="R400" s="275"/>
      <c r="S400" s="275"/>
      <c r="T400" s="275"/>
      <c r="U400" s="275"/>
      <c r="V400" s="275"/>
      <c r="W400" s="275"/>
      <c r="X400" s="275"/>
      <c r="Y400" s="275"/>
      <c r="Z400" s="275"/>
    </row>
    <row r="401" spans="1:26" ht="12.75" customHeight="1" x14ac:dyDescent="0.25">
      <c r="A401" s="275"/>
      <c r="B401" s="342"/>
      <c r="C401" s="369"/>
      <c r="D401" s="337"/>
      <c r="E401" s="275"/>
      <c r="F401" s="275"/>
      <c r="G401" s="275"/>
      <c r="H401" s="275"/>
      <c r="I401" s="275"/>
      <c r="J401" s="275"/>
      <c r="K401" s="275"/>
      <c r="L401" s="275"/>
      <c r="M401" s="275"/>
      <c r="N401" s="275"/>
      <c r="O401" s="275"/>
      <c r="P401" s="275"/>
      <c r="Q401" s="275"/>
      <c r="R401" s="275"/>
      <c r="S401" s="275"/>
      <c r="T401" s="275"/>
      <c r="U401" s="275"/>
      <c r="V401" s="275"/>
      <c r="W401" s="275"/>
      <c r="X401" s="275"/>
      <c r="Y401" s="275"/>
      <c r="Z401" s="275"/>
    </row>
    <row r="402" spans="1:26" ht="12.75" customHeight="1" x14ac:dyDescent="0.25">
      <c r="A402" s="275"/>
      <c r="B402" s="342"/>
      <c r="C402" s="369"/>
      <c r="D402" s="337"/>
      <c r="E402" s="275"/>
      <c r="F402" s="275"/>
      <c r="G402" s="275"/>
      <c r="H402" s="275"/>
      <c r="I402" s="275"/>
      <c r="J402" s="275"/>
      <c r="K402" s="275"/>
      <c r="L402" s="275"/>
      <c r="M402" s="275"/>
      <c r="N402" s="275"/>
      <c r="O402" s="275"/>
      <c r="P402" s="275"/>
      <c r="Q402" s="275"/>
      <c r="R402" s="275"/>
      <c r="S402" s="275"/>
      <c r="T402" s="275"/>
      <c r="U402" s="275"/>
      <c r="V402" s="275"/>
      <c r="W402" s="275"/>
      <c r="X402" s="275"/>
      <c r="Y402" s="275"/>
      <c r="Z402" s="275"/>
    </row>
    <row r="403" spans="1:26" ht="12.75" customHeight="1" x14ac:dyDescent="0.25">
      <c r="A403" s="275"/>
      <c r="B403" s="342"/>
      <c r="C403" s="369"/>
      <c r="D403" s="337"/>
      <c r="E403" s="275"/>
      <c r="F403" s="275"/>
      <c r="G403" s="275"/>
      <c r="H403" s="275"/>
      <c r="I403" s="275"/>
      <c r="J403" s="275"/>
      <c r="K403" s="275"/>
      <c r="L403" s="275"/>
      <c r="M403" s="275"/>
      <c r="N403" s="275"/>
      <c r="O403" s="275"/>
      <c r="P403" s="275"/>
      <c r="Q403" s="275"/>
      <c r="R403" s="275"/>
      <c r="S403" s="275"/>
      <c r="T403" s="275"/>
      <c r="U403" s="275"/>
      <c r="V403" s="275"/>
      <c r="W403" s="275"/>
      <c r="X403" s="275"/>
      <c r="Y403" s="275"/>
      <c r="Z403" s="275"/>
    </row>
    <row r="404" spans="1:26" ht="12.75" customHeight="1" x14ac:dyDescent="0.25">
      <c r="A404" s="275"/>
      <c r="B404" s="342"/>
      <c r="C404" s="369"/>
      <c r="D404" s="337"/>
      <c r="E404" s="275"/>
      <c r="F404" s="275"/>
      <c r="G404" s="275"/>
      <c r="H404" s="275"/>
      <c r="I404" s="275"/>
      <c r="J404" s="275"/>
      <c r="K404" s="275"/>
      <c r="L404" s="275"/>
      <c r="M404" s="275"/>
      <c r="N404" s="275"/>
      <c r="O404" s="275"/>
      <c r="P404" s="275"/>
      <c r="Q404" s="275"/>
      <c r="R404" s="275"/>
      <c r="S404" s="275"/>
      <c r="T404" s="275"/>
      <c r="U404" s="275"/>
      <c r="V404" s="275"/>
      <c r="W404" s="275"/>
      <c r="X404" s="275"/>
      <c r="Y404" s="275"/>
      <c r="Z404" s="275"/>
    </row>
    <row r="405" spans="1:26" ht="12.75" customHeight="1" x14ac:dyDescent="0.25">
      <c r="A405" s="275"/>
      <c r="B405" s="342"/>
      <c r="C405" s="369"/>
      <c r="D405" s="337"/>
      <c r="E405" s="275"/>
      <c r="F405" s="275"/>
      <c r="G405" s="275"/>
      <c r="H405" s="275"/>
      <c r="I405" s="275"/>
      <c r="J405" s="275"/>
      <c r="K405" s="275"/>
      <c r="L405" s="275"/>
      <c r="M405" s="275"/>
      <c r="N405" s="275"/>
      <c r="O405" s="275"/>
      <c r="P405" s="275"/>
      <c r="Q405" s="275"/>
      <c r="R405" s="275"/>
      <c r="S405" s="275"/>
      <c r="T405" s="275"/>
      <c r="U405" s="275"/>
      <c r="V405" s="275"/>
      <c r="W405" s="275"/>
      <c r="X405" s="275"/>
      <c r="Y405" s="275"/>
      <c r="Z405" s="275"/>
    </row>
    <row r="406" spans="1:26" ht="12.75" customHeight="1" x14ac:dyDescent="0.25">
      <c r="A406" s="275"/>
      <c r="B406" s="342"/>
      <c r="C406" s="369"/>
      <c r="D406" s="337"/>
      <c r="E406" s="275"/>
      <c r="F406" s="275"/>
      <c r="G406" s="275"/>
      <c r="H406" s="275"/>
      <c r="I406" s="275"/>
      <c r="J406" s="275"/>
      <c r="K406" s="275"/>
      <c r="L406" s="275"/>
      <c r="M406" s="275"/>
      <c r="N406" s="275"/>
      <c r="O406" s="275"/>
      <c r="P406" s="275"/>
      <c r="Q406" s="275"/>
      <c r="R406" s="275"/>
      <c r="S406" s="275"/>
      <c r="T406" s="275"/>
      <c r="U406" s="275"/>
      <c r="V406" s="275"/>
      <c r="W406" s="275"/>
      <c r="X406" s="275"/>
      <c r="Y406" s="275"/>
      <c r="Z406" s="275"/>
    </row>
    <row r="407" spans="1:26" ht="12.75" customHeight="1" x14ac:dyDescent="0.25">
      <c r="A407" s="275"/>
      <c r="B407" s="342"/>
      <c r="C407" s="369"/>
      <c r="D407" s="337"/>
      <c r="E407" s="275"/>
      <c r="F407" s="275"/>
      <c r="G407" s="275"/>
      <c r="H407" s="275"/>
      <c r="I407" s="275"/>
      <c r="J407" s="275"/>
      <c r="K407" s="275"/>
      <c r="L407" s="275"/>
      <c r="M407" s="275"/>
      <c r="N407" s="275"/>
      <c r="O407" s="275"/>
      <c r="P407" s="275"/>
      <c r="Q407" s="275"/>
      <c r="R407" s="275"/>
      <c r="S407" s="275"/>
      <c r="T407" s="275"/>
      <c r="U407" s="275"/>
      <c r="V407" s="275"/>
      <c r="W407" s="275"/>
      <c r="X407" s="275"/>
      <c r="Y407" s="275"/>
      <c r="Z407" s="275"/>
    </row>
    <row r="408" spans="1:26" ht="12.75" customHeight="1" x14ac:dyDescent="0.25">
      <c r="A408" s="275"/>
      <c r="B408" s="342"/>
      <c r="C408" s="369"/>
      <c r="D408" s="337"/>
      <c r="E408" s="275"/>
      <c r="F408" s="275"/>
      <c r="G408" s="275"/>
      <c r="H408" s="275"/>
      <c r="I408" s="275"/>
      <c r="J408" s="275"/>
      <c r="K408" s="275"/>
      <c r="L408" s="275"/>
      <c r="M408" s="275"/>
      <c r="N408" s="275"/>
      <c r="O408" s="275"/>
      <c r="P408" s="275"/>
      <c r="Q408" s="275"/>
      <c r="R408" s="275"/>
      <c r="S408" s="275"/>
      <c r="T408" s="275"/>
      <c r="U408" s="275"/>
      <c r="V408" s="275"/>
      <c r="W408" s="275"/>
      <c r="X408" s="275"/>
      <c r="Y408" s="275"/>
      <c r="Z408" s="275"/>
    </row>
    <row r="409" spans="1:26" ht="12.75" customHeight="1" x14ac:dyDescent="0.25">
      <c r="A409" s="275"/>
      <c r="B409" s="342"/>
      <c r="C409" s="369"/>
      <c r="D409" s="337"/>
      <c r="E409" s="275"/>
      <c r="F409" s="275"/>
      <c r="G409" s="275"/>
      <c r="H409" s="275"/>
      <c r="I409" s="275"/>
      <c r="J409" s="275"/>
      <c r="K409" s="275"/>
      <c r="L409" s="275"/>
      <c r="M409" s="275"/>
      <c r="N409" s="275"/>
      <c r="O409" s="275"/>
      <c r="P409" s="275"/>
      <c r="Q409" s="275"/>
      <c r="R409" s="275"/>
      <c r="S409" s="275"/>
      <c r="T409" s="275"/>
      <c r="U409" s="275"/>
      <c r="V409" s="275"/>
      <c r="W409" s="275"/>
      <c r="X409" s="275"/>
      <c r="Y409" s="275"/>
      <c r="Z409" s="275"/>
    </row>
    <row r="410" spans="1:26" ht="12.75" customHeight="1" x14ac:dyDescent="0.25">
      <c r="A410" s="275"/>
      <c r="B410" s="342"/>
      <c r="C410" s="369"/>
      <c r="D410" s="337"/>
      <c r="E410" s="275"/>
      <c r="F410" s="275"/>
      <c r="G410" s="275"/>
      <c r="H410" s="275"/>
      <c r="I410" s="275"/>
      <c r="J410" s="275"/>
      <c r="K410" s="275"/>
      <c r="L410" s="275"/>
      <c r="M410" s="275"/>
      <c r="N410" s="275"/>
      <c r="O410" s="275"/>
      <c r="P410" s="275"/>
      <c r="Q410" s="275"/>
      <c r="R410" s="275"/>
      <c r="S410" s="275"/>
      <c r="T410" s="275"/>
      <c r="U410" s="275"/>
      <c r="V410" s="275"/>
      <c r="W410" s="275"/>
      <c r="X410" s="275"/>
      <c r="Y410" s="275"/>
      <c r="Z410" s="275"/>
    </row>
    <row r="411" spans="1:26" ht="12.75" customHeight="1" x14ac:dyDescent="0.25">
      <c r="A411" s="275"/>
      <c r="B411" s="342"/>
      <c r="C411" s="369"/>
      <c r="D411" s="337"/>
      <c r="E411" s="275"/>
      <c r="F411" s="275"/>
      <c r="G411" s="275"/>
      <c r="H411" s="275"/>
      <c r="I411" s="275"/>
      <c r="J411" s="275"/>
      <c r="K411" s="275"/>
      <c r="L411" s="275"/>
      <c r="M411" s="275"/>
      <c r="N411" s="275"/>
      <c r="O411" s="275"/>
      <c r="P411" s="275"/>
      <c r="Q411" s="275"/>
      <c r="R411" s="275"/>
      <c r="S411" s="275"/>
      <c r="T411" s="275"/>
      <c r="U411" s="275"/>
      <c r="V411" s="275"/>
      <c r="W411" s="275"/>
      <c r="X411" s="275"/>
      <c r="Y411" s="275"/>
      <c r="Z411" s="275"/>
    </row>
    <row r="412" spans="1:26" ht="12.75" customHeight="1" x14ac:dyDescent="0.25">
      <c r="A412" s="275"/>
      <c r="B412" s="342"/>
      <c r="C412" s="369"/>
      <c r="D412" s="337"/>
      <c r="E412" s="275"/>
      <c r="F412" s="275"/>
      <c r="G412" s="275"/>
      <c r="H412" s="275"/>
      <c r="I412" s="275"/>
      <c r="J412" s="275"/>
      <c r="K412" s="275"/>
      <c r="L412" s="275"/>
      <c r="M412" s="275"/>
      <c r="N412" s="275"/>
      <c r="O412" s="275"/>
      <c r="P412" s="275"/>
      <c r="Q412" s="275"/>
      <c r="R412" s="275"/>
      <c r="S412" s="275"/>
      <c r="T412" s="275"/>
      <c r="U412" s="275"/>
      <c r="V412" s="275"/>
      <c r="W412" s="275"/>
      <c r="X412" s="275"/>
      <c r="Y412" s="275"/>
      <c r="Z412" s="275"/>
    </row>
    <row r="413" spans="1:26" ht="12.75" customHeight="1" x14ac:dyDescent="0.25">
      <c r="A413" s="275"/>
      <c r="B413" s="342"/>
      <c r="C413" s="369"/>
      <c r="D413" s="337"/>
      <c r="E413" s="275"/>
      <c r="F413" s="275"/>
      <c r="G413" s="275"/>
      <c r="H413" s="275"/>
      <c r="I413" s="275"/>
      <c r="J413" s="275"/>
      <c r="K413" s="275"/>
      <c r="L413" s="275"/>
      <c r="M413" s="275"/>
      <c r="N413" s="275"/>
      <c r="O413" s="275"/>
      <c r="P413" s="275"/>
      <c r="Q413" s="275"/>
      <c r="R413" s="275"/>
      <c r="S413" s="275"/>
      <c r="T413" s="275"/>
      <c r="U413" s="275"/>
      <c r="V413" s="275"/>
      <c r="W413" s="275"/>
      <c r="X413" s="275"/>
      <c r="Y413" s="275"/>
      <c r="Z413" s="275"/>
    </row>
    <row r="414" spans="1:26" ht="12.75" customHeight="1" x14ac:dyDescent="0.25">
      <c r="A414" s="275"/>
      <c r="B414" s="342"/>
      <c r="C414" s="369"/>
      <c r="D414" s="337"/>
      <c r="E414" s="275"/>
      <c r="F414" s="275"/>
      <c r="G414" s="275"/>
      <c r="H414" s="275"/>
      <c r="I414" s="275"/>
      <c r="J414" s="275"/>
      <c r="K414" s="275"/>
      <c r="L414" s="275"/>
      <c r="M414" s="275"/>
      <c r="N414" s="275"/>
      <c r="O414" s="275"/>
      <c r="P414" s="275"/>
      <c r="Q414" s="275"/>
      <c r="R414" s="275"/>
      <c r="S414" s="275"/>
      <c r="T414" s="275"/>
      <c r="U414" s="275"/>
      <c r="V414" s="275"/>
      <c r="W414" s="275"/>
      <c r="X414" s="275"/>
      <c r="Y414" s="275"/>
      <c r="Z414" s="275"/>
    </row>
    <row r="415" spans="1:26" ht="12.75" customHeight="1" x14ac:dyDescent="0.25">
      <c r="A415" s="275"/>
      <c r="B415" s="342"/>
      <c r="C415" s="369"/>
      <c r="D415" s="337"/>
      <c r="E415" s="275"/>
      <c r="F415" s="275"/>
      <c r="G415" s="275"/>
      <c r="H415" s="275"/>
      <c r="I415" s="275"/>
      <c r="J415" s="275"/>
      <c r="K415" s="275"/>
      <c r="L415" s="275"/>
      <c r="M415" s="275"/>
      <c r="N415" s="275"/>
      <c r="O415" s="275"/>
      <c r="P415" s="275"/>
      <c r="Q415" s="275"/>
      <c r="R415" s="275"/>
      <c r="S415" s="275"/>
      <c r="T415" s="275"/>
      <c r="U415" s="275"/>
      <c r="V415" s="275"/>
      <c r="W415" s="275"/>
      <c r="X415" s="275"/>
      <c r="Y415" s="275"/>
      <c r="Z415" s="275"/>
    </row>
    <row r="416" spans="1:26" ht="12.75" customHeight="1" x14ac:dyDescent="0.25">
      <c r="A416" s="275"/>
      <c r="B416" s="342"/>
      <c r="C416" s="369"/>
      <c r="D416" s="337"/>
      <c r="E416" s="275"/>
      <c r="F416" s="275"/>
      <c r="G416" s="275"/>
      <c r="H416" s="275"/>
      <c r="I416" s="275"/>
      <c r="J416" s="275"/>
      <c r="K416" s="275"/>
      <c r="L416" s="275"/>
      <c r="M416" s="275"/>
      <c r="N416" s="275"/>
      <c r="O416" s="275"/>
      <c r="P416" s="275"/>
      <c r="Q416" s="275"/>
      <c r="R416" s="275"/>
      <c r="S416" s="275"/>
      <c r="T416" s="275"/>
      <c r="U416" s="275"/>
      <c r="V416" s="275"/>
      <c r="W416" s="275"/>
      <c r="X416" s="275"/>
      <c r="Y416" s="275"/>
      <c r="Z416" s="275"/>
    </row>
    <row r="417" spans="1:26" ht="12.75" customHeight="1" x14ac:dyDescent="0.25">
      <c r="A417" s="275"/>
      <c r="B417" s="342"/>
      <c r="C417" s="369"/>
      <c r="D417" s="337"/>
      <c r="E417" s="275"/>
      <c r="F417" s="275"/>
      <c r="G417" s="275"/>
      <c r="H417" s="275"/>
      <c r="I417" s="275"/>
      <c r="J417" s="275"/>
      <c r="K417" s="275"/>
      <c r="L417" s="275"/>
      <c r="M417" s="275"/>
      <c r="N417" s="275"/>
      <c r="O417" s="275"/>
      <c r="P417" s="275"/>
      <c r="Q417" s="275"/>
      <c r="R417" s="275"/>
      <c r="S417" s="275"/>
      <c r="T417" s="275"/>
      <c r="U417" s="275"/>
      <c r="V417" s="275"/>
      <c r="W417" s="275"/>
      <c r="X417" s="275"/>
      <c r="Y417" s="275"/>
      <c r="Z417" s="275"/>
    </row>
    <row r="418" spans="1:26" ht="12.75" customHeight="1" x14ac:dyDescent="0.25">
      <c r="A418" s="275"/>
      <c r="B418" s="342"/>
      <c r="C418" s="369"/>
      <c r="D418" s="337"/>
      <c r="E418" s="275"/>
      <c r="F418" s="275"/>
      <c r="G418" s="275"/>
      <c r="H418" s="275"/>
      <c r="I418" s="275"/>
      <c r="J418" s="275"/>
      <c r="K418" s="275"/>
      <c r="L418" s="275"/>
      <c r="M418" s="275"/>
      <c r="N418" s="275"/>
      <c r="O418" s="275"/>
      <c r="P418" s="275"/>
      <c r="Q418" s="275"/>
      <c r="R418" s="275"/>
      <c r="S418" s="275"/>
      <c r="T418" s="275"/>
      <c r="U418" s="275"/>
      <c r="V418" s="275"/>
      <c r="W418" s="275"/>
      <c r="X418" s="275"/>
      <c r="Y418" s="275"/>
      <c r="Z418" s="275"/>
    </row>
    <row r="419" spans="1:26" ht="12.75" customHeight="1" x14ac:dyDescent="0.25">
      <c r="A419" s="275"/>
      <c r="B419" s="342"/>
      <c r="C419" s="369"/>
      <c r="D419" s="337"/>
      <c r="E419" s="275"/>
      <c r="F419" s="275"/>
      <c r="G419" s="275"/>
      <c r="H419" s="275"/>
      <c r="I419" s="275"/>
      <c r="J419" s="275"/>
      <c r="K419" s="275"/>
      <c r="L419" s="275"/>
      <c r="M419" s="275"/>
      <c r="N419" s="275"/>
      <c r="O419" s="275"/>
      <c r="P419" s="275"/>
      <c r="Q419" s="275"/>
      <c r="R419" s="275"/>
      <c r="S419" s="275"/>
      <c r="T419" s="275"/>
      <c r="U419" s="275"/>
      <c r="V419" s="275"/>
      <c r="W419" s="275"/>
      <c r="X419" s="275"/>
      <c r="Y419" s="275"/>
      <c r="Z419" s="275"/>
    </row>
    <row r="420" spans="1:26" ht="12.75" customHeight="1" x14ac:dyDescent="0.25">
      <c r="A420" s="275"/>
      <c r="B420" s="342"/>
      <c r="C420" s="369"/>
      <c r="D420" s="337"/>
      <c r="E420" s="275"/>
      <c r="F420" s="275"/>
      <c r="G420" s="275"/>
      <c r="H420" s="275"/>
      <c r="I420" s="275"/>
      <c r="J420" s="275"/>
      <c r="K420" s="275"/>
      <c r="L420" s="275"/>
      <c r="M420" s="275"/>
      <c r="N420" s="275"/>
      <c r="O420" s="275"/>
      <c r="P420" s="275"/>
      <c r="Q420" s="275"/>
      <c r="R420" s="275"/>
      <c r="S420" s="275"/>
      <c r="T420" s="275"/>
      <c r="U420" s="275"/>
      <c r="V420" s="275"/>
      <c r="W420" s="275"/>
      <c r="X420" s="275"/>
      <c r="Y420" s="275"/>
      <c r="Z420" s="275"/>
    </row>
    <row r="421" spans="1:26" ht="12.75" customHeight="1" x14ac:dyDescent="0.25">
      <c r="A421" s="275"/>
      <c r="B421" s="342"/>
      <c r="C421" s="369"/>
      <c r="D421" s="337"/>
      <c r="E421" s="275"/>
      <c r="F421" s="275"/>
      <c r="G421" s="275"/>
      <c r="H421" s="275"/>
      <c r="I421" s="275"/>
      <c r="J421" s="275"/>
      <c r="K421" s="275"/>
      <c r="L421" s="275"/>
      <c r="M421" s="275"/>
      <c r="N421" s="275"/>
      <c r="O421" s="275"/>
      <c r="P421" s="275"/>
      <c r="Q421" s="275"/>
      <c r="R421" s="275"/>
      <c r="S421" s="275"/>
      <c r="T421" s="275"/>
      <c r="U421" s="275"/>
      <c r="V421" s="275"/>
      <c r="W421" s="275"/>
      <c r="X421" s="275"/>
      <c r="Y421" s="275"/>
      <c r="Z421" s="275"/>
    </row>
    <row r="422" spans="1:26" ht="12.75" customHeight="1" x14ac:dyDescent="0.25">
      <c r="A422" s="275"/>
      <c r="B422" s="342"/>
      <c r="C422" s="369"/>
      <c r="D422" s="337"/>
      <c r="E422" s="275"/>
      <c r="F422" s="275"/>
      <c r="G422" s="275"/>
      <c r="H422" s="275"/>
      <c r="I422" s="275"/>
      <c r="J422" s="275"/>
      <c r="K422" s="275"/>
      <c r="L422" s="275"/>
      <c r="M422" s="275"/>
      <c r="N422" s="275"/>
      <c r="O422" s="275"/>
      <c r="P422" s="275"/>
      <c r="Q422" s="275"/>
      <c r="R422" s="275"/>
      <c r="S422" s="275"/>
      <c r="T422" s="275"/>
      <c r="U422" s="275"/>
      <c r="V422" s="275"/>
      <c r="W422" s="275"/>
      <c r="X422" s="275"/>
      <c r="Y422" s="275"/>
      <c r="Z422" s="275"/>
    </row>
    <row r="423" spans="1:26" ht="12.75" customHeight="1" x14ac:dyDescent="0.25">
      <c r="A423" s="275"/>
      <c r="B423" s="342"/>
      <c r="C423" s="369"/>
      <c r="D423" s="337"/>
      <c r="E423" s="275"/>
      <c r="F423" s="275"/>
      <c r="G423" s="275"/>
      <c r="H423" s="275"/>
      <c r="I423" s="275"/>
      <c r="J423" s="275"/>
      <c r="K423" s="275"/>
      <c r="L423" s="275"/>
      <c r="M423" s="275"/>
      <c r="N423" s="275"/>
      <c r="O423" s="275"/>
      <c r="P423" s="275"/>
      <c r="Q423" s="275"/>
      <c r="R423" s="275"/>
      <c r="S423" s="275"/>
      <c r="T423" s="275"/>
      <c r="U423" s="275"/>
      <c r="V423" s="275"/>
      <c r="W423" s="275"/>
      <c r="X423" s="275"/>
      <c r="Y423" s="275"/>
      <c r="Z423" s="275"/>
    </row>
    <row r="424" spans="1:26" ht="12.75" customHeight="1" x14ac:dyDescent="0.25">
      <c r="A424" s="275"/>
      <c r="B424" s="342"/>
      <c r="C424" s="369"/>
      <c r="D424" s="337"/>
      <c r="E424" s="275"/>
      <c r="F424" s="275"/>
      <c r="G424" s="275"/>
      <c r="H424" s="275"/>
      <c r="I424" s="275"/>
      <c r="J424" s="275"/>
      <c r="K424" s="275"/>
      <c r="L424" s="275"/>
      <c r="M424" s="275"/>
      <c r="N424" s="275"/>
      <c r="O424" s="275"/>
      <c r="P424" s="275"/>
      <c r="Q424" s="275"/>
      <c r="R424" s="275"/>
      <c r="S424" s="275"/>
      <c r="T424" s="275"/>
      <c r="U424" s="275"/>
      <c r="V424" s="275"/>
      <c r="W424" s="275"/>
      <c r="X424" s="275"/>
      <c r="Y424" s="275"/>
      <c r="Z424" s="275"/>
    </row>
    <row r="425" spans="1:26" ht="12.75" customHeight="1" x14ac:dyDescent="0.25">
      <c r="A425" s="275"/>
      <c r="B425" s="342"/>
      <c r="C425" s="369"/>
      <c r="D425" s="337"/>
      <c r="E425" s="275"/>
      <c r="F425" s="275"/>
      <c r="G425" s="275"/>
      <c r="H425" s="275"/>
      <c r="I425" s="275"/>
      <c r="J425" s="275"/>
      <c r="K425" s="275"/>
      <c r="L425" s="275"/>
      <c r="M425" s="275"/>
      <c r="N425" s="275"/>
      <c r="O425" s="275"/>
      <c r="P425" s="275"/>
      <c r="Q425" s="275"/>
      <c r="R425" s="275"/>
      <c r="S425" s="275"/>
      <c r="T425" s="275"/>
      <c r="U425" s="275"/>
      <c r="V425" s="275"/>
      <c r="W425" s="275"/>
      <c r="X425" s="275"/>
      <c r="Y425" s="275"/>
      <c r="Z425" s="275"/>
    </row>
    <row r="426" spans="1:26" ht="12.75" customHeight="1" x14ac:dyDescent="0.25">
      <c r="A426" s="275"/>
      <c r="B426" s="342"/>
      <c r="C426" s="369"/>
      <c r="D426" s="337"/>
      <c r="E426" s="275"/>
      <c r="F426" s="275"/>
      <c r="G426" s="275"/>
      <c r="H426" s="275"/>
      <c r="I426" s="275"/>
      <c r="J426" s="275"/>
      <c r="K426" s="275"/>
      <c r="L426" s="275"/>
      <c r="M426" s="275"/>
      <c r="N426" s="275"/>
      <c r="O426" s="275"/>
      <c r="P426" s="275"/>
      <c r="Q426" s="275"/>
      <c r="R426" s="275"/>
      <c r="S426" s="275"/>
      <c r="T426" s="275"/>
      <c r="U426" s="275"/>
      <c r="V426" s="275"/>
      <c r="W426" s="275"/>
      <c r="X426" s="275"/>
      <c r="Y426" s="275"/>
      <c r="Z426" s="275"/>
    </row>
    <row r="427" spans="1:26" ht="12.75" customHeight="1" x14ac:dyDescent="0.25">
      <c r="A427" s="275"/>
      <c r="B427" s="342"/>
      <c r="C427" s="369"/>
      <c r="D427" s="337"/>
      <c r="E427" s="275"/>
      <c r="F427" s="275"/>
      <c r="G427" s="275"/>
      <c r="H427" s="275"/>
      <c r="I427" s="275"/>
      <c r="J427" s="275"/>
      <c r="K427" s="275"/>
      <c r="L427" s="275"/>
      <c r="M427" s="275"/>
      <c r="N427" s="275"/>
      <c r="O427" s="275"/>
      <c r="P427" s="275"/>
      <c r="Q427" s="275"/>
      <c r="R427" s="275"/>
      <c r="S427" s="275"/>
      <c r="T427" s="275"/>
      <c r="U427" s="275"/>
      <c r="V427" s="275"/>
      <c r="W427" s="275"/>
      <c r="X427" s="275"/>
      <c r="Y427" s="275"/>
      <c r="Z427" s="275"/>
    </row>
    <row r="428" spans="1:26" ht="12.75" customHeight="1" x14ac:dyDescent="0.25">
      <c r="A428" s="275"/>
      <c r="B428" s="342"/>
      <c r="C428" s="369"/>
      <c r="D428" s="337"/>
      <c r="E428" s="275"/>
      <c r="F428" s="275"/>
      <c r="G428" s="275"/>
      <c r="H428" s="275"/>
      <c r="I428" s="275"/>
      <c r="J428" s="275"/>
      <c r="K428" s="275"/>
      <c r="L428" s="275"/>
      <c r="M428" s="275"/>
      <c r="N428" s="275"/>
      <c r="O428" s="275"/>
      <c r="P428" s="275"/>
      <c r="Q428" s="275"/>
      <c r="R428" s="275"/>
      <c r="S428" s="275"/>
      <c r="T428" s="275"/>
      <c r="U428" s="275"/>
      <c r="V428" s="275"/>
      <c r="W428" s="275"/>
      <c r="X428" s="275"/>
      <c r="Y428" s="275"/>
      <c r="Z428" s="275"/>
    </row>
    <row r="429" spans="1:26" ht="12.75" customHeight="1" x14ac:dyDescent="0.25">
      <c r="A429" s="275"/>
      <c r="B429" s="342"/>
      <c r="C429" s="369"/>
      <c r="D429" s="337"/>
      <c r="E429" s="275"/>
      <c r="F429" s="275"/>
      <c r="G429" s="275"/>
      <c r="H429" s="275"/>
      <c r="I429" s="275"/>
      <c r="J429" s="275"/>
      <c r="K429" s="275"/>
      <c r="L429" s="275"/>
      <c r="M429" s="275"/>
      <c r="N429" s="275"/>
      <c r="O429" s="275"/>
      <c r="P429" s="275"/>
      <c r="Q429" s="275"/>
      <c r="R429" s="275"/>
      <c r="S429" s="275"/>
      <c r="T429" s="275"/>
      <c r="U429" s="275"/>
      <c r="V429" s="275"/>
      <c r="W429" s="275"/>
      <c r="X429" s="275"/>
      <c r="Y429" s="275"/>
      <c r="Z429" s="275"/>
    </row>
    <row r="430" spans="1:26" ht="12.75" customHeight="1" x14ac:dyDescent="0.25">
      <c r="A430" s="275"/>
      <c r="B430" s="342"/>
      <c r="C430" s="369"/>
      <c r="D430" s="337"/>
      <c r="E430" s="275"/>
      <c r="F430" s="275"/>
      <c r="G430" s="275"/>
      <c r="H430" s="275"/>
      <c r="I430" s="275"/>
      <c r="J430" s="275"/>
      <c r="K430" s="275"/>
      <c r="L430" s="275"/>
      <c r="M430" s="275"/>
      <c r="N430" s="275"/>
      <c r="O430" s="275"/>
      <c r="P430" s="275"/>
      <c r="Q430" s="275"/>
      <c r="R430" s="275"/>
      <c r="S430" s="275"/>
      <c r="T430" s="275"/>
      <c r="U430" s="275"/>
      <c r="V430" s="275"/>
      <c r="W430" s="275"/>
      <c r="X430" s="275"/>
      <c r="Y430" s="275"/>
      <c r="Z430" s="275"/>
    </row>
    <row r="431" spans="1:26" ht="12.75" customHeight="1" x14ac:dyDescent="0.25">
      <c r="A431" s="275"/>
      <c r="B431" s="342"/>
      <c r="C431" s="369"/>
      <c r="D431" s="337"/>
      <c r="E431" s="275"/>
      <c r="F431" s="275"/>
      <c r="G431" s="275"/>
      <c r="H431" s="275"/>
      <c r="I431" s="275"/>
      <c r="J431" s="275"/>
      <c r="K431" s="275"/>
      <c r="L431" s="275"/>
      <c r="M431" s="275"/>
      <c r="N431" s="275"/>
      <c r="O431" s="275"/>
      <c r="P431" s="275"/>
      <c r="Q431" s="275"/>
      <c r="R431" s="275"/>
      <c r="S431" s="275"/>
      <c r="T431" s="275"/>
      <c r="U431" s="275"/>
      <c r="V431" s="275"/>
      <c r="W431" s="275"/>
      <c r="X431" s="275"/>
      <c r="Y431" s="275"/>
      <c r="Z431" s="275"/>
    </row>
    <row r="432" spans="1:26" ht="12.75" customHeight="1" x14ac:dyDescent="0.25">
      <c r="A432" s="275"/>
      <c r="B432" s="342"/>
      <c r="C432" s="369"/>
      <c r="D432" s="337"/>
      <c r="E432" s="275"/>
      <c r="F432" s="275"/>
      <c r="G432" s="275"/>
      <c r="H432" s="275"/>
      <c r="I432" s="275"/>
      <c r="J432" s="275"/>
      <c r="K432" s="275"/>
      <c r="L432" s="275"/>
      <c r="M432" s="275"/>
      <c r="N432" s="275"/>
      <c r="O432" s="275"/>
      <c r="P432" s="275"/>
      <c r="Q432" s="275"/>
      <c r="R432" s="275"/>
      <c r="S432" s="275"/>
      <c r="T432" s="275"/>
      <c r="U432" s="275"/>
      <c r="V432" s="275"/>
      <c r="W432" s="275"/>
      <c r="X432" s="275"/>
      <c r="Y432" s="275"/>
      <c r="Z432" s="275"/>
    </row>
    <row r="433" spans="1:26" ht="12.75" customHeight="1" x14ac:dyDescent="0.25">
      <c r="A433" s="275"/>
      <c r="B433" s="342"/>
      <c r="C433" s="369"/>
      <c r="D433" s="337"/>
      <c r="E433" s="275"/>
      <c r="F433" s="275"/>
      <c r="G433" s="275"/>
      <c r="H433" s="275"/>
      <c r="I433" s="275"/>
      <c r="J433" s="275"/>
      <c r="K433" s="275"/>
      <c r="L433" s="275"/>
      <c r="M433" s="275"/>
      <c r="N433" s="275"/>
      <c r="O433" s="275"/>
      <c r="P433" s="275"/>
      <c r="Q433" s="275"/>
      <c r="R433" s="275"/>
      <c r="S433" s="275"/>
      <c r="T433" s="275"/>
      <c r="U433" s="275"/>
      <c r="V433" s="275"/>
      <c r="W433" s="275"/>
      <c r="X433" s="275"/>
      <c r="Y433" s="275"/>
      <c r="Z433" s="275"/>
    </row>
    <row r="434" spans="1:26" ht="12.75" customHeight="1" x14ac:dyDescent="0.25">
      <c r="A434" s="275"/>
      <c r="B434" s="342"/>
      <c r="C434" s="369"/>
      <c r="D434" s="337"/>
      <c r="E434" s="275"/>
      <c r="F434" s="275"/>
      <c r="G434" s="275"/>
      <c r="H434" s="275"/>
      <c r="I434" s="275"/>
      <c r="J434" s="275"/>
      <c r="K434" s="275"/>
      <c r="L434" s="275"/>
      <c r="M434" s="275"/>
      <c r="N434" s="275"/>
      <c r="O434" s="275"/>
      <c r="P434" s="275"/>
      <c r="Q434" s="275"/>
      <c r="R434" s="275"/>
      <c r="S434" s="275"/>
      <c r="T434" s="275"/>
      <c r="U434" s="275"/>
      <c r="V434" s="275"/>
      <c r="W434" s="275"/>
      <c r="X434" s="275"/>
      <c r="Y434" s="275"/>
      <c r="Z434" s="275"/>
    </row>
    <row r="435" spans="1:26" ht="12.75" customHeight="1" x14ac:dyDescent="0.25">
      <c r="A435" s="275"/>
      <c r="B435" s="342"/>
      <c r="C435" s="369"/>
      <c r="D435" s="337"/>
      <c r="E435" s="275"/>
      <c r="F435" s="275"/>
      <c r="G435" s="275"/>
      <c r="H435" s="275"/>
      <c r="I435" s="275"/>
      <c r="J435" s="275"/>
      <c r="K435" s="275"/>
      <c r="L435" s="275"/>
      <c r="M435" s="275"/>
      <c r="N435" s="275"/>
      <c r="O435" s="275"/>
      <c r="P435" s="275"/>
      <c r="Q435" s="275"/>
      <c r="R435" s="275"/>
      <c r="S435" s="275"/>
      <c r="T435" s="275"/>
      <c r="U435" s="275"/>
      <c r="V435" s="275"/>
      <c r="W435" s="275"/>
      <c r="X435" s="275"/>
      <c r="Y435" s="275"/>
      <c r="Z435" s="275"/>
    </row>
    <row r="436" spans="1:26" ht="12.75" customHeight="1" x14ac:dyDescent="0.25">
      <c r="A436" s="275"/>
      <c r="B436" s="342"/>
      <c r="C436" s="369"/>
      <c r="D436" s="337"/>
      <c r="E436" s="275"/>
      <c r="F436" s="275"/>
      <c r="G436" s="275"/>
      <c r="H436" s="275"/>
      <c r="I436" s="275"/>
      <c r="J436" s="275"/>
      <c r="K436" s="275"/>
      <c r="L436" s="275"/>
      <c r="M436" s="275"/>
      <c r="N436" s="275"/>
      <c r="O436" s="275"/>
      <c r="P436" s="275"/>
      <c r="Q436" s="275"/>
      <c r="R436" s="275"/>
      <c r="S436" s="275"/>
      <c r="T436" s="275"/>
      <c r="U436" s="275"/>
      <c r="V436" s="275"/>
      <c r="W436" s="275"/>
      <c r="X436" s="275"/>
      <c r="Y436" s="275"/>
      <c r="Z436" s="275"/>
    </row>
    <row r="437" spans="1:26" ht="12.75" customHeight="1" x14ac:dyDescent="0.25">
      <c r="A437" s="275"/>
      <c r="B437" s="342"/>
      <c r="C437" s="369"/>
      <c r="D437" s="337"/>
      <c r="E437" s="275"/>
      <c r="F437" s="275"/>
      <c r="G437" s="275"/>
      <c r="H437" s="275"/>
      <c r="I437" s="275"/>
      <c r="J437" s="275"/>
      <c r="K437" s="275"/>
      <c r="L437" s="275"/>
      <c r="M437" s="275"/>
      <c r="N437" s="275"/>
      <c r="O437" s="275"/>
      <c r="P437" s="275"/>
      <c r="Q437" s="275"/>
      <c r="R437" s="275"/>
      <c r="S437" s="275"/>
      <c r="T437" s="275"/>
      <c r="U437" s="275"/>
      <c r="V437" s="275"/>
      <c r="W437" s="275"/>
      <c r="X437" s="275"/>
      <c r="Y437" s="275"/>
      <c r="Z437" s="275"/>
    </row>
    <row r="438" spans="1:26" ht="12.75" customHeight="1" x14ac:dyDescent="0.25">
      <c r="A438" s="275"/>
      <c r="B438" s="342"/>
      <c r="C438" s="369"/>
      <c r="D438" s="337"/>
      <c r="E438" s="275"/>
      <c r="F438" s="275"/>
      <c r="G438" s="275"/>
      <c r="H438" s="275"/>
      <c r="I438" s="275"/>
      <c r="J438" s="275"/>
      <c r="K438" s="275"/>
      <c r="L438" s="275"/>
      <c r="M438" s="275"/>
      <c r="N438" s="275"/>
      <c r="O438" s="275"/>
      <c r="P438" s="275"/>
      <c r="Q438" s="275"/>
      <c r="R438" s="275"/>
      <c r="S438" s="275"/>
      <c r="T438" s="275"/>
      <c r="U438" s="275"/>
      <c r="V438" s="275"/>
      <c r="W438" s="275"/>
      <c r="X438" s="275"/>
      <c r="Y438" s="275"/>
      <c r="Z438" s="275"/>
    </row>
    <row r="439" spans="1:26" ht="12.75" customHeight="1" x14ac:dyDescent="0.25">
      <c r="A439" s="275"/>
      <c r="B439" s="342"/>
      <c r="C439" s="369"/>
      <c r="D439" s="337"/>
      <c r="E439" s="275"/>
      <c r="F439" s="275"/>
      <c r="G439" s="275"/>
      <c r="H439" s="275"/>
      <c r="I439" s="275"/>
      <c r="J439" s="275"/>
      <c r="K439" s="275"/>
      <c r="L439" s="275"/>
      <c r="M439" s="275"/>
      <c r="N439" s="275"/>
      <c r="O439" s="275"/>
      <c r="P439" s="275"/>
      <c r="Q439" s="275"/>
      <c r="R439" s="275"/>
      <c r="S439" s="275"/>
      <c r="T439" s="275"/>
      <c r="U439" s="275"/>
      <c r="V439" s="275"/>
      <c r="W439" s="275"/>
      <c r="X439" s="275"/>
      <c r="Y439" s="275"/>
      <c r="Z439" s="275"/>
    </row>
    <row r="440" spans="1:26" ht="12.75" customHeight="1" x14ac:dyDescent="0.25">
      <c r="A440" s="275"/>
      <c r="B440" s="342"/>
      <c r="C440" s="369"/>
      <c r="D440" s="337"/>
      <c r="E440" s="275"/>
      <c r="F440" s="275"/>
      <c r="G440" s="275"/>
      <c r="H440" s="275"/>
      <c r="I440" s="275"/>
      <c r="J440" s="275"/>
      <c r="K440" s="275"/>
      <c r="L440" s="275"/>
      <c r="M440" s="275"/>
      <c r="N440" s="275"/>
      <c r="O440" s="275"/>
      <c r="P440" s="275"/>
      <c r="Q440" s="275"/>
      <c r="R440" s="275"/>
      <c r="S440" s="275"/>
      <c r="T440" s="275"/>
      <c r="U440" s="275"/>
      <c r="V440" s="275"/>
      <c r="W440" s="275"/>
      <c r="X440" s="275"/>
      <c r="Y440" s="275"/>
      <c r="Z440" s="275"/>
    </row>
    <row r="441" spans="1:26" ht="12.75" customHeight="1" x14ac:dyDescent="0.25">
      <c r="A441" s="275"/>
      <c r="B441" s="342"/>
      <c r="C441" s="369"/>
      <c r="D441" s="337"/>
      <c r="E441" s="275"/>
      <c r="F441" s="275"/>
      <c r="G441" s="275"/>
      <c r="H441" s="275"/>
      <c r="I441" s="275"/>
      <c r="J441" s="275"/>
      <c r="K441" s="275"/>
      <c r="L441" s="275"/>
      <c r="M441" s="275"/>
      <c r="N441" s="275"/>
      <c r="O441" s="275"/>
      <c r="P441" s="275"/>
      <c r="Q441" s="275"/>
      <c r="R441" s="275"/>
      <c r="S441" s="275"/>
      <c r="T441" s="275"/>
      <c r="U441" s="275"/>
      <c r="V441" s="275"/>
      <c r="W441" s="275"/>
      <c r="X441" s="275"/>
      <c r="Y441" s="275"/>
      <c r="Z441" s="275"/>
    </row>
    <row r="442" spans="1:26" ht="12.75" customHeight="1" x14ac:dyDescent="0.25">
      <c r="A442" s="275"/>
      <c r="B442" s="342"/>
      <c r="C442" s="369"/>
      <c r="D442" s="337"/>
      <c r="E442" s="275"/>
      <c r="F442" s="275"/>
      <c r="G442" s="275"/>
      <c r="H442" s="275"/>
      <c r="I442" s="275"/>
      <c r="J442" s="275"/>
      <c r="K442" s="275"/>
      <c r="L442" s="275"/>
      <c r="M442" s="275"/>
      <c r="N442" s="275"/>
      <c r="O442" s="275"/>
      <c r="P442" s="275"/>
      <c r="Q442" s="275"/>
      <c r="R442" s="275"/>
      <c r="S442" s="275"/>
      <c r="T442" s="275"/>
      <c r="U442" s="275"/>
      <c r="V442" s="275"/>
      <c r="W442" s="275"/>
      <c r="X442" s="275"/>
      <c r="Y442" s="275"/>
      <c r="Z442" s="275"/>
    </row>
    <row r="443" spans="1:26" ht="12.75" customHeight="1" x14ac:dyDescent="0.25">
      <c r="A443" s="275"/>
      <c r="B443" s="342"/>
      <c r="C443" s="369"/>
      <c r="D443" s="337"/>
      <c r="E443" s="275"/>
      <c r="F443" s="275"/>
      <c r="G443" s="275"/>
      <c r="H443" s="275"/>
      <c r="I443" s="275"/>
      <c r="J443" s="275"/>
      <c r="K443" s="275"/>
      <c r="L443" s="275"/>
      <c r="M443" s="275"/>
      <c r="N443" s="275"/>
      <c r="O443" s="275"/>
      <c r="P443" s="275"/>
      <c r="Q443" s="275"/>
      <c r="R443" s="275"/>
      <c r="S443" s="275"/>
      <c r="T443" s="275"/>
      <c r="U443" s="275"/>
      <c r="V443" s="275"/>
      <c r="W443" s="275"/>
      <c r="X443" s="275"/>
      <c r="Y443" s="275"/>
      <c r="Z443" s="275"/>
    </row>
    <row r="444" spans="1:26" ht="12.75" customHeight="1" x14ac:dyDescent="0.25">
      <c r="A444" s="275"/>
      <c r="B444" s="342"/>
      <c r="C444" s="369"/>
      <c r="D444" s="337"/>
      <c r="E444" s="275"/>
      <c r="F444" s="275"/>
      <c r="G444" s="275"/>
      <c r="H444" s="275"/>
      <c r="I444" s="275"/>
      <c r="J444" s="275"/>
      <c r="K444" s="275"/>
      <c r="L444" s="275"/>
      <c r="M444" s="275"/>
      <c r="N444" s="275"/>
      <c r="O444" s="275"/>
      <c r="P444" s="275"/>
      <c r="Q444" s="275"/>
      <c r="R444" s="275"/>
      <c r="S444" s="275"/>
      <c r="T444" s="275"/>
      <c r="U444" s="275"/>
      <c r="V444" s="275"/>
      <c r="W444" s="275"/>
      <c r="X444" s="275"/>
      <c r="Y444" s="275"/>
      <c r="Z444" s="275"/>
    </row>
    <row r="445" spans="1:26" ht="12.75" customHeight="1" x14ac:dyDescent="0.25">
      <c r="A445" s="275"/>
      <c r="B445" s="342"/>
      <c r="C445" s="369"/>
      <c r="D445" s="337"/>
      <c r="E445" s="275"/>
      <c r="F445" s="275"/>
      <c r="G445" s="275"/>
      <c r="H445" s="275"/>
      <c r="I445" s="275"/>
      <c r="J445" s="275"/>
      <c r="K445" s="275"/>
      <c r="L445" s="275"/>
      <c r="M445" s="275"/>
      <c r="N445" s="275"/>
      <c r="O445" s="275"/>
      <c r="P445" s="275"/>
      <c r="Q445" s="275"/>
      <c r="R445" s="275"/>
      <c r="S445" s="275"/>
      <c r="T445" s="275"/>
      <c r="U445" s="275"/>
      <c r="V445" s="275"/>
      <c r="W445" s="275"/>
      <c r="X445" s="275"/>
      <c r="Y445" s="275"/>
      <c r="Z445" s="275"/>
    </row>
    <row r="446" spans="1:26" ht="12.75" customHeight="1" x14ac:dyDescent="0.25">
      <c r="A446" s="275"/>
      <c r="B446" s="342"/>
      <c r="C446" s="369"/>
      <c r="D446" s="337"/>
      <c r="E446" s="275"/>
      <c r="F446" s="275"/>
      <c r="G446" s="275"/>
      <c r="H446" s="275"/>
      <c r="I446" s="275"/>
      <c r="J446" s="275"/>
      <c r="K446" s="275"/>
      <c r="L446" s="275"/>
      <c r="M446" s="275"/>
      <c r="N446" s="275"/>
      <c r="O446" s="275"/>
      <c r="P446" s="275"/>
      <c r="Q446" s="275"/>
      <c r="R446" s="275"/>
      <c r="S446" s="275"/>
      <c r="T446" s="275"/>
      <c r="U446" s="275"/>
      <c r="V446" s="275"/>
      <c r="W446" s="275"/>
      <c r="X446" s="275"/>
      <c r="Y446" s="275"/>
      <c r="Z446" s="275"/>
    </row>
    <row r="447" spans="1:26" ht="12.75" customHeight="1" x14ac:dyDescent="0.25">
      <c r="A447" s="275"/>
      <c r="B447" s="342"/>
      <c r="C447" s="369"/>
      <c r="D447" s="337"/>
      <c r="E447" s="275"/>
      <c r="F447" s="275"/>
      <c r="G447" s="275"/>
      <c r="H447" s="275"/>
      <c r="I447" s="275"/>
      <c r="J447" s="275"/>
      <c r="K447" s="275"/>
      <c r="L447" s="275"/>
      <c r="M447" s="275"/>
      <c r="N447" s="275"/>
      <c r="O447" s="275"/>
      <c r="P447" s="275"/>
      <c r="Q447" s="275"/>
      <c r="R447" s="275"/>
      <c r="S447" s="275"/>
      <c r="T447" s="275"/>
      <c r="U447" s="275"/>
      <c r="V447" s="275"/>
      <c r="W447" s="275"/>
      <c r="X447" s="275"/>
      <c r="Y447" s="275"/>
      <c r="Z447" s="275"/>
    </row>
    <row r="448" spans="1:26" ht="12.75" customHeight="1" x14ac:dyDescent="0.25">
      <c r="A448" s="275"/>
      <c r="B448" s="342"/>
      <c r="C448" s="369"/>
      <c r="D448" s="337"/>
      <c r="E448" s="275"/>
      <c r="F448" s="275"/>
      <c r="G448" s="275"/>
      <c r="H448" s="275"/>
      <c r="I448" s="275"/>
      <c r="J448" s="275"/>
      <c r="K448" s="275"/>
      <c r="L448" s="275"/>
      <c r="M448" s="275"/>
      <c r="N448" s="275"/>
      <c r="O448" s="275"/>
      <c r="P448" s="275"/>
      <c r="Q448" s="275"/>
      <c r="R448" s="275"/>
      <c r="S448" s="275"/>
      <c r="T448" s="275"/>
      <c r="U448" s="275"/>
      <c r="V448" s="275"/>
      <c r="W448" s="275"/>
      <c r="X448" s="275"/>
      <c r="Y448" s="275"/>
      <c r="Z448" s="275"/>
    </row>
    <row r="449" spans="1:26" ht="12.75" customHeight="1" x14ac:dyDescent="0.25">
      <c r="A449" s="275"/>
      <c r="B449" s="342"/>
      <c r="C449" s="369"/>
      <c r="D449" s="337"/>
      <c r="E449" s="275"/>
      <c r="F449" s="275"/>
      <c r="G449" s="275"/>
      <c r="H449" s="275"/>
      <c r="I449" s="275"/>
      <c r="J449" s="275"/>
      <c r="K449" s="275"/>
      <c r="L449" s="275"/>
      <c r="M449" s="275"/>
      <c r="N449" s="275"/>
      <c r="O449" s="275"/>
      <c r="P449" s="275"/>
      <c r="Q449" s="275"/>
      <c r="R449" s="275"/>
      <c r="S449" s="275"/>
      <c r="T449" s="275"/>
      <c r="U449" s="275"/>
      <c r="V449" s="275"/>
      <c r="W449" s="275"/>
      <c r="X449" s="275"/>
      <c r="Y449" s="275"/>
      <c r="Z449" s="275"/>
    </row>
    <row r="450" spans="1:26" ht="12.75" customHeight="1" x14ac:dyDescent="0.25">
      <c r="A450" s="275"/>
      <c r="B450" s="342"/>
      <c r="C450" s="369"/>
      <c r="D450" s="337"/>
      <c r="E450" s="275"/>
      <c r="F450" s="275"/>
      <c r="G450" s="275"/>
      <c r="H450" s="275"/>
      <c r="I450" s="275"/>
      <c r="J450" s="275"/>
      <c r="K450" s="275"/>
      <c r="L450" s="275"/>
      <c r="M450" s="275"/>
      <c r="N450" s="275"/>
      <c r="O450" s="275"/>
      <c r="P450" s="275"/>
      <c r="Q450" s="275"/>
      <c r="R450" s="275"/>
      <c r="S450" s="275"/>
      <c r="T450" s="275"/>
      <c r="U450" s="275"/>
      <c r="V450" s="275"/>
      <c r="W450" s="275"/>
      <c r="X450" s="275"/>
      <c r="Y450" s="275"/>
      <c r="Z450" s="275"/>
    </row>
    <row r="451" spans="1:26" ht="12.75" customHeight="1" x14ac:dyDescent="0.25">
      <c r="A451" s="275"/>
      <c r="B451" s="342"/>
      <c r="C451" s="369"/>
      <c r="D451" s="337"/>
      <c r="E451" s="275"/>
      <c r="F451" s="275"/>
      <c r="G451" s="275"/>
      <c r="H451" s="275"/>
      <c r="I451" s="275"/>
      <c r="J451" s="275"/>
      <c r="K451" s="275"/>
      <c r="L451" s="275"/>
      <c r="M451" s="275"/>
      <c r="N451" s="275"/>
      <c r="O451" s="275"/>
      <c r="P451" s="275"/>
      <c r="Q451" s="275"/>
      <c r="R451" s="275"/>
      <c r="S451" s="275"/>
      <c r="T451" s="275"/>
      <c r="U451" s="275"/>
      <c r="V451" s="275"/>
      <c r="W451" s="275"/>
      <c r="X451" s="275"/>
      <c r="Y451" s="275"/>
      <c r="Z451" s="275"/>
    </row>
    <row r="452" spans="1:26" ht="12.75" customHeight="1" x14ac:dyDescent="0.25">
      <c r="A452" s="275"/>
      <c r="B452" s="342"/>
      <c r="C452" s="369"/>
      <c r="D452" s="337"/>
      <c r="E452" s="275"/>
      <c r="F452" s="275"/>
      <c r="G452" s="275"/>
      <c r="H452" s="275"/>
      <c r="I452" s="275"/>
      <c r="J452" s="275"/>
      <c r="K452" s="275"/>
      <c r="L452" s="275"/>
      <c r="M452" s="275"/>
      <c r="N452" s="275"/>
      <c r="O452" s="275"/>
      <c r="P452" s="275"/>
      <c r="Q452" s="275"/>
      <c r="R452" s="275"/>
      <c r="S452" s="275"/>
      <c r="T452" s="275"/>
      <c r="U452" s="275"/>
      <c r="V452" s="275"/>
      <c r="W452" s="275"/>
      <c r="X452" s="275"/>
      <c r="Y452" s="275"/>
      <c r="Z452" s="275"/>
    </row>
    <row r="453" spans="1:26" ht="12.75" customHeight="1" x14ac:dyDescent="0.25">
      <c r="A453" s="275"/>
      <c r="B453" s="342"/>
      <c r="C453" s="369"/>
      <c r="D453" s="337"/>
      <c r="E453" s="275"/>
      <c r="F453" s="275"/>
      <c r="G453" s="275"/>
      <c r="H453" s="275"/>
      <c r="I453" s="275"/>
      <c r="J453" s="275"/>
      <c r="K453" s="275"/>
      <c r="L453" s="275"/>
      <c r="M453" s="275"/>
      <c r="N453" s="275"/>
      <c r="O453" s="275"/>
      <c r="P453" s="275"/>
      <c r="Q453" s="275"/>
      <c r="R453" s="275"/>
      <c r="S453" s="275"/>
      <c r="T453" s="275"/>
      <c r="U453" s="275"/>
      <c r="V453" s="275"/>
      <c r="W453" s="275"/>
      <c r="X453" s="275"/>
      <c r="Y453" s="275"/>
      <c r="Z453" s="275"/>
    </row>
    <row r="454" spans="1:26" ht="12.75" customHeight="1" x14ac:dyDescent="0.25">
      <c r="A454" s="275"/>
      <c r="B454" s="342"/>
      <c r="C454" s="369"/>
      <c r="D454" s="337"/>
      <c r="E454" s="275"/>
      <c r="F454" s="275"/>
      <c r="G454" s="275"/>
      <c r="H454" s="275"/>
      <c r="I454" s="275"/>
      <c r="J454" s="275"/>
      <c r="K454" s="275"/>
      <c r="L454" s="275"/>
      <c r="M454" s="275"/>
      <c r="N454" s="275"/>
      <c r="O454" s="275"/>
      <c r="P454" s="275"/>
      <c r="Q454" s="275"/>
      <c r="R454" s="275"/>
      <c r="S454" s="275"/>
      <c r="T454" s="275"/>
      <c r="U454" s="275"/>
      <c r="V454" s="275"/>
      <c r="W454" s="275"/>
      <c r="X454" s="275"/>
      <c r="Y454" s="275"/>
      <c r="Z454" s="275"/>
    </row>
    <row r="455" spans="1:26" ht="12.75" customHeight="1" x14ac:dyDescent="0.25">
      <c r="A455" s="275"/>
      <c r="B455" s="342"/>
      <c r="C455" s="369"/>
      <c r="D455" s="337"/>
      <c r="E455" s="275"/>
      <c r="F455" s="275"/>
      <c r="G455" s="275"/>
      <c r="H455" s="275"/>
      <c r="I455" s="275"/>
      <c r="J455" s="275"/>
      <c r="K455" s="275"/>
      <c r="L455" s="275"/>
      <c r="M455" s="275"/>
      <c r="N455" s="275"/>
      <c r="O455" s="275"/>
      <c r="P455" s="275"/>
      <c r="Q455" s="275"/>
      <c r="R455" s="275"/>
      <c r="S455" s="275"/>
      <c r="T455" s="275"/>
      <c r="U455" s="275"/>
      <c r="V455" s="275"/>
      <c r="W455" s="275"/>
      <c r="X455" s="275"/>
      <c r="Y455" s="275"/>
      <c r="Z455" s="275"/>
    </row>
    <row r="456" spans="1:26" ht="12.75" customHeight="1" x14ac:dyDescent="0.25">
      <c r="A456" s="275"/>
      <c r="B456" s="342"/>
      <c r="C456" s="369"/>
      <c r="D456" s="337"/>
      <c r="E456" s="275"/>
      <c r="F456" s="275"/>
      <c r="G456" s="275"/>
      <c r="H456" s="275"/>
      <c r="I456" s="275"/>
      <c r="J456" s="275"/>
      <c r="K456" s="275"/>
      <c r="L456" s="275"/>
      <c r="M456" s="275"/>
      <c r="N456" s="275"/>
      <c r="O456" s="275"/>
      <c r="P456" s="275"/>
      <c r="Q456" s="275"/>
      <c r="R456" s="275"/>
      <c r="S456" s="275"/>
      <c r="T456" s="275"/>
      <c r="U456" s="275"/>
      <c r="V456" s="275"/>
      <c r="W456" s="275"/>
      <c r="X456" s="275"/>
      <c r="Y456" s="275"/>
      <c r="Z456" s="275"/>
    </row>
    <row r="457" spans="1:26" ht="12.75" customHeight="1" x14ac:dyDescent="0.25">
      <c r="A457" s="275"/>
      <c r="B457" s="342"/>
      <c r="C457" s="369"/>
      <c r="D457" s="337"/>
      <c r="E457" s="275"/>
      <c r="F457" s="275"/>
      <c r="G457" s="275"/>
      <c r="H457" s="275"/>
      <c r="I457" s="275"/>
      <c r="J457" s="275"/>
      <c r="K457" s="275"/>
      <c r="L457" s="275"/>
      <c r="M457" s="275"/>
      <c r="N457" s="275"/>
      <c r="O457" s="275"/>
      <c r="P457" s="275"/>
      <c r="Q457" s="275"/>
      <c r="R457" s="275"/>
      <c r="S457" s="275"/>
      <c r="T457" s="275"/>
      <c r="U457" s="275"/>
      <c r="V457" s="275"/>
      <c r="W457" s="275"/>
      <c r="X457" s="275"/>
      <c r="Y457" s="275"/>
      <c r="Z457" s="275"/>
    </row>
    <row r="458" spans="1:26" ht="12.75" customHeight="1" x14ac:dyDescent="0.25">
      <c r="A458" s="275"/>
      <c r="B458" s="342"/>
      <c r="C458" s="369"/>
      <c r="D458" s="337"/>
      <c r="E458" s="275"/>
      <c r="F458" s="275"/>
      <c r="G458" s="275"/>
      <c r="H458" s="275"/>
      <c r="I458" s="275"/>
      <c r="J458" s="275"/>
      <c r="K458" s="275"/>
      <c r="L458" s="275"/>
      <c r="M458" s="275"/>
      <c r="N458" s="275"/>
      <c r="O458" s="275"/>
      <c r="P458" s="275"/>
      <c r="Q458" s="275"/>
      <c r="R458" s="275"/>
      <c r="S458" s="275"/>
      <c r="T458" s="275"/>
      <c r="U458" s="275"/>
      <c r="V458" s="275"/>
      <c r="W458" s="275"/>
      <c r="X458" s="275"/>
      <c r="Y458" s="275"/>
      <c r="Z458" s="275"/>
    </row>
    <row r="459" spans="1:26" ht="12.75" customHeight="1" x14ac:dyDescent="0.25">
      <c r="A459" s="275"/>
      <c r="B459" s="342"/>
      <c r="C459" s="369"/>
      <c r="D459" s="337"/>
      <c r="E459" s="275"/>
      <c r="F459" s="275"/>
      <c r="G459" s="275"/>
      <c r="H459" s="275"/>
      <c r="I459" s="275"/>
      <c r="J459" s="275"/>
      <c r="K459" s="275"/>
      <c r="L459" s="275"/>
      <c r="M459" s="275"/>
      <c r="N459" s="275"/>
      <c r="O459" s="275"/>
      <c r="P459" s="275"/>
      <c r="Q459" s="275"/>
      <c r="R459" s="275"/>
      <c r="S459" s="275"/>
      <c r="T459" s="275"/>
      <c r="U459" s="275"/>
      <c r="V459" s="275"/>
      <c r="W459" s="275"/>
      <c r="X459" s="275"/>
      <c r="Y459" s="275"/>
      <c r="Z459" s="275"/>
    </row>
    <row r="460" spans="1:26" ht="12.75" customHeight="1" x14ac:dyDescent="0.25">
      <c r="A460" s="275"/>
      <c r="B460" s="342"/>
      <c r="C460" s="369"/>
      <c r="D460" s="337"/>
      <c r="E460" s="275"/>
      <c r="F460" s="275"/>
      <c r="G460" s="275"/>
      <c r="H460" s="275"/>
      <c r="I460" s="275"/>
      <c r="J460" s="275"/>
      <c r="K460" s="275"/>
      <c r="L460" s="275"/>
      <c r="M460" s="275"/>
      <c r="N460" s="275"/>
      <c r="O460" s="275"/>
      <c r="P460" s="275"/>
      <c r="Q460" s="275"/>
      <c r="R460" s="275"/>
      <c r="S460" s="275"/>
      <c r="T460" s="275"/>
      <c r="U460" s="275"/>
      <c r="V460" s="275"/>
      <c r="W460" s="275"/>
      <c r="X460" s="275"/>
      <c r="Y460" s="275"/>
      <c r="Z460" s="275"/>
    </row>
    <row r="461" spans="1:26" ht="12.75" customHeight="1" x14ac:dyDescent="0.25">
      <c r="A461" s="275"/>
      <c r="B461" s="342"/>
      <c r="C461" s="369"/>
      <c r="D461" s="337"/>
      <c r="E461" s="275"/>
      <c r="F461" s="275"/>
      <c r="G461" s="275"/>
      <c r="H461" s="275"/>
      <c r="I461" s="275"/>
      <c r="J461" s="275"/>
      <c r="K461" s="275"/>
      <c r="L461" s="275"/>
      <c r="M461" s="275"/>
      <c r="N461" s="275"/>
      <c r="O461" s="275"/>
      <c r="P461" s="275"/>
      <c r="Q461" s="275"/>
      <c r="R461" s="275"/>
      <c r="S461" s="275"/>
      <c r="T461" s="275"/>
      <c r="U461" s="275"/>
      <c r="V461" s="275"/>
      <c r="W461" s="275"/>
      <c r="X461" s="275"/>
      <c r="Y461" s="275"/>
      <c r="Z461" s="275"/>
    </row>
    <row r="462" spans="1:26" ht="12.75" customHeight="1" x14ac:dyDescent="0.25">
      <c r="A462" s="275"/>
      <c r="B462" s="342"/>
      <c r="C462" s="369"/>
      <c r="D462" s="337"/>
      <c r="E462" s="275"/>
      <c r="F462" s="275"/>
      <c r="G462" s="275"/>
      <c r="H462" s="275"/>
      <c r="I462" s="275"/>
      <c r="J462" s="275"/>
      <c r="K462" s="275"/>
      <c r="L462" s="275"/>
      <c r="M462" s="275"/>
      <c r="N462" s="275"/>
      <c r="O462" s="275"/>
      <c r="P462" s="275"/>
      <c r="Q462" s="275"/>
      <c r="R462" s="275"/>
      <c r="S462" s="275"/>
      <c r="T462" s="275"/>
      <c r="U462" s="275"/>
      <c r="V462" s="275"/>
      <c r="W462" s="275"/>
      <c r="X462" s="275"/>
      <c r="Y462" s="275"/>
      <c r="Z462" s="275"/>
    </row>
    <row r="463" spans="1:26" ht="12.75" customHeight="1" x14ac:dyDescent="0.25">
      <c r="A463" s="275"/>
      <c r="B463" s="342"/>
      <c r="C463" s="369"/>
      <c r="D463" s="337"/>
      <c r="E463" s="275"/>
      <c r="F463" s="275"/>
      <c r="G463" s="275"/>
      <c r="H463" s="275"/>
      <c r="I463" s="275"/>
      <c r="J463" s="275"/>
      <c r="K463" s="275"/>
      <c r="L463" s="275"/>
      <c r="M463" s="275"/>
      <c r="N463" s="275"/>
      <c r="O463" s="275"/>
      <c r="P463" s="275"/>
      <c r="Q463" s="275"/>
      <c r="R463" s="275"/>
      <c r="S463" s="275"/>
      <c r="T463" s="275"/>
      <c r="U463" s="275"/>
      <c r="V463" s="275"/>
      <c r="W463" s="275"/>
      <c r="X463" s="275"/>
      <c r="Y463" s="275"/>
      <c r="Z463" s="275"/>
    </row>
    <row r="464" spans="1:26" ht="12.75" customHeight="1" x14ac:dyDescent="0.25">
      <c r="A464" s="275"/>
      <c r="B464" s="342"/>
      <c r="C464" s="369"/>
      <c r="D464" s="337"/>
      <c r="E464" s="275"/>
      <c r="F464" s="275"/>
      <c r="G464" s="275"/>
      <c r="H464" s="275"/>
      <c r="I464" s="275"/>
      <c r="J464" s="275"/>
      <c r="K464" s="275"/>
      <c r="L464" s="275"/>
      <c r="M464" s="275"/>
      <c r="N464" s="275"/>
      <c r="O464" s="275"/>
      <c r="P464" s="275"/>
      <c r="Q464" s="275"/>
      <c r="R464" s="275"/>
      <c r="S464" s="275"/>
      <c r="T464" s="275"/>
      <c r="U464" s="275"/>
      <c r="V464" s="275"/>
      <c r="W464" s="275"/>
      <c r="X464" s="275"/>
      <c r="Y464" s="275"/>
      <c r="Z464" s="275"/>
    </row>
    <row r="465" spans="1:26" ht="12.75" customHeight="1" x14ac:dyDescent="0.25">
      <c r="A465" s="275"/>
      <c r="B465" s="342"/>
      <c r="C465" s="369"/>
      <c r="D465" s="337"/>
      <c r="E465" s="275"/>
      <c r="F465" s="275"/>
      <c r="G465" s="275"/>
      <c r="H465" s="275"/>
      <c r="I465" s="275"/>
      <c r="J465" s="275"/>
      <c r="K465" s="275"/>
      <c r="L465" s="275"/>
      <c r="M465" s="275"/>
      <c r="N465" s="275"/>
      <c r="O465" s="275"/>
      <c r="P465" s="275"/>
      <c r="Q465" s="275"/>
      <c r="R465" s="275"/>
      <c r="S465" s="275"/>
      <c r="T465" s="275"/>
      <c r="U465" s="275"/>
      <c r="V465" s="275"/>
      <c r="W465" s="275"/>
      <c r="X465" s="275"/>
      <c r="Y465" s="275"/>
      <c r="Z465" s="275"/>
    </row>
    <row r="466" spans="1:26" ht="12.75" customHeight="1" x14ac:dyDescent="0.25">
      <c r="A466" s="275"/>
      <c r="B466" s="342"/>
      <c r="C466" s="369"/>
      <c r="D466" s="337"/>
      <c r="E466" s="275"/>
      <c r="F466" s="275"/>
      <c r="G466" s="275"/>
      <c r="H466" s="275"/>
      <c r="I466" s="275"/>
      <c r="J466" s="275"/>
      <c r="K466" s="275"/>
      <c r="L466" s="275"/>
      <c r="M466" s="275"/>
      <c r="N466" s="275"/>
      <c r="O466" s="275"/>
      <c r="P466" s="275"/>
      <c r="Q466" s="275"/>
      <c r="R466" s="275"/>
      <c r="S466" s="275"/>
      <c r="T466" s="275"/>
      <c r="U466" s="275"/>
      <c r="V466" s="275"/>
      <c r="W466" s="275"/>
      <c r="X466" s="275"/>
      <c r="Y466" s="275"/>
      <c r="Z466" s="275"/>
    </row>
    <row r="467" spans="1:26" ht="12.75" customHeight="1" x14ac:dyDescent="0.25">
      <c r="A467" s="275"/>
      <c r="B467" s="342"/>
      <c r="C467" s="369"/>
      <c r="D467" s="337"/>
      <c r="E467" s="275"/>
      <c r="F467" s="275"/>
      <c r="G467" s="275"/>
      <c r="H467" s="275"/>
      <c r="I467" s="275"/>
      <c r="J467" s="275"/>
      <c r="K467" s="275"/>
      <c r="L467" s="275"/>
      <c r="M467" s="275"/>
      <c r="N467" s="275"/>
      <c r="O467" s="275"/>
      <c r="P467" s="275"/>
      <c r="Q467" s="275"/>
      <c r="R467" s="275"/>
      <c r="S467" s="275"/>
      <c r="T467" s="275"/>
      <c r="U467" s="275"/>
      <c r="V467" s="275"/>
      <c r="W467" s="275"/>
      <c r="X467" s="275"/>
      <c r="Y467" s="275"/>
      <c r="Z467" s="275"/>
    </row>
    <row r="468" spans="1:26" ht="12.75" customHeight="1" x14ac:dyDescent="0.25">
      <c r="A468" s="275"/>
      <c r="B468" s="342"/>
      <c r="C468" s="369"/>
      <c r="D468" s="337"/>
      <c r="E468" s="275"/>
      <c r="F468" s="275"/>
      <c r="G468" s="275"/>
      <c r="H468" s="275"/>
      <c r="I468" s="275"/>
      <c r="J468" s="275"/>
      <c r="K468" s="275"/>
      <c r="L468" s="275"/>
      <c r="M468" s="275"/>
      <c r="N468" s="275"/>
      <c r="O468" s="275"/>
      <c r="P468" s="275"/>
      <c r="Q468" s="275"/>
      <c r="R468" s="275"/>
      <c r="S468" s="275"/>
      <c r="T468" s="275"/>
      <c r="U468" s="275"/>
      <c r="V468" s="275"/>
      <c r="W468" s="275"/>
      <c r="X468" s="275"/>
      <c r="Y468" s="275"/>
      <c r="Z468" s="275"/>
    </row>
    <row r="469" spans="1:26" ht="12.75" customHeight="1" x14ac:dyDescent="0.25">
      <c r="A469" s="275"/>
      <c r="B469" s="342"/>
      <c r="C469" s="369"/>
      <c r="D469" s="337"/>
      <c r="E469" s="275"/>
      <c r="F469" s="275"/>
      <c r="G469" s="275"/>
      <c r="H469" s="275"/>
      <c r="I469" s="275"/>
      <c r="J469" s="275"/>
      <c r="K469" s="275"/>
      <c r="L469" s="275"/>
      <c r="M469" s="275"/>
      <c r="N469" s="275"/>
      <c r="O469" s="275"/>
      <c r="P469" s="275"/>
      <c r="Q469" s="275"/>
      <c r="R469" s="275"/>
      <c r="S469" s="275"/>
      <c r="T469" s="275"/>
      <c r="U469" s="275"/>
      <c r="V469" s="275"/>
      <c r="W469" s="275"/>
      <c r="X469" s="275"/>
      <c r="Y469" s="275"/>
      <c r="Z469" s="275"/>
    </row>
    <row r="470" spans="1:26" ht="12.75" customHeight="1" x14ac:dyDescent="0.25">
      <c r="A470" s="275"/>
      <c r="B470" s="342"/>
      <c r="C470" s="369"/>
      <c r="D470" s="337"/>
      <c r="E470" s="275"/>
      <c r="F470" s="275"/>
      <c r="G470" s="275"/>
      <c r="H470" s="275"/>
      <c r="I470" s="275"/>
      <c r="J470" s="275"/>
      <c r="K470" s="275"/>
      <c r="L470" s="275"/>
      <c r="M470" s="275"/>
      <c r="N470" s="275"/>
      <c r="O470" s="275"/>
      <c r="P470" s="275"/>
      <c r="Q470" s="275"/>
      <c r="R470" s="275"/>
      <c r="S470" s="275"/>
      <c r="T470" s="275"/>
      <c r="U470" s="275"/>
      <c r="V470" s="275"/>
      <c r="W470" s="275"/>
      <c r="X470" s="275"/>
      <c r="Y470" s="275"/>
      <c r="Z470" s="275"/>
    </row>
    <row r="471" spans="1:26" ht="12.75" customHeight="1" x14ac:dyDescent="0.25">
      <c r="A471" s="275"/>
      <c r="B471" s="342"/>
      <c r="C471" s="369"/>
      <c r="D471" s="337"/>
      <c r="E471" s="275"/>
      <c r="F471" s="275"/>
      <c r="G471" s="275"/>
      <c r="H471" s="275"/>
      <c r="I471" s="275"/>
      <c r="J471" s="275"/>
      <c r="K471" s="275"/>
      <c r="L471" s="275"/>
      <c r="M471" s="275"/>
      <c r="N471" s="275"/>
      <c r="O471" s="275"/>
      <c r="P471" s="275"/>
      <c r="Q471" s="275"/>
      <c r="R471" s="275"/>
      <c r="S471" s="275"/>
      <c r="T471" s="275"/>
      <c r="U471" s="275"/>
      <c r="V471" s="275"/>
      <c r="W471" s="275"/>
      <c r="X471" s="275"/>
      <c r="Y471" s="275"/>
      <c r="Z471" s="275"/>
    </row>
    <row r="472" spans="1:26" ht="12.75" customHeight="1" x14ac:dyDescent="0.25">
      <c r="A472" s="275"/>
      <c r="B472" s="342"/>
      <c r="C472" s="369"/>
      <c r="D472" s="337"/>
      <c r="E472" s="275"/>
      <c r="F472" s="275"/>
      <c r="G472" s="275"/>
      <c r="H472" s="275"/>
      <c r="I472" s="275"/>
      <c r="J472" s="275"/>
      <c r="K472" s="275"/>
      <c r="L472" s="275"/>
      <c r="M472" s="275"/>
      <c r="N472" s="275"/>
      <c r="O472" s="275"/>
      <c r="P472" s="275"/>
      <c r="Q472" s="275"/>
      <c r="R472" s="275"/>
      <c r="S472" s="275"/>
      <c r="T472" s="275"/>
      <c r="U472" s="275"/>
      <c r="V472" s="275"/>
      <c r="W472" s="275"/>
      <c r="X472" s="275"/>
      <c r="Y472" s="275"/>
      <c r="Z472" s="275"/>
    </row>
    <row r="473" spans="1:26" ht="12.75" customHeight="1" x14ac:dyDescent="0.25">
      <c r="A473" s="275"/>
      <c r="B473" s="342"/>
      <c r="C473" s="369"/>
      <c r="D473" s="337"/>
      <c r="E473" s="275"/>
      <c r="F473" s="275"/>
      <c r="G473" s="275"/>
      <c r="H473" s="275"/>
      <c r="I473" s="275"/>
      <c r="J473" s="275"/>
      <c r="K473" s="275"/>
      <c r="L473" s="275"/>
      <c r="M473" s="275"/>
      <c r="N473" s="275"/>
      <c r="O473" s="275"/>
      <c r="P473" s="275"/>
      <c r="Q473" s="275"/>
      <c r="R473" s="275"/>
      <c r="S473" s="275"/>
      <c r="T473" s="275"/>
      <c r="U473" s="275"/>
      <c r="V473" s="275"/>
      <c r="W473" s="275"/>
      <c r="X473" s="275"/>
      <c r="Y473" s="275"/>
      <c r="Z473" s="275"/>
    </row>
    <row r="474" spans="1:26" ht="12.75" customHeight="1" x14ac:dyDescent="0.25">
      <c r="A474" s="275"/>
      <c r="B474" s="342"/>
      <c r="C474" s="369"/>
      <c r="D474" s="337"/>
      <c r="E474" s="275"/>
      <c r="F474" s="275"/>
      <c r="G474" s="275"/>
      <c r="H474" s="275"/>
      <c r="I474" s="275"/>
      <c r="J474" s="275"/>
      <c r="K474" s="275"/>
      <c r="L474" s="275"/>
      <c r="M474" s="275"/>
      <c r="N474" s="275"/>
      <c r="O474" s="275"/>
      <c r="P474" s="275"/>
      <c r="Q474" s="275"/>
      <c r="R474" s="275"/>
      <c r="S474" s="275"/>
      <c r="T474" s="275"/>
      <c r="U474" s="275"/>
      <c r="V474" s="275"/>
      <c r="W474" s="275"/>
      <c r="X474" s="275"/>
      <c r="Y474" s="275"/>
      <c r="Z474" s="275"/>
    </row>
    <row r="475" spans="1:26" ht="12.75" customHeight="1" x14ac:dyDescent="0.25">
      <c r="A475" s="275"/>
      <c r="B475" s="342"/>
      <c r="C475" s="369"/>
      <c r="D475" s="337"/>
      <c r="E475" s="275"/>
      <c r="F475" s="275"/>
      <c r="G475" s="275"/>
      <c r="H475" s="275"/>
      <c r="I475" s="275"/>
      <c r="J475" s="275"/>
      <c r="K475" s="275"/>
      <c r="L475" s="275"/>
      <c r="M475" s="275"/>
      <c r="N475" s="275"/>
      <c r="O475" s="275"/>
      <c r="P475" s="275"/>
      <c r="Q475" s="275"/>
      <c r="R475" s="275"/>
      <c r="S475" s="275"/>
      <c r="T475" s="275"/>
      <c r="U475" s="275"/>
      <c r="V475" s="275"/>
      <c r="W475" s="275"/>
      <c r="X475" s="275"/>
      <c r="Y475" s="275"/>
      <c r="Z475" s="275"/>
    </row>
    <row r="476" spans="1:26" ht="12.75" customHeight="1" x14ac:dyDescent="0.25">
      <c r="A476" s="275"/>
      <c r="B476" s="342"/>
      <c r="C476" s="369"/>
      <c r="D476" s="337"/>
      <c r="E476" s="275"/>
      <c r="F476" s="275"/>
      <c r="G476" s="275"/>
      <c r="H476" s="275"/>
      <c r="I476" s="275"/>
      <c r="J476" s="275"/>
      <c r="K476" s="275"/>
      <c r="L476" s="275"/>
      <c r="M476" s="275"/>
      <c r="N476" s="275"/>
      <c r="O476" s="275"/>
      <c r="P476" s="275"/>
      <c r="Q476" s="275"/>
      <c r="R476" s="275"/>
      <c r="S476" s="275"/>
      <c r="T476" s="275"/>
      <c r="U476" s="275"/>
      <c r="V476" s="275"/>
      <c r="W476" s="275"/>
      <c r="X476" s="275"/>
      <c r="Y476" s="275"/>
      <c r="Z476" s="275"/>
    </row>
    <row r="477" spans="1:26" ht="12.75" customHeight="1" x14ac:dyDescent="0.25">
      <c r="A477" s="275"/>
      <c r="B477" s="342"/>
      <c r="C477" s="369"/>
      <c r="D477" s="337"/>
      <c r="E477" s="275"/>
      <c r="F477" s="275"/>
      <c r="G477" s="275"/>
      <c r="H477" s="275"/>
      <c r="I477" s="275"/>
      <c r="J477" s="275"/>
      <c r="K477" s="275"/>
      <c r="L477" s="275"/>
      <c r="M477" s="275"/>
      <c r="N477" s="275"/>
      <c r="O477" s="275"/>
      <c r="P477" s="275"/>
      <c r="Q477" s="275"/>
      <c r="R477" s="275"/>
      <c r="S477" s="275"/>
      <c r="T477" s="275"/>
      <c r="U477" s="275"/>
      <c r="V477" s="275"/>
      <c r="W477" s="275"/>
      <c r="X477" s="275"/>
      <c r="Y477" s="275"/>
      <c r="Z477" s="275"/>
    </row>
    <row r="478" spans="1:26" ht="12.75" customHeight="1" x14ac:dyDescent="0.25">
      <c r="A478" s="275"/>
      <c r="B478" s="342"/>
      <c r="C478" s="369"/>
      <c r="D478" s="337"/>
      <c r="E478" s="275"/>
      <c r="F478" s="275"/>
      <c r="G478" s="275"/>
      <c r="H478" s="275"/>
      <c r="I478" s="275"/>
      <c r="J478" s="275"/>
      <c r="K478" s="275"/>
      <c r="L478" s="275"/>
      <c r="M478" s="275"/>
      <c r="N478" s="275"/>
      <c r="O478" s="275"/>
      <c r="P478" s="275"/>
      <c r="Q478" s="275"/>
      <c r="R478" s="275"/>
      <c r="S478" s="275"/>
      <c r="T478" s="275"/>
      <c r="U478" s="275"/>
      <c r="V478" s="275"/>
      <c r="W478" s="275"/>
      <c r="X478" s="275"/>
      <c r="Y478" s="275"/>
      <c r="Z478" s="275"/>
    </row>
    <row r="479" spans="1:26" ht="12.75" customHeight="1" x14ac:dyDescent="0.25">
      <c r="A479" s="275"/>
      <c r="B479" s="342"/>
      <c r="C479" s="369"/>
      <c r="D479" s="337"/>
      <c r="E479" s="275"/>
      <c r="F479" s="275"/>
      <c r="G479" s="275"/>
      <c r="H479" s="275"/>
      <c r="I479" s="275"/>
      <c r="J479" s="275"/>
      <c r="K479" s="275"/>
      <c r="L479" s="275"/>
      <c r="M479" s="275"/>
      <c r="N479" s="275"/>
      <c r="O479" s="275"/>
      <c r="P479" s="275"/>
      <c r="Q479" s="275"/>
      <c r="R479" s="275"/>
      <c r="S479" s="275"/>
      <c r="T479" s="275"/>
      <c r="U479" s="275"/>
      <c r="V479" s="275"/>
      <c r="W479" s="275"/>
      <c r="X479" s="275"/>
      <c r="Y479" s="275"/>
      <c r="Z479" s="275"/>
    </row>
    <row r="480" spans="1:26" ht="12.75" customHeight="1" x14ac:dyDescent="0.25">
      <c r="A480" s="275"/>
      <c r="B480" s="342"/>
      <c r="C480" s="369"/>
      <c r="D480" s="337"/>
      <c r="E480" s="275"/>
      <c r="F480" s="275"/>
      <c r="G480" s="275"/>
      <c r="H480" s="275"/>
      <c r="I480" s="275"/>
      <c r="J480" s="275"/>
      <c r="K480" s="275"/>
      <c r="L480" s="275"/>
      <c r="M480" s="275"/>
      <c r="N480" s="275"/>
      <c r="O480" s="275"/>
      <c r="P480" s="275"/>
      <c r="Q480" s="275"/>
      <c r="R480" s="275"/>
      <c r="S480" s="275"/>
      <c r="T480" s="275"/>
      <c r="U480" s="275"/>
      <c r="V480" s="275"/>
      <c r="W480" s="275"/>
      <c r="X480" s="275"/>
      <c r="Y480" s="275"/>
      <c r="Z480" s="275"/>
    </row>
    <row r="481" spans="1:26" ht="12.75" customHeight="1" x14ac:dyDescent="0.25">
      <c r="A481" s="275"/>
      <c r="B481" s="342"/>
      <c r="C481" s="369"/>
      <c r="D481" s="337"/>
      <c r="E481" s="275"/>
      <c r="F481" s="275"/>
      <c r="G481" s="275"/>
      <c r="H481" s="275"/>
      <c r="I481" s="275"/>
      <c r="J481" s="275"/>
      <c r="K481" s="275"/>
      <c r="L481" s="275"/>
      <c r="M481" s="275"/>
      <c r="N481" s="275"/>
      <c r="O481" s="275"/>
      <c r="P481" s="275"/>
      <c r="Q481" s="275"/>
      <c r="R481" s="275"/>
      <c r="S481" s="275"/>
      <c r="T481" s="275"/>
      <c r="U481" s="275"/>
      <c r="V481" s="275"/>
      <c r="W481" s="275"/>
      <c r="X481" s="275"/>
      <c r="Y481" s="275"/>
      <c r="Z481" s="275"/>
    </row>
    <row r="482" spans="1:26" ht="12.75" customHeight="1" x14ac:dyDescent="0.25">
      <c r="A482" s="275"/>
      <c r="B482" s="342"/>
      <c r="C482" s="369"/>
      <c r="D482" s="337"/>
      <c r="E482" s="275"/>
      <c r="F482" s="275"/>
      <c r="G482" s="275"/>
      <c r="H482" s="275"/>
      <c r="I482" s="275"/>
      <c r="J482" s="275"/>
      <c r="K482" s="275"/>
      <c r="L482" s="275"/>
      <c r="M482" s="275"/>
      <c r="N482" s="275"/>
      <c r="O482" s="275"/>
      <c r="P482" s="275"/>
      <c r="Q482" s="275"/>
      <c r="R482" s="275"/>
      <c r="S482" s="275"/>
      <c r="T482" s="275"/>
      <c r="U482" s="275"/>
      <c r="V482" s="275"/>
      <c r="W482" s="275"/>
      <c r="X482" s="275"/>
      <c r="Y482" s="275"/>
      <c r="Z482" s="275"/>
    </row>
    <row r="483" spans="1:26" ht="12.75" customHeight="1" x14ac:dyDescent="0.25">
      <c r="A483" s="275"/>
      <c r="B483" s="342"/>
      <c r="C483" s="369"/>
      <c r="D483" s="337"/>
      <c r="E483" s="275"/>
      <c r="F483" s="275"/>
      <c r="G483" s="275"/>
      <c r="H483" s="275"/>
      <c r="I483" s="275"/>
      <c r="J483" s="275"/>
      <c r="K483" s="275"/>
      <c r="L483" s="275"/>
      <c r="M483" s="275"/>
      <c r="N483" s="275"/>
      <c r="O483" s="275"/>
      <c r="P483" s="275"/>
      <c r="Q483" s="275"/>
      <c r="R483" s="275"/>
      <c r="S483" s="275"/>
      <c r="T483" s="275"/>
      <c r="U483" s="275"/>
      <c r="V483" s="275"/>
      <c r="W483" s="275"/>
      <c r="X483" s="275"/>
      <c r="Y483" s="275"/>
      <c r="Z483" s="275"/>
    </row>
    <row r="484" spans="1:26" ht="12.75" customHeight="1" x14ac:dyDescent="0.25">
      <c r="A484" s="275"/>
      <c r="B484" s="342"/>
      <c r="C484" s="369"/>
      <c r="D484" s="337"/>
      <c r="E484" s="275"/>
      <c r="F484" s="275"/>
      <c r="G484" s="275"/>
      <c r="H484" s="275"/>
      <c r="I484" s="275"/>
      <c r="J484" s="275"/>
      <c r="K484" s="275"/>
      <c r="L484" s="275"/>
      <c r="M484" s="275"/>
      <c r="N484" s="275"/>
      <c r="O484" s="275"/>
      <c r="P484" s="275"/>
      <c r="Q484" s="275"/>
      <c r="R484" s="275"/>
      <c r="S484" s="275"/>
      <c r="T484" s="275"/>
      <c r="U484" s="275"/>
      <c r="V484" s="275"/>
      <c r="W484" s="275"/>
      <c r="X484" s="275"/>
      <c r="Y484" s="275"/>
      <c r="Z484" s="275"/>
    </row>
    <row r="485" spans="1:26" ht="12.75" customHeight="1" x14ac:dyDescent="0.25">
      <c r="A485" s="275"/>
      <c r="B485" s="342"/>
      <c r="C485" s="369"/>
      <c r="D485" s="337"/>
      <c r="E485" s="275"/>
      <c r="F485" s="275"/>
      <c r="G485" s="275"/>
      <c r="H485" s="275"/>
      <c r="I485" s="275"/>
      <c r="J485" s="275"/>
      <c r="K485" s="275"/>
      <c r="L485" s="275"/>
      <c r="M485" s="275"/>
      <c r="N485" s="275"/>
      <c r="O485" s="275"/>
      <c r="P485" s="275"/>
      <c r="Q485" s="275"/>
      <c r="R485" s="275"/>
      <c r="S485" s="275"/>
      <c r="T485" s="275"/>
      <c r="U485" s="275"/>
      <c r="V485" s="275"/>
      <c r="W485" s="275"/>
      <c r="X485" s="275"/>
      <c r="Y485" s="275"/>
      <c r="Z485" s="275"/>
    </row>
    <row r="486" spans="1:26" ht="12.75" customHeight="1" x14ac:dyDescent="0.25">
      <c r="A486" s="275"/>
      <c r="B486" s="342"/>
      <c r="C486" s="369"/>
      <c r="D486" s="337"/>
      <c r="E486" s="275"/>
      <c r="F486" s="275"/>
      <c r="G486" s="275"/>
      <c r="H486" s="275"/>
      <c r="I486" s="275"/>
      <c r="J486" s="275"/>
      <c r="K486" s="275"/>
      <c r="L486" s="275"/>
      <c r="M486" s="275"/>
      <c r="N486" s="275"/>
      <c r="O486" s="275"/>
      <c r="P486" s="275"/>
      <c r="Q486" s="275"/>
      <c r="R486" s="275"/>
      <c r="S486" s="275"/>
      <c r="T486" s="275"/>
      <c r="U486" s="275"/>
      <c r="V486" s="275"/>
      <c r="W486" s="275"/>
      <c r="X486" s="275"/>
      <c r="Y486" s="275"/>
      <c r="Z486" s="275"/>
    </row>
    <row r="487" spans="1:26" ht="12.75" customHeight="1" x14ac:dyDescent="0.25">
      <c r="A487" s="275"/>
      <c r="B487" s="342"/>
      <c r="C487" s="369"/>
      <c r="D487" s="337"/>
      <c r="E487" s="275"/>
      <c r="F487" s="275"/>
      <c r="G487" s="275"/>
      <c r="H487" s="275"/>
      <c r="I487" s="275"/>
      <c r="J487" s="275"/>
      <c r="K487" s="275"/>
      <c r="L487" s="275"/>
      <c r="M487" s="275"/>
      <c r="N487" s="275"/>
      <c r="O487" s="275"/>
      <c r="P487" s="275"/>
      <c r="Q487" s="275"/>
      <c r="R487" s="275"/>
      <c r="S487" s="275"/>
      <c r="T487" s="275"/>
      <c r="U487" s="275"/>
      <c r="V487" s="275"/>
      <c r="W487" s="275"/>
      <c r="X487" s="275"/>
      <c r="Y487" s="275"/>
      <c r="Z487" s="275"/>
    </row>
    <row r="488" spans="1:26" ht="12.75" customHeight="1" x14ac:dyDescent="0.25">
      <c r="A488" s="275"/>
      <c r="B488" s="342"/>
      <c r="C488" s="369"/>
      <c r="D488" s="337"/>
      <c r="E488" s="275"/>
      <c r="F488" s="275"/>
      <c r="G488" s="275"/>
      <c r="H488" s="275"/>
      <c r="I488" s="275"/>
      <c r="J488" s="275"/>
      <c r="K488" s="275"/>
      <c r="L488" s="275"/>
      <c r="M488" s="275"/>
      <c r="N488" s="275"/>
      <c r="O488" s="275"/>
      <c r="P488" s="275"/>
      <c r="Q488" s="275"/>
      <c r="R488" s="275"/>
      <c r="S488" s="275"/>
      <c r="T488" s="275"/>
      <c r="U488" s="275"/>
      <c r="V488" s="275"/>
      <c r="W488" s="275"/>
      <c r="X488" s="275"/>
      <c r="Y488" s="275"/>
      <c r="Z488" s="275"/>
    </row>
    <row r="489" spans="1:26" ht="12.75" customHeight="1" x14ac:dyDescent="0.25">
      <c r="A489" s="275"/>
      <c r="B489" s="342"/>
      <c r="C489" s="369"/>
      <c r="D489" s="337"/>
      <c r="E489" s="275"/>
      <c r="F489" s="275"/>
      <c r="G489" s="275"/>
      <c r="H489" s="275"/>
      <c r="I489" s="275"/>
      <c r="J489" s="275"/>
      <c r="K489" s="275"/>
      <c r="L489" s="275"/>
      <c r="M489" s="275"/>
      <c r="N489" s="275"/>
      <c r="O489" s="275"/>
      <c r="P489" s="275"/>
      <c r="Q489" s="275"/>
      <c r="R489" s="275"/>
      <c r="S489" s="275"/>
      <c r="T489" s="275"/>
      <c r="U489" s="275"/>
      <c r="V489" s="275"/>
      <c r="W489" s="275"/>
      <c r="X489" s="275"/>
      <c r="Y489" s="275"/>
      <c r="Z489" s="275"/>
    </row>
    <row r="490" spans="1:26" ht="12.75" customHeight="1" x14ac:dyDescent="0.25">
      <c r="A490" s="275"/>
      <c r="B490" s="342"/>
      <c r="C490" s="369"/>
      <c r="D490" s="337"/>
      <c r="E490" s="275"/>
      <c r="F490" s="275"/>
      <c r="G490" s="275"/>
      <c r="H490" s="275"/>
      <c r="I490" s="275"/>
      <c r="J490" s="275"/>
      <c r="K490" s="275"/>
      <c r="L490" s="275"/>
      <c r="M490" s="275"/>
      <c r="N490" s="275"/>
      <c r="O490" s="275"/>
      <c r="P490" s="275"/>
      <c r="Q490" s="275"/>
      <c r="R490" s="275"/>
      <c r="S490" s="275"/>
      <c r="T490" s="275"/>
      <c r="U490" s="275"/>
      <c r="V490" s="275"/>
      <c r="W490" s="275"/>
      <c r="X490" s="275"/>
      <c r="Y490" s="275"/>
      <c r="Z490" s="275"/>
    </row>
    <row r="491" spans="1:26" ht="12.75" customHeight="1" x14ac:dyDescent="0.25">
      <c r="A491" s="275"/>
      <c r="B491" s="342"/>
      <c r="C491" s="369"/>
      <c r="D491" s="337"/>
      <c r="E491" s="275"/>
      <c r="F491" s="275"/>
      <c r="G491" s="275"/>
      <c r="H491" s="275"/>
      <c r="I491" s="275"/>
      <c r="J491" s="275"/>
      <c r="K491" s="275"/>
      <c r="L491" s="275"/>
      <c r="M491" s="275"/>
      <c r="N491" s="275"/>
      <c r="O491" s="275"/>
      <c r="P491" s="275"/>
      <c r="Q491" s="275"/>
      <c r="R491" s="275"/>
      <c r="S491" s="275"/>
      <c r="T491" s="275"/>
      <c r="U491" s="275"/>
      <c r="V491" s="275"/>
      <c r="W491" s="275"/>
      <c r="X491" s="275"/>
      <c r="Y491" s="275"/>
      <c r="Z491" s="275"/>
    </row>
    <row r="492" spans="1:26" ht="12.75" customHeight="1" x14ac:dyDescent="0.25">
      <c r="A492" s="275"/>
      <c r="B492" s="342"/>
      <c r="C492" s="369"/>
      <c r="D492" s="337"/>
      <c r="E492" s="275"/>
      <c r="F492" s="275"/>
      <c r="G492" s="275"/>
      <c r="H492" s="275"/>
      <c r="I492" s="275"/>
      <c r="J492" s="275"/>
      <c r="K492" s="275"/>
      <c r="L492" s="275"/>
      <c r="M492" s="275"/>
      <c r="N492" s="275"/>
      <c r="O492" s="275"/>
      <c r="P492" s="275"/>
      <c r="Q492" s="275"/>
      <c r="R492" s="275"/>
      <c r="S492" s="275"/>
      <c r="T492" s="275"/>
      <c r="U492" s="275"/>
      <c r="V492" s="275"/>
      <c r="W492" s="275"/>
      <c r="X492" s="275"/>
      <c r="Y492" s="275"/>
      <c r="Z492" s="275"/>
    </row>
    <row r="493" spans="1:26" ht="12.75" customHeight="1" x14ac:dyDescent="0.25">
      <c r="A493" s="275"/>
      <c r="B493" s="342"/>
      <c r="C493" s="369"/>
      <c r="D493" s="337"/>
      <c r="E493" s="275"/>
      <c r="F493" s="275"/>
      <c r="G493" s="275"/>
      <c r="H493" s="275"/>
      <c r="I493" s="275"/>
      <c r="J493" s="275"/>
      <c r="K493" s="275"/>
      <c r="L493" s="275"/>
      <c r="M493" s="275"/>
      <c r="N493" s="275"/>
      <c r="O493" s="275"/>
      <c r="P493" s="275"/>
      <c r="Q493" s="275"/>
      <c r="R493" s="275"/>
      <c r="S493" s="275"/>
      <c r="T493" s="275"/>
      <c r="U493" s="275"/>
      <c r="V493" s="275"/>
      <c r="W493" s="275"/>
      <c r="X493" s="275"/>
      <c r="Y493" s="275"/>
      <c r="Z493" s="275"/>
    </row>
    <row r="494" spans="1:26" ht="12.75" customHeight="1" x14ac:dyDescent="0.25">
      <c r="A494" s="275"/>
      <c r="B494" s="342"/>
      <c r="C494" s="369"/>
      <c r="D494" s="337"/>
      <c r="E494" s="275"/>
      <c r="F494" s="275"/>
      <c r="G494" s="275"/>
      <c r="H494" s="275"/>
      <c r="I494" s="275"/>
      <c r="J494" s="275"/>
      <c r="K494" s="275"/>
      <c r="L494" s="275"/>
      <c r="M494" s="275"/>
      <c r="N494" s="275"/>
      <c r="O494" s="275"/>
      <c r="P494" s="275"/>
      <c r="Q494" s="275"/>
      <c r="R494" s="275"/>
      <c r="S494" s="275"/>
      <c r="T494" s="275"/>
      <c r="U494" s="275"/>
      <c r="V494" s="275"/>
      <c r="W494" s="275"/>
      <c r="X494" s="275"/>
      <c r="Y494" s="275"/>
      <c r="Z494" s="275"/>
    </row>
    <row r="495" spans="1:26" ht="12.75" customHeight="1" x14ac:dyDescent="0.25">
      <c r="A495" s="275"/>
      <c r="B495" s="342"/>
      <c r="C495" s="369"/>
      <c r="D495" s="337"/>
      <c r="E495" s="275"/>
      <c r="F495" s="275"/>
      <c r="G495" s="275"/>
      <c r="H495" s="275"/>
      <c r="I495" s="275"/>
      <c r="J495" s="275"/>
      <c r="K495" s="275"/>
      <c r="L495" s="275"/>
      <c r="M495" s="275"/>
      <c r="N495" s="275"/>
      <c r="O495" s="275"/>
      <c r="P495" s="275"/>
      <c r="Q495" s="275"/>
      <c r="R495" s="275"/>
      <c r="S495" s="275"/>
      <c r="T495" s="275"/>
      <c r="U495" s="275"/>
      <c r="V495" s="275"/>
      <c r="W495" s="275"/>
      <c r="X495" s="275"/>
      <c r="Y495" s="275"/>
      <c r="Z495" s="275"/>
    </row>
    <row r="496" spans="1:26" ht="12.75" customHeight="1" x14ac:dyDescent="0.25">
      <c r="A496" s="275"/>
      <c r="B496" s="342"/>
      <c r="C496" s="369"/>
      <c r="D496" s="337"/>
      <c r="E496" s="275"/>
      <c r="F496" s="275"/>
      <c r="G496" s="275"/>
      <c r="H496" s="275"/>
      <c r="I496" s="275"/>
      <c r="J496" s="275"/>
      <c r="K496" s="275"/>
      <c r="L496" s="275"/>
      <c r="M496" s="275"/>
      <c r="N496" s="275"/>
      <c r="O496" s="275"/>
      <c r="P496" s="275"/>
      <c r="Q496" s="275"/>
      <c r="R496" s="275"/>
      <c r="S496" s="275"/>
      <c r="T496" s="275"/>
      <c r="U496" s="275"/>
      <c r="V496" s="275"/>
      <c r="W496" s="275"/>
      <c r="X496" s="275"/>
      <c r="Y496" s="275"/>
      <c r="Z496" s="275"/>
    </row>
    <row r="497" spans="1:26" ht="12.75" customHeight="1" x14ac:dyDescent="0.25">
      <c r="A497" s="275"/>
      <c r="B497" s="342"/>
      <c r="C497" s="369"/>
      <c r="D497" s="337"/>
      <c r="E497" s="275"/>
      <c r="F497" s="275"/>
      <c r="G497" s="275"/>
      <c r="H497" s="275"/>
      <c r="I497" s="275"/>
      <c r="J497" s="275"/>
      <c r="K497" s="275"/>
      <c r="L497" s="275"/>
      <c r="M497" s="275"/>
      <c r="N497" s="275"/>
      <c r="O497" s="275"/>
      <c r="P497" s="275"/>
      <c r="Q497" s="275"/>
      <c r="R497" s="275"/>
      <c r="S497" s="275"/>
      <c r="T497" s="275"/>
      <c r="U497" s="275"/>
      <c r="V497" s="275"/>
      <c r="W497" s="275"/>
      <c r="X497" s="275"/>
      <c r="Y497" s="275"/>
      <c r="Z497" s="275"/>
    </row>
    <row r="498" spans="1:26" ht="12.75" customHeight="1" x14ac:dyDescent="0.25">
      <c r="A498" s="275"/>
      <c r="B498" s="342"/>
      <c r="C498" s="369"/>
      <c r="D498" s="337"/>
      <c r="E498" s="275"/>
      <c r="F498" s="275"/>
      <c r="G498" s="275"/>
      <c r="H498" s="275"/>
      <c r="I498" s="275"/>
      <c r="J498" s="275"/>
      <c r="K498" s="275"/>
      <c r="L498" s="275"/>
      <c r="M498" s="275"/>
      <c r="N498" s="275"/>
      <c r="O498" s="275"/>
      <c r="P498" s="275"/>
      <c r="Q498" s="275"/>
      <c r="R498" s="275"/>
      <c r="S498" s="275"/>
      <c r="T498" s="275"/>
      <c r="U498" s="275"/>
      <c r="V498" s="275"/>
      <c r="W498" s="275"/>
      <c r="X498" s="275"/>
      <c r="Y498" s="275"/>
      <c r="Z498" s="275"/>
    </row>
    <row r="499" spans="1:26" ht="12.75" customHeight="1" x14ac:dyDescent="0.25">
      <c r="A499" s="275"/>
      <c r="B499" s="342"/>
      <c r="C499" s="369"/>
      <c r="D499" s="337"/>
      <c r="E499" s="275"/>
      <c r="F499" s="275"/>
      <c r="G499" s="275"/>
      <c r="H499" s="275"/>
      <c r="I499" s="275"/>
      <c r="J499" s="275"/>
      <c r="K499" s="275"/>
      <c r="L499" s="275"/>
      <c r="M499" s="275"/>
      <c r="N499" s="275"/>
      <c r="O499" s="275"/>
      <c r="P499" s="275"/>
      <c r="Q499" s="275"/>
      <c r="R499" s="275"/>
      <c r="S499" s="275"/>
      <c r="T499" s="275"/>
      <c r="U499" s="275"/>
      <c r="V499" s="275"/>
      <c r="W499" s="275"/>
      <c r="X499" s="275"/>
      <c r="Y499" s="275"/>
      <c r="Z499" s="275"/>
    </row>
    <row r="500" spans="1:26" ht="12.75" customHeight="1" x14ac:dyDescent="0.25">
      <c r="A500" s="275"/>
      <c r="B500" s="342"/>
      <c r="C500" s="369"/>
      <c r="D500" s="337"/>
      <c r="E500" s="275"/>
      <c r="F500" s="275"/>
      <c r="G500" s="275"/>
      <c r="H500" s="275"/>
      <c r="I500" s="275"/>
      <c r="J500" s="275"/>
      <c r="K500" s="275"/>
      <c r="L500" s="275"/>
      <c r="M500" s="275"/>
      <c r="N500" s="275"/>
      <c r="O500" s="275"/>
      <c r="P500" s="275"/>
      <c r="Q500" s="275"/>
      <c r="R500" s="275"/>
      <c r="S500" s="275"/>
      <c r="T500" s="275"/>
      <c r="U500" s="275"/>
      <c r="V500" s="275"/>
      <c r="W500" s="275"/>
      <c r="X500" s="275"/>
      <c r="Y500" s="275"/>
      <c r="Z500" s="275"/>
    </row>
    <row r="501" spans="1:26" ht="12.75" customHeight="1" x14ac:dyDescent="0.25">
      <c r="A501" s="275"/>
      <c r="B501" s="342"/>
      <c r="C501" s="369"/>
      <c r="D501" s="337"/>
      <c r="E501" s="275"/>
      <c r="F501" s="275"/>
      <c r="G501" s="275"/>
      <c r="H501" s="275"/>
      <c r="I501" s="275"/>
      <c r="J501" s="275"/>
      <c r="K501" s="275"/>
      <c r="L501" s="275"/>
      <c r="M501" s="275"/>
      <c r="N501" s="275"/>
      <c r="O501" s="275"/>
      <c r="P501" s="275"/>
      <c r="Q501" s="275"/>
      <c r="R501" s="275"/>
      <c r="S501" s="275"/>
      <c r="T501" s="275"/>
      <c r="U501" s="275"/>
      <c r="V501" s="275"/>
      <c r="W501" s="275"/>
      <c r="X501" s="275"/>
      <c r="Y501" s="275"/>
      <c r="Z501" s="275"/>
    </row>
    <row r="502" spans="1:26" ht="12.75" customHeight="1" x14ac:dyDescent="0.25">
      <c r="A502" s="275"/>
      <c r="B502" s="342"/>
      <c r="C502" s="369"/>
      <c r="D502" s="337"/>
      <c r="E502" s="275"/>
      <c r="F502" s="275"/>
      <c r="G502" s="275"/>
      <c r="H502" s="275"/>
      <c r="I502" s="275"/>
      <c r="J502" s="275"/>
      <c r="K502" s="275"/>
      <c r="L502" s="275"/>
      <c r="M502" s="275"/>
      <c r="N502" s="275"/>
      <c r="O502" s="275"/>
      <c r="P502" s="275"/>
      <c r="Q502" s="275"/>
      <c r="R502" s="275"/>
      <c r="S502" s="275"/>
      <c r="T502" s="275"/>
      <c r="U502" s="275"/>
      <c r="V502" s="275"/>
      <c r="W502" s="275"/>
      <c r="X502" s="275"/>
      <c r="Y502" s="275"/>
      <c r="Z502" s="275"/>
    </row>
    <row r="503" spans="1:26" ht="12.75" customHeight="1" x14ac:dyDescent="0.25">
      <c r="A503" s="275"/>
      <c r="B503" s="342"/>
      <c r="C503" s="369"/>
      <c r="D503" s="337"/>
      <c r="E503" s="275"/>
      <c r="F503" s="275"/>
      <c r="G503" s="275"/>
      <c r="H503" s="275"/>
      <c r="I503" s="275"/>
      <c r="J503" s="275"/>
      <c r="K503" s="275"/>
      <c r="L503" s="275"/>
      <c r="M503" s="275"/>
      <c r="N503" s="275"/>
      <c r="O503" s="275"/>
      <c r="P503" s="275"/>
      <c r="Q503" s="275"/>
      <c r="R503" s="275"/>
      <c r="S503" s="275"/>
      <c r="T503" s="275"/>
      <c r="U503" s="275"/>
      <c r="V503" s="275"/>
      <c r="W503" s="275"/>
      <c r="X503" s="275"/>
      <c r="Y503" s="275"/>
      <c r="Z503" s="275"/>
    </row>
    <row r="504" spans="1:26" ht="12.75" customHeight="1" x14ac:dyDescent="0.25">
      <c r="A504" s="275"/>
      <c r="B504" s="342"/>
      <c r="C504" s="369"/>
      <c r="D504" s="337"/>
      <c r="E504" s="275"/>
      <c r="F504" s="275"/>
      <c r="G504" s="275"/>
      <c r="H504" s="275"/>
      <c r="I504" s="275"/>
      <c r="J504" s="275"/>
      <c r="K504" s="275"/>
      <c r="L504" s="275"/>
      <c r="M504" s="275"/>
      <c r="N504" s="275"/>
      <c r="O504" s="275"/>
      <c r="P504" s="275"/>
      <c r="Q504" s="275"/>
      <c r="R504" s="275"/>
      <c r="S504" s="275"/>
      <c r="T504" s="275"/>
      <c r="U504" s="275"/>
      <c r="V504" s="275"/>
      <c r="W504" s="275"/>
      <c r="X504" s="275"/>
      <c r="Y504" s="275"/>
      <c r="Z504" s="275"/>
    </row>
    <row r="505" spans="1:26" ht="12.75" customHeight="1" x14ac:dyDescent="0.25">
      <c r="A505" s="275"/>
      <c r="B505" s="342"/>
      <c r="C505" s="369"/>
      <c r="D505" s="337"/>
      <c r="E505" s="275"/>
      <c r="F505" s="275"/>
      <c r="G505" s="275"/>
      <c r="H505" s="275"/>
      <c r="I505" s="275"/>
      <c r="J505" s="275"/>
      <c r="K505" s="275"/>
      <c r="L505" s="275"/>
      <c r="M505" s="275"/>
      <c r="N505" s="275"/>
      <c r="O505" s="275"/>
      <c r="P505" s="275"/>
      <c r="Q505" s="275"/>
      <c r="R505" s="275"/>
      <c r="S505" s="275"/>
      <c r="T505" s="275"/>
      <c r="U505" s="275"/>
      <c r="V505" s="275"/>
      <c r="W505" s="275"/>
      <c r="X505" s="275"/>
      <c r="Y505" s="275"/>
      <c r="Z505" s="275"/>
    </row>
    <row r="506" spans="1:26" ht="12.75" customHeight="1" x14ac:dyDescent="0.25">
      <c r="A506" s="275"/>
      <c r="B506" s="342"/>
      <c r="C506" s="369"/>
      <c r="D506" s="337"/>
      <c r="E506" s="275"/>
      <c r="F506" s="275"/>
      <c r="G506" s="275"/>
      <c r="H506" s="275"/>
      <c r="I506" s="275"/>
      <c r="J506" s="275"/>
      <c r="K506" s="275"/>
      <c r="L506" s="275"/>
      <c r="M506" s="275"/>
      <c r="N506" s="275"/>
      <c r="O506" s="275"/>
      <c r="P506" s="275"/>
      <c r="Q506" s="275"/>
      <c r="R506" s="275"/>
      <c r="S506" s="275"/>
      <c r="T506" s="275"/>
      <c r="U506" s="275"/>
      <c r="V506" s="275"/>
      <c r="W506" s="275"/>
      <c r="X506" s="275"/>
      <c r="Y506" s="275"/>
      <c r="Z506" s="275"/>
    </row>
    <row r="507" spans="1:26" ht="12.75" customHeight="1" x14ac:dyDescent="0.25">
      <c r="A507" s="275"/>
      <c r="B507" s="342"/>
      <c r="C507" s="369"/>
      <c r="D507" s="337"/>
      <c r="E507" s="275"/>
      <c r="F507" s="275"/>
      <c r="G507" s="275"/>
      <c r="H507" s="275"/>
      <c r="I507" s="275"/>
      <c r="J507" s="275"/>
      <c r="K507" s="275"/>
      <c r="L507" s="275"/>
      <c r="M507" s="275"/>
      <c r="N507" s="275"/>
      <c r="O507" s="275"/>
      <c r="P507" s="275"/>
      <c r="Q507" s="275"/>
      <c r="R507" s="275"/>
      <c r="S507" s="275"/>
      <c r="T507" s="275"/>
      <c r="U507" s="275"/>
      <c r="V507" s="275"/>
      <c r="W507" s="275"/>
      <c r="X507" s="275"/>
      <c r="Y507" s="275"/>
      <c r="Z507" s="275"/>
    </row>
    <row r="508" spans="1:26" ht="12.75" customHeight="1" x14ac:dyDescent="0.25">
      <c r="A508" s="275"/>
      <c r="B508" s="342"/>
      <c r="C508" s="369"/>
      <c r="D508" s="337"/>
      <c r="E508" s="275"/>
      <c r="F508" s="275"/>
      <c r="G508" s="275"/>
      <c r="H508" s="275"/>
      <c r="I508" s="275"/>
      <c r="J508" s="275"/>
      <c r="K508" s="275"/>
      <c r="L508" s="275"/>
      <c r="M508" s="275"/>
      <c r="N508" s="275"/>
      <c r="O508" s="275"/>
      <c r="P508" s="275"/>
      <c r="Q508" s="275"/>
      <c r="R508" s="275"/>
      <c r="S508" s="275"/>
      <c r="T508" s="275"/>
      <c r="U508" s="275"/>
      <c r="V508" s="275"/>
      <c r="W508" s="275"/>
      <c r="X508" s="275"/>
      <c r="Y508" s="275"/>
      <c r="Z508" s="275"/>
    </row>
    <row r="509" spans="1:26" ht="12.75" customHeight="1" x14ac:dyDescent="0.25">
      <c r="A509" s="275"/>
      <c r="B509" s="342"/>
      <c r="C509" s="369"/>
      <c r="D509" s="337"/>
      <c r="E509" s="275"/>
      <c r="F509" s="275"/>
      <c r="G509" s="275"/>
      <c r="H509" s="275"/>
      <c r="I509" s="275"/>
      <c r="J509" s="275"/>
      <c r="K509" s="275"/>
      <c r="L509" s="275"/>
      <c r="M509" s="275"/>
      <c r="N509" s="275"/>
      <c r="O509" s="275"/>
      <c r="P509" s="275"/>
      <c r="Q509" s="275"/>
      <c r="R509" s="275"/>
      <c r="S509" s="275"/>
      <c r="T509" s="275"/>
      <c r="U509" s="275"/>
      <c r="V509" s="275"/>
      <c r="W509" s="275"/>
      <c r="X509" s="275"/>
      <c r="Y509" s="275"/>
      <c r="Z509" s="275"/>
    </row>
    <row r="510" spans="1:26" ht="12.75" customHeight="1" x14ac:dyDescent="0.25">
      <c r="A510" s="275"/>
      <c r="B510" s="342"/>
      <c r="C510" s="369"/>
      <c r="D510" s="337"/>
      <c r="E510" s="275"/>
      <c r="F510" s="275"/>
      <c r="G510" s="275"/>
      <c r="H510" s="275"/>
      <c r="I510" s="275"/>
      <c r="J510" s="275"/>
      <c r="K510" s="275"/>
      <c r="L510" s="275"/>
      <c r="M510" s="275"/>
      <c r="N510" s="275"/>
      <c r="O510" s="275"/>
      <c r="P510" s="275"/>
      <c r="Q510" s="275"/>
      <c r="R510" s="275"/>
      <c r="S510" s="275"/>
      <c r="T510" s="275"/>
      <c r="U510" s="275"/>
      <c r="V510" s="275"/>
      <c r="W510" s="275"/>
      <c r="X510" s="275"/>
      <c r="Y510" s="275"/>
      <c r="Z510" s="275"/>
    </row>
    <row r="511" spans="1:26" ht="12.75" customHeight="1" x14ac:dyDescent="0.25">
      <c r="A511" s="275"/>
      <c r="B511" s="342"/>
      <c r="C511" s="369"/>
      <c r="D511" s="337"/>
      <c r="E511" s="275"/>
      <c r="F511" s="275"/>
      <c r="G511" s="275"/>
      <c r="H511" s="275"/>
      <c r="I511" s="275"/>
      <c r="J511" s="275"/>
      <c r="K511" s="275"/>
      <c r="L511" s="275"/>
      <c r="M511" s="275"/>
      <c r="N511" s="275"/>
      <c r="O511" s="275"/>
      <c r="P511" s="275"/>
      <c r="Q511" s="275"/>
      <c r="R511" s="275"/>
      <c r="S511" s="275"/>
      <c r="T511" s="275"/>
      <c r="U511" s="275"/>
      <c r="V511" s="275"/>
      <c r="W511" s="275"/>
      <c r="X511" s="275"/>
      <c r="Y511" s="275"/>
      <c r="Z511" s="275"/>
    </row>
    <row r="512" spans="1:26" ht="12.75" customHeight="1" x14ac:dyDescent="0.25">
      <c r="A512" s="275"/>
      <c r="B512" s="342"/>
      <c r="C512" s="369"/>
      <c r="D512" s="337"/>
      <c r="E512" s="275"/>
      <c r="F512" s="275"/>
      <c r="G512" s="275"/>
      <c r="H512" s="275"/>
      <c r="I512" s="275"/>
      <c r="J512" s="275"/>
      <c r="K512" s="275"/>
      <c r="L512" s="275"/>
      <c r="M512" s="275"/>
      <c r="N512" s="275"/>
      <c r="O512" s="275"/>
      <c r="P512" s="275"/>
      <c r="Q512" s="275"/>
      <c r="R512" s="275"/>
      <c r="S512" s="275"/>
      <c r="T512" s="275"/>
      <c r="U512" s="275"/>
      <c r="V512" s="275"/>
      <c r="W512" s="275"/>
      <c r="X512" s="275"/>
      <c r="Y512" s="275"/>
      <c r="Z512" s="275"/>
    </row>
    <row r="513" spans="1:26" ht="12.75" customHeight="1" x14ac:dyDescent="0.25">
      <c r="A513" s="275"/>
      <c r="B513" s="342"/>
      <c r="C513" s="369"/>
      <c r="D513" s="337"/>
      <c r="E513" s="275"/>
      <c r="F513" s="275"/>
      <c r="G513" s="275"/>
      <c r="H513" s="275"/>
      <c r="I513" s="275"/>
      <c r="J513" s="275"/>
      <c r="K513" s="275"/>
      <c r="L513" s="275"/>
      <c r="M513" s="275"/>
      <c r="N513" s="275"/>
      <c r="O513" s="275"/>
      <c r="P513" s="275"/>
      <c r="Q513" s="275"/>
      <c r="R513" s="275"/>
      <c r="S513" s="275"/>
      <c r="T513" s="275"/>
      <c r="U513" s="275"/>
      <c r="V513" s="275"/>
      <c r="W513" s="275"/>
      <c r="X513" s="275"/>
      <c r="Y513" s="275"/>
      <c r="Z513" s="275"/>
    </row>
    <row r="514" spans="1:26" ht="12.75" customHeight="1" x14ac:dyDescent="0.25">
      <c r="A514" s="275"/>
      <c r="B514" s="342"/>
      <c r="C514" s="369"/>
      <c r="D514" s="337"/>
      <c r="E514" s="275"/>
      <c r="F514" s="275"/>
      <c r="G514" s="275"/>
      <c r="H514" s="275"/>
      <c r="I514" s="275"/>
      <c r="J514" s="275"/>
      <c r="K514" s="275"/>
      <c r="L514" s="275"/>
      <c r="M514" s="275"/>
      <c r="N514" s="275"/>
      <c r="O514" s="275"/>
      <c r="P514" s="275"/>
      <c r="Q514" s="275"/>
      <c r="R514" s="275"/>
      <c r="S514" s="275"/>
      <c r="T514" s="275"/>
      <c r="U514" s="275"/>
      <c r="V514" s="275"/>
      <c r="W514" s="275"/>
      <c r="X514" s="275"/>
      <c r="Y514" s="275"/>
      <c r="Z514" s="275"/>
    </row>
    <row r="515" spans="1:26" ht="12.75" customHeight="1" x14ac:dyDescent="0.25">
      <c r="A515" s="275"/>
      <c r="B515" s="342"/>
      <c r="C515" s="369"/>
      <c r="D515" s="337"/>
      <c r="E515" s="275"/>
      <c r="F515" s="275"/>
      <c r="G515" s="275"/>
      <c r="H515" s="275"/>
      <c r="I515" s="275"/>
      <c r="J515" s="275"/>
      <c r="K515" s="275"/>
      <c r="L515" s="275"/>
      <c r="M515" s="275"/>
      <c r="N515" s="275"/>
      <c r="O515" s="275"/>
      <c r="P515" s="275"/>
      <c r="Q515" s="275"/>
      <c r="R515" s="275"/>
      <c r="S515" s="275"/>
      <c r="T515" s="275"/>
      <c r="U515" s="275"/>
      <c r="V515" s="275"/>
      <c r="W515" s="275"/>
      <c r="X515" s="275"/>
      <c r="Y515" s="275"/>
      <c r="Z515" s="275"/>
    </row>
    <row r="516" spans="1:26" ht="12.75" customHeight="1" x14ac:dyDescent="0.25">
      <c r="A516" s="275"/>
      <c r="B516" s="342"/>
      <c r="C516" s="369"/>
      <c r="D516" s="337"/>
      <c r="E516" s="275"/>
      <c r="F516" s="275"/>
      <c r="G516" s="275"/>
      <c r="H516" s="275"/>
      <c r="I516" s="275"/>
      <c r="J516" s="275"/>
      <c r="K516" s="275"/>
      <c r="L516" s="275"/>
      <c r="M516" s="275"/>
      <c r="N516" s="275"/>
      <c r="O516" s="275"/>
      <c r="P516" s="275"/>
      <c r="Q516" s="275"/>
      <c r="R516" s="275"/>
      <c r="S516" s="275"/>
      <c r="T516" s="275"/>
      <c r="U516" s="275"/>
      <c r="V516" s="275"/>
      <c r="W516" s="275"/>
      <c r="X516" s="275"/>
      <c r="Y516" s="275"/>
      <c r="Z516" s="275"/>
    </row>
    <row r="517" spans="1:26" ht="12.75" customHeight="1" x14ac:dyDescent="0.25">
      <c r="A517" s="275"/>
      <c r="B517" s="342"/>
      <c r="C517" s="369"/>
      <c r="D517" s="337"/>
      <c r="E517" s="275"/>
      <c r="F517" s="275"/>
      <c r="G517" s="275"/>
      <c r="H517" s="275"/>
      <c r="I517" s="275"/>
      <c r="J517" s="275"/>
      <c r="K517" s="275"/>
      <c r="L517" s="275"/>
      <c r="M517" s="275"/>
      <c r="N517" s="275"/>
      <c r="O517" s="275"/>
      <c r="P517" s="275"/>
      <c r="Q517" s="275"/>
      <c r="R517" s="275"/>
      <c r="S517" s="275"/>
      <c r="T517" s="275"/>
      <c r="U517" s="275"/>
      <c r="V517" s="275"/>
      <c r="W517" s="275"/>
      <c r="X517" s="275"/>
      <c r="Y517" s="275"/>
      <c r="Z517" s="275"/>
    </row>
    <row r="518" spans="1:26" ht="12.75" customHeight="1" x14ac:dyDescent="0.25">
      <c r="A518" s="275"/>
      <c r="B518" s="342"/>
      <c r="C518" s="369"/>
      <c r="D518" s="337"/>
      <c r="E518" s="275"/>
      <c r="F518" s="275"/>
      <c r="G518" s="275"/>
      <c r="H518" s="275"/>
      <c r="I518" s="275"/>
      <c r="J518" s="275"/>
      <c r="K518" s="275"/>
      <c r="L518" s="275"/>
      <c r="M518" s="275"/>
      <c r="N518" s="275"/>
      <c r="O518" s="275"/>
      <c r="P518" s="275"/>
      <c r="Q518" s="275"/>
      <c r="R518" s="275"/>
      <c r="S518" s="275"/>
      <c r="T518" s="275"/>
      <c r="U518" s="275"/>
      <c r="V518" s="275"/>
      <c r="W518" s="275"/>
      <c r="X518" s="275"/>
      <c r="Y518" s="275"/>
      <c r="Z518" s="275"/>
    </row>
    <row r="519" spans="1:26" ht="12.75" customHeight="1" x14ac:dyDescent="0.25">
      <c r="A519" s="275"/>
      <c r="B519" s="342"/>
      <c r="C519" s="369"/>
      <c r="D519" s="337"/>
      <c r="E519" s="275"/>
      <c r="F519" s="275"/>
      <c r="G519" s="275"/>
      <c r="H519" s="275"/>
      <c r="I519" s="275"/>
      <c r="J519" s="275"/>
      <c r="K519" s="275"/>
      <c r="L519" s="275"/>
      <c r="M519" s="275"/>
      <c r="N519" s="275"/>
      <c r="O519" s="275"/>
      <c r="P519" s="275"/>
      <c r="Q519" s="275"/>
      <c r="R519" s="275"/>
      <c r="S519" s="275"/>
      <c r="T519" s="275"/>
      <c r="U519" s="275"/>
      <c r="V519" s="275"/>
      <c r="W519" s="275"/>
      <c r="X519" s="275"/>
      <c r="Y519" s="275"/>
      <c r="Z519" s="275"/>
    </row>
    <row r="520" spans="1:26" ht="12.75" customHeight="1" x14ac:dyDescent="0.25">
      <c r="A520" s="275"/>
      <c r="B520" s="342"/>
      <c r="C520" s="369"/>
      <c r="D520" s="337"/>
      <c r="E520" s="275"/>
      <c r="F520" s="275"/>
      <c r="G520" s="275"/>
      <c r="H520" s="275"/>
      <c r="I520" s="275"/>
      <c r="J520" s="275"/>
      <c r="K520" s="275"/>
      <c r="L520" s="275"/>
      <c r="M520" s="275"/>
      <c r="N520" s="275"/>
      <c r="O520" s="275"/>
      <c r="P520" s="275"/>
      <c r="Q520" s="275"/>
      <c r="R520" s="275"/>
      <c r="S520" s="275"/>
      <c r="T520" s="275"/>
      <c r="U520" s="275"/>
      <c r="V520" s="275"/>
      <c r="W520" s="275"/>
      <c r="X520" s="275"/>
      <c r="Y520" s="275"/>
      <c r="Z520" s="275"/>
    </row>
    <row r="521" spans="1:26" ht="12.75" customHeight="1" x14ac:dyDescent="0.25">
      <c r="A521" s="275"/>
      <c r="B521" s="342"/>
      <c r="C521" s="369"/>
      <c r="D521" s="337"/>
      <c r="E521" s="275"/>
      <c r="F521" s="275"/>
      <c r="G521" s="275"/>
      <c r="H521" s="275"/>
      <c r="I521" s="275"/>
      <c r="J521" s="275"/>
      <c r="K521" s="275"/>
      <c r="L521" s="275"/>
      <c r="M521" s="275"/>
      <c r="N521" s="275"/>
      <c r="O521" s="275"/>
      <c r="P521" s="275"/>
      <c r="Q521" s="275"/>
      <c r="R521" s="275"/>
      <c r="S521" s="275"/>
      <c r="T521" s="275"/>
      <c r="U521" s="275"/>
      <c r="V521" s="275"/>
      <c r="W521" s="275"/>
      <c r="X521" s="275"/>
      <c r="Y521" s="275"/>
      <c r="Z521" s="275"/>
    </row>
    <row r="522" spans="1:26" ht="12.75" customHeight="1" x14ac:dyDescent="0.25">
      <c r="A522" s="275"/>
      <c r="B522" s="342"/>
      <c r="C522" s="369"/>
      <c r="D522" s="337"/>
      <c r="E522" s="275"/>
      <c r="F522" s="275"/>
      <c r="G522" s="275"/>
      <c r="H522" s="275"/>
      <c r="I522" s="275"/>
      <c r="J522" s="275"/>
      <c r="K522" s="275"/>
      <c r="L522" s="275"/>
      <c r="M522" s="275"/>
      <c r="N522" s="275"/>
      <c r="O522" s="275"/>
      <c r="P522" s="275"/>
      <c r="Q522" s="275"/>
      <c r="R522" s="275"/>
      <c r="S522" s="275"/>
      <c r="T522" s="275"/>
      <c r="U522" s="275"/>
      <c r="V522" s="275"/>
      <c r="W522" s="275"/>
      <c r="X522" s="275"/>
      <c r="Y522" s="275"/>
      <c r="Z522" s="275"/>
    </row>
    <row r="523" spans="1:26" ht="12.75" customHeight="1" x14ac:dyDescent="0.25">
      <c r="A523" s="275"/>
      <c r="B523" s="342"/>
      <c r="C523" s="369"/>
      <c r="D523" s="337"/>
      <c r="E523" s="275"/>
      <c r="F523" s="275"/>
      <c r="G523" s="275"/>
      <c r="H523" s="275"/>
      <c r="I523" s="275"/>
      <c r="J523" s="275"/>
      <c r="K523" s="275"/>
      <c r="L523" s="275"/>
      <c r="M523" s="275"/>
      <c r="N523" s="275"/>
      <c r="O523" s="275"/>
      <c r="P523" s="275"/>
      <c r="Q523" s="275"/>
      <c r="R523" s="275"/>
      <c r="S523" s="275"/>
      <c r="T523" s="275"/>
      <c r="U523" s="275"/>
      <c r="V523" s="275"/>
      <c r="W523" s="275"/>
      <c r="X523" s="275"/>
      <c r="Y523" s="275"/>
      <c r="Z523" s="275"/>
    </row>
    <row r="524" spans="1:26" ht="12.75" customHeight="1" x14ac:dyDescent="0.25">
      <c r="A524" s="275"/>
      <c r="B524" s="342"/>
      <c r="C524" s="369"/>
      <c r="D524" s="337"/>
      <c r="E524" s="275"/>
      <c r="F524" s="275"/>
      <c r="G524" s="275"/>
      <c r="H524" s="275"/>
      <c r="I524" s="275"/>
      <c r="J524" s="275"/>
      <c r="K524" s="275"/>
      <c r="L524" s="275"/>
      <c r="M524" s="275"/>
      <c r="N524" s="275"/>
      <c r="O524" s="275"/>
      <c r="P524" s="275"/>
      <c r="Q524" s="275"/>
      <c r="R524" s="275"/>
      <c r="S524" s="275"/>
      <c r="T524" s="275"/>
      <c r="U524" s="275"/>
      <c r="V524" s="275"/>
      <c r="W524" s="275"/>
      <c r="X524" s="275"/>
      <c r="Y524" s="275"/>
      <c r="Z524" s="275"/>
    </row>
    <row r="525" spans="1:26" ht="12.75" customHeight="1" x14ac:dyDescent="0.25">
      <c r="A525" s="275"/>
      <c r="B525" s="342"/>
      <c r="C525" s="369"/>
      <c r="D525" s="337"/>
      <c r="E525" s="275"/>
      <c r="F525" s="275"/>
      <c r="G525" s="275"/>
      <c r="H525" s="275"/>
      <c r="I525" s="275"/>
      <c r="J525" s="275"/>
      <c r="K525" s="275"/>
      <c r="L525" s="275"/>
      <c r="M525" s="275"/>
      <c r="N525" s="275"/>
      <c r="O525" s="275"/>
      <c r="P525" s="275"/>
      <c r="Q525" s="275"/>
      <c r="R525" s="275"/>
      <c r="S525" s="275"/>
      <c r="T525" s="275"/>
      <c r="U525" s="275"/>
      <c r="V525" s="275"/>
      <c r="W525" s="275"/>
      <c r="X525" s="275"/>
      <c r="Y525" s="275"/>
      <c r="Z525" s="275"/>
    </row>
    <row r="526" spans="1:26" ht="12.75" customHeight="1" x14ac:dyDescent="0.25">
      <c r="A526" s="275"/>
      <c r="B526" s="342"/>
      <c r="C526" s="369"/>
      <c r="D526" s="337"/>
      <c r="E526" s="275"/>
      <c r="F526" s="275"/>
      <c r="G526" s="275"/>
      <c r="H526" s="275"/>
      <c r="I526" s="275"/>
      <c r="J526" s="275"/>
      <c r="K526" s="275"/>
      <c r="L526" s="275"/>
      <c r="M526" s="275"/>
      <c r="N526" s="275"/>
      <c r="O526" s="275"/>
      <c r="P526" s="275"/>
      <c r="Q526" s="275"/>
      <c r="R526" s="275"/>
      <c r="S526" s="275"/>
      <c r="T526" s="275"/>
      <c r="U526" s="275"/>
      <c r="V526" s="275"/>
      <c r="W526" s="275"/>
      <c r="X526" s="275"/>
      <c r="Y526" s="275"/>
      <c r="Z526" s="275"/>
    </row>
    <row r="527" spans="1:26" ht="12.75" customHeight="1" x14ac:dyDescent="0.25">
      <c r="A527" s="275"/>
      <c r="B527" s="342"/>
      <c r="C527" s="369"/>
      <c r="D527" s="337"/>
      <c r="E527" s="275"/>
      <c r="F527" s="275"/>
      <c r="G527" s="275"/>
      <c r="H527" s="275"/>
      <c r="I527" s="275"/>
      <c r="J527" s="275"/>
      <c r="K527" s="275"/>
      <c r="L527" s="275"/>
      <c r="M527" s="275"/>
      <c r="N527" s="275"/>
      <c r="O527" s="275"/>
      <c r="P527" s="275"/>
      <c r="Q527" s="275"/>
      <c r="R527" s="275"/>
      <c r="S527" s="275"/>
      <c r="T527" s="275"/>
      <c r="U527" s="275"/>
      <c r="V527" s="275"/>
      <c r="W527" s="275"/>
      <c r="X527" s="275"/>
      <c r="Y527" s="275"/>
      <c r="Z527" s="275"/>
    </row>
    <row r="528" spans="1:26" ht="12.75" customHeight="1" x14ac:dyDescent="0.25">
      <c r="A528" s="275"/>
      <c r="B528" s="342"/>
      <c r="C528" s="369"/>
      <c r="D528" s="337"/>
      <c r="E528" s="275"/>
      <c r="F528" s="275"/>
      <c r="G528" s="275"/>
      <c r="H528" s="275"/>
      <c r="I528" s="275"/>
      <c r="J528" s="275"/>
      <c r="K528" s="275"/>
      <c r="L528" s="275"/>
      <c r="M528" s="275"/>
      <c r="N528" s="275"/>
      <c r="O528" s="275"/>
      <c r="P528" s="275"/>
      <c r="Q528" s="275"/>
      <c r="R528" s="275"/>
      <c r="S528" s="275"/>
      <c r="T528" s="275"/>
      <c r="U528" s="275"/>
      <c r="V528" s="275"/>
      <c r="W528" s="275"/>
      <c r="X528" s="275"/>
      <c r="Y528" s="275"/>
      <c r="Z528" s="275"/>
    </row>
    <row r="529" spans="1:26" ht="12.75" customHeight="1" x14ac:dyDescent="0.25">
      <c r="A529" s="275"/>
      <c r="B529" s="342"/>
      <c r="C529" s="369"/>
      <c r="D529" s="337"/>
      <c r="E529" s="275"/>
      <c r="F529" s="275"/>
      <c r="G529" s="275"/>
      <c r="H529" s="275"/>
      <c r="I529" s="275"/>
      <c r="J529" s="275"/>
      <c r="K529" s="275"/>
      <c r="L529" s="275"/>
      <c r="M529" s="275"/>
      <c r="N529" s="275"/>
      <c r="O529" s="275"/>
      <c r="P529" s="275"/>
      <c r="Q529" s="275"/>
      <c r="R529" s="275"/>
      <c r="S529" s="275"/>
      <c r="T529" s="275"/>
      <c r="U529" s="275"/>
      <c r="V529" s="275"/>
      <c r="W529" s="275"/>
      <c r="X529" s="275"/>
      <c r="Y529" s="275"/>
      <c r="Z529" s="275"/>
    </row>
    <row r="530" spans="1:26" ht="12.75" customHeight="1" x14ac:dyDescent="0.25">
      <c r="A530" s="275"/>
      <c r="B530" s="342"/>
      <c r="C530" s="369"/>
      <c r="D530" s="337"/>
      <c r="E530" s="275"/>
      <c r="F530" s="275"/>
      <c r="G530" s="275"/>
      <c r="H530" s="275"/>
      <c r="I530" s="275"/>
      <c r="J530" s="275"/>
      <c r="K530" s="275"/>
      <c r="L530" s="275"/>
      <c r="M530" s="275"/>
      <c r="N530" s="275"/>
      <c r="O530" s="275"/>
      <c r="P530" s="275"/>
      <c r="Q530" s="275"/>
      <c r="R530" s="275"/>
      <c r="S530" s="275"/>
      <c r="T530" s="275"/>
      <c r="U530" s="275"/>
      <c r="V530" s="275"/>
      <c r="W530" s="275"/>
      <c r="X530" s="275"/>
      <c r="Y530" s="275"/>
      <c r="Z530" s="275"/>
    </row>
    <row r="531" spans="1:26" ht="12.75" customHeight="1" x14ac:dyDescent="0.25">
      <c r="A531" s="275"/>
      <c r="B531" s="342"/>
      <c r="C531" s="369"/>
      <c r="D531" s="337"/>
      <c r="E531" s="275"/>
      <c r="F531" s="275"/>
      <c r="G531" s="275"/>
      <c r="H531" s="275"/>
      <c r="I531" s="275"/>
      <c r="J531" s="275"/>
      <c r="K531" s="275"/>
      <c r="L531" s="275"/>
      <c r="M531" s="275"/>
      <c r="N531" s="275"/>
      <c r="O531" s="275"/>
      <c r="P531" s="275"/>
      <c r="Q531" s="275"/>
      <c r="R531" s="275"/>
      <c r="S531" s="275"/>
      <c r="T531" s="275"/>
      <c r="U531" s="275"/>
      <c r="V531" s="275"/>
      <c r="W531" s="275"/>
      <c r="X531" s="275"/>
      <c r="Y531" s="275"/>
      <c r="Z531" s="275"/>
    </row>
    <row r="532" spans="1:26" ht="12.75" customHeight="1" x14ac:dyDescent="0.25">
      <c r="A532" s="275"/>
      <c r="B532" s="342"/>
      <c r="C532" s="369"/>
      <c r="D532" s="337"/>
      <c r="E532" s="275"/>
      <c r="F532" s="275"/>
      <c r="G532" s="275"/>
      <c r="H532" s="275"/>
      <c r="I532" s="275"/>
      <c r="J532" s="275"/>
      <c r="K532" s="275"/>
      <c r="L532" s="275"/>
      <c r="M532" s="275"/>
      <c r="N532" s="275"/>
      <c r="O532" s="275"/>
      <c r="P532" s="275"/>
      <c r="Q532" s="275"/>
      <c r="R532" s="275"/>
      <c r="S532" s="275"/>
      <c r="T532" s="275"/>
      <c r="U532" s="275"/>
      <c r="V532" s="275"/>
      <c r="W532" s="275"/>
      <c r="X532" s="275"/>
      <c r="Y532" s="275"/>
      <c r="Z532" s="275"/>
    </row>
    <row r="533" spans="1:26" ht="12.75" customHeight="1" x14ac:dyDescent="0.25">
      <c r="A533" s="275"/>
      <c r="B533" s="342"/>
      <c r="C533" s="369"/>
      <c r="D533" s="337"/>
      <c r="E533" s="275"/>
      <c r="F533" s="275"/>
      <c r="G533" s="275"/>
      <c r="H533" s="275"/>
      <c r="I533" s="275"/>
      <c r="J533" s="275"/>
      <c r="K533" s="275"/>
      <c r="L533" s="275"/>
      <c r="M533" s="275"/>
      <c r="N533" s="275"/>
      <c r="O533" s="275"/>
      <c r="P533" s="275"/>
      <c r="Q533" s="275"/>
      <c r="R533" s="275"/>
      <c r="S533" s="275"/>
      <c r="T533" s="275"/>
      <c r="U533" s="275"/>
      <c r="V533" s="275"/>
      <c r="W533" s="275"/>
      <c r="X533" s="275"/>
      <c r="Y533" s="275"/>
      <c r="Z533" s="275"/>
    </row>
    <row r="534" spans="1:26" ht="12.75" customHeight="1" x14ac:dyDescent="0.25">
      <c r="A534" s="275"/>
      <c r="B534" s="342"/>
      <c r="C534" s="369"/>
      <c r="D534" s="337"/>
      <c r="E534" s="275"/>
      <c r="F534" s="275"/>
      <c r="G534" s="275"/>
      <c r="H534" s="275"/>
      <c r="I534" s="275"/>
      <c r="J534" s="275"/>
      <c r="K534" s="275"/>
      <c r="L534" s="275"/>
      <c r="M534" s="275"/>
      <c r="N534" s="275"/>
      <c r="O534" s="275"/>
      <c r="P534" s="275"/>
      <c r="Q534" s="275"/>
      <c r="R534" s="275"/>
      <c r="S534" s="275"/>
      <c r="T534" s="275"/>
      <c r="U534" s="275"/>
      <c r="V534" s="275"/>
      <c r="W534" s="275"/>
      <c r="X534" s="275"/>
      <c r="Y534" s="275"/>
      <c r="Z534" s="275"/>
    </row>
    <row r="535" spans="1:26" ht="12.75" customHeight="1" x14ac:dyDescent="0.25">
      <c r="A535" s="275"/>
      <c r="B535" s="342"/>
      <c r="C535" s="369"/>
      <c r="D535" s="337"/>
      <c r="E535" s="275"/>
      <c r="F535" s="275"/>
      <c r="G535" s="275"/>
      <c r="H535" s="275"/>
      <c r="I535" s="275"/>
      <c r="J535" s="275"/>
      <c r="K535" s="275"/>
      <c r="L535" s="275"/>
      <c r="M535" s="275"/>
      <c r="N535" s="275"/>
      <c r="O535" s="275"/>
      <c r="P535" s="275"/>
      <c r="Q535" s="275"/>
      <c r="R535" s="275"/>
      <c r="S535" s="275"/>
      <c r="T535" s="275"/>
      <c r="U535" s="275"/>
      <c r="V535" s="275"/>
      <c r="W535" s="275"/>
      <c r="X535" s="275"/>
      <c r="Y535" s="275"/>
      <c r="Z535" s="275"/>
    </row>
    <row r="536" spans="1:26" ht="12.75" customHeight="1" x14ac:dyDescent="0.25">
      <c r="A536" s="275"/>
      <c r="B536" s="342"/>
      <c r="C536" s="369"/>
      <c r="D536" s="337"/>
      <c r="E536" s="275"/>
      <c r="F536" s="275"/>
      <c r="G536" s="275"/>
      <c r="H536" s="275"/>
      <c r="I536" s="275"/>
      <c r="J536" s="275"/>
      <c r="K536" s="275"/>
      <c r="L536" s="275"/>
      <c r="M536" s="275"/>
      <c r="N536" s="275"/>
      <c r="O536" s="275"/>
      <c r="P536" s="275"/>
      <c r="Q536" s="275"/>
      <c r="R536" s="275"/>
      <c r="S536" s="275"/>
      <c r="T536" s="275"/>
      <c r="U536" s="275"/>
      <c r="V536" s="275"/>
      <c r="W536" s="275"/>
      <c r="X536" s="275"/>
      <c r="Y536" s="275"/>
      <c r="Z536" s="275"/>
    </row>
    <row r="537" spans="1:26" ht="12.75" customHeight="1" x14ac:dyDescent="0.25">
      <c r="A537" s="275"/>
      <c r="B537" s="342"/>
      <c r="C537" s="369"/>
      <c r="D537" s="337"/>
      <c r="E537" s="275"/>
      <c r="F537" s="275"/>
      <c r="G537" s="275"/>
      <c r="H537" s="275"/>
      <c r="I537" s="275"/>
      <c r="J537" s="275"/>
      <c r="K537" s="275"/>
      <c r="L537" s="275"/>
      <c r="M537" s="275"/>
      <c r="N537" s="275"/>
      <c r="O537" s="275"/>
      <c r="P537" s="275"/>
      <c r="Q537" s="275"/>
      <c r="R537" s="275"/>
      <c r="S537" s="275"/>
      <c r="T537" s="275"/>
      <c r="U537" s="275"/>
      <c r="V537" s="275"/>
      <c r="W537" s="275"/>
      <c r="X537" s="275"/>
      <c r="Y537" s="275"/>
      <c r="Z537" s="275"/>
    </row>
    <row r="538" spans="1:26" ht="12.75" customHeight="1" x14ac:dyDescent="0.25">
      <c r="A538" s="275"/>
      <c r="B538" s="342"/>
      <c r="C538" s="369"/>
      <c r="D538" s="337"/>
      <c r="E538" s="275"/>
      <c r="F538" s="275"/>
      <c r="G538" s="275"/>
      <c r="H538" s="275"/>
      <c r="I538" s="275"/>
      <c r="J538" s="275"/>
      <c r="K538" s="275"/>
      <c r="L538" s="275"/>
      <c r="M538" s="275"/>
      <c r="N538" s="275"/>
      <c r="O538" s="275"/>
      <c r="P538" s="275"/>
      <c r="Q538" s="275"/>
      <c r="R538" s="275"/>
      <c r="S538" s="275"/>
      <c r="T538" s="275"/>
      <c r="U538" s="275"/>
      <c r="V538" s="275"/>
      <c r="W538" s="275"/>
      <c r="X538" s="275"/>
      <c r="Y538" s="275"/>
      <c r="Z538" s="275"/>
    </row>
    <row r="539" spans="1:26" ht="12.75" customHeight="1" x14ac:dyDescent="0.25">
      <c r="A539" s="275"/>
      <c r="B539" s="342"/>
      <c r="C539" s="369"/>
      <c r="D539" s="337"/>
      <c r="E539" s="275"/>
      <c r="F539" s="275"/>
      <c r="G539" s="275"/>
      <c r="H539" s="275"/>
      <c r="I539" s="275"/>
      <c r="J539" s="275"/>
      <c r="K539" s="275"/>
      <c r="L539" s="275"/>
      <c r="M539" s="275"/>
      <c r="N539" s="275"/>
      <c r="O539" s="275"/>
      <c r="P539" s="275"/>
      <c r="Q539" s="275"/>
      <c r="R539" s="275"/>
      <c r="S539" s="275"/>
      <c r="T539" s="275"/>
      <c r="U539" s="275"/>
      <c r="V539" s="275"/>
      <c r="W539" s="275"/>
      <c r="X539" s="275"/>
      <c r="Y539" s="275"/>
      <c r="Z539" s="275"/>
    </row>
    <row r="540" spans="1:26" ht="12.75" customHeight="1" x14ac:dyDescent="0.25">
      <c r="A540" s="275"/>
      <c r="B540" s="342"/>
      <c r="C540" s="369"/>
      <c r="D540" s="337"/>
      <c r="E540" s="275"/>
      <c r="F540" s="275"/>
      <c r="G540" s="275"/>
      <c r="H540" s="275"/>
      <c r="I540" s="275"/>
      <c r="J540" s="275"/>
      <c r="K540" s="275"/>
      <c r="L540" s="275"/>
      <c r="M540" s="275"/>
      <c r="N540" s="275"/>
      <c r="O540" s="275"/>
      <c r="P540" s="275"/>
      <c r="Q540" s="275"/>
      <c r="R540" s="275"/>
      <c r="S540" s="275"/>
      <c r="T540" s="275"/>
      <c r="U540" s="275"/>
      <c r="V540" s="275"/>
      <c r="W540" s="275"/>
      <c r="X540" s="275"/>
      <c r="Y540" s="275"/>
      <c r="Z540" s="275"/>
    </row>
    <row r="541" spans="1:26" ht="12.75" customHeight="1" x14ac:dyDescent="0.25">
      <c r="A541" s="275"/>
      <c r="B541" s="342"/>
      <c r="C541" s="369"/>
      <c r="D541" s="337"/>
      <c r="E541" s="275"/>
      <c r="F541" s="275"/>
      <c r="G541" s="275"/>
      <c r="H541" s="275"/>
      <c r="I541" s="275"/>
      <c r="J541" s="275"/>
      <c r="K541" s="275"/>
      <c r="L541" s="275"/>
      <c r="M541" s="275"/>
      <c r="N541" s="275"/>
      <c r="O541" s="275"/>
      <c r="P541" s="275"/>
      <c r="Q541" s="275"/>
      <c r="R541" s="275"/>
      <c r="S541" s="275"/>
      <c r="T541" s="275"/>
      <c r="U541" s="275"/>
      <c r="V541" s="275"/>
      <c r="W541" s="275"/>
      <c r="X541" s="275"/>
      <c r="Y541" s="275"/>
      <c r="Z541" s="275"/>
    </row>
    <row r="542" spans="1:26" ht="12.75" customHeight="1" x14ac:dyDescent="0.25">
      <c r="A542" s="275"/>
      <c r="B542" s="342"/>
      <c r="C542" s="369"/>
      <c r="D542" s="337"/>
      <c r="E542" s="275"/>
      <c r="F542" s="275"/>
      <c r="G542" s="275"/>
      <c r="H542" s="275"/>
      <c r="I542" s="275"/>
      <c r="J542" s="275"/>
      <c r="K542" s="275"/>
      <c r="L542" s="275"/>
      <c r="M542" s="275"/>
      <c r="N542" s="275"/>
      <c r="O542" s="275"/>
      <c r="P542" s="275"/>
      <c r="Q542" s="275"/>
      <c r="R542" s="275"/>
      <c r="S542" s="275"/>
      <c r="T542" s="275"/>
      <c r="U542" s="275"/>
      <c r="V542" s="275"/>
      <c r="W542" s="275"/>
      <c r="X542" s="275"/>
      <c r="Y542" s="275"/>
      <c r="Z542" s="275"/>
    </row>
    <row r="543" spans="1:26" ht="12.75" customHeight="1" x14ac:dyDescent="0.25">
      <c r="A543" s="275"/>
      <c r="B543" s="342"/>
      <c r="C543" s="369"/>
      <c r="D543" s="337"/>
      <c r="E543" s="275"/>
      <c r="F543" s="275"/>
      <c r="G543" s="275"/>
      <c r="H543" s="275"/>
      <c r="I543" s="275"/>
      <c r="J543" s="275"/>
      <c r="K543" s="275"/>
      <c r="L543" s="275"/>
      <c r="M543" s="275"/>
      <c r="N543" s="275"/>
      <c r="O543" s="275"/>
      <c r="P543" s="275"/>
      <c r="Q543" s="275"/>
      <c r="R543" s="275"/>
      <c r="S543" s="275"/>
      <c r="T543" s="275"/>
      <c r="U543" s="275"/>
      <c r="V543" s="275"/>
      <c r="W543" s="275"/>
      <c r="X543" s="275"/>
      <c r="Y543" s="275"/>
      <c r="Z543" s="275"/>
    </row>
    <row r="544" spans="1:26" ht="12.75" customHeight="1" x14ac:dyDescent="0.25">
      <c r="A544" s="275"/>
      <c r="B544" s="342"/>
      <c r="C544" s="369"/>
      <c r="D544" s="337"/>
      <c r="E544" s="275"/>
      <c r="F544" s="275"/>
      <c r="G544" s="275"/>
      <c r="H544" s="275"/>
      <c r="I544" s="275"/>
      <c r="J544" s="275"/>
      <c r="K544" s="275"/>
      <c r="L544" s="275"/>
      <c r="M544" s="275"/>
      <c r="N544" s="275"/>
      <c r="O544" s="275"/>
      <c r="P544" s="275"/>
      <c r="Q544" s="275"/>
      <c r="R544" s="275"/>
      <c r="S544" s="275"/>
      <c r="T544" s="275"/>
      <c r="U544" s="275"/>
      <c r="V544" s="275"/>
      <c r="W544" s="275"/>
      <c r="X544" s="275"/>
      <c r="Y544" s="275"/>
      <c r="Z544" s="275"/>
    </row>
    <row r="545" spans="1:26" ht="12.75" customHeight="1" x14ac:dyDescent="0.25">
      <c r="A545" s="275"/>
      <c r="B545" s="342"/>
      <c r="C545" s="369"/>
      <c r="D545" s="337"/>
      <c r="E545" s="275"/>
      <c r="F545" s="275"/>
      <c r="G545" s="275"/>
      <c r="H545" s="275"/>
      <c r="I545" s="275"/>
      <c r="J545" s="275"/>
      <c r="K545" s="275"/>
      <c r="L545" s="275"/>
      <c r="M545" s="275"/>
      <c r="N545" s="275"/>
      <c r="O545" s="275"/>
      <c r="P545" s="275"/>
      <c r="Q545" s="275"/>
      <c r="R545" s="275"/>
      <c r="S545" s="275"/>
      <c r="T545" s="275"/>
      <c r="U545" s="275"/>
      <c r="V545" s="275"/>
      <c r="W545" s="275"/>
      <c r="X545" s="275"/>
      <c r="Y545" s="275"/>
      <c r="Z545" s="275"/>
    </row>
    <row r="546" spans="1:26" ht="12.75" customHeight="1" x14ac:dyDescent="0.25">
      <c r="A546" s="275"/>
      <c r="B546" s="342"/>
      <c r="C546" s="369"/>
      <c r="D546" s="337"/>
      <c r="E546" s="275"/>
      <c r="F546" s="275"/>
      <c r="G546" s="275"/>
      <c r="H546" s="275"/>
      <c r="I546" s="275"/>
      <c r="J546" s="275"/>
      <c r="K546" s="275"/>
      <c r="L546" s="275"/>
      <c r="M546" s="275"/>
      <c r="N546" s="275"/>
      <c r="O546" s="275"/>
      <c r="P546" s="275"/>
      <c r="Q546" s="275"/>
      <c r="R546" s="275"/>
      <c r="S546" s="275"/>
      <c r="T546" s="275"/>
      <c r="U546" s="275"/>
      <c r="V546" s="275"/>
      <c r="W546" s="275"/>
      <c r="X546" s="275"/>
      <c r="Y546" s="275"/>
      <c r="Z546" s="275"/>
    </row>
    <row r="547" spans="1:26" ht="12.75" customHeight="1" x14ac:dyDescent="0.25">
      <c r="A547" s="275"/>
      <c r="B547" s="342"/>
      <c r="C547" s="369"/>
      <c r="D547" s="337"/>
      <c r="E547" s="275"/>
      <c r="F547" s="275"/>
      <c r="G547" s="275"/>
      <c r="H547" s="275"/>
      <c r="I547" s="275"/>
      <c r="J547" s="275"/>
      <c r="K547" s="275"/>
      <c r="L547" s="275"/>
      <c r="M547" s="275"/>
      <c r="N547" s="275"/>
      <c r="O547" s="275"/>
      <c r="P547" s="275"/>
      <c r="Q547" s="275"/>
      <c r="R547" s="275"/>
      <c r="S547" s="275"/>
      <c r="T547" s="275"/>
      <c r="U547" s="275"/>
      <c r="V547" s="275"/>
      <c r="W547" s="275"/>
      <c r="X547" s="275"/>
      <c r="Y547" s="275"/>
      <c r="Z547" s="275"/>
    </row>
    <row r="548" spans="1:26" ht="12.75" customHeight="1" x14ac:dyDescent="0.25">
      <c r="A548" s="275"/>
      <c r="B548" s="342"/>
      <c r="C548" s="369"/>
      <c r="D548" s="337"/>
      <c r="E548" s="275"/>
      <c r="F548" s="275"/>
      <c r="G548" s="275"/>
      <c r="H548" s="275"/>
      <c r="I548" s="275"/>
      <c r="J548" s="275"/>
      <c r="K548" s="275"/>
      <c r="L548" s="275"/>
      <c r="M548" s="275"/>
      <c r="N548" s="275"/>
      <c r="O548" s="275"/>
      <c r="P548" s="275"/>
      <c r="Q548" s="275"/>
      <c r="R548" s="275"/>
      <c r="S548" s="275"/>
      <c r="T548" s="275"/>
      <c r="U548" s="275"/>
      <c r="V548" s="275"/>
      <c r="W548" s="275"/>
      <c r="X548" s="275"/>
      <c r="Y548" s="275"/>
      <c r="Z548" s="275"/>
    </row>
    <row r="549" spans="1:26" ht="12.75" customHeight="1" x14ac:dyDescent="0.25">
      <c r="A549" s="275"/>
      <c r="B549" s="342"/>
      <c r="C549" s="369"/>
      <c r="D549" s="337"/>
      <c r="E549" s="275"/>
      <c r="F549" s="275"/>
      <c r="G549" s="275"/>
      <c r="H549" s="275"/>
      <c r="I549" s="275"/>
      <c r="J549" s="275"/>
      <c r="K549" s="275"/>
      <c r="L549" s="275"/>
      <c r="M549" s="275"/>
      <c r="N549" s="275"/>
      <c r="O549" s="275"/>
      <c r="P549" s="275"/>
      <c r="Q549" s="275"/>
      <c r="R549" s="275"/>
      <c r="S549" s="275"/>
      <c r="T549" s="275"/>
      <c r="U549" s="275"/>
      <c r="V549" s="275"/>
      <c r="W549" s="275"/>
      <c r="X549" s="275"/>
      <c r="Y549" s="275"/>
      <c r="Z549" s="275"/>
    </row>
    <row r="550" spans="1:26" ht="12.75" customHeight="1" x14ac:dyDescent="0.25">
      <c r="A550" s="275"/>
      <c r="B550" s="342"/>
      <c r="C550" s="369"/>
      <c r="D550" s="337"/>
      <c r="E550" s="275"/>
      <c r="F550" s="275"/>
      <c r="G550" s="275"/>
      <c r="H550" s="275"/>
      <c r="I550" s="275"/>
      <c r="J550" s="275"/>
      <c r="K550" s="275"/>
      <c r="L550" s="275"/>
      <c r="M550" s="275"/>
      <c r="N550" s="275"/>
      <c r="O550" s="275"/>
      <c r="P550" s="275"/>
      <c r="Q550" s="275"/>
      <c r="R550" s="275"/>
      <c r="S550" s="275"/>
      <c r="T550" s="275"/>
      <c r="U550" s="275"/>
      <c r="V550" s="275"/>
      <c r="W550" s="275"/>
      <c r="X550" s="275"/>
      <c r="Y550" s="275"/>
      <c r="Z550" s="275"/>
    </row>
    <row r="551" spans="1:26" ht="12.75" customHeight="1" x14ac:dyDescent="0.25">
      <c r="A551" s="275"/>
      <c r="B551" s="342"/>
      <c r="C551" s="369"/>
      <c r="D551" s="337"/>
      <c r="E551" s="275"/>
      <c r="F551" s="275"/>
      <c r="G551" s="275"/>
      <c r="H551" s="275"/>
      <c r="I551" s="275"/>
      <c r="J551" s="275"/>
      <c r="K551" s="275"/>
      <c r="L551" s="275"/>
      <c r="M551" s="275"/>
      <c r="N551" s="275"/>
      <c r="O551" s="275"/>
      <c r="P551" s="275"/>
      <c r="Q551" s="275"/>
      <c r="R551" s="275"/>
      <c r="S551" s="275"/>
      <c r="T551" s="275"/>
      <c r="U551" s="275"/>
      <c r="V551" s="275"/>
      <c r="W551" s="275"/>
      <c r="X551" s="275"/>
      <c r="Y551" s="275"/>
      <c r="Z551" s="275"/>
    </row>
    <row r="552" spans="1:26" ht="12.75" customHeight="1" x14ac:dyDescent="0.25">
      <c r="A552" s="275"/>
      <c r="B552" s="342"/>
      <c r="C552" s="369"/>
      <c r="D552" s="337"/>
      <c r="E552" s="275"/>
      <c r="F552" s="275"/>
      <c r="G552" s="275"/>
      <c r="H552" s="275"/>
      <c r="I552" s="275"/>
      <c r="J552" s="275"/>
      <c r="K552" s="275"/>
      <c r="L552" s="275"/>
      <c r="M552" s="275"/>
      <c r="N552" s="275"/>
      <c r="O552" s="275"/>
      <c r="P552" s="275"/>
      <c r="Q552" s="275"/>
      <c r="R552" s="275"/>
      <c r="S552" s="275"/>
      <c r="T552" s="275"/>
      <c r="U552" s="275"/>
      <c r="V552" s="275"/>
      <c r="W552" s="275"/>
      <c r="X552" s="275"/>
      <c r="Y552" s="275"/>
      <c r="Z552" s="275"/>
    </row>
    <row r="553" spans="1:26" ht="12.75" customHeight="1" x14ac:dyDescent="0.25">
      <c r="A553" s="275"/>
      <c r="B553" s="342"/>
      <c r="C553" s="369"/>
      <c r="D553" s="337"/>
      <c r="E553" s="275"/>
      <c r="F553" s="275"/>
      <c r="G553" s="275"/>
      <c r="H553" s="275"/>
      <c r="I553" s="275"/>
      <c r="J553" s="275"/>
      <c r="K553" s="275"/>
      <c r="L553" s="275"/>
      <c r="M553" s="275"/>
      <c r="N553" s="275"/>
      <c r="O553" s="275"/>
      <c r="P553" s="275"/>
      <c r="Q553" s="275"/>
      <c r="R553" s="275"/>
      <c r="S553" s="275"/>
      <c r="T553" s="275"/>
      <c r="U553" s="275"/>
      <c r="V553" s="275"/>
      <c r="W553" s="275"/>
      <c r="X553" s="275"/>
      <c r="Y553" s="275"/>
      <c r="Z553" s="275"/>
    </row>
    <row r="554" spans="1:26" ht="12.75" customHeight="1" x14ac:dyDescent="0.25">
      <c r="A554" s="275"/>
      <c r="B554" s="342"/>
      <c r="C554" s="369"/>
      <c r="D554" s="337"/>
      <c r="E554" s="275"/>
      <c r="F554" s="275"/>
      <c r="G554" s="275"/>
      <c r="H554" s="275"/>
      <c r="I554" s="275"/>
      <c r="J554" s="275"/>
      <c r="K554" s="275"/>
      <c r="L554" s="275"/>
      <c r="M554" s="275"/>
      <c r="N554" s="275"/>
      <c r="O554" s="275"/>
      <c r="P554" s="275"/>
      <c r="Q554" s="275"/>
      <c r="R554" s="275"/>
      <c r="S554" s="275"/>
      <c r="T554" s="275"/>
      <c r="U554" s="275"/>
      <c r="V554" s="275"/>
      <c r="W554" s="275"/>
      <c r="X554" s="275"/>
      <c r="Y554" s="275"/>
      <c r="Z554" s="275"/>
    </row>
    <row r="555" spans="1:26" ht="12.75" customHeight="1" x14ac:dyDescent="0.25">
      <c r="A555" s="275"/>
      <c r="B555" s="342"/>
      <c r="C555" s="369"/>
      <c r="D555" s="337"/>
      <c r="E555" s="275"/>
      <c r="F555" s="275"/>
      <c r="G555" s="275"/>
      <c r="H555" s="275"/>
      <c r="I555" s="275"/>
      <c r="J555" s="275"/>
      <c r="K555" s="275"/>
      <c r="L555" s="275"/>
      <c r="M555" s="275"/>
      <c r="N555" s="275"/>
      <c r="O555" s="275"/>
      <c r="P555" s="275"/>
      <c r="Q555" s="275"/>
      <c r="R555" s="275"/>
      <c r="S555" s="275"/>
      <c r="T555" s="275"/>
      <c r="U555" s="275"/>
      <c r="V555" s="275"/>
      <c r="W555" s="275"/>
      <c r="X555" s="275"/>
      <c r="Y555" s="275"/>
      <c r="Z555" s="275"/>
    </row>
    <row r="556" spans="1:26" ht="12.75" customHeight="1" x14ac:dyDescent="0.25">
      <c r="A556" s="275"/>
      <c r="B556" s="342"/>
      <c r="C556" s="369"/>
      <c r="D556" s="337"/>
      <c r="E556" s="275"/>
      <c r="F556" s="275"/>
      <c r="G556" s="275"/>
      <c r="H556" s="275"/>
      <c r="I556" s="275"/>
      <c r="J556" s="275"/>
      <c r="K556" s="275"/>
      <c r="L556" s="275"/>
      <c r="M556" s="275"/>
      <c r="N556" s="275"/>
      <c r="O556" s="275"/>
      <c r="P556" s="275"/>
      <c r="Q556" s="275"/>
      <c r="R556" s="275"/>
      <c r="S556" s="275"/>
      <c r="T556" s="275"/>
      <c r="U556" s="275"/>
      <c r="V556" s="275"/>
      <c r="W556" s="275"/>
      <c r="X556" s="275"/>
      <c r="Y556" s="275"/>
      <c r="Z556" s="275"/>
    </row>
    <row r="557" spans="1:26" ht="12.75" customHeight="1" x14ac:dyDescent="0.25">
      <c r="A557" s="275"/>
      <c r="B557" s="342"/>
      <c r="C557" s="369"/>
      <c r="D557" s="337"/>
      <c r="E557" s="275"/>
      <c r="F557" s="275"/>
      <c r="G557" s="275"/>
      <c r="H557" s="275"/>
      <c r="I557" s="275"/>
      <c r="J557" s="275"/>
      <c r="K557" s="275"/>
      <c r="L557" s="275"/>
      <c r="M557" s="275"/>
      <c r="N557" s="275"/>
      <c r="O557" s="275"/>
      <c r="P557" s="275"/>
      <c r="Q557" s="275"/>
      <c r="R557" s="275"/>
      <c r="S557" s="275"/>
      <c r="T557" s="275"/>
      <c r="U557" s="275"/>
      <c r="V557" s="275"/>
      <c r="W557" s="275"/>
      <c r="X557" s="275"/>
      <c r="Y557" s="275"/>
      <c r="Z557" s="275"/>
    </row>
    <row r="558" spans="1:26" ht="12.75" customHeight="1" x14ac:dyDescent="0.25">
      <c r="A558" s="275"/>
      <c r="B558" s="342"/>
      <c r="C558" s="369"/>
      <c r="D558" s="337"/>
      <c r="E558" s="275"/>
      <c r="F558" s="275"/>
      <c r="G558" s="275"/>
      <c r="H558" s="275"/>
      <c r="I558" s="275"/>
      <c r="J558" s="275"/>
      <c r="K558" s="275"/>
      <c r="L558" s="275"/>
      <c r="M558" s="275"/>
      <c r="N558" s="275"/>
      <c r="O558" s="275"/>
      <c r="P558" s="275"/>
      <c r="Q558" s="275"/>
      <c r="R558" s="275"/>
      <c r="S558" s="275"/>
      <c r="T558" s="275"/>
      <c r="U558" s="275"/>
      <c r="V558" s="275"/>
      <c r="W558" s="275"/>
      <c r="X558" s="275"/>
      <c r="Y558" s="275"/>
      <c r="Z558" s="275"/>
    </row>
    <row r="559" spans="1:26" ht="12.75" customHeight="1" x14ac:dyDescent="0.25">
      <c r="A559" s="275"/>
      <c r="B559" s="342"/>
      <c r="C559" s="369"/>
      <c r="D559" s="337"/>
      <c r="E559" s="275"/>
      <c r="F559" s="275"/>
      <c r="G559" s="275"/>
      <c r="H559" s="275"/>
      <c r="I559" s="275"/>
      <c r="J559" s="275"/>
      <c r="K559" s="275"/>
      <c r="L559" s="275"/>
      <c r="M559" s="275"/>
      <c r="N559" s="275"/>
      <c r="O559" s="275"/>
      <c r="P559" s="275"/>
      <c r="Q559" s="275"/>
      <c r="R559" s="275"/>
      <c r="S559" s="275"/>
      <c r="T559" s="275"/>
      <c r="U559" s="275"/>
      <c r="V559" s="275"/>
      <c r="W559" s="275"/>
      <c r="X559" s="275"/>
      <c r="Y559" s="275"/>
      <c r="Z559" s="275"/>
    </row>
    <row r="560" spans="1:26" ht="12.75" customHeight="1" x14ac:dyDescent="0.25">
      <c r="A560" s="275"/>
      <c r="B560" s="342"/>
      <c r="C560" s="369"/>
      <c r="D560" s="337"/>
      <c r="E560" s="275"/>
      <c r="F560" s="275"/>
      <c r="G560" s="275"/>
      <c r="H560" s="275"/>
      <c r="I560" s="275"/>
      <c r="J560" s="275"/>
      <c r="K560" s="275"/>
      <c r="L560" s="275"/>
      <c r="M560" s="275"/>
      <c r="N560" s="275"/>
      <c r="O560" s="275"/>
      <c r="P560" s="275"/>
      <c r="Q560" s="275"/>
      <c r="R560" s="275"/>
      <c r="S560" s="275"/>
      <c r="T560" s="275"/>
      <c r="U560" s="275"/>
      <c r="V560" s="275"/>
      <c r="W560" s="275"/>
      <c r="X560" s="275"/>
      <c r="Y560" s="275"/>
      <c r="Z560" s="275"/>
    </row>
    <row r="561" spans="1:26" ht="12.75" customHeight="1" x14ac:dyDescent="0.25">
      <c r="A561" s="275"/>
      <c r="B561" s="342"/>
      <c r="C561" s="369"/>
      <c r="D561" s="337"/>
      <c r="E561" s="275"/>
      <c r="F561" s="275"/>
      <c r="G561" s="275"/>
      <c r="H561" s="275"/>
      <c r="I561" s="275"/>
      <c r="J561" s="275"/>
      <c r="K561" s="275"/>
      <c r="L561" s="275"/>
      <c r="M561" s="275"/>
      <c r="N561" s="275"/>
      <c r="O561" s="275"/>
      <c r="P561" s="275"/>
      <c r="Q561" s="275"/>
      <c r="R561" s="275"/>
      <c r="S561" s="275"/>
      <c r="T561" s="275"/>
      <c r="U561" s="275"/>
      <c r="V561" s="275"/>
      <c r="W561" s="275"/>
      <c r="X561" s="275"/>
      <c r="Y561" s="275"/>
      <c r="Z561" s="275"/>
    </row>
    <row r="562" spans="1:26" ht="12.75" customHeight="1" x14ac:dyDescent="0.25">
      <c r="A562" s="275"/>
      <c r="B562" s="342"/>
      <c r="C562" s="369"/>
      <c r="D562" s="337"/>
      <c r="E562" s="275"/>
      <c r="F562" s="275"/>
      <c r="G562" s="275"/>
      <c r="H562" s="275"/>
      <c r="I562" s="275"/>
      <c r="J562" s="275"/>
      <c r="K562" s="275"/>
      <c r="L562" s="275"/>
      <c r="M562" s="275"/>
      <c r="N562" s="275"/>
      <c r="O562" s="275"/>
      <c r="P562" s="275"/>
      <c r="Q562" s="275"/>
      <c r="R562" s="275"/>
      <c r="S562" s="275"/>
      <c r="T562" s="275"/>
      <c r="U562" s="275"/>
      <c r="V562" s="275"/>
      <c r="W562" s="275"/>
      <c r="X562" s="275"/>
      <c r="Y562" s="275"/>
      <c r="Z562" s="275"/>
    </row>
    <row r="563" spans="1:26" ht="12.75" customHeight="1" x14ac:dyDescent="0.25">
      <c r="A563" s="275"/>
      <c r="B563" s="342"/>
      <c r="C563" s="369"/>
      <c r="D563" s="337"/>
      <c r="E563" s="275"/>
      <c r="F563" s="275"/>
      <c r="G563" s="275"/>
      <c r="H563" s="275"/>
      <c r="I563" s="275"/>
      <c r="J563" s="275"/>
      <c r="K563" s="275"/>
      <c r="L563" s="275"/>
      <c r="M563" s="275"/>
      <c r="N563" s="275"/>
      <c r="O563" s="275"/>
      <c r="P563" s="275"/>
      <c r="Q563" s="275"/>
      <c r="R563" s="275"/>
      <c r="S563" s="275"/>
      <c r="T563" s="275"/>
      <c r="U563" s="275"/>
      <c r="V563" s="275"/>
      <c r="W563" s="275"/>
      <c r="X563" s="275"/>
      <c r="Y563" s="275"/>
      <c r="Z563" s="275"/>
    </row>
    <row r="564" spans="1:26" ht="12.75" customHeight="1" x14ac:dyDescent="0.25">
      <c r="A564" s="275"/>
      <c r="B564" s="342"/>
      <c r="C564" s="369"/>
      <c r="D564" s="337"/>
      <c r="E564" s="275"/>
      <c r="F564" s="275"/>
      <c r="G564" s="275"/>
      <c r="H564" s="275"/>
      <c r="I564" s="275"/>
      <c r="J564" s="275"/>
      <c r="K564" s="275"/>
      <c r="L564" s="275"/>
      <c r="M564" s="275"/>
      <c r="N564" s="275"/>
      <c r="O564" s="275"/>
      <c r="P564" s="275"/>
      <c r="Q564" s="275"/>
      <c r="R564" s="275"/>
      <c r="S564" s="275"/>
      <c r="T564" s="275"/>
      <c r="U564" s="275"/>
      <c r="V564" s="275"/>
      <c r="W564" s="275"/>
      <c r="X564" s="275"/>
      <c r="Y564" s="275"/>
      <c r="Z564" s="275"/>
    </row>
    <row r="565" spans="1:26" ht="12.75" customHeight="1" x14ac:dyDescent="0.25">
      <c r="A565" s="275"/>
      <c r="B565" s="342"/>
      <c r="C565" s="369"/>
      <c r="D565" s="337"/>
      <c r="E565" s="275"/>
      <c r="F565" s="275"/>
      <c r="G565" s="275"/>
      <c r="H565" s="275"/>
      <c r="I565" s="275"/>
      <c r="J565" s="275"/>
      <c r="K565" s="275"/>
      <c r="L565" s="275"/>
      <c r="M565" s="275"/>
      <c r="N565" s="275"/>
      <c r="O565" s="275"/>
      <c r="P565" s="275"/>
      <c r="Q565" s="275"/>
      <c r="R565" s="275"/>
      <c r="S565" s="275"/>
      <c r="T565" s="275"/>
      <c r="U565" s="275"/>
      <c r="V565" s="275"/>
      <c r="W565" s="275"/>
      <c r="X565" s="275"/>
      <c r="Y565" s="275"/>
      <c r="Z565" s="275"/>
    </row>
    <row r="566" spans="1:26" ht="12.75" customHeight="1" x14ac:dyDescent="0.25">
      <c r="A566" s="275"/>
      <c r="B566" s="342"/>
      <c r="C566" s="369"/>
      <c r="D566" s="337"/>
      <c r="E566" s="275"/>
      <c r="F566" s="275"/>
      <c r="G566" s="275"/>
      <c r="H566" s="275"/>
      <c r="I566" s="275"/>
      <c r="J566" s="275"/>
      <c r="K566" s="275"/>
      <c r="L566" s="275"/>
      <c r="M566" s="275"/>
      <c r="N566" s="275"/>
      <c r="O566" s="275"/>
      <c r="P566" s="275"/>
      <c r="Q566" s="275"/>
      <c r="R566" s="275"/>
      <c r="S566" s="275"/>
      <c r="T566" s="275"/>
      <c r="U566" s="275"/>
      <c r="V566" s="275"/>
      <c r="W566" s="275"/>
      <c r="X566" s="275"/>
      <c r="Y566" s="275"/>
      <c r="Z566" s="275"/>
    </row>
    <row r="567" spans="1:26" ht="12.75" customHeight="1" x14ac:dyDescent="0.25">
      <c r="A567" s="275"/>
      <c r="B567" s="342"/>
      <c r="C567" s="369"/>
      <c r="D567" s="337"/>
      <c r="E567" s="275"/>
      <c r="F567" s="275"/>
      <c r="G567" s="275"/>
      <c r="H567" s="275"/>
      <c r="I567" s="275"/>
      <c r="J567" s="275"/>
      <c r="K567" s="275"/>
      <c r="L567" s="275"/>
      <c r="M567" s="275"/>
      <c r="N567" s="275"/>
      <c r="O567" s="275"/>
      <c r="P567" s="275"/>
      <c r="Q567" s="275"/>
      <c r="R567" s="275"/>
      <c r="S567" s="275"/>
      <c r="T567" s="275"/>
      <c r="U567" s="275"/>
      <c r="V567" s="275"/>
      <c r="W567" s="275"/>
      <c r="X567" s="275"/>
      <c r="Y567" s="275"/>
      <c r="Z567" s="275"/>
    </row>
    <row r="568" spans="1:26" ht="12.75" customHeight="1" x14ac:dyDescent="0.25">
      <c r="A568" s="275"/>
      <c r="B568" s="342"/>
      <c r="C568" s="369"/>
      <c r="D568" s="337"/>
      <c r="E568" s="275"/>
      <c r="F568" s="275"/>
      <c r="G568" s="275"/>
      <c r="H568" s="275"/>
      <c r="I568" s="275"/>
      <c r="J568" s="275"/>
      <c r="K568" s="275"/>
      <c r="L568" s="275"/>
      <c r="M568" s="275"/>
      <c r="N568" s="275"/>
      <c r="O568" s="275"/>
      <c r="P568" s="275"/>
      <c r="Q568" s="275"/>
      <c r="R568" s="275"/>
      <c r="S568" s="275"/>
      <c r="T568" s="275"/>
      <c r="U568" s="275"/>
      <c r="V568" s="275"/>
      <c r="W568" s="275"/>
      <c r="X568" s="275"/>
      <c r="Y568" s="275"/>
      <c r="Z568" s="275"/>
    </row>
    <row r="569" spans="1:26" ht="12.75" customHeight="1" x14ac:dyDescent="0.25">
      <c r="A569" s="275"/>
      <c r="B569" s="342"/>
      <c r="C569" s="369"/>
      <c r="D569" s="337"/>
      <c r="E569" s="275"/>
      <c r="F569" s="275"/>
      <c r="G569" s="275"/>
      <c r="H569" s="275"/>
      <c r="I569" s="275"/>
      <c r="J569" s="275"/>
      <c r="K569" s="275"/>
      <c r="L569" s="275"/>
      <c r="M569" s="275"/>
      <c r="N569" s="275"/>
      <c r="O569" s="275"/>
      <c r="P569" s="275"/>
      <c r="Q569" s="275"/>
      <c r="R569" s="275"/>
      <c r="S569" s="275"/>
      <c r="T569" s="275"/>
      <c r="U569" s="275"/>
      <c r="V569" s="275"/>
      <c r="W569" s="275"/>
      <c r="X569" s="275"/>
      <c r="Y569" s="275"/>
      <c r="Z569" s="275"/>
    </row>
    <row r="570" spans="1:26" ht="12.75" customHeight="1" x14ac:dyDescent="0.25">
      <c r="A570" s="275"/>
      <c r="B570" s="342"/>
      <c r="C570" s="369"/>
      <c r="D570" s="337"/>
      <c r="E570" s="275"/>
      <c r="F570" s="275"/>
      <c r="G570" s="275"/>
      <c r="H570" s="275"/>
      <c r="I570" s="275"/>
      <c r="J570" s="275"/>
      <c r="K570" s="275"/>
      <c r="L570" s="275"/>
      <c r="M570" s="275"/>
      <c r="N570" s="275"/>
      <c r="O570" s="275"/>
      <c r="P570" s="275"/>
      <c r="Q570" s="275"/>
      <c r="R570" s="275"/>
      <c r="S570" s="275"/>
      <c r="T570" s="275"/>
      <c r="U570" s="275"/>
      <c r="V570" s="275"/>
      <c r="W570" s="275"/>
      <c r="X570" s="275"/>
      <c r="Y570" s="275"/>
      <c r="Z570" s="275"/>
    </row>
    <row r="571" spans="1:26" ht="12.75" customHeight="1" x14ac:dyDescent="0.25">
      <c r="A571" s="275"/>
      <c r="B571" s="342"/>
      <c r="C571" s="369"/>
      <c r="D571" s="337"/>
      <c r="E571" s="275"/>
      <c r="F571" s="275"/>
      <c r="G571" s="275"/>
      <c r="H571" s="275"/>
      <c r="I571" s="275"/>
      <c r="J571" s="275"/>
      <c r="K571" s="275"/>
      <c r="L571" s="275"/>
      <c r="M571" s="275"/>
      <c r="N571" s="275"/>
      <c r="O571" s="275"/>
      <c r="P571" s="275"/>
      <c r="Q571" s="275"/>
      <c r="R571" s="275"/>
      <c r="S571" s="275"/>
      <c r="T571" s="275"/>
      <c r="U571" s="275"/>
      <c r="V571" s="275"/>
      <c r="W571" s="275"/>
      <c r="X571" s="275"/>
      <c r="Y571" s="275"/>
      <c r="Z571" s="275"/>
    </row>
    <row r="572" spans="1:26" ht="12.75" customHeight="1" x14ac:dyDescent="0.25">
      <c r="A572" s="275"/>
      <c r="B572" s="342"/>
      <c r="C572" s="369"/>
      <c r="D572" s="337"/>
      <c r="E572" s="275"/>
      <c r="F572" s="275"/>
      <c r="G572" s="275"/>
      <c r="H572" s="275"/>
      <c r="I572" s="275"/>
      <c r="J572" s="275"/>
      <c r="K572" s="275"/>
      <c r="L572" s="275"/>
      <c r="M572" s="275"/>
      <c r="N572" s="275"/>
      <c r="O572" s="275"/>
      <c r="P572" s="275"/>
      <c r="Q572" s="275"/>
      <c r="R572" s="275"/>
      <c r="S572" s="275"/>
      <c r="T572" s="275"/>
      <c r="U572" s="275"/>
      <c r="V572" s="275"/>
      <c r="W572" s="275"/>
      <c r="X572" s="275"/>
      <c r="Y572" s="275"/>
      <c r="Z572" s="275"/>
    </row>
    <row r="573" spans="1:26" ht="12.75" customHeight="1" x14ac:dyDescent="0.25">
      <c r="A573" s="275"/>
      <c r="B573" s="342"/>
      <c r="C573" s="369"/>
      <c r="D573" s="337"/>
      <c r="E573" s="275"/>
      <c r="F573" s="275"/>
      <c r="G573" s="275"/>
      <c r="H573" s="275"/>
      <c r="I573" s="275"/>
      <c r="J573" s="275"/>
      <c r="K573" s="275"/>
      <c r="L573" s="275"/>
      <c r="M573" s="275"/>
      <c r="N573" s="275"/>
      <c r="O573" s="275"/>
      <c r="P573" s="275"/>
      <c r="Q573" s="275"/>
      <c r="R573" s="275"/>
      <c r="S573" s="275"/>
      <c r="T573" s="275"/>
      <c r="U573" s="275"/>
      <c r="V573" s="275"/>
      <c r="W573" s="275"/>
      <c r="X573" s="275"/>
      <c r="Y573" s="275"/>
      <c r="Z573" s="275"/>
    </row>
    <row r="574" spans="1:26" ht="12.75" customHeight="1" x14ac:dyDescent="0.25">
      <c r="A574" s="275"/>
      <c r="B574" s="342"/>
      <c r="C574" s="369"/>
      <c r="D574" s="337"/>
      <c r="E574" s="275"/>
      <c r="F574" s="275"/>
      <c r="G574" s="275"/>
      <c r="H574" s="275"/>
      <c r="I574" s="275"/>
      <c r="J574" s="275"/>
      <c r="K574" s="275"/>
      <c r="L574" s="275"/>
      <c r="M574" s="275"/>
      <c r="N574" s="275"/>
      <c r="O574" s="275"/>
      <c r="P574" s="275"/>
      <c r="Q574" s="275"/>
      <c r="R574" s="275"/>
      <c r="S574" s="275"/>
      <c r="T574" s="275"/>
      <c r="U574" s="275"/>
      <c r="V574" s="275"/>
      <c r="W574" s="275"/>
      <c r="X574" s="275"/>
      <c r="Y574" s="275"/>
      <c r="Z574" s="275"/>
    </row>
    <row r="575" spans="1:26" ht="12.75" customHeight="1" x14ac:dyDescent="0.25">
      <c r="A575" s="275"/>
      <c r="B575" s="342"/>
      <c r="C575" s="369"/>
      <c r="D575" s="337"/>
      <c r="E575" s="275"/>
      <c r="F575" s="275"/>
      <c r="G575" s="275"/>
      <c r="H575" s="275"/>
      <c r="I575" s="275"/>
      <c r="J575" s="275"/>
      <c r="K575" s="275"/>
      <c r="L575" s="275"/>
      <c r="M575" s="275"/>
      <c r="N575" s="275"/>
      <c r="O575" s="275"/>
      <c r="P575" s="275"/>
      <c r="Q575" s="275"/>
      <c r="R575" s="275"/>
      <c r="S575" s="275"/>
      <c r="T575" s="275"/>
      <c r="U575" s="275"/>
      <c r="V575" s="275"/>
      <c r="W575" s="275"/>
      <c r="X575" s="275"/>
      <c r="Y575" s="275"/>
      <c r="Z575" s="275"/>
    </row>
    <row r="576" spans="1:26" ht="12.75" customHeight="1" x14ac:dyDescent="0.25">
      <c r="A576" s="275"/>
      <c r="B576" s="342"/>
      <c r="C576" s="369"/>
      <c r="D576" s="337"/>
      <c r="E576" s="275"/>
      <c r="F576" s="275"/>
      <c r="G576" s="275"/>
      <c r="H576" s="275"/>
      <c r="I576" s="275"/>
      <c r="J576" s="275"/>
      <c r="K576" s="275"/>
      <c r="L576" s="275"/>
      <c r="M576" s="275"/>
      <c r="N576" s="275"/>
      <c r="O576" s="275"/>
      <c r="P576" s="275"/>
      <c r="Q576" s="275"/>
      <c r="R576" s="275"/>
      <c r="S576" s="275"/>
      <c r="T576" s="275"/>
      <c r="U576" s="275"/>
      <c r="V576" s="275"/>
      <c r="W576" s="275"/>
      <c r="X576" s="275"/>
      <c r="Y576" s="275"/>
      <c r="Z576" s="275"/>
    </row>
    <row r="577" spans="1:26" ht="12.75" customHeight="1" x14ac:dyDescent="0.25">
      <c r="A577" s="275"/>
      <c r="B577" s="342"/>
      <c r="C577" s="369"/>
      <c r="D577" s="337"/>
      <c r="E577" s="275"/>
      <c r="F577" s="275"/>
      <c r="G577" s="275"/>
      <c r="H577" s="275"/>
      <c r="I577" s="275"/>
      <c r="J577" s="275"/>
      <c r="K577" s="275"/>
      <c r="L577" s="275"/>
      <c r="M577" s="275"/>
      <c r="N577" s="275"/>
      <c r="O577" s="275"/>
      <c r="P577" s="275"/>
      <c r="Q577" s="275"/>
      <c r="R577" s="275"/>
      <c r="S577" s="275"/>
      <c r="T577" s="275"/>
      <c r="U577" s="275"/>
      <c r="V577" s="275"/>
      <c r="W577" s="275"/>
      <c r="X577" s="275"/>
      <c r="Y577" s="275"/>
      <c r="Z577" s="275"/>
    </row>
    <row r="578" spans="1:26" ht="12.75" customHeight="1" x14ac:dyDescent="0.25">
      <c r="A578" s="275"/>
      <c r="B578" s="342"/>
      <c r="C578" s="369"/>
      <c r="D578" s="337"/>
      <c r="E578" s="275"/>
      <c r="F578" s="275"/>
      <c r="G578" s="275"/>
      <c r="H578" s="275"/>
      <c r="I578" s="275"/>
      <c r="J578" s="275"/>
      <c r="K578" s="275"/>
      <c r="L578" s="275"/>
      <c r="M578" s="275"/>
      <c r="N578" s="275"/>
      <c r="O578" s="275"/>
      <c r="P578" s="275"/>
      <c r="Q578" s="275"/>
      <c r="R578" s="275"/>
      <c r="S578" s="275"/>
      <c r="T578" s="275"/>
      <c r="U578" s="275"/>
      <c r="V578" s="275"/>
      <c r="W578" s="275"/>
      <c r="X578" s="275"/>
      <c r="Y578" s="275"/>
      <c r="Z578" s="275"/>
    </row>
    <row r="579" spans="1:26" ht="12.75" customHeight="1" x14ac:dyDescent="0.25">
      <c r="A579" s="275"/>
      <c r="B579" s="342"/>
      <c r="C579" s="369"/>
      <c r="D579" s="337"/>
      <c r="E579" s="275"/>
      <c r="F579" s="275"/>
      <c r="G579" s="275"/>
      <c r="H579" s="275"/>
      <c r="I579" s="275"/>
      <c r="J579" s="275"/>
      <c r="K579" s="275"/>
      <c r="L579" s="275"/>
      <c r="M579" s="275"/>
      <c r="N579" s="275"/>
      <c r="O579" s="275"/>
      <c r="P579" s="275"/>
      <c r="Q579" s="275"/>
      <c r="R579" s="275"/>
      <c r="S579" s="275"/>
      <c r="T579" s="275"/>
      <c r="U579" s="275"/>
      <c r="V579" s="275"/>
      <c r="W579" s="275"/>
      <c r="X579" s="275"/>
      <c r="Y579" s="275"/>
      <c r="Z579" s="275"/>
    </row>
    <row r="580" spans="1:26" ht="12.75" customHeight="1" x14ac:dyDescent="0.25">
      <c r="A580" s="275"/>
      <c r="B580" s="342"/>
      <c r="C580" s="369"/>
      <c r="D580" s="337"/>
      <c r="E580" s="275"/>
      <c r="F580" s="275"/>
      <c r="G580" s="275"/>
      <c r="H580" s="275"/>
      <c r="I580" s="275"/>
      <c r="J580" s="275"/>
      <c r="K580" s="275"/>
      <c r="L580" s="275"/>
      <c r="M580" s="275"/>
      <c r="N580" s="275"/>
      <c r="O580" s="275"/>
      <c r="P580" s="275"/>
      <c r="Q580" s="275"/>
      <c r="R580" s="275"/>
      <c r="S580" s="275"/>
      <c r="T580" s="275"/>
      <c r="U580" s="275"/>
      <c r="V580" s="275"/>
      <c r="W580" s="275"/>
      <c r="X580" s="275"/>
      <c r="Y580" s="275"/>
      <c r="Z580" s="275"/>
    </row>
    <row r="581" spans="1:26" ht="12.75" customHeight="1" x14ac:dyDescent="0.25">
      <c r="A581" s="275"/>
      <c r="B581" s="342"/>
      <c r="C581" s="369"/>
      <c r="D581" s="337"/>
      <c r="E581" s="275"/>
      <c r="F581" s="275"/>
      <c r="G581" s="275"/>
      <c r="H581" s="275"/>
      <c r="I581" s="275"/>
      <c r="J581" s="275"/>
      <c r="K581" s="275"/>
      <c r="L581" s="275"/>
      <c r="M581" s="275"/>
      <c r="N581" s="275"/>
      <c r="O581" s="275"/>
      <c r="P581" s="275"/>
      <c r="Q581" s="275"/>
      <c r="R581" s="275"/>
      <c r="S581" s="275"/>
      <c r="T581" s="275"/>
      <c r="U581" s="275"/>
      <c r="V581" s="275"/>
      <c r="W581" s="275"/>
      <c r="X581" s="275"/>
      <c r="Y581" s="275"/>
      <c r="Z581" s="275"/>
    </row>
    <row r="582" spans="1:26" ht="12.75" customHeight="1" x14ac:dyDescent="0.25">
      <c r="A582" s="275"/>
      <c r="B582" s="342"/>
      <c r="C582" s="369"/>
      <c r="D582" s="337"/>
      <c r="E582" s="275"/>
      <c r="F582" s="275"/>
      <c r="G582" s="275"/>
      <c r="H582" s="275"/>
      <c r="I582" s="275"/>
      <c r="J582" s="275"/>
      <c r="K582" s="275"/>
      <c r="L582" s="275"/>
      <c r="M582" s="275"/>
      <c r="N582" s="275"/>
      <c r="O582" s="275"/>
      <c r="P582" s="275"/>
      <c r="Q582" s="275"/>
      <c r="R582" s="275"/>
      <c r="S582" s="275"/>
      <c r="T582" s="275"/>
      <c r="U582" s="275"/>
      <c r="V582" s="275"/>
      <c r="W582" s="275"/>
      <c r="X582" s="275"/>
      <c r="Y582" s="275"/>
      <c r="Z582" s="275"/>
    </row>
    <row r="583" spans="1:26" ht="12.75" customHeight="1" x14ac:dyDescent="0.25">
      <c r="A583" s="275"/>
      <c r="B583" s="342"/>
      <c r="C583" s="369"/>
      <c r="D583" s="337"/>
      <c r="E583" s="275"/>
      <c r="F583" s="275"/>
      <c r="G583" s="275"/>
      <c r="H583" s="275"/>
      <c r="I583" s="275"/>
      <c r="J583" s="275"/>
      <c r="K583" s="275"/>
      <c r="L583" s="275"/>
      <c r="M583" s="275"/>
      <c r="N583" s="275"/>
      <c r="O583" s="275"/>
      <c r="P583" s="275"/>
      <c r="Q583" s="275"/>
      <c r="R583" s="275"/>
      <c r="S583" s="275"/>
      <c r="T583" s="275"/>
      <c r="U583" s="275"/>
      <c r="V583" s="275"/>
      <c r="W583" s="275"/>
      <c r="X583" s="275"/>
      <c r="Y583" s="275"/>
      <c r="Z583" s="275"/>
    </row>
    <row r="584" spans="1:26" ht="12.75" customHeight="1" x14ac:dyDescent="0.25">
      <c r="A584" s="275"/>
      <c r="B584" s="342"/>
      <c r="C584" s="369"/>
      <c r="D584" s="337"/>
      <c r="E584" s="275"/>
      <c r="F584" s="275"/>
      <c r="G584" s="275"/>
      <c r="H584" s="275"/>
      <c r="I584" s="275"/>
      <c r="J584" s="275"/>
      <c r="K584" s="275"/>
      <c r="L584" s="275"/>
      <c r="M584" s="275"/>
      <c r="N584" s="275"/>
      <c r="O584" s="275"/>
      <c r="P584" s="275"/>
      <c r="Q584" s="275"/>
      <c r="R584" s="275"/>
      <c r="S584" s="275"/>
      <c r="T584" s="275"/>
      <c r="U584" s="275"/>
      <c r="V584" s="275"/>
      <c r="W584" s="275"/>
      <c r="X584" s="275"/>
      <c r="Y584" s="275"/>
      <c r="Z584" s="275"/>
    </row>
    <row r="585" spans="1:26" ht="12.75" customHeight="1" x14ac:dyDescent="0.25">
      <c r="A585" s="275"/>
      <c r="B585" s="342"/>
      <c r="C585" s="369"/>
      <c r="D585" s="337"/>
      <c r="E585" s="275"/>
      <c r="F585" s="275"/>
      <c r="G585" s="275"/>
      <c r="H585" s="275"/>
      <c r="I585" s="275"/>
      <c r="J585" s="275"/>
      <c r="K585" s="275"/>
      <c r="L585" s="275"/>
      <c r="M585" s="275"/>
      <c r="N585" s="275"/>
      <c r="O585" s="275"/>
      <c r="P585" s="275"/>
      <c r="Q585" s="275"/>
      <c r="R585" s="275"/>
      <c r="S585" s="275"/>
      <c r="T585" s="275"/>
      <c r="U585" s="275"/>
      <c r="V585" s="275"/>
      <c r="W585" s="275"/>
      <c r="X585" s="275"/>
      <c r="Y585" s="275"/>
      <c r="Z585" s="275"/>
    </row>
    <row r="586" spans="1:26" ht="12.75" customHeight="1" x14ac:dyDescent="0.25">
      <c r="A586" s="275"/>
      <c r="B586" s="342"/>
      <c r="C586" s="369"/>
      <c r="D586" s="337"/>
      <c r="E586" s="275"/>
      <c r="F586" s="275"/>
      <c r="G586" s="275"/>
      <c r="H586" s="275"/>
      <c r="I586" s="275"/>
      <c r="J586" s="275"/>
      <c r="K586" s="275"/>
      <c r="L586" s="275"/>
      <c r="M586" s="275"/>
      <c r="N586" s="275"/>
      <c r="O586" s="275"/>
      <c r="P586" s="275"/>
      <c r="Q586" s="275"/>
      <c r="R586" s="275"/>
      <c r="S586" s="275"/>
      <c r="T586" s="275"/>
      <c r="U586" s="275"/>
      <c r="V586" s="275"/>
      <c r="W586" s="275"/>
      <c r="X586" s="275"/>
      <c r="Y586" s="275"/>
      <c r="Z586" s="275"/>
    </row>
    <row r="587" spans="1:26" ht="12.75" customHeight="1" x14ac:dyDescent="0.25">
      <c r="A587" s="275"/>
      <c r="B587" s="342"/>
      <c r="C587" s="369"/>
      <c r="D587" s="337"/>
      <c r="E587" s="275"/>
      <c r="F587" s="275"/>
      <c r="G587" s="275"/>
      <c r="H587" s="275"/>
      <c r="I587" s="275"/>
      <c r="J587" s="275"/>
      <c r="K587" s="275"/>
      <c r="L587" s="275"/>
      <c r="M587" s="275"/>
      <c r="N587" s="275"/>
      <c r="O587" s="275"/>
      <c r="P587" s="275"/>
      <c r="Q587" s="275"/>
      <c r="R587" s="275"/>
      <c r="S587" s="275"/>
      <c r="T587" s="275"/>
      <c r="U587" s="275"/>
      <c r="V587" s="275"/>
      <c r="W587" s="275"/>
      <c r="X587" s="275"/>
      <c r="Y587" s="275"/>
      <c r="Z587" s="275"/>
    </row>
    <row r="588" spans="1:26" ht="12.75" customHeight="1" x14ac:dyDescent="0.25">
      <c r="A588" s="275"/>
      <c r="B588" s="342"/>
      <c r="C588" s="369"/>
      <c r="D588" s="337"/>
      <c r="E588" s="275"/>
      <c r="F588" s="275"/>
      <c r="G588" s="275"/>
      <c r="H588" s="275"/>
      <c r="I588" s="275"/>
      <c r="J588" s="275"/>
      <c r="K588" s="275"/>
      <c r="L588" s="275"/>
      <c r="M588" s="275"/>
      <c r="N588" s="275"/>
      <c r="O588" s="275"/>
      <c r="P588" s="275"/>
      <c r="Q588" s="275"/>
      <c r="R588" s="275"/>
      <c r="S588" s="275"/>
      <c r="T588" s="275"/>
      <c r="U588" s="275"/>
      <c r="V588" s="275"/>
      <c r="W588" s="275"/>
      <c r="X588" s="275"/>
      <c r="Y588" s="275"/>
      <c r="Z588" s="275"/>
    </row>
    <row r="589" spans="1:26" ht="12.75" customHeight="1" x14ac:dyDescent="0.25">
      <c r="A589" s="275"/>
      <c r="B589" s="342"/>
      <c r="C589" s="369"/>
      <c r="D589" s="337"/>
      <c r="E589" s="275"/>
      <c r="F589" s="275"/>
      <c r="G589" s="275"/>
      <c r="H589" s="275"/>
      <c r="I589" s="275"/>
      <c r="J589" s="275"/>
      <c r="K589" s="275"/>
      <c r="L589" s="275"/>
      <c r="M589" s="275"/>
      <c r="N589" s="275"/>
      <c r="O589" s="275"/>
      <c r="P589" s="275"/>
      <c r="Q589" s="275"/>
      <c r="R589" s="275"/>
      <c r="S589" s="275"/>
      <c r="T589" s="275"/>
      <c r="U589" s="275"/>
      <c r="V589" s="275"/>
      <c r="W589" s="275"/>
      <c r="X589" s="275"/>
      <c r="Y589" s="275"/>
      <c r="Z589" s="275"/>
    </row>
    <row r="590" spans="1:26" ht="12.75" customHeight="1" x14ac:dyDescent="0.25">
      <c r="A590" s="275"/>
      <c r="B590" s="342"/>
      <c r="C590" s="369"/>
      <c r="D590" s="337"/>
      <c r="E590" s="275"/>
      <c r="F590" s="275"/>
      <c r="G590" s="275"/>
      <c r="H590" s="275"/>
      <c r="I590" s="275"/>
      <c r="J590" s="275"/>
      <c r="K590" s="275"/>
      <c r="L590" s="275"/>
      <c r="M590" s="275"/>
      <c r="N590" s="275"/>
      <c r="O590" s="275"/>
      <c r="P590" s="275"/>
      <c r="Q590" s="275"/>
      <c r="R590" s="275"/>
      <c r="S590" s="275"/>
      <c r="T590" s="275"/>
      <c r="U590" s="275"/>
      <c r="V590" s="275"/>
      <c r="W590" s="275"/>
      <c r="X590" s="275"/>
      <c r="Y590" s="275"/>
      <c r="Z590" s="275"/>
    </row>
    <row r="591" spans="1:26" ht="12.75" customHeight="1" x14ac:dyDescent="0.25">
      <c r="A591" s="275"/>
      <c r="B591" s="342"/>
      <c r="C591" s="369"/>
      <c r="D591" s="337"/>
      <c r="E591" s="275"/>
      <c r="F591" s="275"/>
      <c r="G591" s="275"/>
      <c r="H591" s="275"/>
      <c r="I591" s="275"/>
      <c r="J591" s="275"/>
      <c r="K591" s="275"/>
      <c r="L591" s="275"/>
      <c r="M591" s="275"/>
      <c r="N591" s="275"/>
      <c r="O591" s="275"/>
      <c r="P591" s="275"/>
      <c r="Q591" s="275"/>
      <c r="R591" s="275"/>
      <c r="S591" s="275"/>
      <c r="T591" s="275"/>
      <c r="U591" s="275"/>
      <c r="V591" s="275"/>
      <c r="W591" s="275"/>
      <c r="X591" s="275"/>
      <c r="Y591" s="275"/>
      <c r="Z591" s="275"/>
    </row>
    <row r="592" spans="1:26" ht="12.75" customHeight="1" x14ac:dyDescent="0.25">
      <c r="A592" s="275"/>
      <c r="B592" s="342"/>
      <c r="C592" s="369"/>
      <c r="D592" s="337"/>
      <c r="E592" s="275"/>
      <c r="F592" s="275"/>
      <c r="G592" s="275"/>
      <c r="H592" s="275"/>
      <c r="I592" s="275"/>
      <c r="J592" s="275"/>
      <c r="K592" s="275"/>
      <c r="L592" s="275"/>
      <c r="M592" s="275"/>
      <c r="N592" s="275"/>
      <c r="O592" s="275"/>
      <c r="P592" s="275"/>
      <c r="Q592" s="275"/>
      <c r="R592" s="275"/>
      <c r="S592" s="275"/>
      <c r="T592" s="275"/>
      <c r="U592" s="275"/>
      <c r="V592" s="275"/>
      <c r="W592" s="275"/>
      <c r="X592" s="275"/>
      <c r="Y592" s="275"/>
      <c r="Z592" s="275"/>
    </row>
    <row r="593" spans="1:26" ht="12.75" customHeight="1" x14ac:dyDescent="0.25">
      <c r="A593" s="275"/>
      <c r="B593" s="342"/>
      <c r="C593" s="369"/>
      <c r="D593" s="337"/>
      <c r="E593" s="275"/>
      <c r="F593" s="275"/>
      <c r="G593" s="275"/>
      <c r="H593" s="275"/>
      <c r="I593" s="275"/>
      <c r="J593" s="275"/>
      <c r="K593" s="275"/>
      <c r="L593" s="275"/>
      <c r="M593" s="275"/>
      <c r="N593" s="275"/>
      <c r="O593" s="275"/>
      <c r="P593" s="275"/>
      <c r="Q593" s="275"/>
      <c r="R593" s="275"/>
      <c r="S593" s="275"/>
      <c r="T593" s="275"/>
      <c r="U593" s="275"/>
      <c r="V593" s="275"/>
      <c r="W593" s="275"/>
      <c r="X593" s="275"/>
      <c r="Y593" s="275"/>
      <c r="Z593" s="275"/>
    </row>
    <row r="594" spans="1:26" ht="12.75" customHeight="1" x14ac:dyDescent="0.25">
      <c r="A594" s="275"/>
      <c r="B594" s="342"/>
      <c r="C594" s="369"/>
      <c r="D594" s="337"/>
      <c r="E594" s="275"/>
      <c r="F594" s="275"/>
      <c r="G594" s="275"/>
      <c r="H594" s="275"/>
      <c r="I594" s="275"/>
      <c r="J594" s="275"/>
      <c r="K594" s="275"/>
      <c r="L594" s="275"/>
      <c r="M594" s="275"/>
      <c r="N594" s="275"/>
      <c r="O594" s="275"/>
      <c r="P594" s="275"/>
      <c r="Q594" s="275"/>
      <c r="R594" s="275"/>
      <c r="S594" s="275"/>
      <c r="T594" s="275"/>
      <c r="U594" s="275"/>
      <c r="V594" s="275"/>
      <c r="W594" s="275"/>
      <c r="X594" s="275"/>
      <c r="Y594" s="275"/>
      <c r="Z594" s="275"/>
    </row>
    <row r="595" spans="1:26" ht="12.75" customHeight="1" x14ac:dyDescent="0.25">
      <c r="A595" s="275"/>
      <c r="B595" s="342"/>
      <c r="C595" s="369"/>
      <c r="D595" s="337"/>
      <c r="E595" s="275"/>
      <c r="F595" s="275"/>
      <c r="G595" s="275"/>
      <c r="H595" s="275"/>
      <c r="I595" s="275"/>
      <c r="J595" s="275"/>
      <c r="K595" s="275"/>
      <c r="L595" s="275"/>
      <c r="M595" s="275"/>
      <c r="N595" s="275"/>
      <c r="O595" s="275"/>
      <c r="P595" s="275"/>
      <c r="Q595" s="275"/>
      <c r="R595" s="275"/>
      <c r="S595" s="275"/>
      <c r="T595" s="275"/>
      <c r="U595" s="275"/>
      <c r="V595" s="275"/>
      <c r="W595" s="275"/>
      <c r="X595" s="275"/>
      <c r="Y595" s="275"/>
      <c r="Z595" s="275"/>
    </row>
    <row r="596" spans="1:26" ht="12.75" customHeight="1" x14ac:dyDescent="0.25">
      <c r="A596" s="275"/>
      <c r="B596" s="342"/>
      <c r="C596" s="369"/>
      <c r="D596" s="337"/>
      <c r="E596" s="275"/>
      <c r="F596" s="275"/>
      <c r="G596" s="275"/>
      <c r="H596" s="275"/>
      <c r="I596" s="275"/>
      <c r="J596" s="275"/>
      <c r="K596" s="275"/>
      <c r="L596" s="275"/>
      <c r="M596" s="275"/>
      <c r="N596" s="275"/>
      <c r="O596" s="275"/>
      <c r="P596" s="275"/>
      <c r="Q596" s="275"/>
      <c r="R596" s="275"/>
      <c r="S596" s="275"/>
      <c r="T596" s="275"/>
      <c r="U596" s="275"/>
      <c r="V596" s="275"/>
      <c r="W596" s="275"/>
      <c r="X596" s="275"/>
      <c r="Y596" s="275"/>
      <c r="Z596" s="275"/>
    </row>
    <row r="597" spans="1:26" ht="12.75" customHeight="1" x14ac:dyDescent="0.25">
      <c r="A597" s="275"/>
      <c r="B597" s="342"/>
      <c r="C597" s="369"/>
      <c r="D597" s="337"/>
      <c r="E597" s="275"/>
      <c r="F597" s="275"/>
      <c r="G597" s="275"/>
      <c r="H597" s="275"/>
      <c r="I597" s="275"/>
      <c r="J597" s="275"/>
      <c r="K597" s="275"/>
      <c r="L597" s="275"/>
      <c r="M597" s="275"/>
      <c r="N597" s="275"/>
      <c r="O597" s="275"/>
      <c r="P597" s="275"/>
      <c r="Q597" s="275"/>
      <c r="R597" s="275"/>
      <c r="S597" s="275"/>
      <c r="T597" s="275"/>
      <c r="U597" s="275"/>
      <c r="V597" s="275"/>
      <c r="W597" s="275"/>
      <c r="X597" s="275"/>
      <c r="Y597" s="275"/>
      <c r="Z597" s="275"/>
    </row>
    <row r="598" spans="1:26" ht="12.75" customHeight="1" x14ac:dyDescent="0.25">
      <c r="A598" s="275"/>
      <c r="B598" s="342"/>
      <c r="C598" s="369"/>
      <c r="D598" s="337"/>
      <c r="E598" s="275"/>
      <c r="F598" s="275"/>
      <c r="G598" s="275"/>
      <c r="H598" s="275"/>
      <c r="I598" s="275"/>
      <c r="J598" s="275"/>
      <c r="K598" s="275"/>
      <c r="L598" s="275"/>
      <c r="M598" s="275"/>
      <c r="N598" s="275"/>
      <c r="O598" s="275"/>
      <c r="P598" s="275"/>
      <c r="Q598" s="275"/>
      <c r="R598" s="275"/>
      <c r="S598" s="275"/>
      <c r="T598" s="275"/>
      <c r="U598" s="275"/>
      <c r="V598" s="275"/>
      <c r="W598" s="275"/>
      <c r="X598" s="275"/>
      <c r="Y598" s="275"/>
      <c r="Z598" s="275"/>
    </row>
    <row r="599" spans="1:26" ht="12.75" customHeight="1" x14ac:dyDescent="0.25">
      <c r="A599" s="275"/>
      <c r="B599" s="342"/>
      <c r="C599" s="369"/>
      <c r="D599" s="337"/>
      <c r="E599" s="275"/>
      <c r="F599" s="275"/>
      <c r="G599" s="275"/>
      <c r="H599" s="275"/>
      <c r="I599" s="275"/>
      <c r="J599" s="275"/>
      <c r="K599" s="275"/>
      <c r="L599" s="275"/>
      <c r="M599" s="275"/>
      <c r="N599" s="275"/>
      <c r="O599" s="275"/>
      <c r="P599" s="275"/>
      <c r="Q599" s="275"/>
      <c r="R599" s="275"/>
      <c r="S599" s="275"/>
      <c r="T599" s="275"/>
      <c r="U599" s="275"/>
      <c r="V599" s="275"/>
      <c r="W599" s="275"/>
      <c r="X599" s="275"/>
      <c r="Y599" s="275"/>
      <c r="Z599" s="275"/>
    </row>
    <row r="600" spans="1:26" ht="12.75" customHeight="1" x14ac:dyDescent="0.25">
      <c r="A600" s="275"/>
      <c r="B600" s="342"/>
      <c r="C600" s="369"/>
      <c r="D600" s="337"/>
      <c r="E600" s="275"/>
      <c r="F600" s="275"/>
      <c r="G600" s="275"/>
      <c r="H600" s="275"/>
      <c r="I600" s="275"/>
      <c r="J600" s="275"/>
      <c r="K600" s="275"/>
      <c r="L600" s="275"/>
      <c r="M600" s="275"/>
      <c r="N600" s="275"/>
      <c r="O600" s="275"/>
      <c r="P600" s="275"/>
      <c r="Q600" s="275"/>
      <c r="R600" s="275"/>
      <c r="S600" s="275"/>
      <c r="T600" s="275"/>
      <c r="U600" s="275"/>
      <c r="V600" s="275"/>
      <c r="W600" s="275"/>
      <c r="X600" s="275"/>
      <c r="Y600" s="275"/>
      <c r="Z600" s="275"/>
    </row>
    <row r="601" spans="1:26" ht="12.75" customHeight="1" x14ac:dyDescent="0.25">
      <c r="A601" s="275"/>
      <c r="B601" s="342"/>
      <c r="C601" s="369"/>
      <c r="D601" s="337"/>
      <c r="E601" s="275"/>
      <c r="F601" s="275"/>
      <c r="G601" s="275"/>
      <c r="H601" s="275"/>
      <c r="I601" s="275"/>
      <c r="J601" s="275"/>
      <c r="K601" s="275"/>
      <c r="L601" s="275"/>
      <c r="M601" s="275"/>
      <c r="N601" s="275"/>
      <c r="O601" s="275"/>
      <c r="P601" s="275"/>
      <c r="Q601" s="275"/>
      <c r="R601" s="275"/>
      <c r="S601" s="275"/>
      <c r="T601" s="275"/>
      <c r="U601" s="275"/>
      <c r="V601" s="275"/>
      <c r="W601" s="275"/>
      <c r="X601" s="275"/>
      <c r="Y601" s="275"/>
      <c r="Z601" s="275"/>
    </row>
    <row r="602" spans="1:26" ht="12.75" customHeight="1" x14ac:dyDescent="0.25">
      <c r="A602" s="275"/>
      <c r="B602" s="342"/>
      <c r="C602" s="369"/>
      <c r="D602" s="337"/>
      <c r="E602" s="275"/>
      <c r="F602" s="275"/>
      <c r="G602" s="275"/>
      <c r="H602" s="275"/>
      <c r="I602" s="275"/>
      <c r="J602" s="275"/>
      <c r="K602" s="275"/>
      <c r="L602" s="275"/>
      <c r="M602" s="275"/>
      <c r="N602" s="275"/>
      <c r="O602" s="275"/>
      <c r="P602" s="275"/>
      <c r="Q602" s="275"/>
      <c r="R602" s="275"/>
      <c r="S602" s="275"/>
      <c r="T602" s="275"/>
      <c r="U602" s="275"/>
      <c r="V602" s="275"/>
      <c r="W602" s="275"/>
      <c r="X602" s="275"/>
      <c r="Y602" s="275"/>
      <c r="Z602" s="275"/>
    </row>
    <row r="603" spans="1:26" ht="12.75" customHeight="1" x14ac:dyDescent="0.25">
      <c r="A603" s="275"/>
      <c r="B603" s="342"/>
      <c r="C603" s="369"/>
      <c r="D603" s="337"/>
      <c r="E603" s="275"/>
      <c r="F603" s="275"/>
      <c r="G603" s="275"/>
      <c r="H603" s="275"/>
      <c r="I603" s="275"/>
      <c r="J603" s="275"/>
      <c r="K603" s="275"/>
      <c r="L603" s="275"/>
      <c r="M603" s="275"/>
      <c r="N603" s="275"/>
      <c r="O603" s="275"/>
      <c r="P603" s="275"/>
      <c r="Q603" s="275"/>
      <c r="R603" s="275"/>
      <c r="S603" s="275"/>
      <c r="T603" s="275"/>
      <c r="U603" s="275"/>
      <c r="V603" s="275"/>
      <c r="W603" s="275"/>
      <c r="X603" s="275"/>
      <c r="Y603" s="275"/>
      <c r="Z603" s="275"/>
    </row>
    <row r="604" spans="1:26" ht="12.75" customHeight="1" x14ac:dyDescent="0.25">
      <c r="A604" s="275"/>
      <c r="B604" s="342"/>
      <c r="C604" s="369"/>
      <c r="D604" s="337"/>
      <c r="E604" s="275"/>
      <c r="F604" s="275"/>
      <c r="G604" s="275"/>
      <c r="H604" s="275"/>
      <c r="I604" s="275"/>
      <c r="J604" s="275"/>
      <c r="K604" s="275"/>
      <c r="L604" s="275"/>
      <c r="M604" s="275"/>
      <c r="N604" s="275"/>
      <c r="O604" s="275"/>
      <c r="P604" s="275"/>
      <c r="Q604" s="275"/>
      <c r="R604" s="275"/>
      <c r="S604" s="275"/>
      <c r="T604" s="275"/>
      <c r="U604" s="275"/>
      <c r="V604" s="275"/>
      <c r="W604" s="275"/>
      <c r="X604" s="275"/>
      <c r="Y604" s="275"/>
      <c r="Z604" s="275"/>
    </row>
    <row r="605" spans="1:26" ht="12.75" customHeight="1" x14ac:dyDescent="0.25">
      <c r="A605" s="275"/>
      <c r="B605" s="342"/>
      <c r="C605" s="369"/>
      <c r="D605" s="337"/>
      <c r="E605" s="275"/>
      <c r="F605" s="275"/>
      <c r="G605" s="275"/>
      <c r="H605" s="275"/>
      <c r="I605" s="275"/>
      <c r="J605" s="275"/>
      <c r="K605" s="275"/>
      <c r="L605" s="275"/>
      <c r="M605" s="275"/>
      <c r="N605" s="275"/>
      <c r="O605" s="275"/>
      <c r="P605" s="275"/>
      <c r="Q605" s="275"/>
      <c r="R605" s="275"/>
      <c r="S605" s="275"/>
      <c r="T605" s="275"/>
      <c r="U605" s="275"/>
      <c r="V605" s="275"/>
      <c r="W605" s="275"/>
      <c r="X605" s="275"/>
      <c r="Y605" s="275"/>
      <c r="Z605" s="275"/>
    </row>
    <row r="606" spans="1:26" ht="12.75" customHeight="1" x14ac:dyDescent="0.25">
      <c r="A606" s="275"/>
      <c r="B606" s="342"/>
      <c r="C606" s="369"/>
      <c r="D606" s="337"/>
      <c r="E606" s="275"/>
      <c r="F606" s="275"/>
      <c r="G606" s="275"/>
      <c r="H606" s="275"/>
      <c r="I606" s="275"/>
      <c r="J606" s="275"/>
      <c r="K606" s="275"/>
      <c r="L606" s="275"/>
      <c r="M606" s="275"/>
      <c r="N606" s="275"/>
      <c r="O606" s="275"/>
      <c r="P606" s="275"/>
      <c r="Q606" s="275"/>
      <c r="R606" s="275"/>
      <c r="S606" s="275"/>
      <c r="T606" s="275"/>
      <c r="U606" s="275"/>
      <c r="V606" s="275"/>
      <c r="W606" s="275"/>
      <c r="X606" s="275"/>
      <c r="Y606" s="275"/>
      <c r="Z606" s="275"/>
    </row>
    <row r="607" spans="1:26" ht="12.75" customHeight="1" x14ac:dyDescent="0.25">
      <c r="A607" s="275"/>
      <c r="B607" s="342"/>
      <c r="C607" s="369"/>
      <c r="D607" s="337"/>
      <c r="E607" s="275"/>
      <c r="F607" s="275"/>
      <c r="G607" s="275"/>
      <c r="H607" s="275"/>
      <c r="I607" s="275"/>
      <c r="J607" s="275"/>
      <c r="K607" s="275"/>
      <c r="L607" s="275"/>
      <c r="M607" s="275"/>
      <c r="N607" s="275"/>
      <c r="O607" s="275"/>
      <c r="P607" s="275"/>
      <c r="Q607" s="275"/>
      <c r="R607" s="275"/>
      <c r="S607" s="275"/>
      <c r="T607" s="275"/>
      <c r="U607" s="275"/>
      <c r="V607" s="275"/>
      <c r="W607" s="275"/>
      <c r="X607" s="275"/>
      <c r="Y607" s="275"/>
      <c r="Z607" s="275"/>
    </row>
    <row r="608" spans="1:26" ht="12.75" customHeight="1" x14ac:dyDescent="0.25">
      <c r="A608" s="275"/>
      <c r="B608" s="342"/>
      <c r="C608" s="369"/>
      <c r="D608" s="337"/>
      <c r="E608" s="275"/>
      <c r="F608" s="275"/>
      <c r="G608" s="275"/>
      <c r="H608" s="275"/>
      <c r="I608" s="275"/>
      <c r="J608" s="275"/>
      <c r="K608" s="275"/>
      <c r="L608" s="275"/>
      <c r="M608" s="275"/>
      <c r="N608" s="275"/>
      <c r="O608" s="275"/>
      <c r="P608" s="275"/>
      <c r="Q608" s="275"/>
      <c r="R608" s="275"/>
      <c r="S608" s="275"/>
      <c r="T608" s="275"/>
      <c r="U608" s="275"/>
      <c r="V608" s="275"/>
      <c r="W608" s="275"/>
      <c r="X608" s="275"/>
      <c r="Y608" s="275"/>
      <c r="Z608" s="275"/>
    </row>
    <row r="609" spans="1:26" ht="12.75" customHeight="1" x14ac:dyDescent="0.25">
      <c r="A609" s="275"/>
      <c r="B609" s="342"/>
      <c r="C609" s="369"/>
      <c r="D609" s="337"/>
      <c r="E609" s="275"/>
      <c r="F609" s="275"/>
      <c r="G609" s="275"/>
      <c r="H609" s="275"/>
      <c r="I609" s="275"/>
      <c r="J609" s="275"/>
      <c r="K609" s="275"/>
      <c r="L609" s="275"/>
      <c r="M609" s="275"/>
      <c r="N609" s="275"/>
      <c r="O609" s="275"/>
      <c r="P609" s="275"/>
      <c r="Q609" s="275"/>
      <c r="R609" s="275"/>
      <c r="S609" s="275"/>
      <c r="T609" s="275"/>
      <c r="U609" s="275"/>
      <c r="V609" s="275"/>
      <c r="W609" s="275"/>
      <c r="X609" s="275"/>
      <c r="Y609" s="275"/>
      <c r="Z609" s="275"/>
    </row>
    <row r="610" spans="1:26" ht="12.75" customHeight="1" x14ac:dyDescent="0.25">
      <c r="A610" s="275"/>
      <c r="B610" s="342"/>
      <c r="C610" s="369"/>
      <c r="D610" s="337"/>
      <c r="E610" s="275"/>
      <c r="F610" s="275"/>
      <c r="G610" s="275"/>
      <c r="H610" s="275"/>
      <c r="I610" s="275"/>
      <c r="J610" s="275"/>
      <c r="K610" s="275"/>
      <c r="L610" s="275"/>
      <c r="M610" s="275"/>
      <c r="N610" s="275"/>
      <c r="O610" s="275"/>
      <c r="P610" s="275"/>
      <c r="Q610" s="275"/>
      <c r="R610" s="275"/>
      <c r="S610" s="275"/>
      <c r="T610" s="275"/>
      <c r="U610" s="275"/>
      <c r="V610" s="275"/>
      <c r="W610" s="275"/>
      <c r="X610" s="275"/>
      <c r="Y610" s="275"/>
      <c r="Z610" s="275"/>
    </row>
    <row r="611" spans="1:26" ht="12.75" customHeight="1" x14ac:dyDescent="0.25">
      <c r="A611" s="275"/>
      <c r="B611" s="342"/>
      <c r="C611" s="369"/>
      <c r="D611" s="337"/>
      <c r="E611" s="275"/>
      <c r="F611" s="275"/>
      <c r="G611" s="275"/>
      <c r="H611" s="275"/>
      <c r="I611" s="275"/>
      <c r="J611" s="275"/>
      <c r="K611" s="275"/>
      <c r="L611" s="275"/>
      <c r="M611" s="275"/>
      <c r="N611" s="275"/>
      <c r="O611" s="275"/>
      <c r="P611" s="275"/>
      <c r="Q611" s="275"/>
      <c r="R611" s="275"/>
      <c r="S611" s="275"/>
      <c r="T611" s="275"/>
      <c r="U611" s="275"/>
      <c r="V611" s="275"/>
      <c r="W611" s="275"/>
      <c r="X611" s="275"/>
      <c r="Y611" s="275"/>
      <c r="Z611" s="275"/>
    </row>
    <row r="612" spans="1:26" ht="12.75" customHeight="1" x14ac:dyDescent="0.25">
      <c r="A612" s="275"/>
      <c r="B612" s="342"/>
      <c r="C612" s="369"/>
      <c r="D612" s="337"/>
      <c r="E612" s="275"/>
      <c r="F612" s="275"/>
      <c r="G612" s="275"/>
      <c r="H612" s="275"/>
      <c r="I612" s="275"/>
      <c r="J612" s="275"/>
      <c r="K612" s="275"/>
      <c r="L612" s="275"/>
      <c r="M612" s="275"/>
      <c r="N612" s="275"/>
      <c r="O612" s="275"/>
      <c r="P612" s="275"/>
      <c r="Q612" s="275"/>
      <c r="R612" s="275"/>
      <c r="S612" s="275"/>
      <c r="T612" s="275"/>
      <c r="U612" s="275"/>
      <c r="V612" s="275"/>
      <c r="W612" s="275"/>
      <c r="X612" s="275"/>
      <c r="Y612" s="275"/>
      <c r="Z612" s="275"/>
    </row>
    <row r="613" spans="1:26" ht="12.75" customHeight="1" x14ac:dyDescent="0.25">
      <c r="A613" s="275"/>
      <c r="B613" s="342"/>
      <c r="C613" s="369"/>
      <c r="D613" s="337"/>
      <c r="E613" s="275"/>
      <c r="F613" s="275"/>
      <c r="G613" s="275"/>
      <c r="H613" s="275"/>
      <c r="I613" s="275"/>
      <c r="J613" s="275"/>
      <c r="K613" s="275"/>
      <c r="L613" s="275"/>
      <c r="M613" s="275"/>
      <c r="N613" s="275"/>
      <c r="O613" s="275"/>
      <c r="P613" s="275"/>
      <c r="Q613" s="275"/>
      <c r="R613" s="275"/>
      <c r="S613" s="275"/>
      <c r="T613" s="275"/>
      <c r="U613" s="275"/>
      <c r="V613" s="275"/>
      <c r="W613" s="275"/>
      <c r="X613" s="275"/>
      <c r="Y613" s="275"/>
      <c r="Z613" s="275"/>
    </row>
    <row r="614" spans="1:26" ht="12.75" customHeight="1" x14ac:dyDescent="0.25">
      <c r="A614" s="275"/>
      <c r="B614" s="342"/>
      <c r="C614" s="369"/>
      <c r="D614" s="337"/>
      <c r="E614" s="275"/>
      <c r="F614" s="275"/>
      <c r="G614" s="275"/>
      <c r="H614" s="275"/>
      <c r="I614" s="275"/>
      <c r="J614" s="275"/>
      <c r="K614" s="275"/>
      <c r="L614" s="275"/>
      <c r="M614" s="275"/>
      <c r="N614" s="275"/>
      <c r="O614" s="275"/>
      <c r="P614" s="275"/>
      <c r="Q614" s="275"/>
      <c r="R614" s="275"/>
      <c r="S614" s="275"/>
      <c r="T614" s="275"/>
      <c r="U614" s="275"/>
      <c r="V614" s="275"/>
      <c r="W614" s="275"/>
      <c r="X614" s="275"/>
      <c r="Y614" s="275"/>
      <c r="Z614" s="275"/>
    </row>
    <row r="615" spans="1:26" ht="12.75" customHeight="1" x14ac:dyDescent="0.25">
      <c r="A615" s="275"/>
      <c r="B615" s="342"/>
      <c r="C615" s="369"/>
      <c r="D615" s="337"/>
      <c r="E615" s="275"/>
      <c r="F615" s="275"/>
      <c r="G615" s="275"/>
      <c r="H615" s="275"/>
      <c r="I615" s="275"/>
      <c r="J615" s="275"/>
      <c r="K615" s="275"/>
      <c r="L615" s="275"/>
      <c r="M615" s="275"/>
      <c r="N615" s="275"/>
      <c r="O615" s="275"/>
      <c r="P615" s="275"/>
      <c r="Q615" s="275"/>
      <c r="R615" s="275"/>
      <c r="S615" s="275"/>
      <c r="T615" s="275"/>
      <c r="U615" s="275"/>
      <c r="V615" s="275"/>
      <c r="W615" s="275"/>
      <c r="X615" s="275"/>
      <c r="Y615" s="275"/>
      <c r="Z615" s="275"/>
    </row>
    <row r="616" spans="1:26" ht="12.75" customHeight="1" x14ac:dyDescent="0.25">
      <c r="A616" s="275"/>
      <c r="B616" s="342"/>
      <c r="C616" s="369"/>
      <c r="D616" s="337"/>
      <c r="E616" s="275"/>
      <c r="F616" s="275"/>
      <c r="G616" s="275"/>
      <c r="H616" s="275"/>
      <c r="I616" s="275"/>
      <c r="J616" s="275"/>
      <c r="K616" s="275"/>
      <c r="L616" s="275"/>
      <c r="M616" s="275"/>
      <c r="N616" s="275"/>
      <c r="O616" s="275"/>
      <c r="P616" s="275"/>
      <c r="Q616" s="275"/>
      <c r="R616" s="275"/>
      <c r="S616" s="275"/>
      <c r="T616" s="275"/>
      <c r="U616" s="275"/>
      <c r="V616" s="275"/>
      <c r="W616" s="275"/>
      <c r="X616" s="275"/>
      <c r="Y616" s="275"/>
      <c r="Z616" s="275"/>
    </row>
    <row r="617" spans="1:26" ht="12.75" customHeight="1" x14ac:dyDescent="0.25">
      <c r="A617" s="275"/>
      <c r="B617" s="342"/>
      <c r="C617" s="369"/>
      <c r="D617" s="337"/>
      <c r="E617" s="275"/>
      <c r="F617" s="275"/>
      <c r="G617" s="275"/>
      <c r="H617" s="275"/>
      <c r="I617" s="275"/>
      <c r="J617" s="275"/>
      <c r="K617" s="275"/>
      <c r="L617" s="275"/>
      <c r="M617" s="275"/>
      <c r="N617" s="275"/>
      <c r="O617" s="275"/>
      <c r="P617" s="275"/>
      <c r="Q617" s="275"/>
      <c r="R617" s="275"/>
      <c r="S617" s="275"/>
      <c r="T617" s="275"/>
      <c r="U617" s="275"/>
      <c r="V617" s="275"/>
      <c r="W617" s="275"/>
      <c r="X617" s="275"/>
      <c r="Y617" s="275"/>
      <c r="Z617" s="275"/>
    </row>
    <row r="618" spans="1:26" ht="12.75" customHeight="1" x14ac:dyDescent="0.25">
      <c r="A618" s="275"/>
      <c r="B618" s="342"/>
      <c r="C618" s="369"/>
      <c r="D618" s="337"/>
      <c r="E618" s="275"/>
      <c r="F618" s="275"/>
      <c r="G618" s="275"/>
      <c r="H618" s="275"/>
      <c r="I618" s="275"/>
      <c r="J618" s="275"/>
      <c r="K618" s="275"/>
      <c r="L618" s="275"/>
      <c r="M618" s="275"/>
      <c r="N618" s="275"/>
      <c r="O618" s="275"/>
      <c r="P618" s="275"/>
      <c r="Q618" s="275"/>
      <c r="R618" s="275"/>
      <c r="S618" s="275"/>
      <c r="T618" s="275"/>
      <c r="U618" s="275"/>
      <c r="V618" s="275"/>
      <c r="W618" s="275"/>
      <c r="X618" s="275"/>
      <c r="Y618" s="275"/>
      <c r="Z618" s="275"/>
    </row>
    <row r="619" spans="1:26" ht="12.75" customHeight="1" x14ac:dyDescent="0.25">
      <c r="A619" s="275"/>
      <c r="B619" s="342"/>
      <c r="C619" s="369"/>
      <c r="D619" s="337"/>
      <c r="E619" s="275"/>
      <c r="F619" s="275"/>
      <c r="G619" s="275"/>
      <c r="H619" s="275"/>
      <c r="I619" s="275"/>
      <c r="J619" s="275"/>
      <c r="K619" s="275"/>
      <c r="L619" s="275"/>
      <c r="M619" s="275"/>
      <c r="N619" s="275"/>
      <c r="O619" s="275"/>
      <c r="P619" s="275"/>
      <c r="Q619" s="275"/>
      <c r="R619" s="275"/>
      <c r="S619" s="275"/>
      <c r="T619" s="275"/>
      <c r="U619" s="275"/>
      <c r="V619" s="275"/>
      <c r="W619" s="275"/>
      <c r="X619" s="275"/>
      <c r="Y619" s="275"/>
      <c r="Z619" s="275"/>
    </row>
    <row r="620" spans="1:26" ht="12.75" customHeight="1" x14ac:dyDescent="0.25">
      <c r="A620" s="275"/>
      <c r="B620" s="342"/>
      <c r="C620" s="369"/>
      <c r="D620" s="337"/>
      <c r="E620" s="275"/>
      <c r="F620" s="275"/>
      <c r="G620" s="275"/>
      <c r="H620" s="275"/>
      <c r="I620" s="275"/>
      <c r="J620" s="275"/>
      <c r="K620" s="275"/>
      <c r="L620" s="275"/>
      <c r="M620" s="275"/>
      <c r="N620" s="275"/>
      <c r="O620" s="275"/>
      <c r="P620" s="275"/>
      <c r="Q620" s="275"/>
      <c r="R620" s="275"/>
      <c r="S620" s="275"/>
      <c r="T620" s="275"/>
      <c r="U620" s="275"/>
      <c r="V620" s="275"/>
      <c r="W620" s="275"/>
      <c r="X620" s="275"/>
      <c r="Y620" s="275"/>
      <c r="Z620" s="275"/>
    </row>
    <row r="621" spans="1:26" ht="12.75" customHeight="1" x14ac:dyDescent="0.25">
      <c r="A621" s="275"/>
      <c r="B621" s="342"/>
      <c r="C621" s="369"/>
      <c r="D621" s="337"/>
      <c r="E621" s="275"/>
      <c r="F621" s="275"/>
      <c r="G621" s="275"/>
      <c r="H621" s="275"/>
      <c r="I621" s="275"/>
      <c r="J621" s="275"/>
      <c r="K621" s="275"/>
      <c r="L621" s="275"/>
      <c r="M621" s="275"/>
      <c r="N621" s="275"/>
      <c r="O621" s="275"/>
      <c r="P621" s="275"/>
      <c r="Q621" s="275"/>
      <c r="R621" s="275"/>
      <c r="S621" s="275"/>
      <c r="T621" s="275"/>
      <c r="U621" s="275"/>
      <c r="V621" s="275"/>
      <c r="W621" s="275"/>
      <c r="X621" s="275"/>
      <c r="Y621" s="275"/>
      <c r="Z621" s="275"/>
    </row>
    <row r="622" spans="1:26" ht="12.75" customHeight="1" x14ac:dyDescent="0.25">
      <c r="A622" s="275"/>
      <c r="B622" s="342"/>
      <c r="C622" s="369"/>
      <c r="D622" s="337"/>
      <c r="E622" s="275"/>
      <c r="F622" s="275"/>
      <c r="G622" s="275"/>
      <c r="H622" s="275"/>
      <c r="I622" s="275"/>
      <c r="J622" s="275"/>
      <c r="K622" s="275"/>
      <c r="L622" s="275"/>
      <c r="M622" s="275"/>
      <c r="N622" s="275"/>
      <c r="O622" s="275"/>
      <c r="P622" s="275"/>
      <c r="Q622" s="275"/>
      <c r="R622" s="275"/>
      <c r="S622" s="275"/>
      <c r="T622" s="275"/>
      <c r="U622" s="275"/>
      <c r="V622" s="275"/>
      <c r="W622" s="275"/>
      <c r="X622" s="275"/>
      <c r="Y622" s="275"/>
      <c r="Z622" s="275"/>
    </row>
    <row r="623" spans="1:26" ht="12.75" customHeight="1" x14ac:dyDescent="0.25">
      <c r="A623" s="275"/>
      <c r="B623" s="342"/>
      <c r="C623" s="369"/>
      <c r="D623" s="337"/>
      <c r="E623" s="275"/>
      <c r="F623" s="275"/>
      <c r="G623" s="275"/>
      <c r="H623" s="275"/>
      <c r="I623" s="275"/>
      <c r="J623" s="275"/>
      <c r="K623" s="275"/>
      <c r="L623" s="275"/>
      <c r="M623" s="275"/>
      <c r="N623" s="275"/>
      <c r="O623" s="275"/>
      <c r="P623" s="275"/>
      <c r="Q623" s="275"/>
      <c r="R623" s="275"/>
      <c r="S623" s="275"/>
      <c r="T623" s="275"/>
      <c r="U623" s="275"/>
      <c r="V623" s="275"/>
      <c r="W623" s="275"/>
      <c r="X623" s="275"/>
      <c r="Y623" s="275"/>
      <c r="Z623" s="275"/>
    </row>
    <row r="624" spans="1:26" ht="12.75" customHeight="1" x14ac:dyDescent="0.25">
      <c r="A624" s="275"/>
      <c r="B624" s="342"/>
      <c r="C624" s="369"/>
      <c r="D624" s="337"/>
      <c r="E624" s="275"/>
      <c r="F624" s="275"/>
      <c r="G624" s="275"/>
      <c r="H624" s="275"/>
      <c r="I624" s="275"/>
      <c r="J624" s="275"/>
      <c r="K624" s="275"/>
      <c r="L624" s="275"/>
      <c r="M624" s="275"/>
      <c r="N624" s="275"/>
      <c r="O624" s="275"/>
      <c r="P624" s="275"/>
      <c r="Q624" s="275"/>
      <c r="R624" s="275"/>
      <c r="S624" s="275"/>
      <c r="T624" s="275"/>
      <c r="U624" s="275"/>
      <c r="V624" s="275"/>
      <c r="W624" s="275"/>
      <c r="X624" s="275"/>
      <c r="Y624" s="275"/>
      <c r="Z624" s="275"/>
    </row>
    <row r="625" spans="1:26" ht="12.75" customHeight="1" x14ac:dyDescent="0.25">
      <c r="A625" s="275"/>
      <c r="B625" s="342"/>
      <c r="C625" s="369"/>
      <c r="D625" s="337"/>
      <c r="E625" s="275"/>
      <c r="F625" s="275"/>
      <c r="G625" s="275"/>
      <c r="H625" s="275"/>
      <c r="I625" s="275"/>
      <c r="J625" s="275"/>
      <c r="K625" s="275"/>
      <c r="L625" s="275"/>
      <c r="M625" s="275"/>
      <c r="N625" s="275"/>
      <c r="O625" s="275"/>
      <c r="P625" s="275"/>
      <c r="Q625" s="275"/>
      <c r="R625" s="275"/>
      <c r="S625" s="275"/>
      <c r="T625" s="275"/>
      <c r="U625" s="275"/>
      <c r="V625" s="275"/>
      <c r="W625" s="275"/>
      <c r="X625" s="275"/>
      <c r="Y625" s="275"/>
      <c r="Z625" s="275"/>
    </row>
    <row r="626" spans="1:26" ht="12.75" customHeight="1" x14ac:dyDescent="0.25">
      <c r="A626" s="275"/>
      <c r="B626" s="342"/>
      <c r="C626" s="369"/>
      <c r="D626" s="337"/>
      <c r="E626" s="275"/>
      <c r="F626" s="275"/>
      <c r="G626" s="275"/>
      <c r="H626" s="275"/>
      <c r="I626" s="275"/>
      <c r="J626" s="275"/>
      <c r="K626" s="275"/>
      <c r="L626" s="275"/>
      <c r="M626" s="275"/>
      <c r="N626" s="275"/>
      <c r="O626" s="275"/>
      <c r="P626" s="275"/>
      <c r="Q626" s="275"/>
      <c r="R626" s="275"/>
      <c r="S626" s="275"/>
      <c r="T626" s="275"/>
      <c r="U626" s="275"/>
      <c r="V626" s="275"/>
      <c r="W626" s="275"/>
      <c r="X626" s="275"/>
      <c r="Y626" s="275"/>
      <c r="Z626" s="275"/>
    </row>
    <row r="627" spans="1:26" ht="12.75" customHeight="1" x14ac:dyDescent="0.25">
      <c r="A627" s="275"/>
      <c r="B627" s="342"/>
      <c r="C627" s="369"/>
      <c r="D627" s="337"/>
      <c r="E627" s="275"/>
      <c r="F627" s="275"/>
      <c r="G627" s="275"/>
      <c r="H627" s="275"/>
      <c r="I627" s="275"/>
      <c r="J627" s="275"/>
      <c r="K627" s="275"/>
      <c r="L627" s="275"/>
      <c r="M627" s="275"/>
      <c r="N627" s="275"/>
      <c r="O627" s="275"/>
      <c r="P627" s="275"/>
      <c r="Q627" s="275"/>
      <c r="R627" s="275"/>
      <c r="S627" s="275"/>
      <c r="T627" s="275"/>
      <c r="U627" s="275"/>
      <c r="V627" s="275"/>
      <c r="W627" s="275"/>
      <c r="X627" s="275"/>
      <c r="Y627" s="275"/>
      <c r="Z627" s="275"/>
    </row>
    <row r="628" spans="1:26" ht="12.75" customHeight="1" x14ac:dyDescent="0.25">
      <c r="A628" s="275"/>
      <c r="B628" s="342"/>
      <c r="C628" s="369"/>
      <c r="D628" s="337"/>
      <c r="E628" s="275"/>
      <c r="F628" s="275"/>
      <c r="G628" s="275"/>
      <c r="H628" s="275"/>
      <c r="I628" s="275"/>
      <c r="J628" s="275"/>
      <c r="K628" s="275"/>
      <c r="L628" s="275"/>
      <c r="M628" s="275"/>
      <c r="N628" s="275"/>
      <c r="O628" s="275"/>
      <c r="P628" s="275"/>
      <c r="Q628" s="275"/>
      <c r="R628" s="275"/>
      <c r="S628" s="275"/>
      <c r="T628" s="275"/>
      <c r="U628" s="275"/>
      <c r="V628" s="275"/>
      <c r="W628" s="275"/>
      <c r="X628" s="275"/>
      <c r="Y628" s="275"/>
      <c r="Z628" s="275"/>
    </row>
    <row r="629" spans="1:26" ht="12.75" customHeight="1" x14ac:dyDescent="0.25">
      <c r="A629" s="275"/>
      <c r="B629" s="342"/>
      <c r="C629" s="369"/>
      <c r="D629" s="337"/>
      <c r="E629" s="275"/>
      <c r="F629" s="275"/>
      <c r="G629" s="275"/>
      <c r="H629" s="275"/>
      <c r="I629" s="275"/>
      <c r="J629" s="275"/>
      <c r="K629" s="275"/>
      <c r="L629" s="275"/>
      <c r="M629" s="275"/>
      <c r="N629" s="275"/>
      <c r="O629" s="275"/>
      <c r="P629" s="275"/>
      <c r="Q629" s="275"/>
      <c r="R629" s="275"/>
      <c r="S629" s="275"/>
      <c r="T629" s="275"/>
      <c r="U629" s="275"/>
      <c r="V629" s="275"/>
      <c r="W629" s="275"/>
      <c r="X629" s="275"/>
      <c r="Y629" s="275"/>
      <c r="Z629" s="275"/>
    </row>
    <row r="630" spans="1:26" ht="12.75" customHeight="1" x14ac:dyDescent="0.25">
      <c r="A630" s="275"/>
      <c r="B630" s="342"/>
      <c r="C630" s="369"/>
      <c r="D630" s="337"/>
      <c r="E630" s="275"/>
      <c r="F630" s="275"/>
      <c r="G630" s="275"/>
      <c r="H630" s="275"/>
      <c r="I630" s="275"/>
      <c r="J630" s="275"/>
      <c r="K630" s="275"/>
      <c r="L630" s="275"/>
      <c r="M630" s="275"/>
      <c r="N630" s="275"/>
      <c r="O630" s="275"/>
      <c r="P630" s="275"/>
      <c r="Q630" s="275"/>
      <c r="R630" s="275"/>
      <c r="S630" s="275"/>
      <c r="T630" s="275"/>
      <c r="U630" s="275"/>
      <c r="V630" s="275"/>
      <c r="W630" s="275"/>
      <c r="X630" s="275"/>
      <c r="Y630" s="275"/>
      <c r="Z630" s="275"/>
    </row>
    <row r="631" spans="1:26" ht="12.75" customHeight="1" x14ac:dyDescent="0.25">
      <c r="A631" s="275"/>
      <c r="B631" s="342"/>
      <c r="C631" s="369"/>
      <c r="D631" s="337"/>
      <c r="E631" s="275"/>
      <c r="F631" s="275"/>
      <c r="G631" s="275"/>
      <c r="H631" s="275"/>
      <c r="I631" s="275"/>
      <c r="J631" s="275"/>
      <c r="K631" s="275"/>
      <c r="L631" s="275"/>
      <c r="M631" s="275"/>
      <c r="N631" s="275"/>
      <c r="O631" s="275"/>
      <c r="P631" s="275"/>
      <c r="Q631" s="275"/>
      <c r="R631" s="275"/>
      <c r="S631" s="275"/>
      <c r="T631" s="275"/>
      <c r="U631" s="275"/>
      <c r="V631" s="275"/>
      <c r="W631" s="275"/>
      <c r="X631" s="275"/>
      <c r="Y631" s="275"/>
      <c r="Z631" s="275"/>
    </row>
    <row r="632" spans="1:26" ht="12.75" customHeight="1" x14ac:dyDescent="0.25">
      <c r="A632" s="275"/>
      <c r="B632" s="342"/>
      <c r="C632" s="369"/>
      <c r="D632" s="337"/>
      <c r="E632" s="275"/>
      <c r="F632" s="275"/>
      <c r="G632" s="275"/>
      <c r="H632" s="275"/>
      <c r="I632" s="275"/>
      <c r="J632" s="275"/>
      <c r="K632" s="275"/>
      <c r="L632" s="275"/>
      <c r="M632" s="275"/>
      <c r="N632" s="275"/>
      <c r="O632" s="275"/>
      <c r="P632" s="275"/>
      <c r="Q632" s="275"/>
      <c r="R632" s="275"/>
      <c r="S632" s="275"/>
      <c r="T632" s="275"/>
      <c r="U632" s="275"/>
      <c r="V632" s="275"/>
      <c r="W632" s="275"/>
      <c r="X632" s="275"/>
      <c r="Y632" s="275"/>
      <c r="Z632" s="275"/>
    </row>
    <row r="633" spans="1:26" ht="12.75" customHeight="1" x14ac:dyDescent="0.25">
      <c r="A633" s="275"/>
      <c r="B633" s="342"/>
      <c r="C633" s="369"/>
      <c r="D633" s="337"/>
      <c r="E633" s="275"/>
      <c r="F633" s="275"/>
      <c r="G633" s="275"/>
      <c r="H633" s="275"/>
      <c r="I633" s="275"/>
      <c r="J633" s="275"/>
      <c r="K633" s="275"/>
      <c r="L633" s="275"/>
      <c r="M633" s="275"/>
      <c r="N633" s="275"/>
      <c r="O633" s="275"/>
      <c r="P633" s="275"/>
      <c r="Q633" s="275"/>
      <c r="R633" s="275"/>
      <c r="S633" s="275"/>
      <c r="T633" s="275"/>
      <c r="U633" s="275"/>
      <c r="V633" s="275"/>
      <c r="W633" s="275"/>
      <c r="X633" s="275"/>
      <c r="Y633" s="275"/>
      <c r="Z633" s="275"/>
    </row>
    <row r="634" spans="1:26" ht="12.75" customHeight="1" x14ac:dyDescent="0.25">
      <c r="A634" s="275"/>
      <c r="B634" s="342"/>
      <c r="C634" s="369"/>
      <c r="D634" s="337"/>
      <c r="E634" s="275"/>
      <c r="F634" s="275"/>
      <c r="G634" s="275"/>
      <c r="H634" s="275"/>
      <c r="I634" s="275"/>
      <c r="J634" s="275"/>
      <c r="K634" s="275"/>
      <c r="L634" s="275"/>
      <c r="M634" s="275"/>
      <c r="N634" s="275"/>
      <c r="O634" s="275"/>
      <c r="P634" s="275"/>
      <c r="Q634" s="275"/>
      <c r="R634" s="275"/>
      <c r="S634" s="275"/>
      <c r="T634" s="275"/>
      <c r="U634" s="275"/>
      <c r="V634" s="275"/>
      <c r="W634" s="275"/>
      <c r="X634" s="275"/>
      <c r="Y634" s="275"/>
      <c r="Z634" s="275"/>
    </row>
    <row r="635" spans="1:26" ht="12.75" customHeight="1" x14ac:dyDescent="0.25">
      <c r="A635" s="275"/>
      <c r="B635" s="342"/>
      <c r="C635" s="369"/>
      <c r="D635" s="337"/>
      <c r="E635" s="275"/>
      <c r="F635" s="275"/>
      <c r="G635" s="275"/>
      <c r="H635" s="275"/>
      <c r="I635" s="275"/>
      <c r="J635" s="275"/>
      <c r="K635" s="275"/>
      <c r="L635" s="275"/>
      <c r="M635" s="275"/>
      <c r="N635" s="275"/>
      <c r="O635" s="275"/>
      <c r="P635" s="275"/>
      <c r="Q635" s="275"/>
      <c r="R635" s="275"/>
      <c r="S635" s="275"/>
      <c r="T635" s="275"/>
      <c r="U635" s="275"/>
      <c r="V635" s="275"/>
      <c r="W635" s="275"/>
      <c r="X635" s="275"/>
      <c r="Y635" s="275"/>
      <c r="Z635" s="275"/>
    </row>
    <row r="636" spans="1:26" ht="12.75" customHeight="1" x14ac:dyDescent="0.25">
      <c r="A636" s="275"/>
      <c r="B636" s="342"/>
      <c r="C636" s="369"/>
      <c r="D636" s="337"/>
      <c r="E636" s="275"/>
      <c r="F636" s="275"/>
      <c r="G636" s="275"/>
      <c r="H636" s="275"/>
      <c r="I636" s="275"/>
      <c r="J636" s="275"/>
      <c r="K636" s="275"/>
      <c r="L636" s="275"/>
      <c r="M636" s="275"/>
      <c r="N636" s="275"/>
      <c r="O636" s="275"/>
      <c r="P636" s="275"/>
      <c r="Q636" s="275"/>
      <c r="R636" s="275"/>
      <c r="S636" s="275"/>
      <c r="T636" s="275"/>
      <c r="U636" s="275"/>
      <c r="V636" s="275"/>
      <c r="W636" s="275"/>
      <c r="X636" s="275"/>
      <c r="Y636" s="275"/>
      <c r="Z636" s="275"/>
    </row>
    <row r="637" spans="1:26" ht="12.75" customHeight="1" x14ac:dyDescent="0.25">
      <c r="A637" s="275"/>
      <c r="B637" s="342"/>
      <c r="C637" s="369"/>
      <c r="D637" s="337"/>
      <c r="E637" s="275"/>
      <c r="F637" s="275"/>
      <c r="G637" s="275"/>
      <c r="H637" s="275"/>
      <c r="I637" s="275"/>
      <c r="J637" s="275"/>
      <c r="K637" s="275"/>
      <c r="L637" s="275"/>
      <c r="M637" s="275"/>
      <c r="N637" s="275"/>
      <c r="O637" s="275"/>
      <c r="P637" s="275"/>
      <c r="Q637" s="275"/>
      <c r="R637" s="275"/>
      <c r="S637" s="275"/>
      <c r="T637" s="275"/>
      <c r="U637" s="275"/>
      <c r="V637" s="275"/>
      <c r="W637" s="275"/>
      <c r="X637" s="275"/>
      <c r="Y637" s="275"/>
      <c r="Z637" s="275"/>
    </row>
    <row r="638" spans="1:26" ht="12.75" customHeight="1" x14ac:dyDescent="0.25">
      <c r="A638" s="275"/>
      <c r="B638" s="342"/>
      <c r="C638" s="369"/>
      <c r="D638" s="337"/>
      <c r="E638" s="275"/>
      <c r="F638" s="275"/>
      <c r="G638" s="275"/>
      <c r="H638" s="275"/>
      <c r="I638" s="275"/>
      <c r="J638" s="275"/>
      <c r="K638" s="275"/>
      <c r="L638" s="275"/>
      <c r="M638" s="275"/>
      <c r="N638" s="275"/>
      <c r="O638" s="275"/>
      <c r="P638" s="275"/>
      <c r="Q638" s="275"/>
      <c r="R638" s="275"/>
      <c r="S638" s="275"/>
      <c r="T638" s="275"/>
      <c r="U638" s="275"/>
      <c r="V638" s="275"/>
      <c r="W638" s="275"/>
      <c r="X638" s="275"/>
      <c r="Y638" s="275"/>
      <c r="Z638" s="275"/>
    </row>
    <row r="639" spans="1:26" ht="12.75" customHeight="1" x14ac:dyDescent="0.25">
      <c r="A639" s="275"/>
      <c r="B639" s="342"/>
      <c r="C639" s="369"/>
      <c r="D639" s="337"/>
      <c r="E639" s="275"/>
      <c r="F639" s="275"/>
      <c r="G639" s="275"/>
      <c r="H639" s="275"/>
      <c r="I639" s="275"/>
      <c r="J639" s="275"/>
      <c r="K639" s="275"/>
      <c r="L639" s="275"/>
      <c r="M639" s="275"/>
      <c r="N639" s="275"/>
      <c r="O639" s="275"/>
      <c r="P639" s="275"/>
      <c r="Q639" s="275"/>
      <c r="R639" s="275"/>
      <c r="S639" s="275"/>
      <c r="T639" s="275"/>
      <c r="U639" s="275"/>
      <c r="V639" s="275"/>
      <c r="W639" s="275"/>
      <c r="X639" s="275"/>
      <c r="Y639" s="275"/>
      <c r="Z639" s="275"/>
    </row>
    <row r="640" spans="1:26" ht="12.75" customHeight="1" x14ac:dyDescent="0.25">
      <c r="A640" s="275"/>
      <c r="B640" s="342"/>
      <c r="C640" s="369"/>
      <c r="D640" s="337"/>
      <c r="E640" s="275"/>
      <c r="F640" s="275"/>
      <c r="G640" s="275"/>
      <c r="H640" s="275"/>
      <c r="I640" s="275"/>
      <c r="J640" s="275"/>
      <c r="K640" s="275"/>
      <c r="L640" s="275"/>
      <c r="M640" s="275"/>
      <c r="N640" s="275"/>
      <c r="O640" s="275"/>
      <c r="P640" s="275"/>
      <c r="Q640" s="275"/>
      <c r="R640" s="275"/>
      <c r="S640" s="275"/>
      <c r="T640" s="275"/>
      <c r="U640" s="275"/>
      <c r="V640" s="275"/>
      <c r="W640" s="275"/>
      <c r="X640" s="275"/>
      <c r="Y640" s="275"/>
      <c r="Z640" s="275"/>
    </row>
    <row r="641" spans="1:26" ht="12.75" customHeight="1" x14ac:dyDescent="0.25">
      <c r="A641" s="275"/>
      <c r="B641" s="342"/>
      <c r="C641" s="369"/>
      <c r="D641" s="337"/>
      <c r="E641" s="275"/>
      <c r="F641" s="275"/>
      <c r="G641" s="275"/>
      <c r="H641" s="275"/>
      <c r="I641" s="275"/>
      <c r="J641" s="275"/>
      <c r="K641" s="275"/>
      <c r="L641" s="275"/>
      <c r="M641" s="275"/>
      <c r="N641" s="275"/>
      <c r="O641" s="275"/>
      <c r="P641" s="275"/>
      <c r="Q641" s="275"/>
      <c r="R641" s="275"/>
      <c r="S641" s="275"/>
      <c r="T641" s="275"/>
      <c r="U641" s="275"/>
      <c r="V641" s="275"/>
      <c r="W641" s="275"/>
      <c r="X641" s="275"/>
      <c r="Y641" s="275"/>
      <c r="Z641" s="275"/>
    </row>
    <row r="642" spans="1:26" ht="12.75" customHeight="1" x14ac:dyDescent="0.25">
      <c r="A642" s="275"/>
      <c r="B642" s="342"/>
      <c r="C642" s="369"/>
      <c r="D642" s="337"/>
      <c r="E642" s="275"/>
      <c r="F642" s="275"/>
      <c r="G642" s="275"/>
      <c r="H642" s="275"/>
      <c r="I642" s="275"/>
      <c r="J642" s="275"/>
      <c r="K642" s="275"/>
      <c r="L642" s="275"/>
      <c r="M642" s="275"/>
      <c r="N642" s="275"/>
      <c r="O642" s="275"/>
      <c r="P642" s="275"/>
      <c r="Q642" s="275"/>
      <c r="R642" s="275"/>
      <c r="S642" s="275"/>
      <c r="T642" s="275"/>
      <c r="U642" s="275"/>
      <c r="V642" s="275"/>
      <c r="W642" s="275"/>
      <c r="X642" s="275"/>
      <c r="Y642" s="275"/>
      <c r="Z642" s="275"/>
    </row>
    <row r="643" spans="1:26" ht="12.75" customHeight="1" x14ac:dyDescent="0.25">
      <c r="A643" s="275"/>
      <c r="B643" s="342"/>
      <c r="C643" s="369"/>
      <c r="D643" s="337"/>
      <c r="E643" s="275"/>
      <c r="F643" s="275"/>
      <c r="G643" s="275"/>
      <c r="H643" s="275"/>
      <c r="I643" s="275"/>
      <c r="J643" s="275"/>
      <c r="K643" s="275"/>
      <c r="L643" s="275"/>
      <c r="M643" s="275"/>
      <c r="N643" s="275"/>
      <c r="O643" s="275"/>
      <c r="P643" s="275"/>
      <c r="Q643" s="275"/>
      <c r="R643" s="275"/>
      <c r="S643" s="275"/>
      <c r="T643" s="275"/>
      <c r="U643" s="275"/>
      <c r="V643" s="275"/>
      <c r="W643" s="275"/>
      <c r="X643" s="275"/>
      <c r="Y643" s="275"/>
      <c r="Z643" s="275"/>
    </row>
    <row r="644" spans="1:26" ht="12.75" customHeight="1" x14ac:dyDescent="0.25">
      <c r="A644" s="275"/>
      <c r="B644" s="342"/>
      <c r="C644" s="369"/>
      <c r="D644" s="337"/>
      <c r="E644" s="275"/>
      <c r="F644" s="275"/>
      <c r="G644" s="275"/>
      <c r="H644" s="275"/>
      <c r="I644" s="275"/>
      <c r="J644" s="275"/>
      <c r="K644" s="275"/>
      <c r="L644" s="275"/>
      <c r="M644" s="275"/>
      <c r="N644" s="275"/>
      <c r="O644" s="275"/>
      <c r="P644" s="275"/>
      <c r="Q644" s="275"/>
      <c r="R644" s="275"/>
      <c r="S644" s="275"/>
      <c r="T644" s="275"/>
      <c r="U644" s="275"/>
      <c r="V644" s="275"/>
      <c r="W644" s="275"/>
      <c r="X644" s="275"/>
      <c r="Y644" s="275"/>
      <c r="Z644" s="275"/>
    </row>
    <row r="645" spans="1:26" ht="12.75" customHeight="1" x14ac:dyDescent="0.25">
      <c r="A645" s="275"/>
      <c r="B645" s="342"/>
      <c r="C645" s="369"/>
      <c r="D645" s="337"/>
      <c r="E645" s="275"/>
      <c r="F645" s="275"/>
      <c r="G645" s="275"/>
      <c r="H645" s="275"/>
      <c r="I645" s="275"/>
      <c r="J645" s="275"/>
      <c r="K645" s="275"/>
      <c r="L645" s="275"/>
      <c r="M645" s="275"/>
      <c r="N645" s="275"/>
      <c r="O645" s="275"/>
      <c r="P645" s="275"/>
      <c r="Q645" s="275"/>
      <c r="R645" s="275"/>
      <c r="S645" s="275"/>
      <c r="T645" s="275"/>
      <c r="U645" s="275"/>
      <c r="V645" s="275"/>
      <c r="W645" s="275"/>
      <c r="X645" s="275"/>
      <c r="Y645" s="275"/>
      <c r="Z645" s="275"/>
    </row>
    <row r="646" spans="1:26" ht="12.75" customHeight="1" x14ac:dyDescent="0.25">
      <c r="A646" s="275"/>
      <c r="B646" s="342"/>
      <c r="C646" s="369"/>
      <c r="D646" s="337"/>
      <c r="E646" s="275"/>
      <c r="F646" s="275"/>
      <c r="G646" s="275"/>
      <c r="H646" s="275"/>
      <c r="I646" s="275"/>
      <c r="J646" s="275"/>
      <c r="K646" s="275"/>
      <c r="L646" s="275"/>
      <c r="M646" s="275"/>
      <c r="N646" s="275"/>
      <c r="O646" s="275"/>
      <c r="P646" s="275"/>
      <c r="Q646" s="275"/>
      <c r="R646" s="275"/>
      <c r="S646" s="275"/>
      <c r="T646" s="275"/>
      <c r="U646" s="275"/>
      <c r="V646" s="275"/>
      <c r="W646" s="275"/>
      <c r="X646" s="275"/>
      <c r="Y646" s="275"/>
      <c r="Z646" s="275"/>
    </row>
    <row r="647" spans="1:26" ht="12.75" customHeight="1" x14ac:dyDescent="0.25">
      <c r="A647" s="275"/>
      <c r="B647" s="342"/>
      <c r="C647" s="369"/>
      <c r="D647" s="337"/>
      <c r="E647" s="275"/>
      <c r="F647" s="275"/>
      <c r="G647" s="275"/>
      <c r="H647" s="275"/>
      <c r="I647" s="275"/>
      <c r="J647" s="275"/>
      <c r="K647" s="275"/>
      <c r="L647" s="275"/>
      <c r="M647" s="275"/>
      <c r="N647" s="275"/>
      <c r="O647" s="275"/>
      <c r="P647" s="275"/>
      <c r="Q647" s="275"/>
      <c r="R647" s="275"/>
      <c r="S647" s="275"/>
      <c r="T647" s="275"/>
      <c r="U647" s="275"/>
      <c r="V647" s="275"/>
      <c r="W647" s="275"/>
      <c r="X647" s="275"/>
      <c r="Y647" s="275"/>
      <c r="Z647" s="275"/>
    </row>
    <row r="648" spans="1:26" ht="12.75" customHeight="1" x14ac:dyDescent="0.25">
      <c r="A648" s="275"/>
      <c r="B648" s="342"/>
      <c r="C648" s="369"/>
      <c r="D648" s="337"/>
      <c r="E648" s="275"/>
      <c r="F648" s="275"/>
      <c r="G648" s="275"/>
      <c r="H648" s="275"/>
      <c r="I648" s="275"/>
      <c r="J648" s="275"/>
      <c r="K648" s="275"/>
      <c r="L648" s="275"/>
      <c r="M648" s="275"/>
      <c r="N648" s="275"/>
      <c r="O648" s="275"/>
      <c r="P648" s="275"/>
      <c r="Q648" s="275"/>
      <c r="R648" s="275"/>
      <c r="S648" s="275"/>
      <c r="T648" s="275"/>
      <c r="U648" s="275"/>
      <c r="V648" s="275"/>
      <c r="W648" s="275"/>
      <c r="X648" s="275"/>
      <c r="Y648" s="275"/>
      <c r="Z648" s="275"/>
    </row>
    <row r="649" spans="1:26" ht="12.75" customHeight="1" x14ac:dyDescent="0.25">
      <c r="A649" s="275"/>
      <c r="B649" s="342"/>
      <c r="C649" s="369"/>
      <c r="D649" s="337"/>
      <c r="E649" s="275"/>
      <c r="F649" s="275"/>
      <c r="G649" s="275"/>
      <c r="H649" s="275"/>
      <c r="I649" s="275"/>
      <c r="J649" s="275"/>
      <c r="K649" s="275"/>
      <c r="L649" s="275"/>
      <c r="M649" s="275"/>
      <c r="N649" s="275"/>
      <c r="O649" s="275"/>
      <c r="P649" s="275"/>
      <c r="Q649" s="275"/>
      <c r="R649" s="275"/>
      <c r="S649" s="275"/>
      <c r="T649" s="275"/>
      <c r="U649" s="275"/>
      <c r="V649" s="275"/>
      <c r="W649" s="275"/>
      <c r="X649" s="275"/>
      <c r="Y649" s="275"/>
      <c r="Z649" s="275"/>
    </row>
    <row r="650" spans="1:26" ht="12.75" customHeight="1" x14ac:dyDescent="0.25">
      <c r="A650" s="275"/>
      <c r="B650" s="342"/>
      <c r="C650" s="369"/>
      <c r="D650" s="337"/>
      <c r="E650" s="275"/>
      <c r="F650" s="275"/>
      <c r="G650" s="275"/>
      <c r="H650" s="275"/>
      <c r="I650" s="275"/>
      <c r="J650" s="275"/>
      <c r="K650" s="275"/>
      <c r="L650" s="275"/>
      <c r="M650" s="275"/>
      <c r="N650" s="275"/>
      <c r="O650" s="275"/>
      <c r="P650" s="275"/>
      <c r="Q650" s="275"/>
      <c r="R650" s="275"/>
      <c r="S650" s="275"/>
      <c r="T650" s="275"/>
      <c r="U650" s="275"/>
      <c r="V650" s="275"/>
      <c r="W650" s="275"/>
      <c r="X650" s="275"/>
      <c r="Y650" s="275"/>
      <c r="Z650" s="275"/>
    </row>
    <row r="651" spans="1:26" ht="12.75" customHeight="1" x14ac:dyDescent="0.25">
      <c r="A651" s="275"/>
      <c r="B651" s="342"/>
      <c r="C651" s="369"/>
      <c r="D651" s="337"/>
      <c r="E651" s="275"/>
      <c r="F651" s="275"/>
      <c r="G651" s="275"/>
      <c r="H651" s="275"/>
      <c r="I651" s="275"/>
      <c r="J651" s="275"/>
      <c r="K651" s="275"/>
      <c r="L651" s="275"/>
      <c r="M651" s="275"/>
      <c r="N651" s="275"/>
      <c r="O651" s="275"/>
      <c r="P651" s="275"/>
      <c r="Q651" s="275"/>
      <c r="R651" s="275"/>
      <c r="S651" s="275"/>
      <c r="T651" s="275"/>
      <c r="U651" s="275"/>
      <c r="V651" s="275"/>
      <c r="W651" s="275"/>
      <c r="X651" s="275"/>
      <c r="Y651" s="275"/>
      <c r="Z651" s="275"/>
    </row>
    <row r="652" spans="1:26" ht="12.75" customHeight="1" x14ac:dyDescent="0.25">
      <c r="A652" s="275"/>
      <c r="B652" s="342"/>
      <c r="C652" s="369"/>
      <c r="D652" s="337"/>
      <c r="E652" s="275"/>
      <c r="F652" s="275"/>
      <c r="G652" s="275"/>
      <c r="H652" s="275"/>
      <c r="I652" s="275"/>
      <c r="J652" s="275"/>
      <c r="K652" s="275"/>
      <c r="L652" s="275"/>
      <c r="M652" s="275"/>
      <c r="N652" s="275"/>
      <c r="O652" s="275"/>
      <c r="P652" s="275"/>
      <c r="Q652" s="275"/>
      <c r="R652" s="275"/>
      <c r="S652" s="275"/>
      <c r="T652" s="275"/>
      <c r="U652" s="275"/>
      <c r="V652" s="275"/>
      <c r="W652" s="275"/>
      <c r="X652" s="275"/>
      <c r="Y652" s="275"/>
      <c r="Z652" s="275"/>
    </row>
    <row r="653" spans="1:26" ht="12.75" customHeight="1" x14ac:dyDescent="0.25">
      <c r="A653" s="275"/>
      <c r="B653" s="342"/>
      <c r="C653" s="369"/>
      <c r="D653" s="337"/>
      <c r="E653" s="275"/>
      <c r="F653" s="275"/>
      <c r="G653" s="275"/>
      <c r="H653" s="275"/>
      <c r="I653" s="275"/>
      <c r="J653" s="275"/>
      <c r="K653" s="275"/>
      <c r="L653" s="275"/>
      <c r="M653" s="275"/>
      <c r="N653" s="275"/>
      <c r="O653" s="275"/>
      <c r="P653" s="275"/>
      <c r="Q653" s="275"/>
      <c r="R653" s="275"/>
      <c r="S653" s="275"/>
      <c r="T653" s="275"/>
      <c r="U653" s="275"/>
      <c r="V653" s="275"/>
      <c r="W653" s="275"/>
      <c r="X653" s="275"/>
      <c r="Y653" s="275"/>
      <c r="Z653" s="275"/>
    </row>
    <row r="654" spans="1:26" ht="12.75" customHeight="1" x14ac:dyDescent="0.25">
      <c r="A654" s="275"/>
      <c r="B654" s="342"/>
      <c r="C654" s="369"/>
      <c r="D654" s="337"/>
      <c r="E654" s="275"/>
      <c r="F654" s="275"/>
      <c r="G654" s="275"/>
      <c r="H654" s="275"/>
      <c r="I654" s="275"/>
      <c r="J654" s="275"/>
      <c r="K654" s="275"/>
      <c r="L654" s="275"/>
      <c r="M654" s="275"/>
      <c r="N654" s="275"/>
      <c r="O654" s="275"/>
      <c r="P654" s="275"/>
      <c r="Q654" s="275"/>
      <c r="R654" s="275"/>
      <c r="S654" s="275"/>
      <c r="T654" s="275"/>
      <c r="U654" s="275"/>
      <c r="V654" s="275"/>
      <c r="W654" s="275"/>
      <c r="X654" s="275"/>
      <c r="Y654" s="275"/>
      <c r="Z654" s="275"/>
    </row>
    <row r="655" spans="1:26" ht="12.75" customHeight="1" x14ac:dyDescent="0.25">
      <c r="A655" s="275"/>
      <c r="B655" s="342"/>
      <c r="C655" s="369"/>
      <c r="D655" s="337"/>
      <c r="E655" s="275"/>
      <c r="F655" s="275"/>
      <c r="G655" s="275"/>
      <c r="H655" s="275"/>
      <c r="I655" s="275"/>
      <c r="J655" s="275"/>
      <c r="K655" s="275"/>
      <c r="L655" s="275"/>
      <c r="M655" s="275"/>
      <c r="N655" s="275"/>
      <c r="O655" s="275"/>
      <c r="P655" s="275"/>
      <c r="Q655" s="275"/>
      <c r="R655" s="275"/>
      <c r="S655" s="275"/>
      <c r="T655" s="275"/>
      <c r="U655" s="275"/>
      <c r="V655" s="275"/>
      <c r="W655" s="275"/>
      <c r="X655" s="275"/>
      <c r="Y655" s="275"/>
      <c r="Z655" s="275"/>
    </row>
    <row r="656" spans="1:26" ht="12.75" customHeight="1" x14ac:dyDescent="0.25">
      <c r="A656" s="275"/>
      <c r="B656" s="342"/>
      <c r="C656" s="369"/>
      <c r="D656" s="337"/>
      <c r="E656" s="275"/>
      <c r="F656" s="275"/>
      <c r="G656" s="275"/>
      <c r="H656" s="275"/>
      <c r="I656" s="275"/>
      <c r="J656" s="275"/>
      <c r="K656" s="275"/>
      <c r="L656" s="275"/>
      <c r="M656" s="275"/>
      <c r="N656" s="275"/>
      <c r="O656" s="275"/>
      <c r="P656" s="275"/>
      <c r="Q656" s="275"/>
      <c r="R656" s="275"/>
      <c r="S656" s="275"/>
      <c r="T656" s="275"/>
      <c r="U656" s="275"/>
      <c r="V656" s="275"/>
      <c r="W656" s="275"/>
      <c r="X656" s="275"/>
      <c r="Y656" s="275"/>
      <c r="Z656" s="275"/>
    </row>
    <row r="657" spans="1:26" ht="12.75" customHeight="1" x14ac:dyDescent="0.25">
      <c r="A657" s="275"/>
      <c r="B657" s="342"/>
      <c r="C657" s="369"/>
      <c r="D657" s="337"/>
      <c r="E657" s="275"/>
      <c r="F657" s="275"/>
      <c r="G657" s="275"/>
      <c r="H657" s="275"/>
      <c r="I657" s="275"/>
      <c r="J657" s="275"/>
      <c r="K657" s="275"/>
      <c r="L657" s="275"/>
      <c r="M657" s="275"/>
      <c r="N657" s="275"/>
      <c r="O657" s="275"/>
      <c r="P657" s="275"/>
      <c r="Q657" s="275"/>
      <c r="R657" s="275"/>
      <c r="S657" s="275"/>
      <c r="T657" s="275"/>
      <c r="U657" s="275"/>
      <c r="V657" s="275"/>
      <c r="W657" s="275"/>
      <c r="X657" s="275"/>
      <c r="Y657" s="275"/>
      <c r="Z657" s="275"/>
    </row>
    <row r="658" spans="1:26" ht="12.75" customHeight="1" x14ac:dyDescent="0.25">
      <c r="A658" s="275"/>
      <c r="B658" s="342"/>
      <c r="C658" s="369"/>
      <c r="D658" s="337"/>
      <c r="E658" s="275"/>
      <c r="F658" s="275"/>
      <c r="G658" s="275"/>
      <c r="H658" s="275"/>
      <c r="I658" s="275"/>
      <c r="J658" s="275"/>
      <c r="K658" s="275"/>
      <c r="L658" s="275"/>
      <c r="M658" s="275"/>
      <c r="N658" s="275"/>
      <c r="O658" s="275"/>
      <c r="P658" s="275"/>
      <c r="Q658" s="275"/>
      <c r="R658" s="275"/>
      <c r="S658" s="275"/>
      <c r="T658" s="275"/>
      <c r="U658" s="275"/>
      <c r="V658" s="275"/>
      <c r="W658" s="275"/>
      <c r="X658" s="275"/>
      <c r="Y658" s="275"/>
      <c r="Z658" s="275"/>
    </row>
    <row r="659" spans="1:26" ht="12.75" customHeight="1" x14ac:dyDescent="0.25">
      <c r="A659" s="275"/>
      <c r="B659" s="342"/>
      <c r="C659" s="369"/>
      <c r="D659" s="337"/>
      <c r="E659" s="275"/>
      <c r="F659" s="275"/>
      <c r="G659" s="275"/>
      <c r="H659" s="275"/>
      <c r="I659" s="275"/>
      <c r="J659" s="275"/>
      <c r="K659" s="275"/>
      <c r="L659" s="275"/>
      <c r="M659" s="275"/>
      <c r="N659" s="275"/>
      <c r="O659" s="275"/>
      <c r="P659" s="275"/>
      <c r="Q659" s="275"/>
      <c r="R659" s="275"/>
      <c r="S659" s="275"/>
      <c r="T659" s="275"/>
      <c r="U659" s="275"/>
      <c r="V659" s="275"/>
      <c r="W659" s="275"/>
      <c r="X659" s="275"/>
      <c r="Y659" s="275"/>
      <c r="Z659" s="275"/>
    </row>
    <row r="660" spans="1:26" ht="12.75" customHeight="1" x14ac:dyDescent="0.25">
      <c r="A660" s="275"/>
      <c r="B660" s="342"/>
      <c r="C660" s="369"/>
      <c r="D660" s="337"/>
      <c r="E660" s="275"/>
      <c r="F660" s="275"/>
      <c r="G660" s="275"/>
      <c r="H660" s="275"/>
      <c r="I660" s="275"/>
      <c r="J660" s="275"/>
      <c r="K660" s="275"/>
      <c r="L660" s="275"/>
      <c r="M660" s="275"/>
      <c r="N660" s="275"/>
      <c r="O660" s="275"/>
      <c r="P660" s="275"/>
      <c r="Q660" s="275"/>
      <c r="R660" s="275"/>
      <c r="S660" s="275"/>
      <c r="T660" s="275"/>
      <c r="U660" s="275"/>
      <c r="V660" s="275"/>
      <c r="W660" s="275"/>
      <c r="X660" s="275"/>
      <c r="Y660" s="275"/>
      <c r="Z660" s="275"/>
    </row>
    <row r="661" spans="1:26" ht="12.75" customHeight="1" x14ac:dyDescent="0.25">
      <c r="A661" s="275"/>
      <c r="B661" s="342"/>
      <c r="C661" s="369"/>
      <c r="D661" s="337"/>
      <c r="E661" s="275"/>
      <c r="F661" s="275"/>
      <c r="G661" s="275"/>
      <c r="H661" s="275"/>
      <c r="I661" s="275"/>
      <c r="J661" s="275"/>
      <c r="K661" s="275"/>
      <c r="L661" s="275"/>
      <c r="M661" s="275"/>
      <c r="N661" s="275"/>
      <c r="O661" s="275"/>
      <c r="P661" s="275"/>
      <c r="Q661" s="275"/>
      <c r="R661" s="275"/>
      <c r="S661" s="275"/>
      <c r="T661" s="275"/>
      <c r="U661" s="275"/>
      <c r="V661" s="275"/>
      <c r="W661" s="275"/>
      <c r="X661" s="275"/>
      <c r="Y661" s="275"/>
      <c r="Z661" s="275"/>
    </row>
    <row r="662" spans="1:26" ht="12.75" customHeight="1" x14ac:dyDescent="0.25">
      <c r="A662" s="275"/>
      <c r="B662" s="342"/>
      <c r="C662" s="369"/>
      <c r="D662" s="337"/>
      <c r="E662" s="275"/>
      <c r="F662" s="275"/>
      <c r="G662" s="275"/>
      <c r="H662" s="275"/>
      <c r="I662" s="275"/>
      <c r="J662" s="275"/>
      <c r="K662" s="275"/>
      <c r="L662" s="275"/>
      <c r="M662" s="275"/>
      <c r="N662" s="275"/>
      <c r="O662" s="275"/>
      <c r="P662" s="275"/>
      <c r="Q662" s="275"/>
      <c r="R662" s="275"/>
      <c r="S662" s="275"/>
      <c r="T662" s="275"/>
      <c r="U662" s="275"/>
      <c r="V662" s="275"/>
      <c r="W662" s="275"/>
      <c r="X662" s="275"/>
      <c r="Y662" s="275"/>
      <c r="Z662" s="275"/>
    </row>
    <row r="663" spans="1:26" ht="12.75" customHeight="1" x14ac:dyDescent="0.25">
      <c r="A663" s="275"/>
      <c r="B663" s="342"/>
      <c r="C663" s="369"/>
      <c r="D663" s="337"/>
      <c r="E663" s="275"/>
      <c r="F663" s="275"/>
      <c r="G663" s="275"/>
      <c r="H663" s="275"/>
      <c r="I663" s="275"/>
      <c r="J663" s="275"/>
      <c r="K663" s="275"/>
      <c r="L663" s="275"/>
      <c r="M663" s="275"/>
      <c r="N663" s="275"/>
      <c r="O663" s="275"/>
      <c r="P663" s="275"/>
      <c r="Q663" s="275"/>
      <c r="R663" s="275"/>
      <c r="S663" s="275"/>
      <c r="T663" s="275"/>
      <c r="U663" s="275"/>
      <c r="V663" s="275"/>
      <c r="W663" s="275"/>
      <c r="X663" s="275"/>
      <c r="Y663" s="275"/>
      <c r="Z663" s="275"/>
    </row>
    <row r="664" spans="1:26" ht="12.75" customHeight="1" x14ac:dyDescent="0.25">
      <c r="A664" s="275"/>
      <c r="B664" s="342"/>
      <c r="C664" s="369"/>
      <c r="D664" s="337"/>
      <c r="E664" s="275"/>
      <c r="F664" s="275"/>
      <c r="G664" s="275"/>
      <c r="H664" s="275"/>
      <c r="I664" s="275"/>
      <c r="J664" s="275"/>
      <c r="K664" s="275"/>
      <c r="L664" s="275"/>
      <c r="M664" s="275"/>
      <c r="N664" s="275"/>
      <c r="O664" s="275"/>
      <c r="P664" s="275"/>
      <c r="Q664" s="275"/>
      <c r="R664" s="275"/>
      <c r="S664" s="275"/>
      <c r="T664" s="275"/>
      <c r="U664" s="275"/>
      <c r="V664" s="275"/>
      <c r="W664" s="275"/>
      <c r="X664" s="275"/>
      <c r="Y664" s="275"/>
      <c r="Z664" s="275"/>
    </row>
    <row r="665" spans="1:26" ht="12.75" customHeight="1" x14ac:dyDescent="0.25">
      <c r="A665" s="275"/>
      <c r="B665" s="342"/>
      <c r="C665" s="369"/>
      <c r="D665" s="337"/>
      <c r="E665" s="275"/>
      <c r="F665" s="275"/>
      <c r="G665" s="275"/>
      <c r="H665" s="275"/>
      <c r="I665" s="275"/>
      <c r="J665" s="275"/>
      <c r="K665" s="275"/>
      <c r="L665" s="275"/>
      <c r="M665" s="275"/>
      <c r="N665" s="275"/>
      <c r="O665" s="275"/>
      <c r="P665" s="275"/>
      <c r="Q665" s="275"/>
      <c r="R665" s="275"/>
      <c r="S665" s="275"/>
      <c r="T665" s="275"/>
      <c r="U665" s="275"/>
      <c r="V665" s="275"/>
      <c r="W665" s="275"/>
      <c r="X665" s="275"/>
      <c r="Y665" s="275"/>
      <c r="Z665" s="275"/>
    </row>
    <row r="666" spans="1:26" ht="12.75" customHeight="1" x14ac:dyDescent="0.25">
      <c r="A666" s="275"/>
      <c r="B666" s="342"/>
      <c r="C666" s="369"/>
      <c r="D666" s="337"/>
      <c r="E666" s="275"/>
      <c r="F666" s="275"/>
      <c r="G666" s="275"/>
      <c r="H666" s="275"/>
      <c r="I666" s="275"/>
      <c r="J666" s="275"/>
      <c r="K666" s="275"/>
      <c r="L666" s="275"/>
      <c r="M666" s="275"/>
      <c r="N666" s="275"/>
      <c r="O666" s="275"/>
      <c r="P666" s="275"/>
      <c r="Q666" s="275"/>
      <c r="R666" s="275"/>
      <c r="S666" s="275"/>
      <c r="T666" s="275"/>
      <c r="U666" s="275"/>
      <c r="V666" s="275"/>
      <c r="W666" s="275"/>
      <c r="X666" s="275"/>
      <c r="Y666" s="275"/>
      <c r="Z666" s="275"/>
    </row>
    <row r="667" spans="1:26" ht="12.75" customHeight="1" x14ac:dyDescent="0.25">
      <c r="A667" s="275"/>
      <c r="B667" s="342"/>
      <c r="C667" s="369"/>
      <c r="D667" s="337"/>
      <c r="E667" s="275"/>
      <c r="F667" s="275"/>
      <c r="G667" s="275"/>
      <c r="H667" s="275"/>
      <c r="I667" s="275"/>
      <c r="J667" s="275"/>
      <c r="K667" s="275"/>
      <c r="L667" s="275"/>
      <c r="M667" s="275"/>
      <c r="N667" s="275"/>
      <c r="O667" s="275"/>
      <c r="P667" s="275"/>
      <c r="Q667" s="275"/>
      <c r="R667" s="275"/>
      <c r="S667" s="275"/>
      <c r="T667" s="275"/>
      <c r="U667" s="275"/>
      <c r="V667" s="275"/>
      <c r="W667" s="275"/>
      <c r="X667" s="275"/>
      <c r="Y667" s="275"/>
      <c r="Z667" s="275"/>
    </row>
    <row r="668" spans="1:26" ht="12.75" customHeight="1" x14ac:dyDescent="0.25">
      <c r="A668" s="275"/>
      <c r="B668" s="342"/>
      <c r="C668" s="369"/>
      <c r="D668" s="337"/>
      <c r="E668" s="275"/>
      <c r="F668" s="275"/>
      <c r="G668" s="275"/>
      <c r="H668" s="275"/>
      <c r="I668" s="275"/>
      <c r="J668" s="275"/>
      <c r="K668" s="275"/>
      <c r="L668" s="275"/>
      <c r="M668" s="275"/>
      <c r="N668" s="275"/>
      <c r="O668" s="275"/>
      <c r="P668" s="275"/>
      <c r="Q668" s="275"/>
      <c r="R668" s="275"/>
      <c r="S668" s="275"/>
      <c r="T668" s="275"/>
      <c r="U668" s="275"/>
      <c r="V668" s="275"/>
      <c r="W668" s="275"/>
      <c r="X668" s="275"/>
      <c r="Y668" s="275"/>
      <c r="Z668" s="275"/>
    </row>
    <row r="669" spans="1:26" ht="12.75" customHeight="1" x14ac:dyDescent="0.25">
      <c r="A669" s="275"/>
      <c r="B669" s="342"/>
      <c r="C669" s="369"/>
      <c r="D669" s="337"/>
      <c r="E669" s="275"/>
      <c r="F669" s="275"/>
      <c r="G669" s="275"/>
      <c r="H669" s="275"/>
      <c r="I669" s="275"/>
      <c r="J669" s="275"/>
      <c r="K669" s="275"/>
      <c r="L669" s="275"/>
      <c r="M669" s="275"/>
      <c r="N669" s="275"/>
      <c r="O669" s="275"/>
      <c r="P669" s="275"/>
      <c r="Q669" s="275"/>
      <c r="R669" s="275"/>
      <c r="S669" s="275"/>
      <c r="T669" s="275"/>
      <c r="U669" s="275"/>
      <c r="V669" s="275"/>
      <c r="W669" s="275"/>
      <c r="X669" s="275"/>
      <c r="Y669" s="275"/>
      <c r="Z669" s="275"/>
    </row>
    <row r="670" spans="1:26" ht="12.75" customHeight="1" x14ac:dyDescent="0.25">
      <c r="A670" s="275"/>
      <c r="B670" s="342"/>
      <c r="C670" s="369"/>
      <c r="D670" s="337"/>
      <c r="E670" s="275"/>
      <c r="F670" s="275"/>
      <c r="G670" s="275"/>
      <c r="H670" s="275"/>
      <c r="I670" s="275"/>
      <c r="J670" s="275"/>
      <c r="K670" s="275"/>
      <c r="L670" s="275"/>
      <c r="M670" s="275"/>
      <c r="N670" s="275"/>
      <c r="O670" s="275"/>
      <c r="P670" s="275"/>
      <c r="Q670" s="275"/>
      <c r="R670" s="275"/>
      <c r="S670" s="275"/>
      <c r="T670" s="275"/>
      <c r="U670" s="275"/>
      <c r="V670" s="275"/>
      <c r="W670" s="275"/>
      <c r="X670" s="275"/>
      <c r="Y670" s="275"/>
      <c r="Z670" s="275"/>
    </row>
    <row r="671" spans="1:26" ht="12.75" customHeight="1" x14ac:dyDescent="0.25">
      <c r="A671" s="275"/>
      <c r="B671" s="342"/>
      <c r="C671" s="369"/>
      <c r="D671" s="337"/>
      <c r="E671" s="275"/>
      <c r="F671" s="275"/>
      <c r="G671" s="275"/>
      <c r="H671" s="275"/>
      <c r="I671" s="275"/>
      <c r="J671" s="275"/>
      <c r="K671" s="275"/>
      <c r="L671" s="275"/>
      <c r="M671" s="275"/>
      <c r="N671" s="275"/>
      <c r="O671" s="275"/>
      <c r="P671" s="275"/>
      <c r="Q671" s="275"/>
      <c r="R671" s="275"/>
      <c r="S671" s="275"/>
      <c r="T671" s="275"/>
      <c r="U671" s="275"/>
      <c r="V671" s="275"/>
      <c r="W671" s="275"/>
      <c r="X671" s="275"/>
      <c r="Y671" s="275"/>
      <c r="Z671" s="275"/>
    </row>
    <row r="672" spans="1:26" ht="12.75" customHeight="1" x14ac:dyDescent="0.25">
      <c r="A672" s="275"/>
      <c r="B672" s="342"/>
      <c r="C672" s="369"/>
      <c r="D672" s="337"/>
      <c r="E672" s="275"/>
      <c r="F672" s="275"/>
      <c r="G672" s="275"/>
      <c r="H672" s="275"/>
      <c r="I672" s="275"/>
      <c r="J672" s="275"/>
      <c r="K672" s="275"/>
      <c r="L672" s="275"/>
      <c r="M672" s="275"/>
      <c r="N672" s="275"/>
      <c r="O672" s="275"/>
      <c r="P672" s="275"/>
      <c r="Q672" s="275"/>
      <c r="R672" s="275"/>
      <c r="S672" s="275"/>
      <c r="T672" s="275"/>
      <c r="U672" s="275"/>
      <c r="V672" s="275"/>
      <c r="W672" s="275"/>
      <c r="X672" s="275"/>
      <c r="Y672" s="275"/>
      <c r="Z672" s="275"/>
    </row>
    <row r="673" spans="1:26" ht="12.75" customHeight="1" x14ac:dyDescent="0.25">
      <c r="A673" s="275"/>
      <c r="B673" s="342"/>
      <c r="C673" s="369"/>
      <c r="D673" s="337"/>
      <c r="E673" s="275"/>
      <c r="F673" s="275"/>
      <c r="G673" s="275"/>
      <c r="H673" s="275"/>
      <c r="I673" s="275"/>
      <c r="J673" s="275"/>
      <c r="K673" s="275"/>
      <c r="L673" s="275"/>
      <c r="M673" s="275"/>
      <c r="N673" s="275"/>
      <c r="O673" s="275"/>
      <c r="P673" s="275"/>
      <c r="Q673" s="275"/>
      <c r="R673" s="275"/>
      <c r="S673" s="275"/>
      <c r="T673" s="275"/>
      <c r="U673" s="275"/>
      <c r="V673" s="275"/>
      <c r="W673" s="275"/>
      <c r="X673" s="275"/>
      <c r="Y673" s="275"/>
      <c r="Z673" s="275"/>
    </row>
    <row r="674" spans="1:26" ht="12.75" customHeight="1" x14ac:dyDescent="0.25">
      <c r="A674" s="275"/>
      <c r="B674" s="342"/>
      <c r="C674" s="369"/>
      <c r="D674" s="337"/>
      <c r="E674" s="275"/>
      <c r="F674" s="275"/>
      <c r="G674" s="275"/>
      <c r="H674" s="275"/>
      <c r="I674" s="275"/>
      <c r="J674" s="275"/>
      <c r="K674" s="275"/>
      <c r="L674" s="275"/>
      <c r="M674" s="275"/>
      <c r="N674" s="275"/>
      <c r="O674" s="275"/>
      <c r="P674" s="275"/>
      <c r="Q674" s="275"/>
      <c r="R674" s="275"/>
      <c r="S674" s="275"/>
      <c r="T674" s="275"/>
      <c r="U674" s="275"/>
      <c r="V674" s="275"/>
      <c r="W674" s="275"/>
      <c r="X674" s="275"/>
      <c r="Y674" s="275"/>
      <c r="Z674" s="275"/>
    </row>
    <row r="675" spans="1:26" ht="12.75" customHeight="1" x14ac:dyDescent="0.25">
      <c r="A675" s="275"/>
      <c r="B675" s="342"/>
      <c r="C675" s="369"/>
      <c r="D675" s="337"/>
      <c r="E675" s="275"/>
      <c r="F675" s="275"/>
      <c r="G675" s="275"/>
      <c r="H675" s="275"/>
      <c r="I675" s="275"/>
      <c r="J675" s="275"/>
      <c r="K675" s="275"/>
      <c r="L675" s="275"/>
      <c r="M675" s="275"/>
      <c r="N675" s="275"/>
      <c r="O675" s="275"/>
      <c r="P675" s="275"/>
      <c r="Q675" s="275"/>
      <c r="R675" s="275"/>
      <c r="S675" s="275"/>
      <c r="T675" s="275"/>
      <c r="U675" s="275"/>
      <c r="V675" s="275"/>
      <c r="W675" s="275"/>
      <c r="X675" s="275"/>
      <c r="Y675" s="275"/>
      <c r="Z675" s="275"/>
    </row>
    <row r="676" spans="1:26" ht="12.75" customHeight="1" x14ac:dyDescent="0.25">
      <c r="A676" s="275"/>
      <c r="B676" s="342"/>
      <c r="C676" s="369"/>
      <c r="D676" s="337"/>
      <c r="E676" s="275"/>
      <c r="F676" s="275"/>
      <c r="G676" s="275"/>
      <c r="H676" s="275"/>
      <c r="I676" s="275"/>
      <c r="J676" s="275"/>
      <c r="K676" s="275"/>
      <c r="L676" s="275"/>
      <c r="M676" s="275"/>
      <c r="N676" s="275"/>
      <c r="O676" s="275"/>
      <c r="P676" s="275"/>
      <c r="Q676" s="275"/>
      <c r="R676" s="275"/>
      <c r="S676" s="275"/>
      <c r="T676" s="275"/>
      <c r="U676" s="275"/>
      <c r="V676" s="275"/>
      <c r="W676" s="275"/>
      <c r="X676" s="275"/>
      <c r="Y676" s="275"/>
      <c r="Z676" s="275"/>
    </row>
    <row r="677" spans="1:26" ht="12.75" customHeight="1" x14ac:dyDescent="0.25">
      <c r="A677" s="275"/>
      <c r="B677" s="342"/>
      <c r="C677" s="369"/>
      <c r="D677" s="337"/>
      <c r="E677" s="275"/>
      <c r="F677" s="275"/>
      <c r="G677" s="275"/>
      <c r="H677" s="275"/>
      <c r="I677" s="275"/>
      <c r="J677" s="275"/>
      <c r="K677" s="275"/>
      <c r="L677" s="275"/>
      <c r="M677" s="275"/>
      <c r="N677" s="275"/>
      <c r="O677" s="275"/>
      <c r="P677" s="275"/>
      <c r="Q677" s="275"/>
      <c r="R677" s="275"/>
      <c r="S677" s="275"/>
      <c r="T677" s="275"/>
      <c r="U677" s="275"/>
      <c r="V677" s="275"/>
      <c r="W677" s="275"/>
      <c r="X677" s="275"/>
      <c r="Y677" s="275"/>
      <c r="Z677" s="275"/>
    </row>
    <row r="678" spans="1:26" ht="12.75" customHeight="1" x14ac:dyDescent="0.25">
      <c r="A678" s="275"/>
      <c r="B678" s="342"/>
      <c r="C678" s="369"/>
      <c r="D678" s="337"/>
      <c r="E678" s="275"/>
      <c r="F678" s="275"/>
      <c r="G678" s="275"/>
      <c r="H678" s="275"/>
      <c r="I678" s="275"/>
      <c r="J678" s="275"/>
      <c r="K678" s="275"/>
      <c r="L678" s="275"/>
      <c r="M678" s="275"/>
      <c r="N678" s="275"/>
      <c r="O678" s="275"/>
      <c r="P678" s="275"/>
      <c r="Q678" s="275"/>
      <c r="R678" s="275"/>
      <c r="S678" s="275"/>
      <c r="T678" s="275"/>
      <c r="U678" s="275"/>
      <c r="V678" s="275"/>
      <c r="W678" s="275"/>
      <c r="X678" s="275"/>
      <c r="Y678" s="275"/>
      <c r="Z678" s="275"/>
    </row>
    <row r="679" spans="1:26" ht="12.75" customHeight="1" x14ac:dyDescent="0.25">
      <c r="A679" s="275"/>
      <c r="B679" s="342"/>
      <c r="C679" s="369"/>
      <c r="D679" s="337"/>
      <c r="E679" s="275"/>
      <c r="F679" s="275"/>
      <c r="G679" s="275"/>
      <c r="H679" s="275"/>
      <c r="I679" s="275"/>
      <c r="J679" s="275"/>
      <c r="K679" s="275"/>
      <c r="L679" s="275"/>
      <c r="M679" s="275"/>
      <c r="N679" s="275"/>
      <c r="O679" s="275"/>
      <c r="P679" s="275"/>
      <c r="Q679" s="275"/>
      <c r="R679" s="275"/>
      <c r="S679" s="275"/>
      <c r="T679" s="275"/>
      <c r="U679" s="275"/>
      <c r="V679" s="275"/>
      <c r="W679" s="275"/>
      <c r="X679" s="275"/>
      <c r="Y679" s="275"/>
      <c r="Z679" s="275"/>
    </row>
    <row r="680" spans="1:26" ht="12.75" customHeight="1" x14ac:dyDescent="0.25">
      <c r="A680" s="275"/>
      <c r="B680" s="342"/>
      <c r="C680" s="369"/>
      <c r="D680" s="337"/>
      <c r="E680" s="275"/>
      <c r="F680" s="275"/>
      <c r="G680" s="275"/>
      <c r="H680" s="275"/>
      <c r="I680" s="275"/>
      <c r="J680" s="275"/>
      <c r="K680" s="275"/>
      <c r="L680" s="275"/>
      <c r="M680" s="275"/>
      <c r="N680" s="275"/>
      <c r="O680" s="275"/>
      <c r="P680" s="275"/>
      <c r="Q680" s="275"/>
      <c r="R680" s="275"/>
      <c r="S680" s="275"/>
      <c r="T680" s="275"/>
      <c r="U680" s="275"/>
      <c r="V680" s="275"/>
      <c r="W680" s="275"/>
      <c r="X680" s="275"/>
      <c r="Y680" s="275"/>
      <c r="Z680" s="275"/>
    </row>
    <row r="681" spans="1:26" ht="12.75" customHeight="1" x14ac:dyDescent="0.25">
      <c r="A681" s="275"/>
      <c r="B681" s="342"/>
      <c r="C681" s="369"/>
      <c r="D681" s="337"/>
      <c r="E681" s="275"/>
      <c r="F681" s="275"/>
      <c r="G681" s="275"/>
      <c r="H681" s="275"/>
      <c r="I681" s="275"/>
      <c r="J681" s="275"/>
      <c r="K681" s="275"/>
      <c r="L681" s="275"/>
      <c r="M681" s="275"/>
      <c r="N681" s="275"/>
      <c r="O681" s="275"/>
      <c r="P681" s="275"/>
      <c r="Q681" s="275"/>
      <c r="R681" s="275"/>
      <c r="S681" s="275"/>
      <c r="T681" s="275"/>
      <c r="U681" s="275"/>
      <c r="V681" s="275"/>
      <c r="W681" s="275"/>
      <c r="X681" s="275"/>
      <c r="Y681" s="275"/>
      <c r="Z681" s="275"/>
    </row>
    <row r="682" spans="1:26" ht="12.75" customHeight="1" x14ac:dyDescent="0.25">
      <c r="A682" s="275"/>
      <c r="B682" s="342"/>
      <c r="C682" s="369"/>
      <c r="D682" s="337"/>
      <c r="E682" s="275"/>
      <c r="F682" s="275"/>
      <c r="G682" s="275"/>
      <c r="H682" s="275"/>
      <c r="I682" s="275"/>
      <c r="J682" s="275"/>
      <c r="K682" s="275"/>
      <c r="L682" s="275"/>
      <c r="M682" s="275"/>
      <c r="N682" s="275"/>
      <c r="O682" s="275"/>
      <c r="P682" s="275"/>
      <c r="Q682" s="275"/>
      <c r="R682" s="275"/>
      <c r="S682" s="275"/>
      <c r="T682" s="275"/>
      <c r="U682" s="275"/>
      <c r="V682" s="275"/>
      <c r="W682" s="275"/>
      <c r="X682" s="275"/>
      <c r="Y682" s="275"/>
      <c r="Z682" s="275"/>
    </row>
    <row r="683" spans="1:26" ht="12.75" customHeight="1" x14ac:dyDescent="0.25">
      <c r="A683" s="275"/>
      <c r="B683" s="342"/>
      <c r="C683" s="369"/>
      <c r="D683" s="337"/>
      <c r="E683" s="275"/>
      <c r="F683" s="275"/>
      <c r="G683" s="275"/>
      <c r="H683" s="275"/>
      <c r="I683" s="275"/>
      <c r="J683" s="275"/>
      <c r="K683" s="275"/>
      <c r="L683" s="275"/>
      <c r="M683" s="275"/>
      <c r="N683" s="275"/>
      <c r="O683" s="275"/>
      <c r="P683" s="275"/>
      <c r="Q683" s="275"/>
      <c r="R683" s="275"/>
      <c r="S683" s="275"/>
      <c r="T683" s="275"/>
      <c r="U683" s="275"/>
      <c r="V683" s="275"/>
      <c r="W683" s="275"/>
      <c r="X683" s="275"/>
      <c r="Y683" s="275"/>
      <c r="Z683" s="275"/>
    </row>
    <row r="684" spans="1:26" ht="12.75" customHeight="1" x14ac:dyDescent="0.25">
      <c r="A684" s="275"/>
      <c r="B684" s="342"/>
      <c r="C684" s="369"/>
      <c r="D684" s="337"/>
      <c r="E684" s="275"/>
      <c r="F684" s="275"/>
      <c r="G684" s="275"/>
      <c r="H684" s="275"/>
      <c r="I684" s="275"/>
      <c r="J684" s="275"/>
      <c r="K684" s="275"/>
      <c r="L684" s="275"/>
      <c r="M684" s="275"/>
      <c r="N684" s="275"/>
      <c r="O684" s="275"/>
      <c r="P684" s="275"/>
      <c r="Q684" s="275"/>
      <c r="R684" s="275"/>
      <c r="S684" s="275"/>
      <c r="T684" s="275"/>
      <c r="U684" s="275"/>
      <c r="V684" s="275"/>
      <c r="W684" s="275"/>
      <c r="X684" s="275"/>
      <c r="Y684" s="275"/>
      <c r="Z684" s="275"/>
    </row>
    <row r="685" spans="1:26" ht="12.75" customHeight="1" x14ac:dyDescent="0.25">
      <c r="A685" s="275"/>
      <c r="B685" s="342"/>
      <c r="C685" s="369"/>
      <c r="D685" s="337"/>
      <c r="E685" s="275"/>
      <c r="F685" s="275"/>
      <c r="G685" s="275"/>
      <c r="H685" s="275"/>
      <c r="I685" s="275"/>
      <c r="J685" s="275"/>
      <c r="K685" s="275"/>
      <c r="L685" s="275"/>
      <c r="M685" s="275"/>
      <c r="N685" s="275"/>
      <c r="O685" s="275"/>
      <c r="P685" s="275"/>
      <c r="Q685" s="275"/>
      <c r="R685" s="275"/>
      <c r="S685" s="275"/>
      <c r="T685" s="275"/>
      <c r="U685" s="275"/>
      <c r="V685" s="275"/>
      <c r="W685" s="275"/>
      <c r="X685" s="275"/>
      <c r="Y685" s="275"/>
      <c r="Z685" s="275"/>
    </row>
    <row r="686" spans="1:26" ht="12.75" customHeight="1" x14ac:dyDescent="0.25">
      <c r="A686" s="275"/>
      <c r="B686" s="342"/>
      <c r="C686" s="369"/>
      <c r="D686" s="337"/>
      <c r="E686" s="275"/>
      <c r="F686" s="275"/>
      <c r="G686" s="275"/>
      <c r="H686" s="275"/>
      <c r="I686" s="275"/>
      <c r="J686" s="275"/>
      <c r="K686" s="275"/>
      <c r="L686" s="275"/>
      <c r="M686" s="275"/>
      <c r="N686" s="275"/>
      <c r="O686" s="275"/>
      <c r="P686" s="275"/>
      <c r="Q686" s="275"/>
      <c r="R686" s="275"/>
      <c r="S686" s="275"/>
      <c r="T686" s="275"/>
      <c r="U686" s="275"/>
      <c r="V686" s="275"/>
      <c r="W686" s="275"/>
      <c r="X686" s="275"/>
      <c r="Y686" s="275"/>
      <c r="Z686" s="275"/>
    </row>
    <row r="687" spans="1:26" ht="12.75" customHeight="1" x14ac:dyDescent="0.25">
      <c r="A687" s="275"/>
      <c r="B687" s="342"/>
      <c r="C687" s="369"/>
      <c r="D687" s="337"/>
      <c r="E687" s="275"/>
      <c r="F687" s="275"/>
      <c r="G687" s="275"/>
      <c r="H687" s="275"/>
      <c r="I687" s="275"/>
      <c r="J687" s="275"/>
      <c r="K687" s="275"/>
      <c r="L687" s="275"/>
      <c r="M687" s="275"/>
      <c r="N687" s="275"/>
      <c r="O687" s="275"/>
      <c r="P687" s="275"/>
      <c r="Q687" s="275"/>
      <c r="R687" s="275"/>
      <c r="S687" s="275"/>
      <c r="T687" s="275"/>
      <c r="U687" s="275"/>
      <c r="V687" s="275"/>
      <c r="W687" s="275"/>
      <c r="X687" s="275"/>
      <c r="Y687" s="275"/>
      <c r="Z687" s="275"/>
    </row>
    <row r="688" spans="1:26" ht="12.75" customHeight="1" x14ac:dyDescent="0.25">
      <c r="A688" s="275"/>
      <c r="B688" s="342"/>
      <c r="C688" s="369"/>
      <c r="D688" s="337"/>
      <c r="E688" s="275"/>
      <c r="F688" s="275"/>
      <c r="G688" s="275"/>
      <c r="H688" s="275"/>
      <c r="I688" s="275"/>
      <c r="J688" s="275"/>
      <c r="K688" s="275"/>
      <c r="L688" s="275"/>
      <c r="M688" s="275"/>
      <c r="N688" s="275"/>
      <c r="O688" s="275"/>
      <c r="P688" s="275"/>
      <c r="Q688" s="275"/>
      <c r="R688" s="275"/>
      <c r="S688" s="275"/>
      <c r="T688" s="275"/>
      <c r="U688" s="275"/>
      <c r="V688" s="275"/>
      <c r="W688" s="275"/>
      <c r="X688" s="275"/>
      <c r="Y688" s="275"/>
      <c r="Z688" s="275"/>
    </row>
    <row r="689" spans="1:26" ht="12.75" customHeight="1" x14ac:dyDescent="0.25">
      <c r="A689" s="275"/>
      <c r="B689" s="342"/>
      <c r="C689" s="369"/>
      <c r="D689" s="337"/>
      <c r="E689" s="275"/>
      <c r="F689" s="275"/>
      <c r="G689" s="275"/>
      <c r="H689" s="275"/>
      <c r="I689" s="275"/>
      <c r="J689" s="275"/>
      <c r="K689" s="275"/>
      <c r="L689" s="275"/>
      <c r="M689" s="275"/>
      <c r="N689" s="275"/>
      <c r="O689" s="275"/>
      <c r="P689" s="275"/>
      <c r="Q689" s="275"/>
      <c r="R689" s="275"/>
      <c r="S689" s="275"/>
      <c r="T689" s="275"/>
      <c r="U689" s="275"/>
      <c r="V689" s="275"/>
      <c r="W689" s="275"/>
      <c r="X689" s="275"/>
      <c r="Y689" s="275"/>
      <c r="Z689" s="275"/>
    </row>
    <row r="690" spans="1:26" ht="12.75" customHeight="1" x14ac:dyDescent="0.25">
      <c r="A690" s="275"/>
      <c r="B690" s="342"/>
      <c r="C690" s="369"/>
      <c r="D690" s="337"/>
      <c r="E690" s="275"/>
      <c r="F690" s="275"/>
      <c r="G690" s="275"/>
      <c r="H690" s="275"/>
      <c r="I690" s="275"/>
      <c r="J690" s="275"/>
      <c r="K690" s="275"/>
      <c r="L690" s="275"/>
      <c r="M690" s="275"/>
      <c r="N690" s="275"/>
      <c r="O690" s="275"/>
      <c r="P690" s="275"/>
      <c r="Q690" s="275"/>
      <c r="R690" s="275"/>
      <c r="S690" s="275"/>
      <c r="T690" s="275"/>
      <c r="U690" s="275"/>
      <c r="V690" s="275"/>
      <c r="W690" s="275"/>
      <c r="X690" s="275"/>
      <c r="Y690" s="275"/>
      <c r="Z690" s="275"/>
    </row>
    <row r="691" spans="1:26" ht="12.75" customHeight="1" x14ac:dyDescent="0.25">
      <c r="A691" s="275"/>
      <c r="B691" s="342"/>
      <c r="C691" s="369"/>
      <c r="D691" s="337"/>
      <c r="E691" s="275"/>
      <c r="F691" s="275"/>
      <c r="G691" s="275"/>
      <c r="H691" s="275"/>
      <c r="I691" s="275"/>
      <c r="J691" s="275"/>
      <c r="K691" s="275"/>
      <c r="L691" s="275"/>
      <c r="M691" s="275"/>
      <c r="N691" s="275"/>
      <c r="O691" s="275"/>
      <c r="P691" s="275"/>
      <c r="Q691" s="275"/>
      <c r="R691" s="275"/>
      <c r="S691" s="275"/>
      <c r="T691" s="275"/>
      <c r="U691" s="275"/>
      <c r="V691" s="275"/>
      <c r="W691" s="275"/>
      <c r="X691" s="275"/>
      <c r="Y691" s="275"/>
      <c r="Z691" s="275"/>
    </row>
    <row r="692" spans="1:26" ht="12.75" customHeight="1" x14ac:dyDescent="0.25">
      <c r="A692" s="275"/>
      <c r="B692" s="342"/>
      <c r="C692" s="369"/>
      <c r="D692" s="337"/>
      <c r="E692" s="275"/>
      <c r="F692" s="275"/>
      <c r="G692" s="275"/>
      <c r="H692" s="275"/>
      <c r="I692" s="275"/>
      <c r="J692" s="275"/>
      <c r="K692" s="275"/>
      <c r="L692" s="275"/>
      <c r="M692" s="275"/>
      <c r="N692" s="275"/>
      <c r="O692" s="275"/>
      <c r="P692" s="275"/>
      <c r="Q692" s="275"/>
      <c r="R692" s="275"/>
      <c r="S692" s="275"/>
      <c r="T692" s="275"/>
      <c r="U692" s="275"/>
      <c r="V692" s="275"/>
      <c r="W692" s="275"/>
      <c r="X692" s="275"/>
      <c r="Y692" s="275"/>
      <c r="Z692" s="275"/>
    </row>
    <row r="693" spans="1:26" ht="12.75" customHeight="1" x14ac:dyDescent="0.25">
      <c r="A693" s="275"/>
      <c r="B693" s="342"/>
      <c r="C693" s="369"/>
      <c r="D693" s="337"/>
      <c r="E693" s="275"/>
      <c r="F693" s="275"/>
      <c r="G693" s="275"/>
      <c r="H693" s="275"/>
      <c r="I693" s="275"/>
      <c r="J693" s="275"/>
      <c r="K693" s="275"/>
      <c r="L693" s="275"/>
      <c r="M693" s="275"/>
      <c r="N693" s="275"/>
      <c r="O693" s="275"/>
      <c r="P693" s="275"/>
      <c r="Q693" s="275"/>
      <c r="R693" s="275"/>
      <c r="S693" s="275"/>
      <c r="T693" s="275"/>
      <c r="U693" s="275"/>
      <c r="V693" s="275"/>
      <c r="W693" s="275"/>
      <c r="X693" s="275"/>
      <c r="Y693" s="275"/>
      <c r="Z693" s="275"/>
    </row>
    <row r="694" spans="1:26" ht="12.75" customHeight="1" x14ac:dyDescent="0.25">
      <c r="A694" s="275"/>
      <c r="B694" s="342"/>
      <c r="C694" s="369"/>
      <c r="D694" s="337"/>
      <c r="E694" s="275"/>
      <c r="F694" s="275"/>
      <c r="G694" s="275"/>
      <c r="H694" s="275"/>
      <c r="I694" s="275"/>
      <c r="J694" s="275"/>
      <c r="K694" s="275"/>
      <c r="L694" s="275"/>
      <c r="M694" s="275"/>
      <c r="N694" s="275"/>
      <c r="O694" s="275"/>
      <c r="P694" s="275"/>
      <c r="Q694" s="275"/>
      <c r="R694" s="275"/>
      <c r="S694" s="275"/>
      <c r="T694" s="275"/>
      <c r="U694" s="275"/>
      <c r="V694" s="275"/>
      <c r="W694" s="275"/>
      <c r="X694" s="275"/>
      <c r="Y694" s="275"/>
      <c r="Z694" s="275"/>
    </row>
    <row r="695" spans="1:26" ht="12.75" customHeight="1" x14ac:dyDescent="0.25">
      <c r="A695" s="275"/>
      <c r="B695" s="342"/>
      <c r="C695" s="369"/>
      <c r="D695" s="337"/>
      <c r="E695" s="275"/>
      <c r="F695" s="275"/>
      <c r="G695" s="275"/>
      <c r="H695" s="275"/>
      <c r="I695" s="275"/>
      <c r="J695" s="275"/>
      <c r="K695" s="275"/>
      <c r="L695" s="275"/>
      <c r="M695" s="275"/>
      <c r="N695" s="275"/>
      <c r="O695" s="275"/>
      <c r="P695" s="275"/>
      <c r="Q695" s="275"/>
      <c r="R695" s="275"/>
      <c r="S695" s="275"/>
      <c r="T695" s="275"/>
      <c r="U695" s="275"/>
      <c r="V695" s="275"/>
      <c r="W695" s="275"/>
      <c r="X695" s="275"/>
      <c r="Y695" s="275"/>
      <c r="Z695" s="275"/>
    </row>
    <row r="696" spans="1:26" ht="12.75" customHeight="1" x14ac:dyDescent="0.25">
      <c r="A696" s="275"/>
      <c r="B696" s="342"/>
      <c r="C696" s="369"/>
      <c r="D696" s="337"/>
      <c r="E696" s="275"/>
      <c r="F696" s="275"/>
      <c r="G696" s="275"/>
      <c r="H696" s="275"/>
      <c r="I696" s="275"/>
      <c r="J696" s="275"/>
      <c r="K696" s="275"/>
      <c r="L696" s="275"/>
      <c r="M696" s="275"/>
      <c r="N696" s="275"/>
      <c r="O696" s="275"/>
      <c r="P696" s="275"/>
      <c r="Q696" s="275"/>
      <c r="R696" s="275"/>
      <c r="S696" s="275"/>
      <c r="T696" s="275"/>
      <c r="U696" s="275"/>
      <c r="V696" s="275"/>
      <c r="W696" s="275"/>
      <c r="X696" s="275"/>
      <c r="Y696" s="275"/>
      <c r="Z696" s="275"/>
    </row>
    <row r="697" spans="1:26" ht="12.75" customHeight="1" x14ac:dyDescent="0.25">
      <c r="A697" s="275"/>
      <c r="B697" s="342"/>
      <c r="C697" s="369"/>
      <c r="D697" s="337"/>
      <c r="E697" s="275"/>
      <c r="F697" s="275"/>
      <c r="G697" s="275"/>
      <c r="H697" s="275"/>
      <c r="I697" s="275"/>
      <c r="J697" s="275"/>
      <c r="K697" s="275"/>
      <c r="L697" s="275"/>
      <c r="M697" s="275"/>
      <c r="N697" s="275"/>
      <c r="O697" s="275"/>
      <c r="P697" s="275"/>
      <c r="Q697" s="275"/>
      <c r="R697" s="275"/>
      <c r="S697" s="275"/>
      <c r="T697" s="275"/>
      <c r="U697" s="275"/>
      <c r="V697" s="275"/>
      <c r="W697" s="275"/>
      <c r="X697" s="275"/>
      <c r="Y697" s="275"/>
      <c r="Z697" s="275"/>
    </row>
    <row r="698" spans="1:26" ht="12.75" customHeight="1" x14ac:dyDescent="0.25">
      <c r="A698" s="275"/>
      <c r="B698" s="342"/>
      <c r="C698" s="369"/>
      <c r="D698" s="337"/>
      <c r="E698" s="275"/>
      <c r="F698" s="275"/>
      <c r="G698" s="275"/>
      <c r="H698" s="275"/>
      <c r="I698" s="275"/>
      <c r="J698" s="275"/>
      <c r="K698" s="275"/>
      <c r="L698" s="275"/>
      <c r="M698" s="275"/>
      <c r="N698" s="275"/>
      <c r="O698" s="275"/>
      <c r="P698" s="275"/>
      <c r="Q698" s="275"/>
      <c r="R698" s="275"/>
      <c r="S698" s="275"/>
      <c r="T698" s="275"/>
      <c r="U698" s="275"/>
      <c r="V698" s="275"/>
      <c r="W698" s="275"/>
      <c r="X698" s="275"/>
      <c r="Y698" s="275"/>
      <c r="Z698" s="275"/>
    </row>
    <row r="699" spans="1:26" ht="12.75" customHeight="1" x14ac:dyDescent="0.25">
      <c r="A699" s="275"/>
      <c r="B699" s="342"/>
      <c r="C699" s="369"/>
      <c r="D699" s="337"/>
      <c r="E699" s="275"/>
      <c r="F699" s="275"/>
      <c r="G699" s="275"/>
      <c r="H699" s="275"/>
      <c r="I699" s="275"/>
      <c r="J699" s="275"/>
      <c r="K699" s="275"/>
      <c r="L699" s="275"/>
      <c r="M699" s="275"/>
      <c r="N699" s="275"/>
      <c r="O699" s="275"/>
      <c r="P699" s="275"/>
      <c r="Q699" s="275"/>
      <c r="R699" s="275"/>
      <c r="S699" s="275"/>
      <c r="T699" s="275"/>
      <c r="U699" s="275"/>
      <c r="V699" s="275"/>
      <c r="W699" s="275"/>
      <c r="X699" s="275"/>
      <c r="Y699" s="275"/>
      <c r="Z699" s="275"/>
    </row>
    <row r="700" spans="1:26" ht="12.75" customHeight="1" x14ac:dyDescent="0.25">
      <c r="A700" s="275"/>
      <c r="B700" s="342"/>
      <c r="C700" s="369"/>
      <c r="D700" s="337"/>
      <c r="E700" s="275"/>
      <c r="F700" s="275"/>
      <c r="G700" s="275"/>
      <c r="H700" s="275"/>
      <c r="I700" s="275"/>
      <c r="J700" s="275"/>
      <c r="K700" s="275"/>
      <c r="L700" s="275"/>
      <c r="M700" s="275"/>
      <c r="N700" s="275"/>
      <c r="O700" s="275"/>
      <c r="P700" s="275"/>
      <c r="Q700" s="275"/>
      <c r="R700" s="275"/>
      <c r="S700" s="275"/>
      <c r="T700" s="275"/>
      <c r="U700" s="275"/>
      <c r="V700" s="275"/>
      <c r="W700" s="275"/>
      <c r="X700" s="275"/>
      <c r="Y700" s="275"/>
      <c r="Z700" s="275"/>
    </row>
    <row r="701" spans="1:26" ht="12.75" customHeight="1" x14ac:dyDescent="0.25">
      <c r="A701" s="275"/>
      <c r="B701" s="342"/>
      <c r="C701" s="369"/>
      <c r="D701" s="337"/>
      <c r="E701" s="275"/>
      <c r="F701" s="275"/>
      <c r="G701" s="275"/>
      <c r="H701" s="275"/>
      <c r="I701" s="275"/>
      <c r="J701" s="275"/>
      <c r="K701" s="275"/>
      <c r="L701" s="275"/>
      <c r="M701" s="275"/>
      <c r="N701" s="275"/>
      <c r="O701" s="275"/>
      <c r="P701" s="275"/>
      <c r="Q701" s="275"/>
      <c r="R701" s="275"/>
      <c r="S701" s="275"/>
      <c r="T701" s="275"/>
      <c r="U701" s="275"/>
      <c r="V701" s="275"/>
      <c r="W701" s="275"/>
      <c r="X701" s="275"/>
      <c r="Y701" s="275"/>
      <c r="Z701" s="275"/>
    </row>
    <row r="702" spans="1:26" ht="12.75" customHeight="1" x14ac:dyDescent="0.25">
      <c r="A702" s="275"/>
      <c r="B702" s="342"/>
      <c r="C702" s="369"/>
      <c r="D702" s="337"/>
      <c r="E702" s="275"/>
      <c r="F702" s="275"/>
      <c r="G702" s="275"/>
      <c r="H702" s="275"/>
      <c r="I702" s="275"/>
      <c r="J702" s="275"/>
      <c r="K702" s="275"/>
      <c r="L702" s="275"/>
      <c r="M702" s="275"/>
      <c r="N702" s="275"/>
      <c r="O702" s="275"/>
      <c r="P702" s="275"/>
      <c r="Q702" s="275"/>
      <c r="R702" s="275"/>
      <c r="S702" s="275"/>
      <c r="T702" s="275"/>
      <c r="U702" s="275"/>
      <c r="V702" s="275"/>
      <c r="W702" s="275"/>
      <c r="X702" s="275"/>
      <c r="Y702" s="275"/>
      <c r="Z702" s="275"/>
    </row>
    <row r="703" spans="1:26" ht="12.75" customHeight="1" x14ac:dyDescent="0.25">
      <c r="A703" s="275"/>
      <c r="B703" s="342"/>
      <c r="C703" s="369"/>
      <c r="D703" s="337"/>
      <c r="E703" s="275"/>
      <c r="F703" s="275"/>
      <c r="G703" s="275"/>
      <c r="H703" s="275"/>
      <c r="I703" s="275"/>
      <c r="J703" s="275"/>
      <c r="K703" s="275"/>
      <c r="L703" s="275"/>
      <c r="M703" s="275"/>
      <c r="N703" s="275"/>
      <c r="O703" s="275"/>
      <c r="P703" s="275"/>
      <c r="Q703" s="275"/>
      <c r="R703" s="275"/>
      <c r="S703" s="275"/>
      <c r="T703" s="275"/>
      <c r="U703" s="275"/>
      <c r="V703" s="275"/>
      <c r="W703" s="275"/>
      <c r="X703" s="275"/>
      <c r="Y703" s="275"/>
      <c r="Z703" s="275"/>
    </row>
    <row r="704" spans="1:26" ht="12.75" customHeight="1" x14ac:dyDescent="0.25">
      <c r="A704" s="275"/>
      <c r="B704" s="342"/>
      <c r="C704" s="369"/>
      <c r="D704" s="337"/>
      <c r="E704" s="275"/>
      <c r="F704" s="275"/>
      <c r="G704" s="275"/>
      <c r="H704" s="275"/>
      <c r="I704" s="275"/>
      <c r="J704" s="275"/>
      <c r="K704" s="275"/>
      <c r="L704" s="275"/>
      <c r="M704" s="275"/>
      <c r="N704" s="275"/>
      <c r="O704" s="275"/>
      <c r="P704" s="275"/>
      <c r="Q704" s="275"/>
      <c r="R704" s="275"/>
      <c r="S704" s="275"/>
      <c r="T704" s="275"/>
      <c r="U704" s="275"/>
      <c r="V704" s="275"/>
      <c r="W704" s="275"/>
      <c r="X704" s="275"/>
      <c r="Y704" s="275"/>
      <c r="Z704" s="275"/>
    </row>
    <row r="705" spans="1:26" ht="12.75" customHeight="1" x14ac:dyDescent="0.25">
      <c r="A705" s="275"/>
      <c r="B705" s="342"/>
      <c r="C705" s="369"/>
      <c r="D705" s="337"/>
      <c r="E705" s="275"/>
      <c r="F705" s="275"/>
      <c r="G705" s="275"/>
      <c r="H705" s="275"/>
      <c r="I705" s="275"/>
      <c r="J705" s="275"/>
      <c r="K705" s="275"/>
      <c r="L705" s="275"/>
      <c r="M705" s="275"/>
      <c r="N705" s="275"/>
      <c r="O705" s="275"/>
      <c r="P705" s="275"/>
      <c r="Q705" s="275"/>
      <c r="R705" s="275"/>
      <c r="S705" s="275"/>
      <c r="T705" s="275"/>
      <c r="U705" s="275"/>
      <c r="V705" s="275"/>
      <c r="W705" s="275"/>
      <c r="X705" s="275"/>
      <c r="Y705" s="275"/>
      <c r="Z705" s="275"/>
    </row>
    <row r="706" spans="1:26" ht="12.75" customHeight="1" x14ac:dyDescent="0.25">
      <c r="A706" s="275"/>
      <c r="B706" s="342"/>
      <c r="C706" s="369"/>
      <c r="D706" s="337"/>
      <c r="E706" s="275"/>
      <c r="F706" s="275"/>
      <c r="G706" s="275"/>
      <c r="H706" s="275"/>
      <c r="I706" s="275"/>
      <c r="J706" s="275"/>
      <c r="K706" s="275"/>
      <c r="L706" s="275"/>
      <c r="M706" s="275"/>
      <c r="N706" s="275"/>
      <c r="O706" s="275"/>
      <c r="P706" s="275"/>
      <c r="Q706" s="275"/>
      <c r="R706" s="275"/>
      <c r="S706" s="275"/>
      <c r="T706" s="275"/>
      <c r="U706" s="275"/>
      <c r="V706" s="275"/>
      <c r="W706" s="275"/>
      <c r="X706" s="275"/>
      <c r="Y706" s="275"/>
      <c r="Z706" s="275"/>
    </row>
    <row r="707" spans="1:26" ht="12.75" customHeight="1" x14ac:dyDescent="0.25">
      <c r="A707" s="275"/>
      <c r="B707" s="342"/>
      <c r="C707" s="369"/>
      <c r="D707" s="337"/>
      <c r="E707" s="275"/>
      <c r="F707" s="275"/>
      <c r="G707" s="275"/>
      <c r="H707" s="275"/>
      <c r="I707" s="275"/>
      <c r="J707" s="275"/>
      <c r="K707" s="275"/>
      <c r="L707" s="275"/>
      <c r="M707" s="275"/>
      <c r="N707" s="275"/>
      <c r="O707" s="275"/>
      <c r="P707" s="275"/>
      <c r="Q707" s="275"/>
      <c r="R707" s="275"/>
      <c r="S707" s="275"/>
      <c r="T707" s="275"/>
      <c r="U707" s="275"/>
      <c r="V707" s="275"/>
      <c r="W707" s="275"/>
      <c r="X707" s="275"/>
      <c r="Y707" s="275"/>
      <c r="Z707" s="275"/>
    </row>
    <row r="708" spans="1:26" ht="12.75" customHeight="1" x14ac:dyDescent="0.25">
      <c r="A708" s="275"/>
      <c r="B708" s="342"/>
      <c r="C708" s="369"/>
      <c r="D708" s="337"/>
      <c r="E708" s="275"/>
      <c r="F708" s="275"/>
      <c r="G708" s="275"/>
      <c r="H708" s="275"/>
      <c r="I708" s="275"/>
      <c r="J708" s="275"/>
      <c r="K708" s="275"/>
      <c r="L708" s="275"/>
      <c r="M708" s="275"/>
      <c r="N708" s="275"/>
      <c r="O708" s="275"/>
      <c r="P708" s="275"/>
      <c r="Q708" s="275"/>
      <c r="R708" s="275"/>
      <c r="S708" s="275"/>
      <c r="T708" s="275"/>
      <c r="U708" s="275"/>
      <c r="V708" s="275"/>
      <c r="W708" s="275"/>
      <c r="X708" s="275"/>
      <c r="Y708" s="275"/>
      <c r="Z708" s="275"/>
    </row>
    <row r="709" spans="1:26" ht="12.75" customHeight="1" x14ac:dyDescent="0.25">
      <c r="A709" s="275"/>
      <c r="B709" s="342"/>
      <c r="C709" s="369"/>
      <c r="D709" s="337"/>
      <c r="E709" s="275"/>
      <c r="F709" s="275"/>
      <c r="G709" s="275"/>
      <c r="H709" s="275"/>
      <c r="I709" s="275"/>
      <c r="J709" s="275"/>
      <c r="K709" s="275"/>
      <c r="L709" s="275"/>
      <c r="M709" s="275"/>
      <c r="N709" s="275"/>
      <c r="O709" s="275"/>
      <c r="P709" s="275"/>
      <c r="Q709" s="275"/>
      <c r="R709" s="275"/>
      <c r="S709" s="275"/>
      <c r="T709" s="275"/>
      <c r="U709" s="275"/>
      <c r="V709" s="275"/>
      <c r="W709" s="275"/>
      <c r="X709" s="275"/>
      <c r="Y709" s="275"/>
      <c r="Z709" s="275"/>
    </row>
    <row r="710" spans="1:26" ht="12.75" customHeight="1" x14ac:dyDescent="0.25">
      <c r="A710" s="275"/>
      <c r="B710" s="342"/>
      <c r="C710" s="369"/>
      <c r="D710" s="337"/>
      <c r="E710" s="275"/>
      <c r="F710" s="275"/>
      <c r="G710" s="275"/>
      <c r="H710" s="275"/>
      <c r="I710" s="275"/>
      <c r="J710" s="275"/>
      <c r="K710" s="275"/>
      <c r="L710" s="275"/>
      <c r="M710" s="275"/>
      <c r="N710" s="275"/>
      <c r="O710" s="275"/>
      <c r="P710" s="275"/>
      <c r="Q710" s="275"/>
      <c r="R710" s="275"/>
      <c r="S710" s="275"/>
      <c r="T710" s="275"/>
      <c r="U710" s="275"/>
      <c r="V710" s="275"/>
      <c r="W710" s="275"/>
      <c r="X710" s="275"/>
      <c r="Y710" s="275"/>
      <c r="Z710" s="275"/>
    </row>
    <row r="711" spans="1:26" ht="12.75" customHeight="1" x14ac:dyDescent="0.25">
      <c r="A711" s="275"/>
      <c r="B711" s="342"/>
      <c r="C711" s="369"/>
      <c r="D711" s="337"/>
      <c r="E711" s="275"/>
      <c r="F711" s="275"/>
      <c r="G711" s="275"/>
      <c r="H711" s="275"/>
      <c r="I711" s="275"/>
      <c r="J711" s="275"/>
      <c r="K711" s="275"/>
      <c r="L711" s="275"/>
      <c r="M711" s="275"/>
      <c r="N711" s="275"/>
      <c r="O711" s="275"/>
      <c r="P711" s="275"/>
      <c r="Q711" s="275"/>
      <c r="R711" s="275"/>
      <c r="S711" s="275"/>
      <c r="T711" s="275"/>
      <c r="U711" s="275"/>
      <c r="V711" s="275"/>
      <c r="W711" s="275"/>
      <c r="X711" s="275"/>
      <c r="Y711" s="275"/>
      <c r="Z711" s="275"/>
    </row>
    <row r="712" spans="1:26" ht="12.75" customHeight="1" x14ac:dyDescent="0.25">
      <c r="A712" s="275"/>
      <c r="B712" s="342"/>
      <c r="C712" s="369"/>
      <c r="D712" s="337"/>
      <c r="E712" s="275"/>
      <c r="F712" s="275"/>
      <c r="G712" s="275"/>
      <c r="H712" s="275"/>
      <c r="I712" s="275"/>
      <c r="J712" s="275"/>
      <c r="K712" s="275"/>
      <c r="L712" s="275"/>
      <c r="M712" s="275"/>
      <c r="N712" s="275"/>
      <c r="O712" s="275"/>
      <c r="P712" s="275"/>
      <c r="Q712" s="275"/>
      <c r="R712" s="275"/>
      <c r="S712" s="275"/>
      <c r="T712" s="275"/>
      <c r="U712" s="275"/>
      <c r="V712" s="275"/>
      <c r="W712" s="275"/>
      <c r="X712" s="275"/>
      <c r="Y712" s="275"/>
      <c r="Z712" s="275"/>
    </row>
    <row r="713" spans="1:26" ht="12.75" customHeight="1" x14ac:dyDescent="0.25">
      <c r="A713" s="275"/>
      <c r="B713" s="342"/>
      <c r="C713" s="369"/>
      <c r="D713" s="337"/>
      <c r="E713" s="275"/>
      <c r="F713" s="275"/>
      <c r="G713" s="275"/>
      <c r="H713" s="275"/>
      <c r="I713" s="275"/>
      <c r="J713" s="275"/>
      <c r="K713" s="275"/>
      <c r="L713" s="275"/>
      <c r="M713" s="275"/>
      <c r="N713" s="275"/>
      <c r="O713" s="275"/>
      <c r="P713" s="275"/>
      <c r="Q713" s="275"/>
      <c r="R713" s="275"/>
      <c r="S713" s="275"/>
      <c r="T713" s="275"/>
      <c r="U713" s="275"/>
      <c r="V713" s="275"/>
      <c r="W713" s="275"/>
      <c r="X713" s="275"/>
      <c r="Y713" s="275"/>
      <c r="Z713" s="275"/>
    </row>
    <row r="714" spans="1:26" ht="12.75" customHeight="1" x14ac:dyDescent="0.25">
      <c r="A714" s="275"/>
      <c r="B714" s="342"/>
      <c r="C714" s="369"/>
      <c r="D714" s="337"/>
      <c r="E714" s="275"/>
      <c r="F714" s="275"/>
      <c r="G714" s="275"/>
      <c r="H714" s="275"/>
      <c r="I714" s="275"/>
      <c r="J714" s="275"/>
      <c r="K714" s="275"/>
      <c r="L714" s="275"/>
      <c r="M714" s="275"/>
      <c r="N714" s="275"/>
      <c r="O714" s="275"/>
      <c r="P714" s="275"/>
      <c r="Q714" s="275"/>
      <c r="R714" s="275"/>
      <c r="S714" s="275"/>
      <c r="T714" s="275"/>
      <c r="U714" s="275"/>
      <c r="V714" s="275"/>
      <c r="W714" s="275"/>
      <c r="X714" s="275"/>
      <c r="Y714" s="275"/>
      <c r="Z714" s="275"/>
    </row>
    <row r="715" spans="1:26" ht="12.75" customHeight="1" x14ac:dyDescent="0.25">
      <c r="A715" s="275"/>
      <c r="B715" s="342"/>
      <c r="C715" s="369"/>
      <c r="D715" s="337"/>
      <c r="E715" s="275"/>
      <c r="F715" s="275"/>
      <c r="G715" s="275"/>
      <c r="H715" s="275"/>
      <c r="I715" s="275"/>
      <c r="J715" s="275"/>
      <c r="K715" s="275"/>
      <c r="L715" s="275"/>
      <c r="M715" s="275"/>
      <c r="N715" s="275"/>
      <c r="O715" s="275"/>
      <c r="P715" s="275"/>
      <c r="Q715" s="275"/>
      <c r="R715" s="275"/>
      <c r="S715" s="275"/>
      <c r="T715" s="275"/>
      <c r="U715" s="275"/>
      <c r="V715" s="275"/>
      <c r="W715" s="275"/>
      <c r="X715" s="275"/>
      <c r="Y715" s="275"/>
      <c r="Z715" s="275"/>
    </row>
    <row r="716" spans="1:26" ht="12.75" customHeight="1" x14ac:dyDescent="0.25">
      <c r="A716" s="275"/>
      <c r="B716" s="342"/>
      <c r="C716" s="369"/>
      <c r="D716" s="337"/>
      <c r="E716" s="275"/>
      <c r="F716" s="275"/>
      <c r="G716" s="275"/>
      <c r="H716" s="275"/>
      <c r="I716" s="275"/>
      <c r="J716" s="275"/>
      <c r="K716" s="275"/>
      <c r="L716" s="275"/>
      <c r="M716" s="275"/>
      <c r="N716" s="275"/>
      <c r="O716" s="275"/>
      <c r="P716" s="275"/>
      <c r="Q716" s="275"/>
      <c r="R716" s="275"/>
      <c r="S716" s="275"/>
      <c r="T716" s="275"/>
      <c r="U716" s="275"/>
      <c r="V716" s="275"/>
      <c r="W716" s="275"/>
      <c r="X716" s="275"/>
      <c r="Y716" s="275"/>
      <c r="Z716" s="275"/>
    </row>
    <row r="717" spans="1:26" ht="12.75" customHeight="1" x14ac:dyDescent="0.25">
      <c r="A717" s="275"/>
      <c r="B717" s="342"/>
      <c r="C717" s="369"/>
      <c r="D717" s="337"/>
      <c r="E717" s="275"/>
      <c r="F717" s="275"/>
      <c r="G717" s="275"/>
      <c r="H717" s="275"/>
      <c r="I717" s="275"/>
      <c r="J717" s="275"/>
      <c r="K717" s="275"/>
      <c r="L717" s="275"/>
      <c r="M717" s="275"/>
      <c r="N717" s="275"/>
      <c r="O717" s="275"/>
      <c r="P717" s="275"/>
      <c r="Q717" s="275"/>
      <c r="R717" s="275"/>
      <c r="S717" s="275"/>
      <c r="T717" s="275"/>
      <c r="U717" s="275"/>
      <c r="V717" s="275"/>
      <c r="W717" s="275"/>
      <c r="X717" s="275"/>
      <c r="Y717" s="275"/>
      <c r="Z717" s="275"/>
    </row>
    <row r="718" spans="1:26" ht="12.75" customHeight="1" x14ac:dyDescent="0.25">
      <c r="A718" s="275"/>
      <c r="B718" s="342"/>
      <c r="C718" s="369"/>
      <c r="D718" s="337"/>
      <c r="E718" s="275"/>
      <c r="F718" s="275"/>
      <c r="G718" s="275"/>
      <c r="H718" s="275"/>
      <c r="I718" s="275"/>
      <c r="J718" s="275"/>
      <c r="K718" s="275"/>
      <c r="L718" s="275"/>
      <c r="M718" s="275"/>
      <c r="N718" s="275"/>
      <c r="O718" s="275"/>
      <c r="P718" s="275"/>
      <c r="Q718" s="275"/>
      <c r="R718" s="275"/>
      <c r="S718" s="275"/>
      <c r="T718" s="275"/>
      <c r="U718" s="275"/>
      <c r="V718" s="275"/>
      <c r="W718" s="275"/>
      <c r="X718" s="275"/>
      <c r="Y718" s="275"/>
      <c r="Z718" s="275"/>
    </row>
    <row r="719" spans="1:26" ht="12.75" customHeight="1" x14ac:dyDescent="0.25">
      <c r="A719" s="275"/>
      <c r="B719" s="342"/>
      <c r="C719" s="369"/>
      <c r="D719" s="337"/>
      <c r="E719" s="275"/>
      <c r="F719" s="275"/>
      <c r="G719" s="275"/>
      <c r="H719" s="275"/>
      <c r="I719" s="275"/>
      <c r="J719" s="275"/>
      <c r="K719" s="275"/>
      <c r="L719" s="275"/>
      <c r="M719" s="275"/>
      <c r="N719" s="275"/>
      <c r="O719" s="275"/>
      <c r="P719" s="275"/>
      <c r="Q719" s="275"/>
      <c r="R719" s="275"/>
      <c r="S719" s="275"/>
      <c r="T719" s="275"/>
      <c r="U719" s="275"/>
      <c r="V719" s="275"/>
      <c r="W719" s="275"/>
      <c r="X719" s="275"/>
      <c r="Y719" s="275"/>
      <c r="Z719" s="275"/>
    </row>
    <row r="720" spans="1:26" ht="12.75" customHeight="1" x14ac:dyDescent="0.25">
      <c r="A720" s="275"/>
      <c r="B720" s="342"/>
      <c r="C720" s="369"/>
      <c r="D720" s="337"/>
      <c r="E720" s="275"/>
      <c r="F720" s="275"/>
      <c r="G720" s="275"/>
      <c r="H720" s="275"/>
      <c r="I720" s="275"/>
      <c r="J720" s="275"/>
      <c r="K720" s="275"/>
      <c r="L720" s="275"/>
      <c r="M720" s="275"/>
      <c r="N720" s="275"/>
      <c r="O720" s="275"/>
      <c r="P720" s="275"/>
      <c r="Q720" s="275"/>
      <c r="R720" s="275"/>
      <c r="S720" s="275"/>
      <c r="T720" s="275"/>
      <c r="U720" s="275"/>
      <c r="V720" s="275"/>
      <c r="W720" s="275"/>
      <c r="X720" s="275"/>
      <c r="Y720" s="275"/>
      <c r="Z720" s="275"/>
    </row>
    <row r="721" spans="1:26" ht="12.75" customHeight="1" x14ac:dyDescent="0.25">
      <c r="A721" s="275"/>
      <c r="B721" s="342"/>
      <c r="C721" s="369"/>
      <c r="D721" s="337"/>
      <c r="E721" s="275"/>
      <c r="F721" s="275"/>
      <c r="G721" s="275"/>
      <c r="H721" s="275"/>
      <c r="I721" s="275"/>
      <c r="J721" s="275"/>
      <c r="K721" s="275"/>
      <c r="L721" s="275"/>
      <c r="M721" s="275"/>
      <c r="N721" s="275"/>
      <c r="O721" s="275"/>
      <c r="P721" s="275"/>
      <c r="Q721" s="275"/>
      <c r="R721" s="275"/>
      <c r="S721" s="275"/>
      <c r="T721" s="275"/>
      <c r="U721" s="275"/>
      <c r="V721" s="275"/>
      <c r="W721" s="275"/>
      <c r="X721" s="275"/>
      <c r="Y721" s="275"/>
      <c r="Z721" s="275"/>
    </row>
    <row r="722" spans="1:26" ht="12.75" customHeight="1" x14ac:dyDescent="0.25">
      <c r="A722" s="275"/>
      <c r="B722" s="342"/>
      <c r="C722" s="369"/>
      <c r="D722" s="337"/>
      <c r="E722" s="275"/>
      <c r="F722" s="275"/>
      <c r="G722" s="275"/>
      <c r="H722" s="275"/>
      <c r="I722" s="275"/>
      <c r="J722" s="275"/>
      <c r="K722" s="275"/>
      <c r="L722" s="275"/>
      <c r="M722" s="275"/>
      <c r="N722" s="275"/>
      <c r="O722" s="275"/>
      <c r="P722" s="275"/>
      <c r="Q722" s="275"/>
      <c r="R722" s="275"/>
      <c r="S722" s="275"/>
      <c r="T722" s="275"/>
      <c r="U722" s="275"/>
      <c r="V722" s="275"/>
      <c r="W722" s="275"/>
      <c r="X722" s="275"/>
      <c r="Y722" s="275"/>
      <c r="Z722" s="275"/>
    </row>
    <row r="723" spans="1:26" ht="12.75" customHeight="1" x14ac:dyDescent="0.25">
      <c r="A723" s="275"/>
      <c r="B723" s="342"/>
      <c r="C723" s="369"/>
      <c r="D723" s="337"/>
      <c r="E723" s="275"/>
      <c r="F723" s="275"/>
      <c r="G723" s="275"/>
      <c r="H723" s="275"/>
      <c r="I723" s="275"/>
      <c r="J723" s="275"/>
      <c r="K723" s="275"/>
      <c r="L723" s="275"/>
      <c r="M723" s="275"/>
      <c r="N723" s="275"/>
      <c r="O723" s="275"/>
      <c r="P723" s="275"/>
      <c r="Q723" s="275"/>
      <c r="R723" s="275"/>
      <c r="S723" s="275"/>
      <c r="T723" s="275"/>
      <c r="U723" s="275"/>
      <c r="V723" s="275"/>
      <c r="W723" s="275"/>
      <c r="X723" s="275"/>
      <c r="Y723" s="275"/>
      <c r="Z723" s="275"/>
    </row>
    <row r="724" spans="1:26" ht="12.75" customHeight="1" x14ac:dyDescent="0.25">
      <c r="A724" s="275"/>
      <c r="B724" s="342"/>
      <c r="C724" s="369"/>
      <c r="D724" s="337"/>
      <c r="E724" s="275"/>
      <c r="F724" s="275"/>
      <c r="G724" s="275"/>
      <c r="H724" s="275"/>
      <c r="I724" s="275"/>
      <c r="J724" s="275"/>
      <c r="K724" s="275"/>
      <c r="L724" s="275"/>
      <c r="M724" s="275"/>
      <c r="N724" s="275"/>
      <c r="O724" s="275"/>
      <c r="P724" s="275"/>
      <c r="Q724" s="275"/>
      <c r="R724" s="275"/>
      <c r="S724" s="275"/>
      <c r="T724" s="275"/>
      <c r="U724" s="275"/>
      <c r="V724" s="275"/>
      <c r="W724" s="275"/>
      <c r="X724" s="275"/>
      <c r="Y724" s="275"/>
      <c r="Z724" s="275"/>
    </row>
    <row r="725" spans="1:26" ht="12.75" customHeight="1" x14ac:dyDescent="0.25">
      <c r="A725" s="275"/>
      <c r="B725" s="342"/>
      <c r="C725" s="369"/>
      <c r="D725" s="337"/>
      <c r="E725" s="275"/>
      <c r="F725" s="275"/>
      <c r="G725" s="275"/>
      <c r="H725" s="275"/>
      <c r="I725" s="275"/>
      <c r="J725" s="275"/>
      <c r="K725" s="275"/>
      <c r="L725" s="275"/>
      <c r="M725" s="275"/>
      <c r="N725" s="275"/>
      <c r="O725" s="275"/>
      <c r="P725" s="275"/>
      <c r="Q725" s="275"/>
      <c r="R725" s="275"/>
      <c r="S725" s="275"/>
      <c r="T725" s="275"/>
      <c r="U725" s="275"/>
      <c r="V725" s="275"/>
      <c r="W725" s="275"/>
      <c r="X725" s="275"/>
      <c r="Y725" s="275"/>
      <c r="Z725" s="275"/>
    </row>
    <row r="726" spans="1:26" ht="12.75" customHeight="1" x14ac:dyDescent="0.25">
      <c r="A726" s="275"/>
      <c r="B726" s="342"/>
      <c r="C726" s="369"/>
      <c r="D726" s="337"/>
      <c r="E726" s="275"/>
      <c r="F726" s="275"/>
      <c r="G726" s="275"/>
      <c r="H726" s="275"/>
      <c r="I726" s="275"/>
      <c r="J726" s="275"/>
      <c r="K726" s="275"/>
      <c r="L726" s="275"/>
      <c r="M726" s="275"/>
      <c r="N726" s="275"/>
      <c r="O726" s="275"/>
      <c r="P726" s="275"/>
      <c r="Q726" s="275"/>
      <c r="R726" s="275"/>
      <c r="S726" s="275"/>
      <c r="T726" s="275"/>
      <c r="U726" s="275"/>
      <c r="V726" s="275"/>
      <c r="W726" s="275"/>
      <c r="X726" s="275"/>
      <c r="Y726" s="275"/>
      <c r="Z726" s="275"/>
    </row>
    <row r="727" spans="1:26" ht="12.75" customHeight="1" x14ac:dyDescent="0.25">
      <c r="A727" s="275"/>
      <c r="B727" s="342"/>
      <c r="C727" s="369"/>
      <c r="D727" s="337"/>
      <c r="E727" s="275"/>
      <c r="F727" s="275"/>
      <c r="G727" s="275"/>
      <c r="H727" s="275"/>
      <c r="I727" s="275"/>
      <c r="J727" s="275"/>
      <c r="K727" s="275"/>
      <c r="L727" s="275"/>
      <c r="M727" s="275"/>
      <c r="N727" s="275"/>
      <c r="O727" s="275"/>
      <c r="P727" s="275"/>
      <c r="Q727" s="275"/>
      <c r="R727" s="275"/>
      <c r="S727" s="275"/>
      <c r="T727" s="275"/>
      <c r="U727" s="275"/>
      <c r="V727" s="275"/>
      <c r="W727" s="275"/>
      <c r="X727" s="275"/>
      <c r="Y727" s="275"/>
      <c r="Z727" s="275"/>
    </row>
    <row r="728" spans="1:26" ht="12.75" customHeight="1" x14ac:dyDescent="0.25">
      <c r="A728" s="275"/>
      <c r="B728" s="342"/>
      <c r="C728" s="369"/>
      <c r="D728" s="337"/>
      <c r="E728" s="275"/>
      <c r="F728" s="275"/>
      <c r="G728" s="275"/>
      <c r="H728" s="275"/>
      <c r="I728" s="275"/>
      <c r="J728" s="275"/>
      <c r="K728" s="275"/>
      <c r="L728" s="275"/>
      <c r="M728" s="275"/>
      <c r="N728" s="275"/>
      <c r="O728" s="275"/>
      <c r="P728" s="275"/>
      <c r="Q728" s="275"/>
      <c r="R728" s="275"/>
      <c r="S728" s="275"/>
      <c r="T728" s="275"/>
      <c r="U728" s="275"/>
      <c r="V728" s="275"/>
      <c r="W728" s="275"/>
      <c r="X728" s="275"/>
      <c r="Y728" s="275"/>
      <c r="Z728" s="275"/>
    </row>
    <row r="729" spans="1:26" ht="12.75" customHeight="1" x14ac:dyDescent="0.25">
      <c r="A729" s="275"/>
      <c r="B729" s="342"/>
      <c r="C729" s="369"/>
      <c r="D729" s="337"/>
      <c r="E729" s="275"/>
      <c r="F729" s="275"/>
      <c r="G729" s="275"/>
      <c r="H729" s="275"/>
      <c r="I729" s="275"/>
      <c r="J729" s="275"/>
      <c r="K729" s="275"/>
      <c r="L729" s="275"/>
      <c r="M729" s="275"/>
      <c r="N729" s="275"/>
      <c r="O729" s="275"/>
      <c r="P729" s="275"/>
      <c r="Q729" s="275"/>
      <c r="R729" s="275"/>
      <c r="S729" s="275"/>
      <c r="T729" s="275"/>
      <c r="U729" s="275"/>
      <c r="V729" s="275"/>
      <c r="W729" s="275"/>
      <c r="X729" s="275"/>
      <c r="Y729" s="275"/>
      <c r="Z729" s="275"/>
    </row>
    <row r="730" spans="1:26" ht="12.75" customHeight="1" x14ac:dyDescent="0.25">
      <c r="A730" s="275"/>
      <c r="B730" s="342"/>
      <c r="C730" s="369"/>
      <c r="D730" s="337"/>
      <c r="E730" s="275"/>
      <c r="F730" s="275"/>
      <c r="G730" s="275"/>
      <c r="H730" s="275"/>
      <c r="I730" s="275"/>
      <c r="J730" s="275"/>
      <c r="K730" s="275"/>
      <c r="L730" s="275"/>
      <c r="M730" s="275"/>
      <c r="N730" s="275"/>
      <c r="O730" s="275"/>
      <c r="P730" s="275"/>
      <c r="Q730" s="275"/>
      <c r="R730" s="275"/>
      <c r="S730" s="275"/>
      <c r="T730" s="275"/>
      <c r="U730" s="275"/>
      <c r="V730" s="275"/>
      <c r="W730" s="275"/>
      <c r="X730" s="275"/>
      <c r="Y730" s="275"/>
      <c r="Z730" s="275"/>
    </row>
    <row r="731" spans="1:26" ht="12.75" customHeight="1" x14ac:dyDescent="0.25">
      <c r="A731" s="275"/>
      <c r="B731" s="342"/>
      <c r="C731" s="369"/>
      <c r="D731" s="337"/>
      <c r="E731" s="275"/>
      <c r="F731" s="275"/>
      <c r="G731" s="275"/>
      <c r="H731" s="275"/>
      <c r="I731" s="275"/>
      <c r="J731" s="275"/>
      <c r="K731" s="275"/>
      <c r="L731" s="275"/>
      <c r="M731" s="275"/>
      <c r="N731" s="275"/>
      <c r="O731" s="275"/>
      <c r="P731" s="275"/>
      <c r="Q731" s="275"/>
      <c r="R731" s="275"/>
      <c r="S731" s="275"/>
      <c r="T731" s="275"/>
      <c r="U731" s="275"/>
      <c r="V731" s="275"/>
      <c r="W731" s="275"/>
      <c r="X731" s="275"/>
      <c r="Y731" s="275"/>
      <c r="Z731" s="275"/>
    </row>
    <row r="732" spans="1:26" ht="12.75" customHeight="1" x14ac:dyDescent="0.25">
      <c r="A732" s="275"/>
      <c r="B732" s="342"/>
      <c r="C732" s="369"/>
      <c r="D732" s="337"/>
      <c r="E732" s="275"/>
      <c r="F732" s="275"/>
      <c r="G732" s="275"/>
      <c r="H732" s="275"/>
      <c r="I732" s="275"/>
      <c r="J732" s="275"/>
      <c r="K732" s="275"/>
      <c r="L732" s="275"/>
      <c r="M732" s="275"/>
      <c r="N732" s="275"/>
      <c r="O732" s="275"/>
      <c r="P732" s="275"/>
      <c r="Q732" s="275"/>
      <c r="R732" s="275"/>
      <c r="S732" s="275"/>
      <c r="T732" s="275"/>
      <c r="U732" s="275"/>
      <c r="V732" s="275"/>
      <c r="W732" s="275"/>
      <c r="X732" s="275"/>
      <c r="Y732" s="275"/>
      <c r="Z732" s="275"/>
    </row>
    <row r="733" spans="1:26" ht="12.75" customHeight="1" x14ac:dyDescent="0.25">
      <c r="A733" s="275"/>
      <c r="B733" s="342"/>
      <c r="C733" s="369"/>
      <c r="D733" s="337"/>
      <c r="E733" s="275"/>
      <c r="F733" s="275"/>
      <c r="G733" s="275"/>
      <c r="H733" s="275"/>
      <c r="I733" s="275"/>
      <c r="J733" s="275"/>
      <c r="K733" s="275"/>
      <c r="L733" s="275"/>
      <c r="M733" s="275"/>
      <c r="N733" s="275"/>
      <c r="O733" s="275"/>
      <c r="P733" s="275"/>
      <c r="Q733" s="275"/>
      <c r="R733" s="275"/>
      <c r="S733" s="275"/>
      <c r="T733" s="275"/>
      <c r="U733" s="275"/>
      <c r="V733" s="275"/>
      <c r="W733" s="275"/>
      <c r="X733" s="275"/>
      <c r="Y733" s="275"/>
      <c r="Z733" s="275"/>
    </row>
    <row r="734" spans="1:26" ht="12.75" customHeight="1" x14ac:dyDescent="0.25">
      <c r="A734" s="275"/>
      <c r="B734" s="342"/>
      <c r="C734" s="369"/>
      <c r="D734" s="337"/>
      <c r="E734" s="275"/>
      <c r="F734" s="275"/>
      <c r="G734" s="275"/>
      <c r="H734" s="275"/>
      <c r="I734" s="275"/>
      <c r="J734" s="275"/>
      <c r="K734" s="275"/>
      <c r="L734" s="275"/>
      <c r="M734" s="275"/>
      <c r="N734" s="275"/>
      <c r="O734" s="275"/>
      <c r="P734" s="275"/>
      <c r="Q734" s="275"/>
      <c r="R734" s="275"/>
      <c r="S734" s="275"/>
      <c r="T734" s="275"/>
      <c r="U734" s="275"/>
      <c r="V734" s="275"/>
      <c r="W734" s="275"/>
      <c r="X734" s="275"/>
      <c r="Y734" s="275"/>
      <c r="Z734" s="275"/>
    </row>
    <row r="735" spans="1:26" ht="12.75" customHeight="1" x14ac:dyDescent="0.25">
      <c r="A735" s="275"/>
      <c r="B735" s="342"/>
      <c r="C735" s="369"/>
      <c r="D735" s="337"/>
      <c r="E735" s="275"/>
      <c r="F735" s="275"/>
      <c r="G735" s="275"/>
      <c r="H735" s="275"/>
      <c r="I735" s="275"/>
      <c r="J735" s="275"/>
      <c r="K735" s="275"/>
      <c r="L735" s="275"/>
      <c r="M735" s="275"/>
      <c r="N735" s="275"/>
      <c r="O735" s="275"/>
      <c r="P735" s="275"/>
      <c r="Q735" s="275"/>
      <c r="R735" s="275"/>
      <c r="S735" s="275"/>
      <c r="T735" s="275"/>
      <c r="U735" s="275"/>
      <c r="V735" s="275"/>
      <c r="W735" s="275"/>
      <c r="X735" s="275"/>
      <c r="Y735" s="275"/>
      <c r="Z735" s="275"/>
    </row>
    <row r="736" spans="1:26" ht="12.75" customHeight="1" x14ac:dyDescent="0.25">
      <c r="A736" s="275"/>
      <c r="B736" s="342"/>
      <c r="C736" s="369"/>
      <c r="D736" s="337"/>
      <c r="E736" s="275"/>
      <c r="F736" s="275"/>
      <c r="G736" s="275"/>
      <c r="H736" s="275"/>
      <c r="I736" s="275"/>
      <c r="J736" s="275"/>
      <c r="K736" s="275"/>
      <c r="L736" s="275"/>
      <c r="M736" s="275"/>
      <c r="N736" s="275"/>
      <c r="O736" s="275"/>
      <c r="P736" s="275"/>
      <c r="Q736" s="275"/>
      <c r="R736" s="275"/>
      <c r="S736" s="275"/>
      <c r="T736" s="275"/>
      <c r="U736" s="275"/>
      <c r="V736" s="275"/>
      <c r="W736" s="275"/>
      <c r="X736" s="275"/>
      <c r="Y736" s="275"/>
      <c r="Z736" s="275"/>
    </row>
    <row r="737" spans="1:26" ht="12.75" customHeight="1" x14ac:dyDescent="0.25">
      <c r="A737" s="275"/>
      <c r="B737" s="342"/>
      <c r="C737" s="369"/>
      <c r="D737" s="337"/>
      <c r="E737" s="275"/>
      <c r="F737" s="275"/>
      <c r="G737" s="275"/>
      <c r="H737" s="275"/>
      <c r="I737" s="275"/>
      <c r="J737" s="275"/>
      <c r="K737" s="275"/>
      <c r="L737" s="275"/>
      <c r="M737" s="275"/>
      <c r="N737" s="275"/>
      <c r="O737" s="275"/>
      <c r="P737" s="275"/>
      <c r="Q737" s="275"/>
      <c r="R737" s="275"/>
      <c r="S737" s="275"/>
      <c r="T737" s="275"/>
      <c r="U737" s="275"/>
      <c r="V737" s="275"/>
      <c r="W737" s="275"/>
      <c r="X737" s="275"/>
      <c r="Y737" s="275"/>
      <c r="Z737" s="275"/>
    </row>
    <row r="738" spans="1:26" ht="12.75" customHeight="1" x14ac:dyDescent="0.25">
      <c r="A738" s="275"/>
      <c r="B738" s="342"/>
      <c r="C738" s="369"/>
      <c r="D738" s="337"/>
      <c r="E738" s="275"/>
      <c r="F738" s="275"/>
      <c r="G738" s="275"/>
      <c r="H738" s="275"/>
      <c r="I738" s="275"/>
      <c r="J738" s="275"/>
      <c r="K738" s="275"/>
      <c r="L738" s="275"/>
      <c r="M738" s="275"/>
      <c r="N738" s="275"/>
      <c r="O738" s="275"/>
      <c r="P738" s="275"/>
      <c r="Q738" s="275"/>
      <c r="R738" s="275"/>
      <c r="S738" s="275"/>
      <c r="T738" s="275"/>
      <c r="U738" s="275"/>
      <c r="V738" s="275"/>
      <c r="W738" s="275"/>
      <c r="X738" s="275"/>
      <c r="Y738" s="275"/>
      <c r="Z738" s="275"/>
    </row>
    <row r="739" spans="1:26" ht="12.75" customHeight="1" x14ac:dyDescent="0.25">
      <c r="A739" s="275"/>
      <c r="B739" s="342"/>
      <c r="C739" s="369"/>
      <c r="D739" s="337"/>
      <c r="E739" s="275"/>
      <c r="F739" s="275"/>
      <c r="G739" s="275"/>
      <c r="H739" s="275"/>
      <c r="I739" s="275"/>
      <c r="J739" s="275"/>
      <c r="K739" s="275"/>
      <c r="L739" s="275"/>
      <c r="M739" s="275"/>
      <c r="N739" s="275"/>
      <c r="O739" s="275"/>
      <c r="P739" s="275"/>
      <c r="Q739" s="275"/>
      <c r="R739" s="275"/>
      <c r="S739" s="275"/>
      <c r="T739" s="275"/>
      <c r="U739" s="275"/>
      <c r="V739" s="275"/>
      <c r="W739" s="275"/>
      <c r="X739" s="275"/>
      <c r="Y739" s="275"/>
      <c r="Z739" s="275"/>
    </row>
    <row r="740" spans="1:26" ht="12.75" customHeight="1" x14ac:dyDescent="0.25">
      <c r="A740" s="275"/>
      <c r="B740" s="342"/>
      <c r="C740" s="369"/>
      <c r="D740" s="337"/>
      <c r="E740" s="275"/>
      <c r="F740" s="275"/>
      <c r="G740" s="275"/>
      <c r="H740" s="275"/>
      <c r="I740" s="275"/>
      <c r="J740" s="275"/>
      <c r="K740" s="275"/>
      <c r="L740" s="275"/>
      <c r="M740" s="275"/>
      <c r="N740" s="275"/>
      <c r="O740" s="275"/>
      <c r="P740" s="275"/>
      <c r="Q740" s="275"/>
      <c r="R740" s="275"/>
      <c r="S740" s="275"/>
      <c r="T740" s="275"/>
      <c r="U740" s="275"/>
      <c r="V740" s="275"/>
      <c r="W740" s="275"/>
      <c r="X740" s="275"/>
      <c r="Y740" s="275"/>
      <c r="Z740" s="275"/>
    </row>
    <row r="741" spans="1:26" ht="12.75" customHeight="1" x14ac:dyDescent="0.25">
      <c r="A741" s="275"/>
      <c r="B741" s="342"/>
      <c r="C741" s="369"/>
      <c r="D741" s="337"/>
      <c r="E741" s="275"/>
      <c r="F741" s="275"/>
      <c r="G741" s="275"/>
      <c r="H741" s="275"/>
      <c r="I741" s="275"/>
      <c r="J741" s="275"/>
      <c r="K741" s="275"/>
      <c r="L741" s="275"/>
      <c r="M741" s="275"/>
      <c r="N741" s="275"/>
      <c r="O741" s="275"/>
      <c r="P741" s="275"/>
      <c r="Q741" s="275"/>
      <c r="R741" s="275"/>
      <c r="S741" s="275"/>
      <c r="T741" s="275"/>
      <c r="U741" s="275"/>
      <c r="V741" s="275"/>
      <c r="W741" s="275"/>
      <c r="X741" s="275"/>
      <c r="Y741" s="275"/>
      <c r="Z741" s="275"/>
    </row>
    <row r="742" spans="1:26" ht="12.75" customHeight="1" x14ac:dyDescent="0.25">
      <c r="A742" s="275"/>
      <c r="B742" s="342"/>
      <c r="C742" s="369"/>
      <c r="D742" s="337"/>
      <c r="E742" s="275"/>
      <c r="F742" s="275"/>
      <c r="G742" s="275"/>
      <c r="H742" s="275"/>
      <c r="I742" s="275"/>
      <c r="J742" s="275"/>
      <c r="K742" s="275"/>
      <c r="L742" s="275"/>
      <c r="M742" s="275"/>
      <c r="N742" s="275"/>
      <c r="O742" s="275"/>
      <c r="P742" s="275"/>
      <c r="Q742" s="275"/>
      <c r="R742" s="275"/>
      <c r="S742" s="275"/>
      <c r="T742" s="275"/>
      <c r="U742" s="275"/>
      <c r="V742" s="275"/>
      <c r="W742" s="275"/>
      <c r="X742" s="275"/>
      <c r="Y742" s="275"/>
      <c r="Z742" s="275"/>
    </row>
    <row r="743" spans="1:26" ht="12.75" customHeight="1" x14ac:dyDescent="0.25">
      <c r="A743" s="275"/>
      <c r="B743" s="342"/>
      <c r="C743" s="369"/>
      <c r="D743" s="337"/>
      <c r="E743" s="275"/>
      <c r="F743" s="275"/>
      <c r="G743" s="275"/>
      <c r="H743" s="275"/>
      <c r="I743" s="275"/>
      <c r="J743" s="275"/>
      <c r="K743" s="275"/>
      <c r="L743" s="275"/>
      <c r="M743" s="275"/>
      <c r="N743" s="275"/>
      <c r="O743" s="275"/>
      <c r="P743" s="275"/>
      <c r="Q743" s="275"/>
      <c r="R743" s="275"/>
      <c r="S743" s="275"/>
      <c r="T743" s="275"/>
      <c r="U743" s="275"/>
      <c r="V743" s="275"/>
      <c r="W743" s="275"/>
      <c r="X743" s="275"/>
      <c r="Y743" s="275"/>
      <c r="Z743" s="275"/>
    </row>
    <row r="744" spans="1:26" ht="12.75" customHeight="1" x14ac:dyDescent="0.25">
      <c r="A744" s="275"/>
      <c r="B744" s="342"/>
      <c r="C744" s="369"/>
      <c r="D744" s="337"/>
      <c r="E744" s="275"/>
      <c r="F744" s="275"/>
      <c r="G744" s="275"/>
      <c r="H744" s="275"/>
      <c r="I744" s="275"/>
      <c r="J744" s="275"/>
      <c r="K744" s="275"/>
      <c r="L744" s="275"/>
      <c r="M744" s="275"/>
      <c r="N744" s="275"/>
      <c r="O744" s="275"/>
      <c r="P744" s="275"/>
      <c r="Q744" s="275"/>
      <c r="R744" s="275"/>
      <c r="S744" s="275"/>
      <c r="T744" s="275"/>
      <c r="U744" s="275"/>
      <c r="V744" s="275"/>
      <c r="W744" s="275"/>
      <c r="X744" s="275"/>
      <c r="Y744" s="275"/>
      <c r="Z744" s="275"/>
    </row>
    <row r="745" spans="1:26" ht="12.75" customHeight="1" x14ac:dyDescent="0.25">
      <c r="A745" s="275"/>
      <c r="B745" s="342"/>
      <c r="C745" s="369"/>
      <c r="D745" s="337"/>
      <c r="E745" s="275"/>
      <c r="F745" s="275"/>
      <c r="G745" s="275"/>
      <c r="H745" s="275"/>
      <c r="I745" s="275"/>
      <c r="J745" s="275"/>
      <c r="K745" s="275"/>
      <c r="L745" s="275"/>
      <c r="M745" s="275"/>
      <c r="N745" s="275"/>
      <c r="O745" s="275"/>
      <c r="P745" s="275"/>
      <c r="Q745" s="275"/>
      <c r="R745" s="275"/>
      <c r="S745" s="275"/>
      <c r="T745" s="275"/>
      <c r="U745" s="275"/>
      <c r="V745" s="275"/>
      <c r="W745" s="275"/>
      <c r="X745" s="275"/>
      <c r="Y745" s="275"/>
      <c r="Z745" s="275"/>
    </row>
    <row r="746" spans="1:26" ht="12.75" customHeight="1" x14ac:dyDescent="0.25">
      <c r="A746" s="275"/>
      <c r="B746" s="342"/>
      <c r="C746" s="369"/>
      <c r="D746" s="337"/>
      <c r="E746" s="275"/>
      <c r="F746" s="275"/>
      <c r="G746" s="275"/>
      <c r="H746" s="275"/>
      <c r="I746" s="275"/>
      <c r="J746" s="275"/>
      <c r="K746" s="275"/>
      <c r="L746" s="275"/>
      <c r="M746" s="275"/>
      <c r="N746" s="275"/>
      <c r="O746" s="275"/>
      <c r="P746" s="275"/>
      <c r="Q746" s="275"/>
      <c r="R746" s="275"/>
      <c r="S746" s="275"/>
      <c r="T746" s="275"/>
      <c r="U746" s="275"/>
      <c r="V746" s="275"/>
      <c r="W746" s="275"/>
      <c r="X746" s="275"/>
      <c r="Y746" s="275"/>
      <c r="Z746" s="275"/>
    </row>
    <row r="747" spans="1:26" ht="12.75" customHeight="1" x14ac:dyDescent="0.25">
      <c r="A747" s="275"/>
      <c r="B747" s="342"/>
      <c r="C747" s="369"/>
      <c r="D747" s="337"/>
      <c r="E747" s="275"/>
      <c r="F747" s="275"/>
      <c r="G747" s="275"/>
      <c r="H747" s="275"/>
      <c r="I747" s="275"/>
      <c r="J747" s="275"/>
      <c r="K747" s="275"/>
      <c r="L747" s="275"/>
      <c r="M747" s="275"/>
      <c r="N747" s="275"/>
      <c r="O747" s="275"/>
      <c r="P747" s="275"/>
      <c r="Q747" s="275"/>
      <c r="R747" s="275"/>
      <c r="S747" s="275"/>
      <c r="T747" s="275"/>
      <c r="U747" s="275"/>
      <c r="V747" s="275"/>
      <c r="W747" s="275"/>
      <c r="X747" s="275"/>
      <c r="Y747" s="275"/>
      <c r="Z747" s="275"/>
    </row>
    <row r="748" spans="1:26" ht="12.75" customHeight="1" x14ac:dyDescent="0.25">
      <c r="A748" s="275"/>
      <c r="B748" s="342"/>
      <c r="C748" s="369"/>
      <c r="D748" s="337"/>
      <c r="E748" s="275"/>
      <c r="F748" s="275"/>
      <c r="G748" s="275"/>
      <c r="H748" s="275"/>
      <c r="I748" s="275"/>
      <c r="J748" s="275"/>
      <c r="K748" s="275"/>
      <c r="L748" s="275"/>
      <c r="M748" s="275"/>
      <c r="N748" s="275"/>
      <c r="O748" s="275"/>
      <c r="P748" s="275"/>
      <c r="Q748" s="275"/>
      <c r="R748" s="275"/>
      <c r="S748" s="275"/>
      <c r="T748" s="275"/>
      <c r="U748" s="275"/>
      <c r="V748" s="275"/>
      <c r="W748" s="275"/>
      <c r="X748" s="275"/>
      <c r="Y748" s="275"/>
      <c r="Z748" s="275"/>
    </row>
    <row r="749" spans="1:26" ht="12.75" customHeight="1" x14ac:dyDescent="0.25">
      <c r="A749" s="275"/>
      <c r="B749" s="342"/>
      <c r="C749" s="369"/>
      <c r="D749" s="337"/>
      <c r="E749" s="275"/>
      <c r="F749" s="275"/>
      <c r="G749" s="275"/>
      <c r="H749" s="275"/>
      <c r="I749" s="275"/>
      <c r="J749" s="275"/>
      <c r="K749" s="275"/>
      <c r="L749" s="275"/>
      <c r="M749" s="275"/>
      <c r="N749" s="275"/>
      <c r="O749" s="275"/>
      <c r="P749" s="275"/>
      <c r="Q749" s="275"/>
      <c r="R749" s="275"/>
      <c r="S749" s="275"/>
      <c r="T749" s="275"/>
      <c r="U749" s="275"/>
      <c r="V749" s="275"/>
      <c r="W749" s="275"/>
      <c r="X749" s="275"/>
      <c r="Y749" s="275"/>
      <c r="Z749" s="275"/>
    </row>
    <row r="750" spans="1:26" ht="12.75" customHeight="1" x14ac:dyDescent="0.25">
      <c r="A750" s="275"/>
      <c r="B750" s="342"/>
      <c r="C750" s="369"/>
      <c r="D750" s="337"/>
      <c r="E750" s="275"/>
      <c r="F750" s="275"/>
      <c r="G750" s="275"/>
      <c r="H750" s="275"/>
      <c r="I750" s="275"/>
      <c r="J750" s="275"/>
      <c r="K750" s="275"/>
      <c r="L750" s="275"/>
      <c r="M750" s="275"/>
      <c r="N750" s="275"/>
      <c r="O750" s="275"/>
      <c r="P750" s="275"/>
      <c r="Q750" s="275"/>
      <c r="R750" s="275"/>
      <c r="S750" s="275"/>
      <c r="T750" s="275"/>
      <c r="U750" s="275"/>
      <c r="V750" s="275"/>
      <c r="W750" s="275"/>
      <c r="X750" s="275"/>
      <c r="Y750" s="275"/>
      <c r="Z750" s="275"/>
    </row>
    <row r="751" spans="1:26" ht="12.75" customHeight="1" x14ac:dyDescent="0.25">
      <c r="A751" s="275"/>
      <c r="B751" s="342"/>
      <c r="C751" s="369"/>
      <c r="D751" s="337"/>
      <c r="E751" s="275"/>
      <c r="F751" s="275"/>
      <c r="G751" s="275"/>
      <c r="H751" s="275"/>
      <c r="I751" s="275"/>
      <c r="J751" s="275"/>
      <c r="K751" s="275"/>
      <c r="L751" s="275"/>
      <c r="M751" s="275"/>
      <c r="N751" s="275"/>
      <c r="O751" s="275"/>
      <c r="P751" s="275"/>
      <c r="Q751" s="275"/>
      <c r="R751" s="275"/>
      <c r="S751" s="275"/>
      <c r="T751" s="275"/>
      <c r="U751" s="275"/>
      <c r="V751" s="275"/>
      <c r="W751" s="275"/>
      <c r="X751" s="275"/>
      <c r="Y751" s="275"/>
      <c r="Z751" s="275"/>
    </row>
    <row r="752" spans="1:26" ht="12.75" customHeight="1" x14ac:dyDescent="0.25">
      <c r="A752" s="275"/>
      <c r="B752" s="342"/>
      <c r="C752" s="369"/>
      <c r="D752" s="337"/>
      <c r="E752" s="275"/>
      <c r="F752" s="275"/>
      <c r="G752" s="275"/>
      <c r="H752" s="275"/>
      <c r="I752" s="275"/>
      <c r="J752" s="275"/>
      <c r="K752" s="275"/>
      <c r="L752" s="275"/>
      <c r="M752" s="275"/>
      <c r="N752" s="275"/>
      <c r="O752" s="275"/>
      <c r="P752" s="275"/>
      <c r="Q752" s="275"/>
      <c r="R752" s="275"/>
      <c r="S752" s="275"/>
      <c r="T752" s="275"/>
      <c r="U752" s="275"/>
      <c r="V752" s="275"/>
      <c r="W752" s="275"/>
      <c r="X752" s="275"/>
      <c r="Y752" s="275"/>
      <c r="Z752" s="275"/>
    </row>
    <row r="753" spans="1:26" ht="12.75" customHeight="1" x14ac:dyDescent="0.25">
      <c r="A753" s="275"/>
      <c r="B753" s="342"/>
      <c r="C753" s="369"/>
      <c r="D753" s="337"/>
      <c r="E753" s="275"/>
      <c r="F753" s="275"/>
      <c r="G753" s="275"/>
      <c r="H753" s="275"/>
      <c r="I753" s="275"/>
      <c r="J753" s="275"/>
      <c r="K753" s="275"/>
      <c r="L753" s="275"/>
      <c r="M753" s="275"/>
      <c r="N753" s="275"/>
      <c r="O753" s="275"/>
      <c r="P753" s="275"/>
      <c r="Q753" s="275"/>
      <c r="R753" s="275"/>
      <c r="S753" s="275"/>
      <c r="T753" s="275"/>
      <c r="U753" s="275"/>
      <c r="V753" s="275"/>
      <c r="W753" s="275"/>
      <c r="X753" s="275"/>
      <c r="Y753" s="275"/>
      <c r="Z753" s="275"/>
    </row>
    <row r="754" spans="1:26" ht="12.75" customHeight="1" x14ac:dyDescent="0.25">
      <c r="A754" s="275"/>
      <c r="B754" s="342"/>
      <c r="C754" s="369"/>
      <c r="D754" s="337"/>
      <c r="E754" s="275"/>
      <c r="F754" s="275"/>
      <c r="G754" s="275"/>
      <c r="H754" s="275"/>
      <c r="I754" s="275"/>
      <c r="J754" s="275"/>
      <c r="K754" s="275"/>
      <c r="L754" s="275"/>
      <c r="M754" s="275"/>
      <c r="N754" s="275"/>
      <c r="O754" s="275"/>
      <c r="P754" s="275"/>
      <c r="Q754" s="275"/>
      <c r="R754" s="275"/>
      <c r="S754" s="275"/>
      <c r="T754" s="275"/>
      <c r="U754" s="275"/>
      <c r="V754" s="275"/>
      <c r="W754" s="275"/>
      <c r="X754" s="275"/>
      <c r="Y754" s="275"/>
      <c r="Z754" s="275"/>
    </row>
    <row r="755" spans="1:26" ht="12.75" customHeight="1" x14ac:dyDescent="0.25">
      <c r="A755" s="275"/>
      <c r="B755" s="342"/>
      <c r="C755" s="369"/>
      <c r="D755" s="337"/>
      <c r="E755" s="275"/>
      <c r="F755" s="275"/>
      <c r="G755" s="275"/>
      <c r="H755" s="275"/>
      <c r="I755" s="275"/>
      <c r="J755" s="275"/>
      <c r="K755" s="275"/>
      <c r="L755" s="275"/>
      <c r="M755" s="275"/>
      <c r="N755" s="275"/>
      <c r="O755" s="275"/>
      <c r="P755" s="275"/>
      <c r="Q755" s="275"/>
      <c r="R755" s="275"/>
      <c r="S755" s="275"/>
      <c r="T755" s="275"/>
      <c r="U755" s="275"/>
      <c r="V755" s="275"/>
      <c r="W755" s="275"/>
      <c r="X755" s="275"/>
      <c r="Y755" s="275"/>
      <c r="Z755" s="275"/>
    </row>
    <row r="756" spans="1:26" ht="12.75" customHeight="1" x14ac:dyDescent="0.25">
      <c r="A756" s="275"/>
      <c r="B756" s="342"/>
      <c r="C756" s="369"/>
      <c r="D756" s="337"/>
      <c r="E756" s="275"/>
      <c r="F756" s="275"/>
      <c r="G756" s="275"/>
      <c r="H756" s="275"/>
      <c r="I756" s="275"/>
      <c r="J756" s="275"/>
      <c r="K756" s="275"/>
      <c r="L756" s="275"/>
      <c r="M756" s="275"/>
      <c r="N756" s="275"/>
      <c r="O756" s="275"/>
      <c r="P756" s="275"/>
      <c r="Q756" s="275"/>
      <c r="R756" s="275"/>
      <c r="S756" s="275"/>
      <c r="T756" s="275"/>
      <c r="U756" s="275"/>
      <c r="V756" s="275"/>
      <c r="W756" s="275"/>
      <c r="X756" s="275"/>
      <c r="Y756" s="275"/>
      <c r="Z756" s="275"/>
    </row>
    <row r="757" spans="1:26" ht="12.75" customHeight="1" x14ac:dyDescent="0.25">
      <c r="A757" s="275"/>
      <c r="B757" s="342"/>
      <c r="C757" s="369"/>
      <c r="D757" s="337"/>
      <c r="E757" s="275"/>
      <c r="F757" s="275"/>
      <c r="G757" s="275"/>
      <c r="H757" s="275"/>
      <c r="I757" s="275"/>
      <c r="J757" s="275"/>
      <c r="K757" s="275"/>
      <c r="L757" s="275"/>
      <c r="M757" s="275"/>
      <c r="N757" s="275"/>
      <c r="O757" s="275"/>
      <c r="P757" s="275"/>
      <c r="Q757" s="275"/>
      <c r="R757" s="275"/>
      <c r="S757" s="275"/>
      <c r="T757" s="275"/>
      <c r="U757" s="275"/>
      <c r="V757" s="275"/>
      <c r="W757" s="275"/>
      <c r="X757" s="275"/>
      <c r="Y757" s="275"/>
      <c r="Z757" s="275"/>
    </row>
    <row r="758" spans="1:26" ht="12.75" customHeight="1" x14ac:dyDescent="0.25">
      <c r="A758" s="275"/>
      <c r="B758" s="342"/>
      <c r="C758" s="369"/>
      <c r="D758" s="337"/>
      <c r="E758" s="275"/>
      <c r="F758" s="275"/>
      <c r="G758" s="275"/>
      <c r="H758" s="275"/>
      <c r="I758" s="275"/>
      <c r="J758" s="275"/>
      <c r="K758" s="275"/>
      <c r="L758" s="275"/>
      <c r="M758" s="275"/>
      <c r="N758" s="275"/>
      <c r="O758" s="275"/>
      <c r="P758" s="275"/>
      <c r="Q758" s="275"/>
      <c r="R758" s="275"/>
      <c r="S758" s="275"/>
      <c r="T758" s="275"/>
      <c r="U758" s="275"/>
      <c r="V758" s="275"/>
      <c r="W758" s="275"/>
      <c r="X758" s="275"/>
      <c r="Y758" s="275"/>
      <c r="Z758" s="275"/>
    </row>
    <row r="759" spans="1:26" ht="12.75" customHeight="1" x14ac:dyDescent="0.25">
      <c r="A759" s="275"/>
      <c r="B759" s="342"/>
      <c r="C759" s="369"/>
      <c r="D759" s="337"/>
      <c r="E759" s="275"/>
      <c r="F759" s="275"/>
      <c r="G759" s="275"/>
      <c r="H759" s="275"/>
      <c r="I759" s="275"/>
      <c r="J759" s="275"/>
      <c r="K759" s="275"/>
      <c r="L759" s="275"/>
      <c r="M759" s="275"/>
      <c r="N759" s="275"/>
      <c r="O759" s="275"/>
      <c r="P759" s="275"/>
      <c r="Q759" s="275"/>
      <c r="R759" s="275"/>
      <c r="S759" s="275"/>
      <c r="T759" s="275"/>
      <c r="U759" s="275"/>
      <c r="V759" s="275"/>
      <c r="W759" s="275"/>
      <c r="X759" s="275"/>
      <c r="Y759" s="275"/>
      <c r="Z759" s="275"/>
    </row>
    <row r="760" spans="1:26" ht="12.75" customHeight="1" x14ac:dyDescent="0.25">
      <c r="A760" s="275"/>
      <c r="B760" s="342"/>
      <c r="C760" s="369"/>
      <c r="D760" s="337"/>
      <c r="E760" s="275"/>
      <c r="F760" s="275"/>
      <c r="G760" s="275"/>
      <c r="H760" s="275"/>
      <c r="I760" s="275"/>
      <c r="J760" s="275"/>
      <c r="K760" s="275"/>
      <c r="L760" s="275"/>
      <c r="M760" s="275"/>
      <c r="N760" s="275"/>
      <c r="O760" s="275"/>
      <c r="P760" s="275"/>
      <c r="Q760" s="275"/>
      <c r="R760" s="275"/>
      <c r="S760" s="275"/>
      <c r="T760" s="275"/>
      <c r="U760" s="275"/>
      <c r="V760" s="275"/>
      <c r="W760" s="275"/>
      <c r="X760" s="275"/>
      <c r="Y760" s="275"/>
      <c r="Z760" s="275"/>
    </row>
    <row r="761" spans="1:26" ht="12.75" customHeight="1" x14ac:dyDescent="0.25">
      <c r="A761" s="275"/>
      <c r="B761" s="342"/>
      <c r="C761" s="369"/>
      <c r="D761" s="337"/>
      <c r="E761" s="275"/>
      <c r="F761" s="275"/>
      <c r="G761" s="275"/>
      <c r="H761" s="275"/>
      <c r="I761" s="275"/>
      <c r="J761" s="275"/>
      <c r="K761" s="275"/>
      <c r="L761" s="275"/>
      <c r="M761" s="275"/>
      <c r="N761" s="275"/>
      <c r="O761" s="275"/>
      <c r="P761" s="275"/>
      <c r="Q761" s="275"/>
      <c r="R761" s="275"/>
      <c r="S761" s="275"/>
      <c r="T761" s="275"/>
      <c r="U761" s="275"/>
      <c r="V761" s="275"/>
      <c r="W761" s="275"/>
      <c r="X761" s="275"/>
      <c r="Y761" s="275"/>
      <c r="Z761" s="275"/>
    </row>
    <row r="762" spans="1:26" ht="12.75" customHeight="1" x14ac:dyDescent="0.25">
      <c r="A762" s="275"/>
      <c r="B762" s="342"/>
      <c r="C762" s="369"/>
      <c r="D762" s="337"/>
      <c r="E762" s="275"/>
      <c r="F762" s="275"/>
      <c r="G762" s="275"/>
      <c r="H762" s="275"/>
      <c r="I762" s="275"/>
      <c r="J762" s="275"/>
      <c r="K762" s="275"/>
      <c r="L762" s="275"/>
      <c r="M762" s="275"/>
      <c r="N762" s="275"/>
      <c r="O762" s="275"/>
      <c r="P762" s="275"/>
      <c r="Q762" s="275"/>
      <c r="R762" s="275"/>
      <c r="S762" s="275"/>
      <c r="T762" s="275"/>
      <c r="U762" s="275"/>
      <c r="V762" s="275"/>
      <c r="W762" s="275"/>
      <c r="X762" s="275"/>
      <c r="Y762" s="275"/>
      <c r="Z762" s="275"/>
    </row>
    <row r="763" spans="1:26" ht="12.75" customHeight="1" x14ac:dyDescent="0.25">
      <c r="A763" s="275"/>
      <c r="B763" s="342"/>
      <c r="C763" s="369"/>
      <c r="D763" s="337"/>
      <c r="E763" s="275"/>
      <c r="F763" s="275"/>
      <c r="G763" s="275"/>
      <c r="H763" s="275"/>
      <c r="I763" s="275"/>
      <c r="J763" s="275"/>
      <c r="K763" s="275"/>
      <c r="L763" s="275"/>
      <c r="M763" s="275"/>
      <c r="N763" s="275"/>
      <c r="O763" s="275"/>
      <c r="P763" s="275"/>
      <c r="Q763" s="275"/>
      <c r="R763" s="275"/>
      <c r="S763" s="275"/>
      <c r="T763" s="275"/>
      <c r="U763" s="275"/>
      <c r="V763" s="275"/>
      <c r="W763" s="275"/>
      <c r="X763" s="275"/>
      <c r="Y763" s="275"/>
      <c r="Z763" s="275"/>
    </row>
    <row r="764" spans="1:26" ht="12.75" customHeight="1" x14ac:dyDescent="0.25">
      <c r="A764" s="275"/>
      <c r="B764" s="342"/>
      <c r="C764" s="369"/>
      <c r="D764" s="337"/>
      <c r="E764" s="275"/>
      <c r="F764" s="275"/>
      <c r="G764" s="275"/>
      <c r="H764" s="275"/>
      <c r="I764" s="275"/>
      <c r="J764" s="275"/>
      <c r="K764" s="275"/>
      <c r="L764" s="275"/>
      <c r="M764" s="275"/>
      <c r="N764" s="275"/>
      <c r="O764" s="275"/>
      <c r="P764" s="275"/>
      <c r="Q764" s="275"/>
      <c r="R764" s="275"/>
      <c r="S764" s="275"/>
      <c r="T764" s="275"/>
      <c r="U764" s="275"/>
      <c r="V764" s="275"/>
      <c r="W764" s="275"/>
      <c r="X764" s="275"/>
      <c r="Y764" s="275"/>
      <c r="Z764" s="275"/>
    </row>
    <row r="765" spans="1:26" ht="12.75" customHeight="1" x14ac:dyDescent="0.25">
      <c r="A765" s="275"/>
      <c r="B765" s="342"/>
      <c r="C765" s="369"/>
      <c r="D765" s="337"/>
      <c r="E765" s="275"/>
      <c r="F765" s="275"/>
      <c r="G765" s="275"/>
      <c r="H765" s="275"/>
      <c r="I765" s="275"/>
      <c r="J765" s="275"/>
      <c r="K765" s="275"/>
      <c r="L765" s="275"/>
      <c r="M765" s="275"/>
      <c r="N765" s="275"/>
      <c r="O765" s="275"/>
      <c r="P765" s="275"/>
      <c r="Q765" s="275"/>
      <c r="R765" s="275"/>
      <c r="S765" s="275"/>
      <c r="T765" s="275"/>
      <c r="U765" s="275"/>
      <c r="V765" s="275"/>
      <c r="W765" s="275"/>
      <c r="X765" s="275"/>
      <c r="Y765" s="275"/>
      <c r="Z765" s="275"/>
    </row>
    <row r="766" spans="1:26" ht="12.75" customHeight="1" x14ac:dyDescent="0.25">
      <c r="A766" s="275"/>
      <c r="B766" s="342"/>
      <c r="C766" s="369"/>
      <c r="D766" s="337"/>
      <c r="E766" s="275"/>
      <c r="F766" s="275"/>
      <c r="G766" s="275"/>
      <c r="H766" s="275"/>
      <c r="I766" s="275"/>
      <c r="J766" s="275"/>
      <c r="K766" s="275"/>
      <c r="L766" s="275"/>
      <c r="M766" s="275"/>
      <c r="N766" s="275"/>
      <c r="O766" s="275"/>
      <c r="P766" s="275"/>
      <c r="Q766" s="275"/>
      <c r="R766" s="275"/>
      <c r="S766" s="275"/>
      <c r="T766" s="275"/>
      <c r="U766" s="275"/>
      <c r="V766" s="275"/>
      <c r="W766" s="275"/>
      <c r="X766" s="275"/>
      <c r="Y766" s="275"/>
      <c r="Z766" s="275"/>
    </row>
    <row r="767" spans="1:26" ht="12.75" customHeight="1" x14ac:dyDescent="0.25">
      <c r="A767" s="275"/>
      <c r="B767" s="342"/>
      <c r="C767" s="369"/>
      <c r="D767" s="337"/>
      <c r="E767" s="275"/>
      <c r="F767" s="275"/>
      <c r="G767" s="275"/>
      <c r="H767" s="275"/>
      <c r="I767" s="275"/>
      <c r="J767" s="275"/>
      <c r="K767" s="275"/>
      <c r="L767" s="275"/>
      <c r="M767" s="275"/>
      <c r="N767" s="275"/>
      <c r="O767" s="275"/>
      <c r="P767" s="275"/>
      <c r="Q767" s="275"/>
      <c r="R767" s="275"/>
      <c r="S767" s="275"/>
      <c r="T767" s="275"/>
      <c r="U767" s="275"/>
      <c r="V767" s="275"/>
      <c r="W767" s="275"/>
      <c r="X767" s="275"/>
      <c r="Y767" s="275"/>
      <c r="Z767" s="275"/>
    </row>
    <row r="768" spans="1:26" ht="12.75" customHeight="1" x14ac:dyDescent="0.25">
      <c r="A768" s="275"/>
      <c r="B768" s="342"/>
      <c r="C768" s="369"/>
      <c r="D768" s="337"/>
      <c r="E768" s="275"/>
      <c r="F768" s="275"/>
      <c r="G768" s="275"/>
      <c r="H768" s="275"/>
      <c r="I768" s="275"/>
      <c r="J768" s="275"/>
      <c r="K768" s="275"/>
      <c r="L768" s="275"/>
      <c r="M768" s="275"/>
      <c r="N768" s="275"/>
      <c r="O768" s="275"/>
      <c r="P768" s="275"/>
      <c r="Q768" s="275"/>
      <c r="R768" s="275"/>
      <c r="S768" s="275"/>
      <c r="T768" s="275"/>
      <c r="U768" s="275"/>
      <c r="V768" s="275"/>
      <c r="W768" s="275"/>
      <c r="X768" s="275"/>
      <c r="Y768" s="275"/>
      <c r="Z768" s="275"/>
    </row>
    <row r="769" spans="1:26" ht="12.75" customHeight="1" x14ac:dyDescent="0.25">
      <c r="A769" s="275"/>
      <c r="B769" s="342"/>
      <c r="C769" s="369"/>
      <c r="D769" s="337"/>
      <c r="E769" s="275"/>
      <c r="F769" s="275"/>
      <c r="G769" s="275"/>
      <c r="H769" s="275"/>
      <c r="I769" s="275"/>
      <c r="J769" s="275"/>
      <c r="K769" s="275"/>
      <c r="L769" s="275"/>
      <c r="M769" s="275"/>
      <c r="N769" s="275"/>
      <c r="O769" s="275"/>
      <c r="P769" s="275"/>
      <c r="Q769" s="275"/>
      <c r="R769" s="275"/>
      <c r="S769" s="275"/>
      <c r="T769" s="275"/>
      <c r="U769" s="275"/>
      <c r="V769" s="275"/>
      <c r="W769" s="275"/>
      <c r="X769" s="275"/>
      <c r="Y769" s="275"/>
      <c r="Z769" s="275"/>
    </row>
    <row r="770" spans="1:26" ht="12.75" customHeight="1" x14ac:dyDescent="0.25">
      <c r="A770" s="275"/>
      <c r="B770" s="342"/>
      <c r="C770" s="369"/>
      <c r="D770" s="337"/>
      <c r="E770" s="275"/>
      <c r="F770" s="275"/>
      <c r="G770" s="275"/>
      <c r="H770" s="275"/>
      <c r="I770" s="275"/>
      <c r="J770" s="275"/>
      <c r="K770" s="275"/>
      <c r="L770" s="275"/>
      <c r="M770" s="275"/>
      <c r="N770" s="275"/>
      <c r="O770" s="275"/>
      <c r="P770" s="275"/>
      <c r="Q770" s="275"/>
      <c r="R770" s="275"/>
      <c r="S770" s="275"/>
      <c r="T770" s="275"/>
      <c r="U770" s="275"/>
      <c r="V770" s="275"/>
      <c r="W770" s="275"/>
      <c r="X770" s="275"/>
      <c r="Y770" s="275"/>
      <c r="Z770" s="275"/>
    </row>
    <row r="771" spans="1:26" ht="12.75" customHeight="1" x14ac:dyDescent="0.25">
      <c r="A771" s="275"/>
      <c r="B771" s="342"/>
      <c r="C771" s="369"/>
      <c r="D771" s="337"/>
      <c r="E771" s="275"/>
      <c r="F771" s="275"/>
      <c r="G771" s="275"/>
      <c r="H771" s="275"/>
      <c r="I771" s="275"/>
      <c r="J771" s="275"/>
      <c r="K771" s="275"/>
      <c r="L771" s="275"/>
      <c r="M771" s="275"/>
      <c r="N771" s="275"/>
      <c r="O771" s="275"/>
      <c r="P771" s="275"/>
      <c r="Q771" s="275"/>
      <c r="R771" s="275"/>
      <c r="S771" s="275"/>
      <c r="T771" s="275"/>
      <c r="U771" s="275"/>
      <c r="V771" s="275"/>
      <c r="W771" s="275"/>
      <c r="X771" s="275"/>
      <c r="Y771" s="275"/>
      <c r="Z771" s="275"/>
    </row>
    <row r="772" spans="1:26" ht="12.75" customHeight="1" x14ac:dyDescent="0.25">
      <c r="A772" s="275"/>
      <c r="B772" s="342"/>
      <c r="C772" s="369"/>
      <c r="D772" s="337"/>
      <c r="E772" s="275"/>
      <c r="F772" s="275"/>
      <c r="G772" s="275"/>
      <c r="H772" s="275"/>
      <c r="I772" s="275"/>
      <c r="J772" s="275"/>
      <c r="K772" s="275"/>
      <c r="L772" s="275"/>
      <c r="M772" s="275"/>
      <c r="N772" s="275"/>
      <c r="O772" s="275"/>
      <c r="P772" s="275"/>
      <c r="Q772" s="275"/>
      <c r="R772" s="275"/>
      <c r="S772" s="275"/>
      <c r="T772" s="275"/>
      <c r="U772" s="275"/>
      <c r="V772" s="275"/>
      <c r="W772" s="275"/>
      <c r="X772" s="275"/>
      <c r="Y772" s="275"/>
      <c r="Z772" s="275"/>
    </row>
    <row r="773" spans="1:26" ht="12.75" customHeight="1" x14ac:dyDescent="0.25">
      <c r="A773" s="275"/>
      <c r="B773" s="342"/>
      <c r="C773" s="369"/>
      <c r="D773" s="337"/>
      <c r="E773" s="275"/>
      <c r="F773" s="275"/>
      <c r="G773" s="275"/>
      <c r="H773" s="275"/>
      <c r="I773" s="275"/>
      <c r="J773" s="275"/>
      <c r="K773" s="275"/>
      <c r="L773" s="275"/>
      <c r="M773" s="275"/>
      <c r="N773" s="275"/>
      <c r="O773" s="275"/>
      <c r="P773" s="275"/>
      <c r="Q773" s="275"/>
      <c r="R773" s="275"/>
      <c r="S773" s="275"/>
      <c r="T773" s="275"/>
      <c r="U773" s="275"/>
      <c r="V773" s="275"/>
      <c r="W773" s="275"/>
      <c r="X773" s="275"/>
      <c r="Y773" s="275"/>
      <c r="Z773" s="275"/>
    </row>
    <row r="774" spans="1:26" ht="12.75" customHeight="1" x14ac:dyDescent="0.25">
      <c r="A774" s="275"/>
      <c r="B774" s="342"/>
      <c r="C774" s="369"/>
      <c r="D774" s="337"/>
      <c r="E774" s="275"/>
      <c r="F774" s="275"/>
      <c r="G774" s="275"/>
      <c r="H774" s="275"/>
      <c r="I774" s="275"/>
      <c r="J774" s="275"/>
      <c r="K774" s="275"/>
      <c r="L774" s="275"/>
      <c r="M774" s="275"/>
      <c r="N774" s="275"/>
      <c r="O774" s="275"/>
      <c r="P774" s="275"/>
      <c r="Q774" s="275"/>
      <c r="R774" s="275"/>
      <c r="S774" s="275"/>
      <c r="T774" s="275"/>
      <c r="U774" s="275"/>
      <c r="V774" s="275"/>
      <c r="W774" s="275"/>
      <c r="X774" s="275"/>
      <c r="Y774" s="275"/>
      <c r="Z774" s="275"/>
    </row>
    <row r="775" spans="1:26" ht="12.75" customHeight="1" x14ac:dyDescent="0.25">
      <c r="A775" s="275"/>
      <c r="B775" s="342"/>
      <c r="C775" s="369"/>
      <c r="D775" s="337"/>
      <c r="E775" s="275"/>
      <c r="F775" s="275"/>
      <c r="G775" s="275"/>
      <c r="H775" s="275"/>
      <c r="I775" s="275"/>
      <c r="J775" s="275"/>
      <c r="K775" s="275"/>
      <c r="L775" s="275"/>
      <c r="M775" s="275"/>
      <c r="N775" s="275"/>
      <c r="O775" s="275"/>
      <c r="P775" s="275"/>
      <c r="Q775" s="275"/>
      <c r="R775" s="275"/>
      <c r="S775" s="275"/>
      <c r="T775" s="275"/>
      <c r="U775" s="275"/>
      <c r="V775" s="275"/>
      <c r="W775" s="275"/>
      <c r="X775" s="275"/>
      <c r="Y775" s="275"/>
      <c r="Z775" s="275"/>
    </row>
    <row r="776" spans="1:26" ht="12.75" customHeight="1" x14ac:dyDescent="0.25">
      <c r="A776" s="275"/>
      <c r="B776" s="342"/>
      <c r="C776" s="369"/>
      <c r="D776" s="337"/>
      <c r="E776" s="275"/>
      <c r="F776" s="275"/>
      <c r="G776" s="275"/>
      <c r="H776" s="275"/>
      <c r="I776" s="275"/>
      <c r="J776" s="275"/>
      <c r="K776" s="275"/>
      <c r="L776" s="275"/>
      <c r="M776" s="275"/>
      <c r="N776" s="275"/>
      <c r="O776" s="275"/>
      <c r="P776" s="275"/>
      <c r="Q776" s="275"/>
      <c r="R776" s="275"/>
      <c r="S776" s="275"/>
      <c r="T776" s="275"/>
      <c r="U776" s="275"/>
      <c r="V776" s="275"/>
      <c r="W776" s="275"/>
      <c r="X776" s="275"/>
      <c r="Y776" s="275"/>
      <c r="Z776" s="275"/>
    </row>
    <row r="777" spans="1:26" ht="12.75" customHeight="1" x14ac:dyDescent="0.25">
      <c r="A777" s="275"/>
      <c r="B777" s="342"/>
      <c r="C777" s="369"/>
      <c r="D777" s="337"/>
      <c r="E777" s="275"/>
      <c r="F777" s="275"/>
      <c r="G777" s="275"/>
      <c r="H777" s="275"/>
      <c r="I777" s="275"/>
      <c r="J777" s="275"/>
      <c r="K777" s="275"/>
      <c r="L777" s="275"/>
      <c r="M777" s="275"/>
      <c r="N777" s="275"/>
      <c r="O777" s="275"/>
      <c r="P777" s="275"/>
      <c r="Q777" s="275"/>
      <c r="R777" s="275"/>
      <c r="S777" s="275"/>
      <c r="T777" s="275"/>
      <c r="U777" s="275"/>
      <c r="V777" s="275"/>
      <c r="W777" s="275"/>
      <c r="X777" s="275"/>
      <c r="Y777" s="275"/>
      <c r="Z777" s="275"/>
    </row>
    <row r="778" spans="1:26" ht="12.75" customHeight="1" x14ac:dyDescent="0.25">
      <c r="A778" s="275"/>
      <c r="B778" s="342"/>
      <c r="C778" s="369"/>
      <c r="D778" s="337"/>
      <c r="E778" s="275"/>
      <c r="F778" s="275"/>
      <c r="G778" s="275"/>
      <c r="H778" s="275"/>
      <c r="I778" s="275"/>
      <c r="J778" s="275"/>
      <c r="K778" s="275"/>
      <c r="L778" s="275"/>
      <c r="M778" s="275"/>
      <c r="N778" s="275"/>
      <c r="O778" s="275"/>
      <c r="P778" s="275"/>
      <c r="Q778" s="275"/>
      <c r="R778" s="275"/>
      <c r="S778" s="275"/>
      <c r="T778" s="275"/>
      <c r="U778" s="275"/>
      <c r="V778" s="275"/>
      <c r="W778" s="275"/>
      <c r="X778" s="275"/>
      <c r="Y778" s="275"/>
      <c r="Z778" s="275"/>
    </row>
    <row r="779" spans="1:26" ht="12.75" customHeight="1" x14ac:dyDescent="0.25">
      <c r="A779" s="275"/>
      <c r="B779" s="342"/>
      <c r="C779" s="369"/>
      <c r="D779" s="337"/>
      <c r="E779" s="275"/>
      <c r="F779" s="275"/>
      <c r="G779" s="275"/>
      <c r="H779" s="275"/>
      <c r="I779" s="275"/>
      <c r="J779" s="275"/>
      <c r="K779" s="275"/>
      <c r="L779" s="275"/>
      <c r="M779" s="275"/>
      <c r="N779" s="275"/>
      <c r="O779" s="275"/>
      <c r="P779" s="275"/>
      <c r="Q779" s="275"/>
      <c r="R779" s="275"/>
      <c r="S779" s="275"/>
      <c r="T779" s="275"/>
      <c r="U779" s="275"/>
      <c r="V779" s="275"/>
      <c r="W779" s="275"/>
      <c r="X779" s="275"/>
      <c r="Y779" s="275"/>
      <c r="Z779" s="275"/>
    </row>
    <row r="780" spans="1:26" ht="12.75" customHeight="1" x14ac:dyDescent="0.25">
      <c r="A780" s="275"/>
      <c r="B780" s="342"/>
      <c r="C780" s="369"/>
      <c r="D780" s="337"/>
      <c r="E780" s="275"/>
      <c r="F780" s="275"/>
      <c r="G780" s="275"/>
      <c r="H780" s="275"/>
      <c r="I780" s="275"/>
      <c r="J780" s="275"/>
      <c r="K780" s="275"/>
      <c r="L780" s="275"/>
      <c r="M780" s="275"/>
      <c r="N780" s="275"/>
      <c r="O780" s="275"/>
      <c r="P780" s="275"/>
      <c r="Q780" s="275"/>
      <c r="R780" s="275"/>
      <c r="S780" s="275"/>
      <c r="T780" s="275"/>
      <c r="U780" s="275"/>
      <c r="V780" s="275"/>
      <c r="W780" s="275"/>
      <c r="X780" s="275"/>
      <c r="Y780" s="275"/>
      <c r="Z780" s="275"/>
    </row>
    <row r="781" spans="1:26" ht="12.75" customHeight="1" x14ac:dyDescent="0.25">
      <c r="A781" s="275"/>
      <c r="B781" s="342"/>
      <c r="C781" s="369"/>
      <c r="D781" s="337"/>
      <c r="E781" s="275"/>
      <c r="F781" s="275"/>
      <c r="G781" s="275"/>
      <c r="H781" s="275"/>
      <c r="I781" s="275"/>
      <c r="J781" s="275"/>
      <c r="K781" s="275"/>
      <c r="L781" s="275"/>
      <c r="M781" s="275"/>
      <c r="N781" s="275"/>
      <c r="O781" s="275"/>
      <c r="P781" s="275"/>
      <c r="Q781" s="275"/>
      <c r="R781" s="275"/>
      <c r="S781" s="275"/>
      <c r="T781" s="275"/>
      <c r="U781" s="275"/>
      <c r="V781" s="275"/>
      <c r="W781" s="275"/>
      <c r="X781" s="275"/>
      <c r="Y781" s="275"/>
      <c r="Z781" s="275"/>
    </row>
    <row r="782" spans="1:26" ht="12.75" customHeight="1" x14ac:dyDescent="0.25">
      <c r="A782" s="275"/>
      <c r="B782" s="342"/>
      <c r="C782" s="369"/>
      <c r="D782" s="337"/>
      <c r="E782" s="275"/>
      <c r="F782" s="275"/>
      <c r="G782" s="275"/>
      <c r="H782" s="275"/>
      <c r="I782" s="275"/>
      <c r="J782" s="275"/>
      <c r="K782" s="275"/>
      <c r="L782" s="275"/>
      <c r="M782" s="275"/>
      <c r="N782" s="275"/>
      <c r="O782" s="275"/>
      <c r="P782" s="275"/>
      <c r="Q782" s="275"/>
      <c r="R782" s="275"/>
      <c r="S782" s="275"/>
      <c r="T782" s="275"/>
      <c r="U782" s="275"/>
      <c r="V782" s="275"/>
      <c r="W782" s="275"/>
      <c r="X782" s="275"/>
      <c r="Y782" s="275"/>
      <c r="Z782" s="275"/>
    </row>
    <row r="783" spans="1:26" ht="12.75" customHeight="1" x14ac:dyDescent="0.25">
      <c r="A783" s="275"/>
      <c r="B783" s="342"/>
      <c r="C783" s="369"/>
      <c r="D783" s="337"/>
      <c r="E783" s="275"/>
      <c r="F783" s="275"/>
      <c r="G783" s="275"/>
      <c r="H783" s="275"/>
      <c r="I783" s="275"/>
      <c r="J783" s="275"/>
      <c r="K783" s="275"/>
      <c r="L783" s="275"/>
      <c r="M783" s="275"/>
      <c r="N783" s="275"/>
      <c r="O783" s="275"/>
      <c r="P783" s="275"/>
      <c r="Q783" s="275"/>
      <c r="R783" s="275"/>
      <c r="S783" s="275"/>
      <c r="T783" s="275"/>
      <c r="U783" s="275"/>
      <c r="V783" s="275"/>
      <c r="W783" s="275"/>
      <c r="X783" s="275"/>
      <c r="Y783" s="275"/>
      <c r="Z783" s="275"/>
    </row>
    <row r="784" spans="1:26" ht="12.75" customHeight="1" x14ac:dyDescent="0.25">
      <c r="A784" s="275"/>
      <c r="B784" s="342"/>
      <c r="C784" s="369"/>
      <c r="D784" s="337"/>
      <c r="E784" s="275"/>
      <c r="F784" s="275"/>
      <c r="G784" s="275"/>
      <c r="H784" s="275"/>
      <c r="I784" s="275"/>
      <c r="J784" s="275"/>
      <c r="K784" s="275"/>
      <c r="L784" s="275"/>
      <c r="M784" s="275"/>
      <c r="N784" s="275"/>
      <c r="O784" s="275"/>
      <c r="P784" s="275"/>
      <c r="Q784" s="275"/>
      <c r="R784" s="275"/>
      <c r="S784" s="275"/>
      <c r="T784" s="275"/>
      <c r="U784" s="275"/>
      <c r="V784" s="275"/>
      <c r="W784" s="275"/>
      <c r="X784" s="275"/>
      <c r="Y784" s="275"/>
      <c r="Z784" s="275"/>
    </row>
    <row r="785" spans="1:26" ht="12.75" customHeight="1" x14ac:dyDescent="0.25">
      <c r="A785" s="275"/>
      <c r="B785" s="342"/>
      <c r="C785" s="369"/>
      <c r="D785" s="337"/>
      <c r="E785" s="275"/>
      <c r="F785" s="275"/>
      <c r="G785" s="275"/>
      <c r="H785" s="275"/>
      <c r="I785" s="275"/>
      <c r="J785" s="275"/>
      <c r="K785" s="275"/>
      <c r="L785" s="275"/>
      <c r="M785" s="275"/>
      <c r="N785" s="275"/>
      <c r="O785" s="275"/>
      <c r="P785" s="275"/>
      <c r="Q785" s="275"/>
      <c r="R785" s="275"/>
      <c r="S785" s="275"/>
      <c r="T785" s="275"/>
      <c r="U785" s="275"/>
      <c r="V785" s="275"/>
      <c r="W785" s="275"/>
      <c r="X785" s="275"/>
      <c r="Y785" s="275"/>
      <c r="Z785" s="275"/>
    </row>
    <row r="786" spans="1:26" ht="12.75" customHeight="1" x14ac:dyDescent="0.25">
      <c r="A786" s="275"/>
      <c r="B786" s="342"/>
      <c r="C786" s="369"/>
      <c r="D786" s="337"/>
      <c r="E786" s="275"/>
      <c r="F786" s="275"/>
      <c r="G786" s="275"/>
      <c r="H786" s="275"/>
      <c r="I786" s="275"/>
      <c r="J786" s="275"/>
      <c r="K786" s="275"/>
      <c r="L786" s="275"/>
      <c r="M786" s="275"/>
      <c r="N786" s="275"/>
      <c r="O786" s="275"/>
      <c r="P786" s="275"/>
      <c r="Q786" s="275"/>
      <c r="R786" s="275"/>
      <c r="S786" s="275"/>
      <c r="T786" s="275"/>
      <c r="U786" s="275"/>
      <c r="V786" s="275"/>
      <c r="W786" s="275"/>
      <c r="X786" s="275"/>
      <c r="Y786" s="275"/>
      <c r="Z786" s="275"/>
    </row>
    <row r="787" spans="1:26" ht="12.75" customHeight="1" x14ac:dyDescent="0.25">
      <c r="A787" s="275"/>
      <c r="B787" s="342"/>
      <c r="C787" s="369"/>
      <c r="D787" s="337"/>
      <c r="E787" s="275"/>
      <c r="F787" s="275"/>
      <c r="G787" s="275"/>
      <c r="H787" s="275"/>
      <c r="I787" s="275"/>
      <c r="J787" s="275"/>
      <c r="K787" s="275"/>
      <c r="L787" s="275"/>
      <c r="M787" s="275"/>
      <c r="N787" s="275"/>
      <c r="O787" s="275"/>
      <c r="P787" s="275"/>
      <c r="Q787" s="275"/>
      <c r="R787" s="275"/>
      <c r="S787" s="275"/>
      <c r="T787" s="275"/>
      <c r="U787" s="275"/>
      <c r="V787" s="275"/>
      <c r="W787" s="275"/>
      <c r="X787" s="275"/>
      <c r="Y787" s="275"/>
      <c r="Z787" s="275"/>
    </row>
    <row r="788" spans="1:26" ht="12.75" customHeight="1" x14ac:dyDescent="0.25">
      <c r="A788" s="275"/>
      <c r="B788" s="342"/>
      <c r="C788" s="369"/>
      <c r="D788" s="337"/>
      <c r="E788" s="275"/>
      <c r="F788" s="275"/>
      <c r="G788" s="275"/>
      <c r="H788" s="275"/>
      <c r="I788" s="275"/>
      <c r="J788" s="275"/>
      <c r="K788" s="275"/>
      <c r="L788" s="275"/>
      <c r="M788" s="275"/>
      <c r="N788" s="275"/>
      <c r="O788" s="275"/>
      <c r="P788" s="275"/>
      <c r="Q788" s="275"/>
      <c r="R788" s="275"/>
      <c r="S788" s="275"/>
      <c r="T788" s="275"/>
      <c r="U788" s="275"/>
      <c r="V788" s="275"/>
      <c r="W788" s="275"/>
      <c r="X788" s="275"/>
      <c r="Y788" s="275"/>
      <c r="Z788" s="275"/>
    </row>
    <row r="789" spans="1:26" ht="12.75" customHeight="1" x14ac:dyDescent="0.25">
      <c r="A789" s="275"/>
      <c r="B789" s="342"/>
      <c r="C789" s="369"/>
      <c r="D789" s="337"/>
      <c r="E789" s="275"/>
      <c r="F789" s="275"/>
      <c r="G789" s="275"/>
      <c r="H789" s="275"/>
      <c r="I789" s="275"/>
      <c r="J789" s="275"/>
      <c r="K789" s="275"/>
      <c r="L789" s="275"/>
      <c r="M789" s="275"/>
      <c r="N789" s="275"/>
      <c r="O789" s="275"/>
      <c r="P789" s="275"/>
      <c r="Q789" s="275"/>
      <c r="R789" s="275"/>
      <c r="S789" s="275"/>
      <c r="T789" s="275"/>
      <c r="U789" s="275"/>
      <c r="V789" s="275"/>
      <c r="W789" s="275"/>
      <c r="X789" s="275"/>
      <c r="Y789" s="275"/>
      <c r="Z789" s="275"/>
    </row>
    <row r="790" spans="1:26" ht="12.75" customHeight="1" x14ac:dyDescent="0.25">
      <c r="A790" s="275"/>
      <c r="B790" s="342"/>
      <c r="C790" s="369"/>
      <c r="D790" s="337"/>
      <c r="E790" s="275"/>
      <c r="F790" s="275"/>
      <c r="G790" s="275"/>
      <c r="H790" s="275"/>
      <c r="I790" s="275"/>
      <c r="J790" s="275"/>
      <c r="K790" s="275"/>
      <c r="L790" s="275"/>
      <c r="M790" s="275"/>
      <c r="N790" s="275"/>
      <c r="O790" s="275"/>
      <c r="P790" s="275"/>
      <c r="Q790" s="275"/>
      <c r="R790" s="275"/>
      <c r="S790" s="275"/>
      <c r="T790" s="275"/>
      <c r="U790" s="275"/>
      <c r="V790" s="275"/>
      <c r="W790" s="275"/>
      <c r="X790" s="275"/>
      <c r="Y790" s="275"/>
      <c r="Z790" s="275"/>
    </row>
    <row r="791" spans="1:26" ht="12.75" customHeight="1" x14ac:dyDescent="0.25">
      <c r="A791" s="275"/>
      <c r="B791" s="342"/>
      <c r="C791" s="369"/>
      <c r="D791" s="337"/>
      <c r="E791" s="275"/>
      <c r="F791" s="275"/>
      <c r="G791" s="275"/>
      <c r="H791" s="275"/>
      <c r="I791" s="275"/>
      <c r="J791" s="275"/>
      <c r="K791" s="275"/>
      <c r="L791" s="275"/>
      <c r="M791" s="275"/>
      <c r="N791" s="275"/>
      <c r="O791" s="275"/>
      <c r="P791" s="275"/>
      <c r="Q791" s="275"/>
      <c r="R791" s="275"/>
      <c r="S791" s="275"/>
      <c r="T791" s="275"/>
      <c r="U791" s="275"/>
      <c r="V791" s="275"/>
      <c r="W791" s="275"/>
      <c r="X791" s="275"/>
      <c r="Y791" s="275"/>
      <c r="Z791" s="275"/>
    </row>
    <row r="792" spans="1:26" ht="12.75" customHeight="1" x14ac:dyDescent="0.25">
      <c r="A792" s="275"/>
      <c r="B792" s="342"/>
      <c r="C792" s="369"/>
      <c r="D792" s="337"/>
      <c r="E792" s="275"/>
      <c r="F792" s="275"/>
      <c r="G792" s="275"/>
      <c r="H792" s="275"/>
      <c r="I792" s="275"/>
      <c r="J792" s="275"/>
      <c r="K792" s="275"/>
      <c r="L792" s="275"/>
      <c r="M792" s="275"/>
      <c r="N792" s="275"/>
      <c r="O792" s="275"/>
      <c r="P792" s="275"/>
      <c r="Q792" s="275"/>
      <c r="R792" s="275"/>
      <c r="S792" s="275"/>
      <c r="T792" s="275"/>
      <c r="U792" s="275"/>
      <c r="V792" s="275"/>
      <c r="W792" s="275"/>
      <c r="X792" s="275"/>
      <c r="Y792" s="275"/>
      <c r="Z792" s="275"/>
    </row>
    <row r="793" spans="1:26" ht="12.75" customHeight="1" x14ac:dyDescent="0.25">
      <c r="A793" s="275"/>
      <c r="B793" s="342"/>
      <c r="C793" s="369"/>
      <c r="D793" s="337"/>
      <c r="E793" s="275"/>
      <c r="F793" s="275"/>
      <c r="G793" s="275"/>
      <c r="H793" s="275"/>
      <c r="I793" s="275"/>
      <c r="J793" s="275"/>
      <c r="K793" s="275"/>
      <c r="L793" s="275"/>
      <c r="M793" s="275"/>
      <c r="N793" s="275"/>
      <c r="O793" s="275"/>
      <c r="P793" s="275"/>
      <c r="Q793" s="275"/>
      <c r="R793" s="275"/>
      <c r="S793" s="275"/>
      <c r="T793" s="275"/>
      <c r="U793" s="275"/>
      <c r="V793" s="275"/>
      <c r="W793" s="275"/>
      <c r="X793" s="275"/>
      <c r="Y793" s="275"/>
      <c r="Z793" s="275"/>
    </row>
    <row r="794" spans="1:26" ht="12.75" customHeight="1" x14ac:dyDescent="0.25">
      <c r="A794" s="275"/>
      <c r="B794" s="342"/>
      <c r="C794" s="369"/>
      <c r="D794" s="337"/>
      <c r="E794" s="275"/>
      <c r="F794" s="275"/>
      <c r="G794" s="275"/>
      <c r="H794" s="275"/>
      <c r="I794" s="275"/>
      <c r="J794" s="275"/>
      <c r="K794" s="275"/>
      <c r="L794" s="275"/>
      <c r="M794" s="275"/>
      <c r="N794" s="275"/>
      <c r="O794" s="275"/>
      <c r="P794" s="275"/>
      <c r="Q794" s="275"/>
      <c r="R794" s="275"/>
      <c r="S794" s="275"/>
      <c r="T794" s="275"/>
      <c r="U794" s="275"/>
      <c r="V794" s="275"/>
      <c r="W794" s="275"/>
      <c r="X794" s="275"/>
      <c r="Y794" s="275"/>
      <c r="Z794" s="275"/>
    </row>
    <row r="795" spans="1:26" ht="12.75" customHeight="1" x14ac:dyDescent="0.25">
      <c r="A795" s="275"/>
      <c r="B795" s="342"/>
      <c r="C795" s="369"/>
      <c r="D795" s="337"/>
      <c r="E795" s="275"/>
      <c r="F795" s="275"/>
      <c r="G795" s="275"/>
      <c r="H795" s="275"/>
      <c r="I795" s="275"/>
      <c r="J795" s="275"/>
      <c r="K795" s="275"/>
      <c r="L795" s="275"/>
      <c r="M795" s="275"/>
      <c r="N795" s="275"/>
      <c r="O795" s="275"/>
      <c r="P795" s="275"/>
      <c r="Q795" s="275"/>
      <c r="R795" s="275"/>
      <c r="S795" s="275"/>
      <c r="T795" s="275"/>
      <c r="U795" s="275"/>
      <c r="V795" s="275"/>
      <c r="W795" s="275"/>
      <c r="X795" s="275"/>
      <c r="Y795" s="275"/>
      <c r="Z795" s="275"/>
    </row>
    <row r="796" spans="1:26" ht="12.75" customHeight="1" x14ac:dyDescent="0.25">
      <c r="A796" s="275"/>
      <c r="B796" s="342"/>
      <c r="C796" s="369"/>
      <c r="D796" s="337"/>
      <c r="E796" s="275"/>
      <c r="F796" s="275"/>
      <c r="G796" s="275"/>
      <c r="H796" s="275"/>
      <c r="I796" s="275"/>
      <c r="J796" s="275"/>
      <c r="K796" s="275"/>
      <c r="L796" s="275"/>
      <c r="M796" s="275"/>
      <c r="N796" s="275"/>
      <c r="O796" s="275"/>
      <c r="P796" s="275"/>
      <c r="Q796" s="275"/>
      <c r="R796" s="275"/>
      <c r="S796" s="275"/>
      <c r="T796" s="275"/>
      <c r="U796" s="275"/>
      <c r="V796" s="275"/>
      <c r="W796" s="275"/>
      <c r="X796" s="275"/>
      <c r="Y796" s="275"/>
      <c r="Z796" s="275"/>
    </row>
    <row r="797" spans="1:26" ht="12.75" customHeight="1" x14ac:dyDescent="0.25">
      <c r="A797" s="275"/>
      <c r="B797" s="342"/>
      <c r="C797" s="369"/>
      <c r="D797" s="337"/>
      <c r="E797" s="275"/>
      <c r="F797" s="275"/>
      <c r="G797" s="275"/>
      <c r="H797" s="275"/>
      <c r="I797" s="275"/>
      <c r="J797" s="275"/>
      <c r="K797" s="275"/>
      <c r="L797" s="275"/>
      <c r="M797" s="275"/>
      <c r="N797" s="275"/>
      <c r="O797" s="275"/>
      <c r="P797" s="275"/>
      <c r="Q797" s="275"/>
      <c r="R797" s="275"/>
      <c r="S797" s="275"/>
      <c r="T797" s="275"/>
      <c r="U797" s="275"/>
      <c r="V797" s="275"/>
      <c r="W797" s="275"/>
      <c r="X797" s="275"/>
      <c r="Y797" s="275"/>
      <c r="Z797" s="275"/>
    </row>
    <row r="798" spans="1:26" ht="12.75" customHeight="1" x14ac:dyDescent="0.25">
      <c r="A798" s="275"/>
      <c r="B798" s="342"/>
      <c r="C798" s="369"/>
      <c r="D798" s="337"/>
      <c r="E798" s="275"/>
      <c r="F798" s="275"/>
      <c r="G798" s="275"/>
      <c r="H798" s="275"/>
      <c r="I798" s="275"/>
      <c r="J798" s="275"/>
      <c r="K798" s="275"/>
      <c r="L798" s="275"/>
      <c r="M798" s="275"/>
      <c r="N798" s="275"/>
      <c r="O798" s="275"/>
      <c r="P798" s="275"/>
      <c r="Q798" s="275"/>
      <c r="R798" s="275"/>
      <c r="S798" s="275"/>
      <c r="T798" s="275"/>
      <c r="U798" s="275"/>
      <c r="V798" s="275"/>
      <c r="W798" s="275"/>
      <c r="X798" s="275"/>
      <c r="Y798" s="275"/>
      <c r="Z798" s="275"/>
    </row>
    <row r="799" spans="1:26" ht="12.75" customHeight="1" x14ac:dyDescent="0.25">
      <c r="A799" s="275"/>
      <c r="B799" s="342"/>
      <c r="C799" s="369"/>
      <c r="D799" s="337"/>
      <c r="E799" s="275"/>
      <c r="F799" s="275"/>
      <c r="G799" s="275"/>
      <c r="H799" s="275"/>
      <c r="I799" s="275"/>
      <c r="J799" s="275"/>
      <c r="K799" s="275"/>
      <c r="L799" s="275"/>
      <c r="M799" s="275"/>
      <c r="N799" s="275"/>
      <c r="O799" s="275"/>
      <c r="P799" s="275"/>
      <c r="Q799" s="275"/>
      <c r="R799" s="275"/>
      <c r="S799" s="275"/>
      <c r="T799" s="275"/>
      <c r="U799" s="275"/>
      <c r="V799" s="275"/>
      <c r="W799" s="275"/>
      <c r="X799" s="275"/>
      <c r="Y799" s="275"/>
      <c r="Z799" s="275"/>
    </row>
    <row r="800" spans="1:26" ht="12.75" customHeight="1" x14ac:dyDescent="0.25">
      <c r="A800" s="275"/>
      <c r="B800" s="342"/>
      <c r="C800" s="369"/>
      <c r="D800" s="337"/>
      <c r="E800" s="275"/>
      <c r="F800" s="275"/>
      <c r="G800" s="275"/>
      <c r="H800" s="275"/>
      <c r="I800" s="275"/>
      <c r="J800" s="275"/>
      <c r="K800" s="275"/>
      <c r="L800" s="275"/>
      <c r="M800" s="275"/>
      <c r="N800" s="275"/>
      <c r="O800" s="275"/>
      <c r="P800" s="275"/>
      <c r="Q800" s="275"/>
      <c r="R800" s="275"/>
      <c r="S800" s="275"/>
      <c r="T800" s="275"/>
      <c r="U800" s="275"/>
      <c r="V800" s="275"/>
      <c r="W800" s="275"/>
      <c r="X800" s="275"/>
      <c r="Y800" s="275"/>
      <c r="Z800" s="275"/>
    </row>
    <row r="801" spans="1:26" ht="12.75" customHeight="1" x14ac:dyDescent="0.25">
      <c r="A801" s="275"/>
      <c r="B801" s="342"/>
      <c r="C801" s="369"/>
      <c r="D801" s="337"/>
      <c r="E801" s="275"/>
      <c r="F801" s="275"/>
      <c r="G801" s="275"/>
      <c r="H801" s="275"/>
      <c r="I801" s="275"/>
      <c r="J801" s="275"/>
      <c r="K801" s="275"/>
      <c r="L801" s="275"/>
      <c r="M801" s="275"/>
      <c r="N801" s="275"/>
      <c r="O801" s="275"/>
      <c r="P801" s="275"/>
      <c r="Q801" s="275"/>
      <c r="R801" s="275"/>
      <c r="S801" s="275"/>
      <c r="T801" s="275"/>
      <c r="U801" s="275"/>
      <c r="V801" s="275"/>
      <c r="W801" s="275"/>
      <c r="X801" s="275"/>
      <c r="Y801" s="275"/>
      <c r="Z801" s="275"/>
    </row>
    <row r="802" spans="1:26" ht="12.75" customHeight="1" x14ac:dyDescent="0.25">
      <c r="A802" s="275"/>
      <c r="B802" s="342"/>
      <c r="C802" s="369"/>
      <c r="D802" s="337"/>
      <c r="E802" s="275"/>
      <c r="F802" s="275"/>
      <c r="G802" s="275"/>
      <c r="H802" s="275"/>
      <c r="I802" s="275"/>
      <c r="J802" s="275"/>
      <c r="K802" s="275"/>
      <c r="L802" s="275"/>
      <c r="M802" s="275"/>
      <c r="N802" s="275"/>
      <c r="O802" s="275"/>
      <c r="P802" s="275"/>
      <c r="Q802" s="275"/>
      <c r="R802" s="275"/>
      <c r="S802" s="275"/>
      <c r="T802" s="275"/>
      <c r="U802" s="275"/>
      <c r="V802" s="275"/>
      <c r="W802" s="275"/>
      <c r="X802" s="275"/>
      <c r="Y802" s="275"/>
      <c r="Z802" s="275"/>
    </row>
    <row r="803" spans="1:26" ht="12.75" customHeight="1" x14ac:dyDescent="0.25">
      <c r="A803" s="275"/>
      <c r="B803" s="342"/>
      <c r="C803" s="369"/>
      <c r="D803" s="337"/>
      <c r="E803" s="275"/>
      <c r="F803" s="275"/>
      <c r="G803" s="275"/>
      <c r="H803" s="275"/>
      <c r="I803" s="275"/>
      <c r="J803" s="275"/>
      <c r="K803" s="275"/>
      <c r="L803" s="275"/>
      <c r="M803" s="275"/>
      <c r="N803" s="275"/>
      <c r="O803" s="275"/>
      <c r="P803" s="275"/>
      <c r="Q803" s="275"/>
      <c r="R803" s="275"/>
      <c r="S803" s="275"/>
      <c r="T803" s="275"/>
      <c r="U803" s="275"/>
      <c r="V803" s="275"/>
      <c r="W803" s="275"/>
      <c r="X803" s="275"/>
      <c r="Y803" s="275"/>
      <c r="Z803" s="275"/>
    </row>
    <row r="804" spans="1:26" ht="12.75" customHeight="1" x14ac:dyDescent="0.25">
      <c r="A804" s="275"/>
      <c r="B804" s="342"/>
      <c r="C804" s="369"/>
      <c r="D804" s="337"/>
      <c r="E804" s="275"/>
      <c r="F804" s="275"/>
      <c r="G804" s="275"/>
      <c r="H804" s="275"/>
      <c r="I804" s="275"/>
      <c r="J804" s="275"/>
      <c r="K804" s="275"/>
      <c r="L804" s="275"/>
      <c r="M804" s="275"/>
      <c r="N804" s="275"/>
      <c r="O804" s="275"/>
      <c r="P804" s="275"/>
      <c r="Q804" s="275"/>
      <c r="R804" s="275"/>
      <c r="S804" s="275"/>
      <c r="T804" s="275"/>
      <c r="U804" s="275"/>
      <c r="V804" s="275"/>
      <c r="W804" s="275"/>
      <c r="X804" s="275"/>
      <c r="Y804" s="275"/>
      <c r="Z804" s="275"/>
    </row>
    <row r="805" spans="1:26" ht="12.75" customHeight="1" x14ac:dyDescent="0.25">
      <c r="A805" s="275"/>
      <c r="B805" s="342"/>
      <c r="C805" s="369"/>
      <c r="D805" s="337"/>
      <c r="E805" s="275"/>
      <c r="F805" s="275"/>
      <c r="G805" s="275"/>
      <c r="H805" s="275"/>
      <c r="I805" s="275"/>
      <c r="J805" s="275"/>
      <c r="K805" s="275"/>
      <c r="L805" s="275"/>
      <c r="M805" s="275"/>
      <c r="N805" s="275"/>
      <c r="O805" s="275"/>
      <c r="P805" s="275"/>
      <c r="Q805" s="275"/>
      <c r="R805" s="275"/>
      <c r="S805" s="275"/>
      <c r="T805" s="275"/>
      <c r="U805" s="275"/>
      <c r="V805" s="275"/>
      <c r="W805" s="275"/>
      <c r="X805" s="275"/>
      <c r="Y805" s="275"/>
      <c r="Z805" s="275"/>
    </row>
    <row r="806" spans="1:26" ht="12.75" customHeight="1" x14ac:dyDescent="0.25">
      <c r="A806" s="275"/>
      <c r="B806" s="342"/>
      <c r="C806" s="369"/>
      <c r="D806" s="337"/>
      <c r="E806" s="275"/>
      <c r="F806" s="275"/>
      <c r="G806" s="275"/>
      <c r="H806" s="275"/>
      <c r="I806" s="275"/>
      <c r="J806" s="275"/>
      <c r="K806" s="275"/>
      <c r="L806" s="275"/>
      <c r="M806" s="275"/>
      <c r="N806" s="275"/>
      <c r="O806" s="275"/>
      <c r="P806" s="275"/>
      <c r="Q806" s="275"/>
      <c r="R806" s="275"/>
      <c r="S806" s="275"/>
      <c r="T806" s="275"/>
      <c r="U806" s="275"/>
      <c r="V806" s="275"/>
      <c r="W806" s="275"/>
      <c r="X806" s="275"/>
      <c r="Y806" s="275"/>
      <c r="Z806" s="275"/>
    </row>
    <row r="807" spans="1:26" ht="12.75" customHeight="1" x14ac:dyDescent="0.25">
      <c r="A807" s="275"/>
      <c r="B807" s="342"/>
      <c r="C807" s="369"/>
      <c r="D807" s="337"/>
      <c r="E807" s="275"/>
      <c r="F807" s="275"/>
      <c r="G807" s="275"/>
      <c r="H807" s="275"/>
      <c r="I807" s="275"/>
      <c r="J807" s="275"/>
      <c r="K807" s="275"/>
      <c r="L807" s="275"/>
      <c r="M807" s="275"/>
      <c r="N807" s="275"/>
      <c r="O807" s="275"/>
      <c r="P807" s="275"/>
      <c r="Q807" s="275"/>
      <c r="R807" s="275"/>
      <c r="S807" s="275"/>
      <c r="T807" s="275"/>
      <c r="U807" s="275"/>
      <c r="V807" s="275"/>
      <c r="W807" s="275"/>
      <c r="X807" s="275"/>
      <c r="Y807" s="275"/>
      <c r="Z807" s="275"/>
    </row>
    <row r="808" spans="1:26" ht="12.75" customHeight="1" x14ac:dyDescent="0.25">
      <c r="A808" s="275"/>
      <c r="B808" s="342"/>
      <c r="C808" s="369"/>
      <c r="D808" s="337"/>
      <c r="E808" s="275"/>
      <c r="F808" s="275"/>
      <c r="G808" s="275"/>
      <c r="H808" s="275"/>
      <c r="I808" s="275"/>
      <c r="J808" s="275"/>
      <c r="K808" s="275"/>
      <c r="L808" s="275"/>
      <c r="M808" s="275"/>
      <c r="N808" s="275"/>
      <c r="O808" s="275"/>
      <c r="P808" s="275"/>
      <c r="Q808" s="275"/>
      <c r="R808" s="275"/>
      <c r="S808" s="275"/>
      <c r="T808" s="275"/>
      <c r="U808" s="275"/>
      <c r="V808" s="275"/>
      <c r="W808" s="275"/>
      <c r="X808" s="275"/>
      <c r="Y808" s="275"/>
      <c r="Z808" s="275"/>
    </row>
    <row r="809" spans="1:26" ht="12.75" customHeight="1" x14ac:dyDescent="0.25">
      <c r="A809" s="275"/>
      <c r="B809" s="342"/>
      <c r="C809" s="369"/>
      <c r="D809" s="337"/>
      <c r="E809" s="275"/>
      <c r="F809" s="275"/>
      <c r="G809" s="275"/>
      <c r="H809" s="275"/>
      <c r="I809" s="275"/>
      <c r="J809" s="275"/>
      <c r="K809" s="275"/>
      <c r="L809" s="275"/>
      <c r="M809" s="275"/>
      <c r="N809" s="275"/>
      <c r="O809" s="275"/>
      <c r="P809" s="275"/>
      <c r="Q809" s="275"/>
      <c r="R809" s="275"/>
      <c r="S809" s="275"/>
      <c r="T809" s="275"/>
      <c r="U809" s="275"/>
      <c r="V809" s="275"/>
      <c r="W809" s="275"/>
      <c r="X809" s="275"/>
      <c r="Y809" s="275"/>
      <c r="Z809" s="275"/>
    </row>
    <row r="810" spans="1:26" ht="12.75" customHeight="1" x14ac:dyDescent="0.25">
      <c r="A810" s="275"/>
      <c r="B810" s="342"/>
      <c r="C810" s="369"/>
      <c r="D810" s="337"/>
      <c r="E810" s="275"/>
      <c r="F810" s="275"/>
      <c r="G810" s="275"/>
      <c r="H810" s="275"/>
      <c r="I810" s="275"/>
      <c r="J810" s="275"/>
      <c r="K810" s="275"/>
      <c r="L810" s="275"/>
      <c r="M810" s="275"/>
      <c r="N810" s="275"/>
      <c r="O810" s="275"/>
      <c r="P810" s="275"/>
      <c r="Q810" s="275"/>
      <c r="R810" s="275"/>
      <c r="S810" s="275"/>
      <c r="T810" s="275"/>
      <c r="U810" s="275"/>
      <c r="V810" s="275"/>
      <c r="W810" s="275"/>
      <c r="X810" s="275"/>
      <c r="Y810" s="275"/>
      <c r="Z810" s="275"/>
    </row>
    <row r="811" spans="1:26" ht="12.75" customHeight="1" x14ac:dyDescent="0.25">
      <c r="A811" s="275"/>
      <c r="B811" s="342"/>
      <c r="C811" s="369"/>
      <c r="D811" s="337"/>
      <c r="E811" s="275"/>
      <c r="F811" s="275"/>
      <c r="G811" s="275"/>
      <c r="H811" s="275"/>
      <c r="I811" s="275"/>
      <c r="J811" s="275"/>
      <c r="K811" s="275"/>
      <c r="L811" s="275"/>
      <c r="M811" s="275"/>
      <c r="N811" s="275"/>
      <c r="O811" s="275"/>
      <c r="P811" s="275"/>
      <c r="Q811" s="275"/>
      <c r="R811" s="275"/>
      <c r="S811" s="275"/>
      <c r="T811" s="275"/>
      <c r="U811" s="275"/>
      <c r="V811" s="275"/>
      <c r="W811" s="275"/>
      <c r="X811" s="275"/>
      <c r="Y811" s="275"/>
      <c r="Z811" s="275"/>
    </row>
    <row r="812" spans="1:26" ht="12.75" customHeight="1" x14ac:dyDescent="0.25">
      <c r="A812" s="275"/>
      <c r="B812" s="342"/>
      <c r="C812" s="369"/>
      <c r="D812" s="337"/>
      <c r="E812" s="275"/>
      <c r="F812" s="275"/>
      <c r="G812" s="275"/>
      <c r="H812" s="275"/>
      <c r="I812" s="275"/>
      <c r="J812" s="275"/>
      <c r="K812" s="275"/>
      <c r="L812" s="275"/>
      <c r="M812" s="275"/>
      <c r="N812" s="275"/>
      <c r="O812" s="275"/>
      <c r="P812" s="275"/>
      <c r="Q812" s="275"/>
      <c r="R812" s="275"/>
      <c r="S812" s="275"/>
      <c r="T812" s="275"/>
      <c r="U812" s="275"/>
      <c r="V812" s="275"/>
      <c r="W812" s="275"/>
      <c r="X812" s="275"/>
      <c r="Y812" s="275"/>
      <c r="Z812" s="275"/>
    </row>
    <row r="813" spans="1:26" ht="12.75" customHeight="1" x14ac:dyDescent="0.25">
      <c r="A813" s="275"/>
      <c r="B813" s="342"/>
      <c r="C813" s="369"/>
      <c r="D813" s="337"/>
      <c r="E813" s="275"/>
      <c r="F813" s="275"/>
      <c r="G813" s="275"/>
      <c r="H813" s="275"/>
      <c r="I813" s="275"/>
      <c r="J813" s="275"/>
      <c r="K813" s="275"/>
      <c r="L813" s="275"/>
      <c r="M813" s="275"/>
      <c r="N813" s="275"/>
      <c r="O813" s="275"/>
      <c r="P813" s="275"/>
      <c r="Q813" s="275"/>
      <c r="R813" s="275"/>
      <c r="S813" s="275"/>
      <c r="T813" s="275"/>
      <c r="U813" s="275"/>
      <c r="V813" s="275"/>
      <c r="W813" s="275"/>
      <c r="X813" s="275"/>
      <c r="Y813" s="275"/>
      <c r="Z813" s="275"/>
    </row>
    <row r="814" spans="1:26" ht="12.75" customHeight="1" x14ac:dyDescent="0.25">
      <c r="A814" s="275"/>
      <c r="B814" s="342"/>
      <c r="C814" s="369"/>
      <c r="D814" s="337"/>
      <c r="E814" s="275"/>
      <c r="F814" s="275"/>
      <c r="G814" s="275"/>
      <c r="H814" s="275"/>
      <c r="I814" s="275"/>
      <c r="J814" s="275"/>
      <c r="K814" s="275"/>
      <c r="L814" s="275"/>
      <c r="M814" s="275"/>
      <c r="N814" s="275"/>
      <c r="O814" s="275"/>
      <c r="P814" s="275"/>
      <c r="Q814" s="275"/>
      <c r="R814" s="275"/>
      <c r="S814" s="275"/>
      <c r="T814" s="275"/>
      <c r="U814" s="275"/>
      <c r="V814" s="275"/>
      <c r="W814" s="275"/>
      <c r="X814" s="275"/>
      <c r="Y814" s="275"/>
      <c r="Z814" s="275"/>
    </row>
    <row r="815" spans="1:26" ht="12.75" customHeight="1" x14ac:dyDescent="0.25">
      <c r="A815" s="275"/>
      <c r="B815" s="342"/>
      <c r="C815" s="369"/>
      <c r="D815" s="337"/>
      <c r="E815" s="275"/>
      <c r="F815" s="275"/>
      <c r="G815" s="275"/>
      <c r="H815" s="275"/>
      <c r="I815" s="275"/>
      <c r="J815" s="275"/>
      <c r="K815" s="275"/>
      <c r="L815" s="275"/>
      <c r="M815" s="275"/>
      <c r="N815" s="275"/>
      <c r="O815" s="275"/>
      <c r="P815" s="275"/>
      <c r="Q815" s="275"/>
      <c r="R815" s="275"/>
      <c r="S815" s="275"/>
      <c r="T815" s="275"/>
      <c r="U815" s="275"/>
      <c r="V815" s="275"/>
      <c r="W815" s="275"/>
      <c r="X815" s="275"/>
      <c r="Y815" s="275"/>
      <c r="Z815" s="275"/>
    </row>
    <row r="816" spans="1:26" ht="12.75" customHeight="1" x14ac:dyDescent="0.25">
      <c r="A816" s="275"/>
      <c r="B816" s="342"/>
      <c r="C816" s="369"/>
      <c r="D816" s="337"/>
      <c r="E816" s="275"/>
      <c r="F816" s="275"/>
      <c r="G816" s="275"/>
      <c r="H816" s="275"/>
      <c r="I816" s="275"/>
      <c r="J816" s="275"/>
      <c r="K816" s="275"/>
      <c r="L816" s="275"/>
      <c r="M816" s="275"/>
      <c r="N816" s="275"/>
      <c r="O816" s="275"/>
      <c r="P816" s="275"/>
      <c r="Q816" s="275"/>
      <c r="R816" s="275"/>
      <c r="S816" s="275"/>
      <c r="T816" s="275"/>
      <c r="U816" s="275"/>
      <c r="V816" s="275"/>
      <c r="W816" s="275"/>
      <c r="X816" s="275"/>
      <c r="Y816" s="275"/>
      <c r="Z816" s="275"/>
    </row>
    <row r="817" spans="1:26" ht="12.75" customHeight="1" x14ac:dyDescent="0.25">
      <c r="A817" s="275"/>
      <c r="B817" s="342"/>
      <c r="C817" s="369"/>
      <c r="D817" s="337"/>
      <c r="E817" s="275"/>
      <c r="F817" s="275"/>
      <c r="G817" s="275"/>
      <c r="H817" s="275"/>
      <c r="I817" s="275"/>
      <c r="J817" s="275"/>
      <c r="K817" s="275"/>
      <c r="L817" s="275"/>
      <c r="M817" s="275"/>
      <c r="N817" s="275"/>
      <c r="O817" s="275"/>
      <c r="P817" s="275"/>
      <c r="Q817" s="275"/>
      <c r="R817" s="275"/>
      <c r="S817" s="275"/>
      <c r="T817" s="275"/>
      <c r="U817" s="275"/>
      <c r="V817" s="275"/>
      <c r="W817" s="275"/>
      <c r="X817" s="275"/>
      <c r="Y817" s="275"/>
      <c r="Z817" s="275"/>
    </row>
    <row r="818" spans="1:26" ht="12.75" customHeight="1" x14ac:dyDescent="0.25">
      <c r="A818" s="275"/>
      <c r="B818" s="342"/>
      <c r="C818" s="369"/>
      <c r="D818" s="337"/>
      <c r="E818" s="275"/>
      <c r="F818" s="275"/>
      <c r="G818" s="275"/>
      <c r="H818" s="275"/>
      <c r="I818" s="275"/>
      <c r="J818" s="275"/>
      <c r="K818" s="275"/>
      <c r="L818" s="275"/>
      <c r="M818" s="275"/>
      <c r="N818" s="275"/>
      <c r="O818" s="275"/>
      <c r="P818" s="275"/>
      <c r="Q818" s="275"/>
      <c r="R818" s="275"/>
      <c r="S818" s="275"/>
      <c r="T818" s="275"/>
      <c r="U818" s="275"/>
      <c r="V818" s="275"/>
      <c r="W818" s="275"/>
      <c r="X818" s="275"/>
      <c r="Y818" s="275"/>
      <c r="Z818" s="275"/>
    </row>
    <row r="819" spans="1:26" ht="12.75" customHeight="1" x14ac:dyDescent="0.25">
      <c r="A819" s="275"/>
      <c r="B819" s="342"/>
      <c r="C819" s="369"/>
      <c r="D819" s="337"/>
      <c r="E819" s="275"/>
      <c r="F819" s="275"/>
      <c r="G819" s="275"/>
      <c r="H819" s="275"/>
      <c r="I819" s="275"/>
      <c r="J819" s="275"/>
      <c r="K819" s="275"/>
      <c r="L819" s="275"/>
      <c r="M819" s="275"/>
      <c r="N819" s="275"/>
      <c r="O819" s="275"/>
      <c r="P819" s="275"/>
      <c r="Q819" s="275"/>
      <c r="R819" s="275"/>
      <c r="S819" s="275"/>
      <c r="T819" s="275"/>
      <c r="U819" s="275"/>
      <c r="V819" s="275"/>
      <c r="W819" s="275"/>
      <c r="X819" s="275"/>
      <c r="Y819" s="275"/>
      <c r="Z819" s="275"/>
    </row>
    <row r="820" spans="1:26" ht="12.75" customHeight="1" x14ac:dyDescent="0.25">
      <c r="A820" s="275"/>
      <c r="B820" s="342"/>
      <c r="C820" s="369"/>
      <c r="D820" s="337"/>
      <c r="E820" s="275"/>
      <c r="F820" s="275"/>
      <c r="G820" s="275"/>
      <c r="H820" s="275"/>
      <c r="I820" s="275"/>
      <c r="J820" s="275"/>
      <c r="K820" s="275"/>
      <c r="L820" s="275"/>
      <c r="M820" s="275"/>
      <c r="N820" s="275"/>
      <c r="O820" s="275"/>
      <c r="P820" s="275"/>
      <c r="Q820" s="275"/>
      <c r="R820" s="275"/>
      <c r="S820" s="275"/>
      <c r="T820" s="275"/>
      <c r="U820" s="275"/>
      <c r="V820" s="275"/>
      <c r="W820" s="275"/>
      <c r="X820" s="275"/>
      <c r="Y820" s="275"/>
      <c r="Z820" s="275"/>
    </row>
    <row r="821" spans="1:26" ht="12.75" customHeight="1" x14ac:dyDescent="0.25">
      <c r="A821" s="275"/>
      <c r="B821" s="342"/>
      <c r="C821" s="369"/>
      <c r="D821" s="337"/>
      <c r="E821" s="275"/>
      <c r="F821" s="275"/>
      <c r="G821" s="275"/>
      <c r="H821" s="275"/>
      <c r="I821" s="275"/>
      <c r="J821" s="275"/>
      <c r="K821" s="275"/>
      <c r="L821" s="275"/>
      <c r="M821" s="275"/>
      <c r="N821" s="275"/>
      <c r="O821" s="275"/>
      <c r="P821" s="275"/>
      <c r="Q821" s="275"/>
      <c r="R821" s="275"/>
      <c r="S821" s="275"/>
      <c r="T821" s="275"/>
      <c r="U821" s="275"/>
      <c r="V821" s="275"/>
      <c r="W821" s="275"/>
      <c r="X821" s="275"/>
      <c r="Y821" s="275"/>
      <c r="Z821" s="275"/>
    </row>
    <row r="822" spans="1:26" ht="12.75" customHeight="1" x14ac:dyDescent="0.25">
      <c r="A822" s="275"/>
      <c r="B822" s="342"/>
      <c r="C822" s="369"/>
      <c r="D822" s="337"/>
      <c r="E822" s="275"/>
      <c r="F822" s="275"/>
      <c r="G822" s="275"/>
      <c r="H822" s="275"/>
      <c r="I822" s="275"/>
      <c r="J822" s="275"/>
      <c r="K822" s="275"/>
      <c r="L822" s="275"/>
      <c r="M822" s="275"/>
      <c r="N822" s="275"/>
      <c r="O822" s="275"/>
      <c r="P822" s="275"/>
      <c r="Q822" s="275"/>
      <c r="R822" s="275"/>
      <c r="S822" s="275"/>
      <c r="T822" s="275"/>
      <c r="U822" s="275"/>
      <c r="V822" s="275"/>
      <c r="W822" s="275"/>
      <c r="X822" s="275"/>
      <c r="Y822" s="275"/>
      <c r="Z822" s="275"/>
    </row>
    <row r="823" spans="1:26" ht="12.75" customHeight="1" x14ac:dyDescent="0.25">
      <c r="A823" s="275"/>
      <c r="B823" s="342"/>
      <c r="C823" s="369"/>
      <c r="D823" s="337"/>
      <c r="E823" s="275"/>
      <c r="F823" s="275"/>
      <c r="G823" s="275"/>
      <c r="H823" s="275"/>
      <c r="I823" s="275"/>
      <c r="J823" s="275"/>
      <c r="K823" s="275"/>
      <c r="L823" s="275"/>
      <c r="M823" s="275"/>
      <c r="N823" s="275"/>
      <c r="O823" s="275"/>
      <c r="P823" s="275"/>
      <c r="Q823" s="275"/>
      <c r="R823" s="275"/>
      <c r="S823" s="275"/>
      <c r="T823" s="275"/>
      <c r="U823" s="275"/>
      <c r="V823" s="275"/>
      <c r="W823" s="275"/>
      <c r="X823" s="275"/>
      <c r="Y823" s="275"/>
      <c r="Z823" s="275"/>
    </row>
    <row r="824" spans="1:26" ht="12.75" customHeight="1" x14ac:dyDescent="0.25">
      <c r="A824" s="275"/>
      <c r="B824" s="342"/>
      <c r="C824" s="369"/>
      <c r="D824" s="337"/>
      <c r="E824" s="275"/>
      <c r="F824" s="275"/>
      <c r="G824" s="275"/>
      <c r="H824" s="275"/>
      <c r="I824" s="275"/>
      <c r="J824" s="275"/>
      <c r="K824" s="275"/>
      <c r="L824" s="275"/>
      <c r="M824" s="275"/>
      <c r="N824" s="275"/>
      <c r="O824" s="275"/>
      <c r="P824" s="275"/>
      <c r="Q824" s="275"/>
      <c r="R824" s="275"/>
      <c r="S824" s="275"/>
      <c r="T824" s="275"/>
      <c r="U824" s="275"/>
      <c r="V824" s="275"/>
      <c r="W824" s="275"/>
      <c r="X824" s="275"/>
      <c r="Y824" s="275"/>
      <c r="Z824" s="275"/>
    </row>
    <row r="825" spans="1:26" ht="12.75" customHeight="1" x14ac:dyDescent="0.25">
      <c r="A825" s="275"/>
      <c r="B825" s="342"/>
      <c r="C825" s="369"/>
      <c r="D825" s="337"/>
      <c r="E825" s="275"/>
      <c r="F825" s="275"/>
      <c r="G825" s="275"/>
      <c r="H825" s="275"/>
      <c r="I825" s="275"/>
      <c r="J825" s="275"/>
      <c r="K825" s="275"/>
      <c r="L825" s="275"/>
      <c r="M825" s="275"/>
      <c r="N825" s="275"/>
      <c r="O825" s="275"/>
      <c r="P825" s="275"/>
      <c r="Q825" s="275"/>
      <c r="R825" s="275"/>
      <c r="S825" s="275"/>
      <c r="T825" s="275"/>
      <c r="U825" s="275"/>
      <c r="V825" s="275"/>
      <c r="W825" s="275"/>
      <c r="X825" s="275"/>
      <c r="Y825" s="275"/>
      <c r="Z825" s="275"/>
    </row>
    <row r="826" spans="1:26" ht="12.75" customHeight="1" x14ac:dyDescent="0.25">
      <c r="A826" s="275"/>
      <c r="B826" s="342"/>
      <c r="C826" s="369"/>
      <c r="D826" s="337"/>
      <c r="E826" s="275"/>
      <c r="F826" s="275"/>
      <c r="G826" s="275"/>
      <c r="H826" s="275"/>
      <c r="I826" s="275"/>
      <c r="J826" s="275"/>
      <c r="K826" s="275"/>
      <c r="L826" s="275"/>
      <c r="M826" s="275"/>
      <c r="N826" s="275"/>
      <c r="O826" s="275"/>
      <c r="P826" s="275"/>
      <c r="Q826" s="275"/>
      <c r="R826" s="275"/>
      <c r="S826" s="275"/>
      <c r="T826" s="275"/>
      <c r="U826" s="275"/>
      <c r="V826" s="275"/>
      <c r="W826" s="275"/>
      <c r="X826" s="275"/>
      <c r="Y826" s="275"/>
      <c r="Z826" s="275"/>
    </row>
    <row r="827" spans="1:26" ht="12.75" customHeight="1" x14ac:dyDescent="0.25">
      <c r="A827" s="275"/>
      <c r="B827" s="342"/>
      <c r="C827" s="369"/>
      <c r="D827" s="337"/>
      <c r="E827" s="275"/>
      <c r="F827" s="275"/>
      <c r="G827" s="275"/>
      <c r="H827" s="275"/>
      <c r="I827" s="275"/>
      <c r="J827" s="275"/>
      <c r="K827" s="275"/>
      <c r="L827" s="275"/>
      <c r="M827" s="275"/>
      <c r="N827" s="275"/>
      <c r="O827" s="275"/>
      <c r="P827" s="275"/>
      <c r="Q827" s="275"/>
      <c r="R827" s="275"/>
      <c r="S827" s="275"/>
      <c r="T827" s="275"/>
      <c r="U827" s="275"/>
      <c r="V827" s="275"/>
      <c r="W827" s="275"/>
      <c r="X827" s="275"/>
      <c r="Y827" s="275"/>
      <c r="Z827" s="275"/>
    </row>
    <row r="828" spans="1:26" ht="12.75" customHeight="1" x14ac:dyDescent="0.25">
      <c r="A828" s="275"/>
      <c r="B828" s="342"/>
      <c r="C828" s="369"/>
      <c r="D828" s="337"/>
      <c r="E828" s="275"/>
      <c r="F828" s="275"/>
      <c r="G828" s="275"/>
      <c r="H828" s="275"/>
      <c r="I828" s="275"/>
      <c r="J828" s="275"/>
      <c r="K828" s="275"/>
      <c r="L828" s="275"/>
      <c r="M828" s="275"/>
      <c r="N828" s="275"/>
      <c r="O828" s="275"/>
      <c r="P828" s="275"/>
      <c r="Q828" s="275"/>
      <c r="R828" s="275"/>
      <c r="S828" s="275"/>
      <c r="T828" s="275"/>
      <c r="U828" s="275"/>
      <c r="V828" s="275"/>
      <c r="W828" s="275"/>
      <c r="X828" s="275"/>
      <c r="Y828" s="275"/>
      <c r="Z828" s="275"/>
    </row>
    <row r="829" spans="1:26" ht="12.75" customHeight="1" x14ac:dyDescent="0.25">
      <c r="A829" s="275"/>
      <c r="B829" s="342"/>
      <c r="C829" s="369"/>
      <c r="D829" s="337"/>
      <c r="E829" s="275"/>
      <c r="F829" s="275"/>
      <c r="G829" s="275"/>
      <c r="H829" s="275"/>
      <c r="I829" s="275"/>
      <c r="J829" s="275"/>
      <c r="K829" s="275"/>
      <c r="L829" s="275"/>
      <c r="M829" s="275"/>
      <c r="N829" s="275"/>
      <c r="O829" s="275"/>
      <c r="P829" s="275"/>
      <c r="Q829" s="275"/>
      <c r="R829" s="275"/>
      <c r="S829" s="275"/>
      <c r="T829" s="275"/>
      <c r="U829" s="275"/>
      <c r="V829" s="275"/>
      <c r="W829" s="275"/>
      <c r="X829" s="275"/>
      <c r="Y829" s="275"/>
      <c r="Z829" s="275"/>
    </row>
    <row r="830" spans="1:26" ht="12.75" customHeight="1" x14ac:dyDescent="0.25">
      <c r="A830" s="275"/>
      <c r="B830" s="342"/>
      <c r="C830" s="369"/>
      <c r="D830" s="337"/>
      <c r="E830" s="275"/>
      <c r="F830" s="275"/>
      <c r="G830" s="275"/>
      <c r="H830" s="275"/>
      <c r="I830" s="275"/>
      <c r="J830" s="275"/>
      <c r="K830" s="275"/>
      <c r="L830" s="275"/>
      <c r="M830" s="275"/>
      <c r="N830" s="275"/>
      <c r="O830" s="275"/>
      <c r="P830" s="275"/>
      <c r="Q830" s="275"/>
      <c r="R830" s="275"/>
      <c r="S830" s="275"/>
      <c r="T830" s="275"/>
      <c r="U830" s="275"/>
      <c r="V830" s="275"/>
      <c r="W830" s="275"/>
      <c r="X830" s="275"/>
      <c r="Y830" s="275"/>
      <c r="Z830" s="275"/>
    </row>
    <row r="831" spans="1:26" ht="12.75" customHeight="1" x14ac:dyDescent="0.25">
      <c r="A831" s="275"/>
      <c r="B831" s="342"/>
      <c r="C831" s="369"/>
      <c r="D831" s="337"/>
      <c r="E831" s="275"/>
      <c r="F831" s="275"/>
      <c r="G831" s="275"/>
      <c r="H831" s="275"/>
      <c r="I831" s="275"/>
      <c r="J831" s="275"/>
      <c r="K831" s="275"/>
      <c r="L831" s="275"/>
      <c r="M831" s="275"/>
      <c r="N831" s="275"/>
      <c r="O831" s="275"/>
      <c r="P831" s="275"/>
      <c r="Q831" s="275"/>
      <c r="R831" s="275"/>
      <c r="S831" s="275"/>
      <c r="T831" s="275"/>
      <c r="U831" s="275"/>
      <c r="V831" s="275"/>
      <c r="W831" s="275"/>
      <c r="X831" s="275"/>
      <c r="Y831" s="275"/>
      <c r="Z831" s="275"/>
    </row>
    <row r="832" spans="1:26" ht="12.75" customHeight="1" x14ac:dyDescent="0.25">
      <c r="A832" s="275"/>
      <c r="B832" s="342"/>
      <c r="C832" s="369"/>
      <c r="D832" s="337"/>
      <c r="E832" s="275"/>
      <c r="F832" s="275"/>
      <c r="G832" s="275"/>
      <c r="H832" s="275"/>
      <c r="I832" s="275"/>
      <c r="J832" s="275"/>
      <c r="K832" s="275"/>
      <c r="L832" s="275"/>
      <c r="M832" s="275"/>
      <c r="N832" s="275"/>
      <c r="O832" s="275"/>
      <c r="P832" s="275"/>
      <c r="Q832" s="275"/>
      <c r="R832" s="275"/>
      <c r="S832" s="275"/>
      <c r="T832" s="275"/>
      <c r="U832" s="275"/>
      <c r="V832" s="275"/>
      <c r="W832" s="275"/>
      <c r="X832" s="275"/>
      <c r="Y832" s="275"/>
      <c r="Z832" s="275"/>
    </row>
    <row r="833" spans="1:26" ht="12.75" customHeight="1" x14ac:dyDescent="0.25">
      <c r="A833" s="275"/>
      <c r="B833" s="342"/>
      <c r="C833" s="369"/>
      <c r="D833" s="337"/>
      <c r="E833" s="275"/>
      <c r="F833" s="275"/>
      <c r="G833" s="275"/>
      <c r="H833" s="275"/>
      <c r="I833" s="275"/>
      <c r="J833" s="275"/>
      <c r="K833" s="275"/>
      <c r="L833" s="275"/>
      <c r="M833" s="275"/>
      <c r="N833" s="275"/>
      <c r="O833" s="275"/>
      <c r="P833" s="275"/>
      <c r="Q833" s="275"/>
      <c r="R833" s="275"/>
      <c r="S833" s="275"/>
      <c r="T833" s="275"/>
      <c r="U833" s="275"/>
      <c r="V833" s="275"/>
      <c r="W833" s="275"/>
      <c r="X833" s="275"/>
      <c r="Y833" s="275"/>
      <c r="Z833" s="275"/>
    </row>
    <row r="834" spans="1:26" ht="12.75" customHeight="1" x14ac:dyDescent="0.25">
      <c r="A834" s="275"/>
      <c r="B834" s="342"/>
      <c r="C834" s="369"/>
      <c r="D834" s="337"/>
      <c r="E834" s="275"/>
      <c r="F834" s="275"/>
      <c r="G834" s="275"/>
      <c r="H834" s="275"/>
      <c r="I834" s="275"/>
      <c r="J834" s="275"/>
      <c r="K834" s="275"/>
      <c r="L834" s="275"/>
      <c r="M834" s="275"/>
      <c r="N834" s="275"/>
      <c r="O834" s="275"/>
      <c r="P834" s="275"/>
      <c r="Q834" s="275"/>
      <c r="R834" s="275"/>
      <c r="S834" s="275"/>
      <c r="T834" s="275"/>
      <c r="U834" s="275"/>
      <c r="V834" s="275"/>
      <c r="W834" s="275"/>
      <c r="X834" s="275"/>
      <c r="Y834" s="275"/>
      <c r="Z834" s="275"/>
    </row>
    <row r="835" spans="1:26" ht="12.75" customHeight="1" x14ac:dyDescent="0.25">
      <c r="A835" s="275"/>
      <c r="B835" s="342"/>
      <c r="C835" s="369"/>
      <c r="D835" s="337"/>
      <c r="E835" s="275"/>
      <c r="F835" s="275"/>
      <c r="G835" s="275"/>
      <c r="H835" s="275"/>
      <c r="I835" s="275"/>
      <c r="J835" s="275"/>
      <c r="K835" s="275"/>
      <c r="L835" s="275"/>
      <c r="M835" s="275"/>
      <c r="N835" s="275"/>
      <c r="O835" s="275"/>
      <c r="P835" s="275"/>
      <c r="Q835" s="275"/>
      <c r="R835" s="275"/>
      <c r="S835" s="275"/>
      <c r="T835" s="275"/>
      <c r="U835" s="275"/>
      <c r="V835" s="275"/>
      <c r="W835" s="275"/>
      <c r="X835" s="275"/>
      <c r="Y835" s="275"/>
      <c r="Z835" s="275"/>
    </row>
    <row r="836" spans="1:26" ht="12.75" customHeight="1" x14ac:dyDescent="0.25">
      <c r="A836" s="275"/>
      <c r="B836" s="342"/>
      <c r="C836" s="369"/>
      <c r="D836" s="337"/>
      <c r="E836" s="275"/>
      <c r="F836" s="275"/>
      <c r="G836" s="275"/>
      <c r="H836" s="275"/>
      <c r="I836" s="275"/>
      <c r="J836" s="275"/>
      <c r="K836" s="275"/>
      <c r="L836" s="275"/>
      <c r="M836" s="275"/>
      <c r="N836" s="275"/>
      <c r="O836" s="275"/>
      <c r="P836" s="275"/>
      <c r="Q836" s="275"/>
      <c r="R836" s="275"/>
      <c r="S836" s="275"/>
      <c r="T836" s="275"/>
      <c r="U836" s="275"/>
      <c r="V836" s="275"/>
      <c r="W836" s="275"/>
      <c r="X836" s="275"/>
      <c r="Y836" s="275"/>
      <c r="Z836" s="275"/>
    </row>
    <row r="837" spans="1:26" ht="12.75" customHeight="1" x14ac:dyDescent="0.25">
      <c r="A837" s="275"/>
      <c r="B837" s="342"/>
      <c r="C837" s="369"/>
      <c r="D837" s="337"/>
      <c r="E837" s="275"/>
      <c r="F837" s="275"/>
      <c r="G837" s="275"/>
      <c r="H837" s="275"/>
      <c r="I837" s="275"/>
      <c r="J837" s="275"/>
      <c r="K837" s="275"/>
      <c r="L837" s="275"/>
      <c r="M837" s="275"/>
      <c r="N837" s="275"/>
      <c r="O837" s="275"/>
      <c r="P837" s="275"/>
      <c r="Q837" s="275"/>
      <c r="R837" s="275"/>
      <c r="S837" s="275"/>
      <c r="T837" s="275"/>
      <c r="U837" s="275"/>
      <c r="V837" s="275"/>
      <c r="W837" s="275"/>
      <c r="X837" s="275"/>
      <c r="Y837" s="275"/>
      <c r="Z837" s="275"/>
    </row>
    <row r="838" spans="1:26" ht="12.75" customHeight="1" x14ac:dyDescent="0.25">
      <c r="A838" s="275"/>
      <c r="B838" s="342"/>
      <c r="C838" s="369"/>
      <c r="D838" s="337"/>
      <c r="E838" s="275"/>
      <c r="F838" s="275"/>
      <c r="G838" s="275"/>
      <c r="H838" s="275"/>
      <c r="I838" s="275"/>
      <c r="J838" s="275"/>
      <c r="K838" s="275"/>
      <c r="L838" s="275"/>
      <c r="M838" s="275"/>
      <c r="N838" s="275"/>
      <c r="O838" s="275"/>
      <c r="P838" s="275"/>
      <c r="Q838" s="275"/>
      <c r="R838" s="275"/>
      <c r="S838" s="275"/>
      <c r="T838" s="275"/>
      <c r="U838" s="275"/>
      <c r="V838" s="275"/>
      <c r="W838" s="275"/>
      <c r="X838" s="275"/>
      <c r="Y838" s="275"/>
      <c r="Z838" s="275"/>
    </row>
    <row r="839" spans="1:26" ht="12.75" customHeight="1" x14ac:dyDescent="0.25">
      <c r="A839" s="275"/>
      <c r="B839" s="342"/>
      <c r="C839" s="369"/>
      <c r="D839" s="337"/>
      <c r="E839" s="275"/>
      <c r="F839" s="275"/>
      <c r="G839" s="275"/>
      <c r="H839" s="275"/>
      <c r="I839" s="275"/>
      <c r="J839" s="275"/>
      <c r="K839" s="275"/>
      <c r="L839" s="275"/>
      <c r="M839" s="275"/>
      <c r="N839" s="275"/>
      <c r="O839" s="275"/>
      <c r="P839" s="275"/>
      <c r="Q839" s="275"/>
      <c r="R839" s="275"/>
      <c r="S839" s="275"/>
      <c r="T839" s="275"/>
      <c r="U839" s="275"/>
      <c r="V839" s="275"/>
      <c r="W839" s="275"/>
      <c r="X839" s="275"/>
      <c r="Y839" s="275"/>
      <c r="Z839" s="275"/>
    </row>
    <row r="840" spans="1:26" ht="12.75" customHeight="1" x14ac:dyDescent="0.25">
      <c r="A840" s="275"/>
      <c r="B840" s="342"/>
      <c r="C840" s="369"/>
      <c r="D840" s="337"/>
      <c r="E840" s="275"/>
      <c r="F840" s="275"/>
      <c r="G840" s="275"/>
      <c r="H840" s="275"/>
      <c r="I840" s="275"/>
      <c r="J840" s="275"/>
      <c r="K840" s="275"/>
      <c r="L840" s="275"/>
      <c r="M840" s="275"/>
      <c r="N840" s="275"/>
      <c r="O840" s="275"/>
      <c r="P840" s="275"/>
      <c r="Q840" s="275"/>
      <c r="R840" s="275"/>
      <c r="S840" s="275"/>
      <c r="T840" s="275"/>
      <c r="U840" s="275"/>
      <c r="V840" s="275"/>
      <c r="W840" s="275"/>
      <c r="X840" s="275"/>
      <c r="Y840" s="275"/>
      <c r="Z840" s="275"/>
    </row>
    <row r="841" spans="1:26" ht="12.75" customHeight="1" x14ac:dyDescent="0.25">
      <c r="A841" s="275"/>
      <c r="B841" s="342"/>
      <c r="C841" s="369"/>
      <c r="D841" s="337"/>
      <c r="E841" s="275"/>
      <c r="F841" s="275"/>
      <c r="G841" s="275"/>
      <c r="H841" s="275"/>
      <c r="I841" s="275"/>
      <c r="J841" s="275"/>
      <c r="K841" s="275"/>
      <c r="L841" s="275"/>
      <c r="M841" s="275"/>
      <c r="N841" s="275"/>
      <c r="O841" s="275"/>
      <c r="P841" s="275"/>
      <c r="Q841" s="275"/>
      <c r="R841" s="275"/>
      <c r="S841" s="275"/>
      <c r="T841" s="275"/>
      <c r="U841" s="275"/>
      <c r="V841" s="275"/>
      <c r="W841" s="275"/>
      <c r="X841" s="275"/>
      <c r="Y841" s="275"/>
      <c r="Z841" s="275"/>
    </row>
    <row r="842" spans="1:26" ht="12.75" customHeight="1" x14ac:dyDescent="0.25">
      <c r="A842" s="275"/>
      <c r="B842" s="342"/>
      <c r="C842" s="369"/>
      <c r="D842" s="337"/>
      <c r="E842" s="275"/>
      <c r="F842" s="275"/>
      <c r="G842" s="275"/>
      <c r="H842" s="275"/>
      <c r="I842" s="275"/>
      <c r="J842" s="275"/>
      <c r="K842" s="275"/>
      <c r="L842" s="275"/>
      <c r="M842" s="275"/>
      <c r="N842" s="275"/>
      <c r="O842" s="275"/>
      <c r="P842" s="275"/>
      <c r="Q842" s="275"/>
      <c r="R842" s="275"/>
      <c r="S842" s="275"/>
      <c r="T842" s="275"/>
      <c r="U842" s="275"/>
      <c r="V842" s="275"/>
      <c r="W842" s="275"/>
      <c r="X842" s="275"/>
      <c r="Y842" s="275"/>
      <c r="Z842" s="275"/>
    </row>
    <row r="843" spans="1:26" ht="12.75" customHeight="1" x14ac:dyDescent="0.25">
      <c r="A843" s="275"/>
      <c r="B843" s="342"/>
      <c r="C843" s="369"/>
      <c r="D843" s="337"/>
      <c r="E843" s="275"/>
      <c r="F843" s="275"/>
      <c r="G843" s="275"/>
      <c r="H843" s="275"/>
      <c r="I843" s="275"/>
      <c r="J843" s="275"/>
      <c r="K843" s="275"/>
      <c r="L843" s="275"/>
      <c r="M843" s="275"/>
      <c r="N843" s="275"/>
      <c r="O843" s="275"/>
      <c r="P843" s="275"/>
      <c r="Q843" s="275"/>
      <c r="R843" s="275"/>
      <c r="S843" s="275"/>
      <c r="T843" s="275"/>
      <c r="U843" s="275"/>
      <c r="V843" s="275"/>
      <c r="W843" s="275"/>
      <c r="X843" s="275"/>
      <c r="Y843" s="275"/>
      <c r="Z843" s="275"/>
    </row>
    <row r="844" spans="1:26" ht="12.75" customHeight="1" x14ac:dyDescent="0.25">
      <c r="A844" s="275"/>
      <c r="B844" s="342"/>
      <c r="C844" s="369"/>
      <c r="D844" s="337"/>
      <c r="E844" s="275"/>
      <c r="F844" s="275"/>
      <c r="G844" s="275"/>
      <c r="H844" s="275"/>
      <c r="I844" s="275"/>
      <c r="J844" s="275"/>
      <c r="K844" s="275"/>
      <c r="L844" s="275"/>
      <c r="M844" s="275"/>
      <c r="N844" s="275"/>
      <c r="O844" s="275"/>
      <c r="P844" s="275"/>
      <c r="Q844" s="275"/>
      <c r="R844" s="275"/>
      <c r="S844" s="275"/>
      <c r="T844" s="275"/>
      <c r="U844" s="275"/>
      <c r="V844" s="275"/>
      <c r="W844" s="275"/>
      <c r="X844" s="275"/>
      <c r="Y844" s="275"/>
      <c r="Z844" s="275"/>
    </row>
    <row r="845" spans="1:26" ht="12.75" customHeight="1" x14ac:dyDescent="0.25">
      <c r="A845" s="275"/>
      <c r="B845" s="342"/>
      <c r="C845" s="369"/>
      <c r="D845" s="337"/>
      <c r="E845" s="275"/>
      <c r="F845" s="275"/>
      <c r="G845" s="275"/>
      <c r="H845" s="275"/>
      <c r="I845" s="275"/>
      <c r="J845" s="275"/>
      <c r="K845" s="275"/>
      <c r="L845" s="275"/>
      <c r="M845" s="275"/>
      <c r="N845" s="275"/>
      <c r="O845" s="275"/>
      <c r="P845" s="275"/>
      <c r="Q845" s="275"/>
      <c r="R845" s="275"/>
      <c r="S845" s="275"/>
      <c r="T845" s="275"/>
      <c r="U845" s="275"/>
      <c r="V845" s="275"/>
      <c r="W845" s="275"/>
      <c r="X845" s="275"/>
      <c r="Y845" s="275"/>
      <c r="Z845" s="275"/>
    </row>
    <row r="846" spans="1:26" ht="12.75" customHeight="1" x14ac:dyDescent="0.25">
      <c r="A846" s="275"/>
      <c r="B846" s="342"/>
      <c r="C846" s="369"/>
      <c r="D846" s="337"/>
      <c r="E846" s="275"/>
      <c r="F846" s="275"/>
      <c r="G846" s="275"/>
      <c r="H846" s="275"/>
      <c r="I846" s="275"/>
      <c r="J846" s="275"/>
      <c r="K846" s="275"/>
      <c r="L846" s="275"/>
      <c r="M846" s="275"/>
      <c r="N846" s="275"/>
      <c r="O846" s="275"/>
      <c r="P846" s="275"/>
      <c r="Q846" s="275"/>
      <c r="R846" s="275"/>
      <c r="S846" s="275"/>
      <c r="T846" s="275"/>
      <c r="U846" s="275"/>
      <c r="V846" s="275"/>
      <c r="W846" s="275"/>
      <c r="X846" s="275"/>
      <c r="Y846" s="275"/>
      <c r="Z846" s="275"/>
    </row>
    <row r="847" spans="1:26" ht="12.75" customHeight="1" x14ac:dyDescent="0.25">
      <c r="A847" s="275"/>
      <c r="B847" s="342"/>
      <c r="C847" s="369"/>
      <c r="D847" s="337"/>
      <c r="E847" s="275"/>
      <c r="F847" s="275"/>
      <c r="G847" s="275"/>
      <c r="H847" s="275"/>
      <c r="I847" s="275"/>
      <c r="J847" s="275"/>
      <c r="K847" s="275"/>
      <c r="L847" s="275"/>
      <c r="M847" s="275"/>
      <c r="N847" s="275"/>
      <c r="O847" s="275"/>
      <c r="P847" s="275"/>
      <c r="Q847" s="275"/>
      <c r="R847" s="275"/>
      <c r="S847" s="275"/>
      <c r="T847" s="275"/>
      <c r="U847" s="275"/>
      <c r="V847" s="275"/>
      <c r="W847" s="275"/>
      <c r="X847" s="275"/>
      <c r="Y847" s="275"/>
      <c r="Z847" s="275"/>
    </row>
    <row r="848" spans="1:26" ht="12.75" customHeight="1" x14ac:dyDescent="0.25">
      <c r="A848" s="275"/>
      <c r="B848" s="342"/>
      <c r="C848" s="369"/>
      <c r="D848" s="337"/>
      <c r="E848" s="275"/>
      <c r="F848" s="275"/>
      <c r="G848" s="275"/>
      <c r="H848" s="275"/>
      <c r="I848" s="275"/>
      <c r="J848" s="275"/>
      <c r="K848" s="275"/>
      <c r="L848" s="275"/>
      <c r="M848" s="275"/>
      <c r="N848" s="275"/>
      <c r="O848" s="275"/>
      <c r="P848" s="275"/>
      <c r="Q848" s="275"/>
      <c r="R848" s="275"/>
      <c r="S848" s="275"/>
      <c r="T848" s="275"/>
      <c r="U848" s="275"/>
      <c r="V848" s="275"/>
      <c r="W848" s="275"/>
      <c r="X848" s="275"/>
      <c r="Y848" s="275"/>
      <c r="Z848" s="275"/>
    </row>
    <row r="849" spans="1:26" ht="12.75" customHeight="1" x14ac:dyDescent="0.25">
      <c r="A849" s="275"/>
      <c r="B849" s="342"/>
      <c r="C849" s="369"/>
      <c r="D849" s="337"/>
      <c r="E849" s="275"/>
      <c r="F849" s="275"/>
      <c r="G849" s="275"/>
      <c r="H849" s="275"/>
      <c r="I849" s="275"/>
      <c r="J849" s="275"/>
      <c r="K849" s="275"/>
      <c r="L849" s="275"/>
      <c r="M849" s="275"/>
      <c r="N849" s="275"/>
      <c r="O849" s="275"/>
      <c r="P849" s="275"/>
      <c r="Q849" s="275"/>
      <c r="R849" s="275"/>
      <c r="S849" s="275"/>
      <c r="T849" s="275"/>
      <c r="U849" s="275"/>
      <c r="V849" s="275"/>
      <c r="W849" s="275"/>
      <c r="X849" s="275"/>
      <c r="Y849" s="275"/>
      <c r="Z849" s="275"/>
    </row>
    <row r="850" spans="1:26" ht="12.75" customHeight="1" x14ac:dyDescent="0.25">
      <c r="A850" s="275"/>
      <c r="B850" s="342"/>
      <c r="C850" s="369"/>
      <c r="D850" s="337"/>
      <c r="E850" s="275"/>
      <c r="F850" s="275"/>
      <c r="G850" s="275"/>
      <c r="H850" s="275"/>
      <c r="I850" s="275"/>
      <c r="J850" s="275"/>
      <c r="K850" s="275"/>
      <c r="L850" s="275"/>
      <c r="M850" s="275"/>
      <c r="N850" s="275"/>
      <c r="O850" s="275"/>
      <c r="P850" s="275"/>
      <c r="Q850" s="275"/>
      <c r="R850" s="275"/>
      <c r="S850" s="275"/>
      <c r="T850" s="275"/>
      <c r="U850" s="275"/>
      <c r="V850" s="275"/>
      <c r="W850" s="275"/>
      <c r="X850" s="275"/>
      <c r="Y850" s="275"/>
      <c r="Z850" s="275"/>
    </row>
    <row r="851" spans="1:26" ht="12.75" customHeight="1" x14ac:dyDescent="0.25">
      <c r="A851" s="275"/>
      <c r="B851" s="342"/>
      <c r="C851" s="369"/>
      <c r="D851" s="337"/>
      <c r="E851" s="275"/>
      <c r="F851" s="275"/>
      <c r="G851" s="275"/>
      <c r="H851" s="275"/>
      <c r="I851" s="275"/>
      <c r="J851" s="275"/>
      <c r="K851" s="275"/>
      <c r="L851" s="275"/>
      <c r="M851" s="275"/>
      <c r="N851" s="275"/>
      <c r="O851" s="275"/>
      <c r="P851" s="275"/>
      <c r="Q851" s="275"/>
      <c r="R851" s="275"/>
      <c r="S851" s="275"/>
      <c r="T851" s="275"/>
      <c r="U851" s="275"/>
      <c r="V851" s="275"/>
      <c r="W851" s="275"/>
      <c r="X851" s="275"/>
      <c r="Y851" s="275"/>
      <c r="Z851" s="275"/>
    </row>
    <row r="852" spans="1:26" ht="12.75" customHeight="1" x14ac:dyDescent="0.25">
      <c r="A852" s="275"/>
      <c r="B852" s="342"/>
      <c r="C852" s="369"/>
      <c r="D852" s="337"/>
      <c r="E852" s="275"/>
      <c r="F852" s="275"/>
      <c r="G852" s="275"/>
      <c r="H852" s="275"/>
      <c r="I852" s="275"/>
      <c r="J852" s="275"/>
      <c r="K852" s="275"/>
      <c r="L852" s="275"/>
      <c r="M852" s="275"/>
      <c r="N852" s="275"/>
      <c r="O852" s="275"/>
      <c r="P852" s="275"/>
      <c r="Q852" s="275"/>
      <c r="R852" s="275"/>
      <c r="S852" s="275"/>
      <c r="T852" s="275"/>
      <c r="U852" s="275"/>
      <c r="V852" s="275"/>
      <c r="W852" s="275"/>
      <c r="X852" s="275"/>
      <c r="Y852" s="275"/>
      <c r="Z852" s="275"/>
    </row>
    <row r="853" spans="1:26" ht="12.75" customHeight="1" x14ac:dyDescent="0.25">
      <c r="A853" s="275"/>
      <c r="B853" s="342"/>
      <c r="C853" s="369"/>
      <c r="D853" s="337"/>
      <c r="E853" s="275"/>
      <c r="F853" s="275"/>
      <c r="G853" s="275"/>
      <c r="H853" s="275"/>
      <c r="I853" s="275"/>
      <c r="J853" s="275"/>
      <c r="K853" s="275"/>
      <c r="L853" s="275"/>
      <c r="M853" s="275"/>
      <c r="N853" s="275"/>
      <c r="O853" s="275"/>
      <c r="P853" s="275"/>
      <c r="Q853" s="275"/>
      <c r="R853" s="275"/>
      <c r="S853" s="275"/>
      <c r="T853" s="275"/>
      <c r="U853" s="275"/>
      <c r="V853" s="275"/>
      <c r="W853" s="275"/>
      <c r="X853" s="275"/>
      <c r="Y853" s="275"/>
      <c r="Z853" s="275"/>
    </row>
    <row r="854" spans="1:26" ht="12.75" customHeight="1" x14ac:dyDescent="0.25">
      <c r="A854" s="275"/>
      <c r="B854" s="342"/>
      <c r="C854" s="369"/>
      <c r="D854" s="337"/>
      <c r="E854" s="275"/>
      <c r="F854" s="275"/>
      <c r="G854" s="275"/>
      <c r="H854" s="275"/>
      <c r="I854" s="275"/>
      <c r="J854" s="275"/>
      <c r="K854" s="275"/>
      <c r="L854" s="275"/>
      <c r="M854" s="275"/>
      <c r="N854" s="275"/>
      <c r="O854" s="275"/>
      <c r="P854" s="275"/>
      <c r="Q854" s="275"/>
      <c r="R854" s="275"/>
      <c r="S854" s="275"/>
      <c r="T854" s="275"/>
      <c r="U854" s="275"/>
      <c r="V854" s="275"/>
      <c r="W854" s="275"/>
      <c r="X854" s="275"/>
      <c r="Y854" s="275"/>
      <c r="Z854" s="275"/>
    </row>
    <row r="855" spans="1:26" ht="12.75" customHeight="1" x14ac:dyDescent="0.25">
      <c r="A855" s="275"/>
      <c r="B855" s="342"/>
      <c r="C855" s="369"/>
      <c r="D855" s="337"/>
      <c r="E855" s="275"/>
      <c r="F855" s="275"/>
      <c r="G855" s="275"/>
      <c r="H855" s="275"/>
      <c r="I855" s="275"/>
      <c r="J855" s="275"/>
      <c r="K855" s="275"/>
      <c r="L855" s="275"/>
      <c r="M855" s="275"/>
      <c r="N855" s="275"/>
      <c r="O855" s="275"/>
      <c r="P855" s="275"/>
      <c r="Q855" s="275"/>
      <c r="R855" s="275"/>
      <c r="S855" s="275"/>
      <c r="T855" s="275"/>
      <c r="U855" s="275"/>
      <c r="V855" s="275"/>
      <c r="W855" s="275"/>
      <c r="X855" s="275"/>
      <c r="Y855" s="275"/>
      <c r="Z855" s="275"/>
    </row>
    <row r="856" spans="1:26" ht="12.75" customHeight="1" x14ac:dyDescent="0.25">
      <c r="A856" s="275"/>
      <c r="B856" s="342"/>
      <c r="C856" s="369"/>
      <c r="D856" s="337"/>
      <c r="E856" s="275"/>
      <c r="F856" s="275"/>
      <c r="G856" s="275"/>
      <c r="H856" s="275"/>
      <c r="I856" s="275"/>
      <c r="J856" s="275"/>
      <c r="K856" s="275"/>
      <c r="L856" s="275"/>
      <c r="M856" s="275"/>
      <c r="N856" s="275"/>
      <c r="O856" s="275"/>
      <c r="P856" s="275"/>
      <c r="Q856" s="275"/>
      <c r="R856" s="275"/>
      <c r="S856" s="275"/>
      <c r="T856" s="275"/>
      <c r="U856" s="275"/>
      <c r="V856" s="275"/>
      <c r="W856" s="275"/>
      <c r="X856" s="275"/>
      <c r="Y856" s="275"/>
      <c r="Z856" s="275"/>
    </row>
    <row r="857" spans="1:26" ht="12.75" customHeight="1" x14ac:dyDescent="0.25">
      <c r="A857" s="275"/>
      <c r="B857" s="342"/>
      <c r="C857" s="369"/>
      <c r="D857" s="337"/>
      <c r="E857" s="275"/>
      <c r="F857" s="275"/>
      <c r="G857" s="275"/>
      <c r="H857" s="275"/>
      <c r="I857" s="275"/>
      <c r="J857" s="275"/>
      <c r="K857" s="275"/>
      <c r="L857" s="275"/>
      <c r="M857" s="275"/>
      <c r="N857" s="275"/>
      <c r="O857" s="275"/>
      <c r="P857" s="275"/>
      <c r="Q857" s="275"/>
      <c r="R857" s="275"/>
      <c r="S857" s="275"/>
      <c r="T857" s="275"/>
      <c r="U857" s="275"/>
      <c r="V857" s="275"/>
      <c r="W857" s="275"/>
      <c r="X857" s="275"/>
      <c r="Y857" s="275"/>
      <c r="Z857" s="275"/>
    </row>
    <row r="858" spans="1:26" ht="12.75" customHeight="1" x14ac:dyDescent="0.25">
      <c r="A858" s="275"/>
      <c r="B858" s="342"/>
      <c r="C858" s="369"/>
      <c r="D858" s="337"/>
      <c r="E858" s="275"/>
      <c r="F858" s="275"/>
      <c r="G858" s="275"/>
      <c r="H858" s="275"/>
      <c r="I858" s="275"/>
      <c r="J858" s="275"/>
      <c r="K858" s="275"/>
      <c r="L858" s="275"/>
      <c r="M858" s="275"/>
      <c r="N858" s="275"/>
      <c r="O858" s="275"/>
      <c r="P858" s="275"/>
      <c r="Q858" s="275"/>
      <c r="R858" s="275"/>
      <c r="S858" s="275"/>
      <c r="T858" s="275"/>
      <c r="U858" s="275"/>
      <c r="V858" s="275"/>
      <c r="W858" s="275"/>
      <c r="X858" s="275"/>
      <c r="Y858" s="275"/>
      <c r="Z858" s="275"/>
    </row>
    <row r="859" spans="1:26" ht="12.75" customHeight="1" x14ac:dyDescent="0.25">
      <c r="A859" s="275"/>
      <c r="B859" s="342"/>
      <c r="C859" s="369"/>
      <c r="D859" s="337"/>
      <c r="E859" s="275"/>
      <c r="F859" s="275"/>
      <c r="G859" s="275"/>
      <c r="H859" s="275"/>
      <c r="I859" s="275"/>
      <c r="J859" s="275"/>
      <c r="K859" s="275"/>
      <c r="L859" s="275"/>
      <c r="M859" s="275"/>
      <c r="N859" s="275"/>
      <c r="O859" s="275"/>
      <c r="P859" s="275"/>
      <c r="Q859" s="275"/>
      <c r="R859" s="275"/>
      <c r="S859" s="275"/>
      <c r="T859" s="275"/>
      <c r="U859" s="275"/>
      <c r="V859" s="275"/>
      <c r="W859" s="275"/>
      <c r="X859" s="275"/>
      <c r="Y859" s="275"/>
      <c r="Z859" s="275"/>
    </row>
    <row r="860" spans="1:26" ht="12.75" customHeight="1" x14ac:dyDescent="0.25">
      <c r="A860" s="275"/>
      <c r="B860" s="342"/>
      <c r="C860" s="369"/>
      <c r="D860" s="337"/>
      <c r="E860" s="275"/>
      <c r="F860" s="275"/>
      <c r="G860" s="275"/>
      <c r="H860" s="275"/>
      <c r="I860" s="275"/>
      <c r="J860" s="275"/>
      <c r="K860" s="275"/>
      <c r="L860" s="275"/>
      <c r="M860" s="275"/>
      <c r="N860" s="275"/>
      <c r="O860" s="275"/>
      <c r="P860" s="275"/>
      <c r="Q860" s="275"/>
      <c r="R860" s="275"/>
      <c r="S860" s="275"/>
      <c r="T860" s="275"/>
      <c r="U860" s="275"/>
      <c r="V860" s="275"/>
      <c r="W860" s="275"/>
      <c r="X860" s="275"/>
      <c r="Y860" s="275"/>
      <c r="Z860" s="275"/>
    </row>
    <row r="861" spans="1:26" ht="12.75" customHeight="1" x14ac:dyDescent="0.25">
      <c r="A861" s="275"/>
      <c r="B861" s="342"/>
      <c r="C861" s="369"/>
      <c r="D861" s="337"/>
      <c r="E861" s="275"/>
      <c r="F861" s="275"/>
      <c r="G861" s="275"/>
      <c r="H861" s="275"/>
      <c r="I861" s="275"/>
      <c r="J861" s="275"/>
      <c r="K861" s="275"/>
      <c r="L861" s="275"/>
      <c r="M861" s="275"/>
      <c r="N861" s="275"/>
      <c r="O861" s="275"/>
      <c r="P861" s="275"/>
      <c r="Q861" s="275"/>
      <c r="R861" s="275"/>
      <c r="S861" s="275"/>
      <c r="T861" s="275"/>
      <c r="U861" s="275"/>
      <c r="V861" s="275"/>
      <c r="W861" s="275"/>
      <c r="X861" s="275"/>
      <c r="Y861" s="275"/>
      <c r="Z861" s="275"/>
    </row>
    <row r="862" spans="1:26" ht="12.75" customHeight="1" x14ac:dyDescent="0.25">
      <c r="A862" s="275"/>
      <c r="B862" s="342"/>
      <c r="C862" s="369"/>
      <c r="D862" s="337"/>
      <c r="E862" s="275"/>
      <c r="F862" s="275"/>
      <c r="G862" s="275"/>
      <c r="H862" s="275"/>
      <c r="I862" s="275"/>
      <c r="J862" s="275"/>
      <c r="K862" s="275"/>
      <c r="L862" s="275"/>
      <c r="M862" s="275"/>
      <c r="N862" s="275"/>
      <c r="O862" s="275"/>
      <c r="P862" s="275"/>
      <c r="Q862" s="275"/>
      <c r="R862" s="275"/>
      <c r="S862" s="275"/>
      <c r="T862" s="275"/>
      <c r="U862" s="275"/>
      <c r="V862" s="275"/>
      <c r="W862" s="275"/>
      <c r="X862" s="275"/>
      <c r="Y862" s="275"/>
      <c r="Z862" s="275"/>
    </row>
    <row r="863" spans="1:26" ht="12.75" customHeight="1" x14ac:dyDescent="0.25">
      <c r="A863" s="275"/>
      <c r="B863" s="342"/>
      <c r="C863" s="369"/>
      <c r="D863" s="337"/>
      <c r="E863" s="275"/>
      <c r="F863" s="275"/>
      <c r="G863" s="275"/>
      <c r="H863" s="275"/>
      <c r="I863" s="275"/>
      <c r="J863" s="275"/>
      <c r="K863" s="275"/>
      <c r="L863" s="275"/>
      <c r="M863" s="275"/>
      <c r="N863" s="275"/>
      <c r="O863" s="275"/>
      <c r="P863" s="275"/>
      <c r="Q863" s="275"/>
      <c r="R863" s="275"/>
      <c r="S863" s="275"/>
      <c r="T863" s="275"/>
      <c r="U863" s="275"/>
      <c r="V863" s="275"/>
      <c r="W863" s="275"/>
      <c r="X863" s="275"/>
      <c r="Y863" s="275"/>
      <c r="Z863" s="275"/>
    </row>
    <row r="864" spans="1:26" ht="12.75" customHeight="1" x14ac:dyDescent="0.25">
      <c r="A864" s="275"/>
      <c r="B864" s="342"/>
      <c r="C864" s="369"/>
      <c r="D864" s="337"/>
      <c r="E864" s="275"/>
      <c r="F864" s="275"/>
      <c r="G864" s="275"/>
      <c r="H864" s="275"/>
      <c r="I864" s="275"/>
      <c r="J864" s="275"/>
      <c r="K864" s="275"/>
      <c r="L864" s="275"/>
      <c r="M864" s="275"/>
      <c r="N864" s="275"/>
      <c r="O864" s="275"/>
      <c r="P864" s="275"/>
      <c r="Q864" s="275"/>
      <c r="R864" s="275"/>
      <c r="S864" s="275"/>
      <c r="T864" s="275"/>
      <c r="U864" s="275"/>
      <c r="V864" s="275"/>
      <c r="W864" s="275"/>
      <c r="X864" s="275"/>
      <c r="Y864" s="275"/>
      <c r="Z864" s="275"/>
    </row>
    <row r="865" spans="1:26" ht="12.75" customHeight="1" x14ac:dyDescent="0.25">
      <c r="A865" s="275"/>
      <c r="B865" s="342"/>
      <c r="C865" s="369"/>
      <c r="D865" s="337"/>
      <c r="E865" s="275"/>
      <c r="F865" s="275"/>
      <c r="G865" s="275"/>
      <c r="H865" s="275"/>
      <c r="I865" s="275"/>
      <c r="J865" s="275"/>
      <c r="K865" s="275"/>
      <c r="L865" s="275"/>
      <c r="M865" s="275"/>
      <c r="N865" s="275"/>
      <c r="O865" s="275"/>
      <c r="P865" s="275"/>
      <c r="Q865" s="275"/>
      <c r="R865" s="275"/>
      <c r="S865" s="275"/>
      <c r="T865" s="275"/>
      <c r="U865" s="275"/>
      <c r="V865" s="275"/>
      <c r="W865" s="275"/>
      <c r="X865" s="275"/>
      <c r="Y865" s="275"/>
      <c r="Z865" s="275"/>
    </row>
    <row r="866" spans="1:26" ht="12.75" customHeight="1" x14ac:dyDescent="0.25">
      <c r="A866" s="275"/>
      <c r="B866" s="342"/>
      <c r="C866" s="369"/>
      <c r="D866" s="337"/>
      <c r="E866" s="275"/>
      <c r="F866" s="275"/>
      <c r="G866" s="275"/>
      <c r="H866" s="275"/>
      <c r="I866" s="275"/>
      <c r="J866" s="275"/>
      <c r="K866" s="275"/>
      <c r="L866" s="275"/>
      <c r="M866" s="275"/>
      <c r="N866" s="275"/>
      <c r="O866" s="275"/>
      <c r="P866" s="275"/>
      <c r="Q866" s="275"/>
      <c r="R866" s="275"/>
      <c r="S866" s="275"/>
      <c r="T866" s="275"/>
      <c r="U866" s="275"/>
      <c r="V866" s="275"/>
      <c r="W866" s="275"/>
      <c r="X866" s="275"/>
      <c r="Y866" s="275"/>
      <c r="Z866" s="275"/>
    </row>
    <row r="867" spans="1:26" ht="12.75" customHeight="1" x14ac:dyDescent="0.25">
      <c r="A867" s="275"/>
      <c r="B867" s="342"/>
      <c r="C867" s="369"/>
      <c r="D867" s="337"/>
      <c r="E867" s="275"/>
      <c r="F867" s="275"/>
      <c r="G867" s="275"/>
      <c r="H867" s="275"/>
      <c r="I867" s="275"/>
      <c r="J867" s="275"/>
      <c r="K867" s="275"/>
      <c r="L867" s="275"/>
      <c r="M867" s="275"/>
      <c r="N867" s="275"/>
      <c r="O867" s="275"/>
      <c r="P867" s="275"/>
      <c r="Q867" s="275"/>
      <c r="R867" s="275"/>
      <c r="S867" s="275"/>
      <c r="T867" s="275"/>
      <c r="U867" s="275"/>
      <c r="V867" s="275"/>
      <c r="W867" s="275"/>
      <c r="X867" s="275"/>
      <c r="Y867" s="275"/>
      <c r="Z867" s="275"/>
    </row>
    <row r="868" spans="1:26" ht="12.75" customHeight="1" x14ac:dyDescent="0.25">
      <c r="A868" s="275"/>
      <c r="B868" s="342"/>
      <c r="C868" s="369"/>
      <c r="D868" s="337"/>
      <c r="E868" s="275"/>
      <c r="F868" s="275"/>
      <c r="G868" s="275"/>
      <c r="H868" s="275"/>
      <c r="I868" s="275"/>
      <c r="J868" s="275"/>
      <c r="K868" s="275"/>
      <c r="L868" s="275"/>
      <c r="M868" s="275"/>
      <c r="N868" s="275"/>
      <c r="O868" s="275"/>
      <c r="P868" s="275"/>
      <c r="Q868" s="275"/>
      <c r="R868" s="275"/>
      <c r="S868" s="275"/>
      <c r="T868" s="275"/>
      <c r="U868" s="275"/>
      <c r="V868" s="275"/>
      <c r="W868" s="275"/>
      <c r="X868" s="275"/>
      <c r="Y868" s="275"/>
      <c r="Z868" s="275"/>
    </row>
    <row r="869" spans="1:26" ht="12.75" customHeight="1" x14ac:dyDescent="0.25">
      <c r="A869" s="275"/>
      <c r="B869" s="342"/>
      <c r="C869" s="369"/>
      <c r="D869" s="337"/>
      <c r="E869" s="275"/>
      <c r="F869" s="275"/>
      <c r="G869" s="275"/>
      <c r="H869" s="275"/>
      <c r="I869" s="275"/>
      <c r="J869" s="275"/>
      <c r="K869" s="275"/>
      <c r="L869" s="275"/>
      <c r="M869" s="275"/>
      <c r="N869" s="275"/>
      <c r="O869" s="275"/>
      <c r="P869" s="275"/>
      <c r="Q869" s="275"/>
      <c r="R869" s="275"/>
      <c r="S869" s="275"/>
      <c r="T869" s="275"/>
      <c r="U869" s="275"/>
      <c r="V869" s="275"/>
      <c r="W869" s="275"/>
      <c r="X869" s="275"/>
      <c r="Y869" s="275"/>
      <c r="Z869" s="275"/>
    </row>
    <row r="870" spans="1:26" ht="12.75" customHeight="1" x14ac:dyDescent="0.25">
      <c r="A870" s="275"/>
      <c r="B870" s="342"/>
      <c r="C870" s="369"/>
      <c r="D870" s="337"/>
      <c r="E870" s="275"/>
      <c r="F870" s="275"/>
      <c r="G870" s="275"/>
      <c r="H870" s="275"/>
      <c r="I870" s="275"/>
      <c r="J870" s="275"/>
      <c r="K870" s="275"/>
      <c r="L870" s="275"/>
      <c r="M870" s="275"/>
      <c r="N870" s="275"/>
      <c r="O870" s="275"/>
      <c r="P870" s="275"/>
      <c r="Q870" s="275"/>
      <c r="R870" s="275"/>
      <c r="S870" s="275"/>
      <c r="T870" s="275"/>
      <c r="U870" s="275"/>
      <c r="V870" s="275"/>
      <c r="W870" s="275"/>
      <c r="X870" s="275"/>
      <c r="Y870" s="275"/>
      <c r="Z870" s="275"/>
    </row>
    <row r="871" spans="1:26" ht="12.75" customHeight="1" x14ac:dyDescent="0.25">
      <c r="A871" s="275"/>
      <c r="B871" s="342"/>
      <c r="C871" s="369"/>
      <c r="D871" s="337"/>
      <c r="E871" s="275"/>
      <c r="F871" s="275"/>
      <c r="G871" s="275"/>
      <c r="H871" s="275"/>
      <c r="I871" s="275"/>
      <c r="J871" s="275"/>
      <c r="K871" s="275"/>
      <c r="L871" s="275"/>
      <c r="M871" s="275"/>
      <c r="N871" s="275"/>
      <c r="O871" s="275"/>
      <c r="P871" s="275"/>
      <c r="Q871" s="275"/>
      <c r="R871" s="275"/>
      <c r="S871" s="275"/>
      <c r="T871" s="275"/>
      <c r="U871" s="275"/>
      <c r="V871" s="275"/>
      <c r="W871" s="275"/>
      <c r="X871" s="275"/>
      <c r="Y871" s="275"/>
      <c r="Z871" s="275"/>
    </row>
    <row r="872" spans="1:26" ht="12.75" customHeight="1" x14ac:dyDescent="0.25">
      <c r="A872" s="275"/>
      <c r="B872" s="342"/>
      <c r="C872" s="369"/>
      <c r="D872" s="337"/>
      <c r="E872" s="275"/>
      <c r="F872" s="275"/>
      <c r="G872" s="275"/>
      <c r="H872" s="275"/>
      <c r="I872" s="275"/>
      <c r="J872" s="275"/>
      <c r="K872" s="275"/>
      <c r="L872" s="275"/>
      <c r="M872" s="275"/>
      <c r="N872" s="275"/>
      <c r="O872" s="275"/>
      <c r="P872" s="275"/>
      <c r="Q872" s="275"/>
      <c r="R872" s="275"/>
      <c r="S872" s="275"/>
      <c r="T872" s="275"/>
      <c r="U872" s="275"/>
      <c r="V872" s="275"/>
      <c r="W872" s="275"/>
      <c r="X872" s="275"/>
      <c r="Y872" s="275"/>
      <c r="Z872" s="275"/>
    </row>
    <row r="873" spans="1:26" ht="12.75" customHeight="1" x14ac:dyDescent="0.25">
      <c r="A873" s="275"/>
      <c r="B873" s="342"/>
      <c r="C873" s="369"/>
      <c r="D873" s="337"/>
      <c r="E873" s="275"/>
      <c r="F873" s="275"/>
      <c r="G873" s="275"/>
      <c r="H873" s="275"/>
      <c r="I873" s="275"/>
      <c r="J873" s="275"/>
      <c r="K873" s="275"/>
      <c r="L873" s="275"/>
      <c r="M873" s="275"/>
      <c r="N873" s="275"/>
      <c r="O873" s="275"/>
      <c r="P873" s="275"/>
      <c r="Q873" s="275"/>
      <c r="R873" s="275"/>
      <c r="S873" s="275"/>
      <c r="T873" s="275"/>
      <c r="U873" s="275"/>
      <c r="V873" s="275"/>
      <c r="W873" s="275"/>
      <c r="X873" s="275"/>
      <c r="Y873" s="275"/>
      <c r="Z873" s="275"/>
    </row>
    <row r="874" spans="1:26" ht="12.75" customHeight="1" x14ac:dyDescent="0.25">
      <c r="A874" s="275"/>
      <c r="B874" s="342"/>
      <c r="C874" s="369"/>
      <c r="D874" s="337"/>
      <c r="E874" s="275"/>
      <c r="F874" s="275"/>
      <c r="G874" s="275"/>
      <c r="H874" s="275"/>
      <c r="I874" s="275"/>
      <c r="J874" s="275"/>
      <c r="K874" s="275"/>
      <c r="L874" s="275"/>
      <c r="M874" s="275"/>
      <c r="N874" s="275"/>
      <c r="O874" s="275"/>
      <c r="P874" s="275"/>
      <c r="Q874" s="275"/>
      <c r="R874" s="275"/>
      <c r="S874" s="275"/>
      <c r="T874" s="275"/>
      <c r="U874" s="275"/>
      <c r="V874" s="275"/>
      <c r="W874" s="275"/>
      <c r="X874" s="275"/>
      <c r="Y874" s="275"/>
      <c r="Z874" s="275"/>
    </row>
    <row r="875" spans="1:26" ht="12.75" customHeight="1" x14ac:dyDescent="0.25">
      <c r="A875" s="275"/>
      <c r="B875" s="342"/>
      <c r="C875" s="369"/>
      <c r="D875" s="337"/>
      <c r="E875" s="275"/>
      <c r="F875" s="275"/>
      <c r="G875" s="275"/>
      <c r="H875" s="275"/>
      <c r="I875" s="275"/>
      <c r="J875" s="275"/>
      <c r="K875" s="275"/>
      <c r="L875" s="275"/>
      <c r="M875" s="275"/>
      <c r="N875" s="275"/>
      <c r="O875" s="275"/>
      <c r="P875" s="275"/>
      <c r="Q875" s="275"/>
      <c r="R875" s="275"/>
      <c r="S875" s="275"/>
      <c r="T875" s="275"/>
      <c r="U875" s="275"/>
      <c r="V875" s="275"/>
      <c r="W875" s="275"/>
      <c r="X875" s="275"/>
      <c r="Y875" s="275"/>
      <c r="Z875" s="275"/>
    </row>
    <row r="876" spans="1:26" ht="12.75" customHeight="1" x14ac:dyDescent="0.25">
      <c r="A876" s="275"/>
      <c r="B876" s="342"/>
      <c r="C876" s="369"/>
      <c r="D876" s="337"/>
      <c r="E876" s="275"/>
      <c r="F876" s="275"/>
      <c r="G876" s="275"/>
      <c r="H876" s="275"/>
      <c r="I876" s="275"/>
      <c r="J876" s="275"/>
      <c r="K876" s="275"/>
      <c r="L876" s="275"/>
      <c r="M876" s="275"/>
      <c r="N876" s="275"/>
      <c r="O876" s="275"/>
      <c r="P876" s="275"/>
      <c r="Q876" s="275"/>
      <c r="R876" s="275"/>
      <c r="S876" s="275"/>
      <c r="T876" s="275"/>
      <c r="U876" s="275"/>
      <c r="V876" s="275"/>
      <c r="W876" s="275"/>
      <c r="X876" s="275"/>
      <c r="Y876" s="275"/>
      <c r="Z876" s="275"/>
    </row>
    <row r="877" spans="1:26" ht="12.75" customHeight="1" x14ac:dyDescent="0.25">
      <c r="A877" s="275"/>
      <c r="B877" s="342"/>
      <c r="C877" s="369"/>
      <c r="D877" s="337"/>
      <c r="E877" s="275"/>
      <c r="F877" s="275"/>
      <c r="G877" s="275"/>
      <c r="H877" s="275"/>
      <c r="I877" s="275"/>
      <c r="J877" s="275"/>
      <c r="K877" s="275"/>
      <c r="L877" s="275"/>
      <c r="M877" s="275"/>
      <c r="N877" s="275"/>
      <c r="O877" s="275"/>
      <c r="P877" s="275"/>
      <c r="Q877" s="275"/>
      <c r="R877" s="275"/>
      <c r="S877" s="275"/>
      <c r="T877" s="275"/>
      <c r="U877" s="275"/>
      <c r="V877" s="275"/>
      <c r="W877" s="275"/>
      <c r="X877" s="275"/>
      <c r="Y877" s="275"/>
      <c r="Z877" s="275"/>
    </row>
    <row r="878" spans="1:26" ht="12.75" customHeight="1" x14ac:dyDescent="0.25">
      <c r="A878" s="275"/>
      <c r="B878" s="342"/>
      <c r="C878" s="369"/>
      <c r="D878" s="337"/>
      <c r="E878" s="275"/>
      <c r="F878" s="275"/>
      <c r="G878" s="275"/>
      <c r="H878" s="275"/>
      <c r="I878" s="275"/>
      <c r="J878" s="275"/>
      <c r="K878" s="275"/>
      <c r="L878" s="275"/>
      <c r="M878" s="275"/>
      <c r="N878" s="275"/>
      <c r="O878" s="275"/>
      <c r="P878" s="275"/>
      <c r="Q878" s="275"/>
      <c r="R878" s="275"/>
      <c r="S878" s="275"/>
      <c r="T878" s="275"/>
      <c r="U878" s="275"/>
      <c r="V878" s="275"/>
      <c r="W878" s="275"/>
      <c r="X878" s="275"/>
      <c r="Y878" s="275"/>
      <c r="Z878" s="275"/>
    </row>
    <row r="879" spans="1:26" ht="12.75" customHeight="1" x14ac:dyDescent="0.25">
      <c r="A879" s="275"/>
      <c r="B879" s="342"/>
      <c r="C879" s="369"/>
      <c r="D879" s="337"/>
      <c r="E879" s="275"/>
      <c r="F879" s="275"/>
      <c r="G879" s="275"/>
      <c r="H879" s="275"/>
      <c r="I879" s="275"/>
      <c r="J879" s="275"/>
      <c r="K879" s="275"/>
      <c r="L879" s="275"/>
      <c r="M879" s="275"/>
      <c r="N879" s="275"/>
      <c r="O879" s="275"/>
      <c r="P879" s="275"/>
      <c r="Q879" s="275"/>
      <c r="R879" s="275"/>
      <c r="S879" s="275"/>
      <c r="T879" s="275"/>
      <c r="U879" s="275"/>
      <c r="V879" s="275"/>
      <c r="W879" s="275"/>
      <c r="X879" s="275"/>
      <c r="Y879" s="275"/>
      <c r="Z879" s="275"/>
    </row>
    <row r="880" spans="1:26" ht="12.75" customHeight="1" x14ac:dyDescent="0.25">
      <c r="A880" s="275"/>
      <c r="B880" s="342"/>
      <c r="C880" s="369"/>
      <c r="D880" s="337"/>
      <c r="E880" s="275"/>
      <c r="F880" s="275"/>
      <c r="G880" s="275"/>
      <c r="H880" s="275"/>
      <c r="I880" s="275"/>
      <c r="J880" s="275"/>
      <c r="K880" s="275"/>
      <c r="L880" s="275"/>
      <c r="M880" s="275"/>
      <c r="N880" s="275"/>
      <c r="O880" s="275"/>
      <c r="P880" s="275"/>
      <c r="Q880" s="275"/>
      <c r="R880" s="275"/>
      <c r="S880" s="275"/>
      <c r="T880" s="275"/>
      <c r="U880" s="275"/>
      <c r="V880" s="275"/>
      <c r="W880" s="275"/>
      <c r="X880" s="275"/>
      <c r="Y880" s="275"/>
      <c r="Z880" s="275"/>
    </row>
    <row r="881" spans="1:26" ht="12.75" customHeight="1" x14ac:dyDescent="0.25">
      <c r="A881" s="275"/>
      <c r="B881" s="342"/>
      <c r="C881" s="369"/>
      <c r="D881" s="337"/>
      <c r="E881" s="275"/>
      <c r="F881" s="275"/>
      <c r="G881" s="275"/>
      <c r="H881" s="275"/>
      <c r="I881" s="275"/>
      <c r="J881" s="275"/>
      <c r="K881" s="275"/>
      <c r="L881" s="275"/>
      <c r="M881" s="275"/>
      <c r="N881" s="275"/>
      <c r="O881" s="275"/>
      <c r="P881" s="275"/>
      <c r="Q881" s="275"/>
      <c r="R881" s="275"/>
      <c r="S881" s="275"/>
      <c r="T881" s="275"/>
      <c r="U881" s="275"/>
      <c r="V881" s="275"/>
      <c r="W881" s="275"/>
      <c r="X881" s="275"/>
      <c r="Y881" s="275"/>
      <c r="Z881" s="275"/>
    </row>
    <row r="882" spans="1:26" ht="12.75" customHeight="1" x14ac:dyDescent="0.25">
      <c r="A882" s="275"/>
      <c r="B882" s="342"/>
      <c r="C882" s="369"/>
      <c r="D882" s="337"/>
      <c r="E882" s="275"/>
      <c r="F882" s="275"/>
      <c r="G882" s="275"/>
      <c r="H882" s="275"/>
      <c r="I882" s="275"/>
      <c r="J882" s="275"/>
      <c r="K882" s="275"/>
      <c r="L882" s="275"/>
      <c r="M882" s="275"/>
      <c r="N882" s="275"/>
      <c r="O882" s="275"/>
      <c r="P882" s="275"/>
      <c r="Q882" s="275"/>
      <c r="R882" s="275"/>
      <c r="S882" s="275"/>
      <c r="T882" s="275"/>
      <c r="U882" s="275"/>
      <c r="V882" s="275"/>
      <c r="W882" s="275"/>
      <c r="X882" s="275"/>
      <c r="Y882" s="275"/>
      <c r="Z882" s="275"/>
    </row>
    <row r="883" spans="1:26" ht="12.75" customHeight="1" x14ac:dyDescent="0.25">
      <c r="A883" s="275"/>
      <c r="B883" s="342"/>
      <c r="C883" s="369"/>
      <c r="D883" s="337"/>
      <c r="E883" s="275"/>
      <c r="F883" s="275"/>
      <c r="G883" s="275"/>
      <c r="H883" s="275"/>
      <c r="I883" s="275"/>
      <c r="J883" s="275"/>
      <c r="K883" s="275"/>
      <c r="L883" s="275"/>
      <c r="M883" s="275"/>
      <c r="N883" s="275"/>
      <c r="O883" s="275"/>
      <c r="P883" s="275"/>
      <c r="Q883" s="275"/>
      <c r="R883" s="275"/>
      <c r="S883" s="275"/>
      <c r="T883" s="275"/>
      <c r="U883" s="275"/>
      <c r="V883" s="275"/>
      <c r="W883" s="275"/>
      <c r="X883" s="275"/>
      <c r="Y883" s="275"/>
      <c r="Z883" s="275"/>
    </row>
    <row r="884" spans="1:26" ht="12.75" customHeight="1" x14ac:dyDescent="0.25">
      <c r="A884" s="275"/>
      <c r="B884" s="342"/>
      <c r="C884" s="369"/>
      <c r="D884" s="337"/>
      <c r="E884" s="275"/>
      <c r="F884" s="275"/>
      <c r="G884" s="275"/>
      <c r="H884" s="275"/>
      <c r="I884" s="275"/>
      <c r="J884" s="275"/>
      <c r="K884" s="275"/>
      <c r="L884" s="275"/>
      <c r="M884" s="275"/>
      <c r="N884" s="275"/>
      <c r="O884" s="275"/>
      <c r="P884" s="275"/>
      <c r="Q884" s="275"/>
      <c r="R884" s="275"/>
      <c r="S884" s="275"/>
      <c r="T884" s="275"/>
      <c r="U884" s="275"/>
      <c r="V884" s="275"/>
      <c r="W884" s="275"/>
      <c r="X884" s="275"/>
      <c r="Y884" s="275"/>
      <c r="Z884" s="275"/>
    </row>
    <row r="885" spans="1:26" ht="12.75" customHeight="1" x14ac:dyDescent="0.25">
      <c r="A885" s="275"/>
      <c r="B885" s="342"/>
      <c r="C885" s="369"/>
      <c r="D885" s="337"/>
      <c r="E885" s="275"/>
      <c r="F885" s="275"/>
      <c r="G885" s="275"/>
      <c r="H885" s="275"/>
      <c r="I885" s="275"/>
      <c r="J885" s="275"/>
      <c r="K885" s="275"/>
      <c r="L885" s="275"/>
      <c r="M885" s="275"/>
      <c r="N885" s="275"/>
      <c r="O885" s="275"/>
      <c r="P885" s="275"/>
      <c r="Q885" s="275"/>
      <c r="R885" s="275"/>
      <c r="S885" s="275"/>
      <c r="T885" s="275"/>
      <c r="U885" s="275"/>
      <c r="V885" s="275"/>
      <c r="W885" s="275"/>
      <c r="X885" s="275"/>
      <c r="Y885" s="275"/>
      <c r="Z885" s="275"/>
    </row>
    <row r="886" spans="1:26" ht="12.75" customHeight="1" x14ac:dyDescent="0.25">
      <c r="A886" s="275"/>
      <c r="B886" s="342"/>
      <c r="C886" s="369"/>
      <c r="D886" s="337"/>
      <c r="E886" s="275"/>
      <c r="F886" s="275"/>
      <c r="G886" s="275"/>
      <c r="H886" s="275"/>
      <c r="I886" s="275"/>
      <c r="J886" s="275"/>
      <c r="K886" s="275"/>
      <c r="L886" s="275"/>
      <c r="M886" s="275"/>
      <c r="N886" s="275"/>
      <c r="O886" s="275"/>
      <c r="P886" s="275"/>
      <c r="Q886" s="275"/>
      <c r="R886" s="275"/>
      <c r="S886" s="275"/>
      <c r="T886" s="275"/>
      <c r="U886" s="275"/>
      <c r="V886" s="275"/>
      <c r="W886" s="275"/>
      <c r="X886" s="275"/>
      <c r="Y886" s="275"/>
      <c r="Z886" s="275"/>
    </row>
    <row r="887" spans="1:26" ht="12.75" customHeight="1" x14ac:dyDescent="0.25">
      <c r="A887" s="275"/>
      <c r="B887" s="342"/>
      <c r="C887" s="369"/>
      <c r="D887" s="337"/>
      <c r="E887" s="275"/>
      <c r="F887" s="275"/>
      <c r="G887" s="275"/>
      <c r="H887" s="275"/>
      <c r="I887" s="275"/>
      <c r="J887" s="275"/>
      <c r="K887" s="275"/>
      <c r="L887" s="275"/>
      <c r="M887" s="275"/>
      <c r="N887" s="275"/>
      <c r="O887" s="275"/>
      <c r="P887" s="275"/>
      <c r="Q887" s="275"/>
      <c r="R887" s="275"/>
      <c r="S887" s="275"/>
      <c r="T887" s="275"/>
      <c r="U887" s="275"/>
      <c r="V887" s="275"/>
      <c r="W887" s="275"/>
      <c r="X887" s="275"/>
      <c r="Y887" s="275"/>
      <c r="Z887" s="275"/>
    </row>
    <row r="888" spans="1:26" ht="12.75" customHeight="1" x14ac:dyDescent="0.25">
      <c r="A888" s="275"/>
      <c r="B888" s="342"/>
      <c r="C888" s="369"/>
      <c r="D888" s="337"/>
      <c r="E888" s="275"/>
      <c r="F888" s="275"/>
      <c r="G888" s="275"/>
      <c r="H888" s="275"/>
      <c r="I888" s="275"/>
      <c r="J888" s="275"/>
      <c r="K888" s="275"/>
      <c r="L888" s="275"/>
      <c r="M888" s="275"/>
      <c r="N888" s="275"/>
      <c r="O888" s="275"/>
      <c r="P888" s="275"/>
      <c r="Q888" s="275"/>
      <c r="R888" s="275"/>
      <c r="S888" s="275"/>
      <c r="T888" s="275"/>
      <c r="U888" s="275"/>
      <c r="V888" s="275"/>
      <c r="W888" s="275"/>
      <c r="X888" s="275"/>
      <c r="Y888" s="275"/>
      <c r="Z888" s="275"/>
    </row>
    <row r="889" spans="1:26" ht="12.75" customHeight="1" x14ac:dyDescent="0.25">
      <c r="A889" s="275"/>
      <c r="B889" s="342"/>
      <c r="C889" s="369"/>
      <c r="D889" s="337"/>
      <c r="E889" s="275"/>
      <c r="F889" s="275"/>
      <c r="G889" s="275"/>
      <c r="H889" s="275"/>
      <c r="I889" s="275"/>
      <c r="J889" s="275"/>
      <c r="K889" s="275"/>
      <c r="L889" s="275"/>
      <c r="M889" s="275"/>
      <c r="N889" s="275"/>
      <c r="O889" s="275"/>
      <c r="P889" s="275"/>
      <c r="Q889" s="275"/>
      <c r="R889" s="275"/>
      <c r="S889" s="275"/>
      <c r="T889" s="275"/>
      <c r="U889" s="275"/>
      <c r="V889" s="275"/>
      <c r="W889" s="275"/>
      <c r="X889" s="275"/>
      <c r="Y889" s="275"/>
      <c r="Z889" s="275"/>
    </row>
    <row r="890" spans="1:26" ht="12.75" customHeight="1" x14ac:dyDescent="0.25">
      <c r="A890" s="275"/>
      <c r="B890" s="342"/>
      <c r="C890" s="369"/>
      <c r="D890" s="337"/>
      <c r="E890" s="275"/>
      <c r="F890" s="275"/>
      <c r="G890" s="275"/>
      <c r="H890" s="275"/>
      <c r="I890" s="275"/>
      <c r="J890" s="275"/>
      <c r="K890" s="275"/>
      <c r="L890" s="275"/>
      <c r="M890" s="275"/>
      <c r="N890" s="275"/>
      <c r="O890" s="275"/>
      <c r="P890" s="275"/>
      <c r="Q890" s="275"/>
      <c r="R890" s="275"/>
      <c r="S890" s="275"/>
      <c r="T890" s="275"/>
      <c r="U890" s="275"/>
      <c r="V890" s="275"/>
      <c r="W890" s="275"/>
      <c r="X890" s="275"/>
      <c r="Y890" s="275"/>
      <c r="Z890" s="275"/>
    </row>
    <row r="891" spans="1:26" ht="12.75" customHeight="1" x14ac:dyDescent="0.25">
      <c r="A891" s="275"/>
      <c r="B891" s="342"/>
      <c r="C891" s="369"/>
      <c r="D891" s="337"/>
      <c r="E891" s="275"/>
      <c r="F891" s="275"/>
      <c r="G891" s="275"/>
      <c r="H891" s="275"/>
      <c r="I891" s="275"/>
      <c r="J891" s="275"/>
      <c r="K891" s="275"/>
      <c r="L891" s="275"/>
      <c r="M891" s="275"/>
      <c r="N891" s="275"/>
      <c r="O891" s="275"/>
      <c r="P891" s="275"/>
      <c r="Q891" s="275"/>
      <c r="R891" s="275"/>
      <c r="S891" s="275"/>
      <c r="T891" s="275"/>
      <c r="U891" s="275"/>
      <c r="V891" s="275"/>
      <c r="W891" s="275"/>
      <c r="X891" s="275"/>
      <c r="Y891" s="275"/>
      <c r="Z891" s="275"/>
    </row>
    <row r="892" spans="1:26" ht="12.75" customHeight="1" x14ac:dyDescent="0.25">
      <c r="A892" s="275"/>
      <c r="B892" s="342"/>
      <c r="C892" s="369"/>
      <c r="D892" s="337"/>
      <c r="E892" s="275"/>
      <c r="F892" s="275"/>
      <c r="G892" s="275"/>
      <c r="H892" s="275"/>
      <c r="I892" s="275"/>
      <c r="J892" s="275"/>
      <c r="K892" s="275"/>
      <c r="L892" s="275"/>
      <c r="M892" s="275"/>
      <c r="N892" s="275"/>
      <c r="O892" s="275"/>
      <c r="P892" s="275"/>
      <c r="Q892" s="275"/>
      <c r="R892" s="275"/>
      <c r="S892" s="275"/>
      <c r="T892" s="275"/>
      <c r="U892" s="275"/>
      <c r="V892" s="275"/>
      <c r="W892" s="275"/>
      <c r="X892" s="275"/>
      <c r="Y892" s="275"/>
      <c r="Z892" s="275"/>
    </row>
    <row r="893" spans="1:26" ht="12.75" customHeight="1" x14ac:dyDescent="0.25">
      <c r="A893" s="275"/>
      <c r="B893" s="342"/>
      <c r="C893" s="369"/>
      <c r="D893" s="337"/>
      <c r="E893" s="275"/>
      <c r="F893" s="275"/>
      <c r="G893" s="275"/>
      <c r="H893" s="275"/>
      <c r="I893" s="275"/>
      <c r="J893" s="275"/>
      <c r="K893" s="275"/>
      <c r="L893" s="275"/>
      <c r="M893" s="275"/>
      <c r="N893" s="275"/>
      <c r="O893" s="275"/>
      <c r="P893" s="275"/>
      <c r="Q893" s="275"/>
      <c r="R893" s="275"/>
      <c r="S893" s="275"/>
      <c r="T893" s="275"/>
      <c r="U893" s="275"/>
      <c r="V893" s="275"/>
      <c r="W893" s="275"/>
      <c r="X893" s="275"/>
      <c r="Y893" s="275"/>
      <c r="Z893" s="275"/>
    </row>
    <row r="894" spans="1:26" ht="12.75" customHeight="1" x14ac:dyDescent="0.25">
      <c r="A894" s="275"/>
      <c r="B894" s="342"/>
      <c r="C894" s="369"/>
      <c r="D894" s="337"/>
      <c r="E894" s="275"/>
      <c r="F894" s="275"/>
      <c r="G894" s="275"/>
      <c r="H894" s="275"/>
      <c r="I894" s="275"/>
      <c r="J894" s="275"/>
      <c r="K894" s="275"/>
      <c r="L894" s="275"/>
      <c r="M894" s="275"/>
      <c r="N894" s="275"/>
      <c r="O894" s="275"/>
      <c r="P894" s="275"/>
      <c r="Q894" s="275"/>
      <c r="R894" s="275"/>
      <c r="S894" s="275"/>
      <c r="T894" s="275"/>
      <c r="U894" s="275"/>
      <c r="V894" s="275"/>
      <c r="W894" s="275"/>
      <c r="X894" s="275"/>
      <c r="Y894" s="275"/>
      <c r="Z894" s="275"/>
    </row>
    <row r="895" spans="1:26" ht="12.75" customHeight="1" x14ac:dyDescent="0.25">
      <c r="A895" s="275"/>
      <c r="B895" s="342"/>
      <c r="C895" s="369"/>
      <c r="D895" s="337"/>
      <c r="E895" s="275"/>
      <c r="F895" s="275"/>
      <c r="G895" s="275"/>
      <c r="H895" s="275"/>
      <c r="I895" s="275"/>
      <c r="J895" s="275"/>
      <c r="K895" s="275"/>
      <c r="L895" s="275"/>
      <c r="M895" s="275"/>
      <c r="N895" s="275"/>
      <c r="O895" s="275"/>
      <c r="P895" s="275"/>
      <c r="Q895" s="275"/>
      <c r="R895" s="275"/>
      <c r="S895" s="275"/>
      <c r="T895" s="275"/>
      <c r="U895" s="275"/>
      <c r="V895" s="275"/>
      <c r="W895" s="275"/>
      <c r="X895" s="275"/>
      <c r="Y895" s="275"/>
      <c r="Z895" s="275"/>
    </row>
    <row r="896" spans="1:26" ht="12.75" customHeight="1" x14ac:dyDescent="0.25">
      <c r="A896" s="275"/>
      <c r="B896" s="342"/>
      <c r="C896" s="369"/>
      <c r="D896" s="337"/>
      <c r="E896" s="275"/>
      <c r="F896" s="275"/>
      <c r="G896" s="275"/>
      <c r="H896" s="275"/>
      <c r="I896" s="275"/>
      <c r="J896" s="275"/>
      <c r="K896" s="275"/>
      <c r="L896" s="275"/>
      <c r="M896" s="275"/>
      <c r="N896" s="275"/>
      <c r="O896" s="275"/>
      <c r="P896" s="275"/>
      <c r="Q896" s="275"/>
      <c r="R896" s="275"/>
      <c r="S896" s="275"/>
      <c r="T896" s="275"/>
      <c r="U896" s="275"/>
      <c r="V896" s="275"/>
      <c r="W896" s="275"/>
      <c r="X896" s="275"/>
      <c r="Y896" s="275"/>
      <c r="Z896" s="275"/>
    </row>
    <row r="897" spans="1:26" ht="12.75" customHeight="1" x14ac:dyDescent="0.25">
      <c r="A897" s="275"/>
      <c r="B897" s="342"/>
      <c r="C897" s="369"/>
      <c r="D897" s="337"/>
      <c r="E897" s="275"/>
      <c r="F897" s="275"/>
      <c r="G897" s="275"/>
      <c r="H897" s="275"/>
      <c r="I897" s="275"/>
      <c r="J897" s="275"/>
      <c r="K897" s="275"/>
      <c r="L897" s="275"/>
      <c r="M897" s="275"/>
      <c r="N897" s="275"/>
      <c r="O897" s="275"/>
      <c r="P897" s="275"/>
      <c r="Q897" s="275"/>
      <c r="R897" s="275"/>
      <c r="S897" s="275"/>
      <c r="T897" s="275"/>
      <c r="U897" s="275"/>
      <c r="V897" s="275"/>
      <c r="W897" s="275"/>
      <c r="X897" s="275"/>
      <c r="Y897" s="275"/>
      <c r="Z897" s="275"/>
    </row>
    <row r="898" spans="1:26" ht="12.75" customHeight="1" x14ac:dyDescent="0.25">
      <c r="A898" s="275"/>
      <c r="B898" s="342"/>
      <c r="C898" s="369"/>
      <c r="D898" s="337"/>
      <c r="E898" s="275"/>
      <c r="F898" s="275"/>
      <c r="G898" s="275"/>
      <c r="H898" s="275"/>
      <c r="I898" s="275"/>
      <c r="J898" s="275"/>
      <c r="K898" s="275"/>
      <c r="L898" s="275"/>
      <c r="M898" s="275"/>
      <c r="N898" s="275"/>
      <c r="O898" s="275"/>
      <c r="P898" s="275"/>
      <c r="Q898" s="275"/>
      <c r="R898" s="275"/>
      <c r="S898" s="275"/>
      <c r="T898" s="275"/>
      <c r="U898" s="275"/>
      <c r="V898" s="275"/>
      <c r="W898" s="275"/>
      <c r="X898" s="275"/>
      <c r="Y898" s="275"/>
      <c r="Z898" s="275"/>
    </row>
    <row r="899" spans="1:26" ht="12.75" customHeight="1" x14ac:dyDescent="0.25">
      <c r="A899" s="275"/>
      <c r="B899" s="342"/>
      <c r="C899" s="369"/>
      <c r="D899" s="337"/>
      <c r="E899" s="275"/>
      <c r="F899" s="275"/>
      <c r="G899" s="275"/>
      <c r="H899" s="275"/>
      <c r="I899" s="275"/>
      <c r="J899" s="275"/>
      <c r="K899" s="275"/>
      <c r="L899" s="275"/>
      <c r="M899" s="275"/>
      <c r="N899" s="275"/>
      <c r="O899" s="275"/>
      <c r="P899" s="275"/>
      <c r="Q899" s="275"/>
      <c r="R899" s="275"/>
      <c r="S899" s="275"/>
      <c r="T899" s="275"/>
      <c r="U899" s="275"/>
      <c r="V899" s="275"/>
      <c r="W899" s="275"/>
      <c r="X899" s="275"/>
      <c r="Y899" s="275"/>
      <c r="Z899" s="275"/>
    </row>
    <row r="900" spans="1:26" ht="12.75" customHeight="1" x14ac:dyDescent="0.25">
      <c r="A900" s="275"/>
      <c r="B900" s="342"/>
      <c r="C900" s="369"/>
      <c r="D900" s="337"/>
      <c r="E900" s="275"/>
      <c r="F900" s="275"/>
      <c r="G900" s="275"/>
      <c r="H900" s="275"/>
      <c r="I900" s="275"/>
      <c r="J900" s="275"/>
      <c r="K900" s="275"/>
      <c r="L900" s="275"/>
      <c r="M900" s="275"/>
      <c r="N900" s="275"/>
      <c r="O900" s="275"/>
      <c r="P900" s="275"/>
      <c r="Q900" s="275"/>
      <c r="R900" s="275"/>
      <c r="S900" s="275"/>
      <c r="T900" s="275"/>
      <c r="U900" s="275"/>
      <c r="V900" s="275"/>
      <c r="W900" s="275"/>
      <c r="X900" s="275"/>
      <c r="Y900" s="275"/>
      <c r="Z900" s="275"/>
    </row>
    <row r="901" spans="1:26" ht="12.75" customHeight="1" x14ac:dyDescent="0.25">
      <c r="A901" s="275"/>
      <c r="B901" s="342"/>
      <c r="C901" s="369"/>
      <c r="D901" s="337"/>
      <c r="E901" s="275"/>
      <c r="F901" s="275"/>
      <c r="G901" s="275"/>
      <c r="H901" s="275"/>
      <c r="I901" s="275"/>
      <c r="J901" s="275"/>
      <c r="K901" s="275"/>
      <c r="L901" s="275"/>
      <c r="M901" s="275"/>
      <c r="N901" s="275"/>
      <c r="O901" s="275"/>
      <c r="P901" s="275"/>
      <c r="Q901" s="275"/>
      <c r="R901" s="275"/>
      <c r="S901" s="275"/>
      <c r="T901" s="275"/>
      <c r="U901" s="275"/>
      <c r="V901" s="275"/>
      <c r="W901" s="275"/>
      <c r="X901" s="275"/>
      <c r="Y901" s="275"/>
      <c r="Z901" s="275"/>
    </row>
    <row r="902" spans="1:26" ht="12.75" customHeight="1" x14ac:dyDescent="0.25">
      <c r="A902" s="275"/>
      <c r="B902" s="342"/>
      <c r="C902" s="369"/>
      <c r="D902" s="337"/>
      <c r="E902" s="275"/>
      <c r="F902" s="275"/>
      <c r="G902" s="275"/>
      <c r="H902" s="275"/>
      <c r="I902" s="275"/>
      <c r="J902" s="275"/>
      <c r="K902" s="275"/>
      <c r="L902" s="275"/>
      <c r="M902" s="275"/>
      <c r="N902" s="275"/>
      <c r="O902" s="275"/>
      <c r="P902" s="275"/>
      <c r="Q902" s="275"/>
      <c r="R902" s="275"/>
      <c r="S902" s="275"/>
      <c r="T902" s="275"/>
      <c r="U902" s="275"/>
      <c r="V902" s="275"/>
      <c r="W902" s="275"/>
      <c r="X902" s="275"/>
      <c r="Y902" s="275"/>
      <c r="Z902" s="275"/>
    </row>
    <row r="903" spans="1:26" ht="12.75" customHeight="1" x14ac:dyDescent="0.25">
      <c r="A903" s="275"/>
      <c r="B903" s="342"/>
      <c r="C903" s="369"/>
      <c r="D903" s="337"/>
      <c r="E903" s="275"/>
      <c r="F903" s="275"/>
      <c r="G903" s="275"/>
      <c r="H903" s="275"/>
      <c r="I903" s="275"/>
      <c r="J903" s="275"/>
      <c r="K903" s="275"/>
      <c r="L903" s="275"/>
      <c r="M903" s="275"/>
      <c r="N903" s="275"/>
      <c r="O903" s="275"/>
      <c r="P903" s="275"/>
      <c r="Q903" s="275"/>
      <c r="R903" s="275"/>
      <c r="S903" s="275"/>
      <c r="T903" s="275"/>
      <c r="U903" s="275"/>
      <c r="V903" s="275"/>
      <c r="W903" s="275"/>
      <c r="X903" s="275"/>
      <c r="Y903" s="275"/>
      <c r="Z903" s="275"/>
    </row>
    <row r="904" spans="1:26" ht="12.75" customHeight="1" x14ac:dyDescent="0.25">
      <c r="A904" s="275"/>
      <c r="B904" s="342"/>
      <c r="C904" s="369"/>
      <c r="D904" s="337"/>
      <c r="E904" s="275"/>
      <c r="F904" s="275"/>
      <c r="G904" s="275"/>
      <c r="H904" s="275"/>
      <c r="I904" s="275"/>
      <c r="J904" s="275"/>
      <c r="K904" s="275"/>
      <c r="L904" s="275"/>
      <c r="M904" s="275"/>
      <c r="N904" s="275"/>
      <c r="O904" s="275"/>
      <c r="P904" s="275"/>
      <c r="Q904" s="275"/>
      <c r="R904" s="275"/>
      <c r="S904" s="275"/>
      <c r="T904" s="275"/>
      <c r="U904" s="275"/>
      <c r="V904" s="275"/>
      <c r="W904" s="275"/>
      <c r="X904" s="275"/>
      <c r="Y904" s="275"/>
      <c r="Z904" s="275"/>
    </row>
    <row r="905" spans="1:26" ht="12.75" customHeight="1" x14ac:dyDescent="0.25">
      <c r="A905" s="275"/>
      <c r="B905" s="342"/>
      <c r="C905" s="369"/>
      <c r="D905" s="337"/>
      <c r="E905" s="275"/>
      <c r="F905" s="275"/>
      <c r="G905" s="275"/>
      <c r="H905" s="275"/>
      <c r="I905" s="275"/>
      <c r="J905" s="275"/>
      <c r="K905" s="275"/>
      <c r="L905" s="275"/>
      <c r="M905" s="275"/>
      <c r="N905" s="275"/>
      <c r="O905" s="275"/>
      <c r="P905" s="275"/>
      <c r="Q905" s="275"/>
      <c r="R905" s="275"/>
      <c r="S905" s="275"/>
      <c r="T905" s="275"/>
      <c r="U905" s="275"/>
      <c r="V905" s="275"/>
      <c r="W905" s="275"/>
      <c r="X905" s="275"/>
      <c r="Y905" s="275"/>
      <c r="Z905" s="275"/>
    </row>
    <row r="906" spans="1:26" ht="12.75" customHeight="1" x14ac:dyDescent="0.25">
      <c r="A906" s="275"/>
      <c r="B906" s="342"/>
      <c r="C906" s="369"/>
      <c r="D906" s="337"/>
      <c r="E906" s="275"/>
      <c r="F906" s="275"/>
      <c r="G906" s="275"/>
      <c r="H906" s="275"/>
      <c r="I906" s="275"/>
      <c r="J906" s="275"/>
      <c r="K906" s="275"/>
      <c r="L906" s="275"/>
      <c r="M906" s="275"/>
      <c r="N906" s="275"/>
      <c r="O906" s="275"/>
      <c r="P906" s="275"/>
      <c r="Q906" s="275"/>
      <c r="R906" s="275"/>
      <c r="S906" s="275"/>
      <c r="T906" s="275"/>
      <c r="U906" s="275"/>
      <c r="V906" s="275"/>
      <c r="W906" s="275"/>
      <c r="X906" s="275"/>
      <c r="Y906" s="275"/>
      <c r="Z906" s="275"/>
    </row>
    <row r="907" spans="1:26" ht="12.75" customHeight="1" x14ac:dyDescent="0.25">
      <c r="A907" s="275"/>
      <c r="B907" s="342"/>
      <c r="C907" s="369"/>
      <c r="D907" s="337"/>
      <c r="E907" s="275"/>
      <c r="F907" s="275"/>
      <c r="G907" s="275"/>
      <c r="H907" s="275"/>
      <c r="I907" s="275"/>
      <c r="J907" s="275"/>
      <c r="K907" s="275"/>
      <c r="L907" s="275"/>
      <c r="M907" s="275"/>
      <c r="N907" s="275"/>
      <c r="O907" s="275"/>
      <c r="P907" s="275"/>
      <c r="Q907" s="275"/>
      <c r="R907" s="275"/>
      <c r="S907" s="275"/>
      <c r="T907" s="275"/>
      <c r="U907" s="275"/>
      <c r="V907" s="275"/>
      <c r="W907" s="275"/>
      <c r="X907" s="275"/>
      <c r="Y907" s="275"/>
      <c r="Z907" s="275"/>
    </row>
    <row r="908" spans="1:26" ht="12.75" customHeight="1" x14ac:dyDescent="0.25">
      <c r="A908" s="275"/>
      <c r="B908" s="342"/>
      <c r="C908" s="369"/>
      <c r="D908" s="337"/>
      <c r="E908" s="275"/>
      <c r="F908" s="275"/>
      <c r="G908" s="275"/>
      <c r="H908" s="275"/>
      <c r="I908" s="275"/>
      <c r="J908" s="275"/>
      <c r="K908" s="275"/>
      <c r="L908" s="275"/>
      <c r="M908" s="275"/>
      <c r="N908" s="275"/>
      <c r="O908" s="275"/>
      <c r="P908" s="275"/>
      <c r="Q908" s="275"/>
      <c r="R908" s="275"/>
      <c r="S908" s="275"/>
      <c r="T908" s="275"/>
      <c r="U908" s="275"/>
      <c r="V908" s="275"/>
      <c r="W908" s="275"/>
      <c r="X908" s="275"/>
      <c r="Y908" s="275"/>
      <c r="Z908" s="275"/>
    </row>
    <row r="909" spans="1:26" ht="12.75" customHeight="1" x14ac:dyDescent="0.25">
      <c r="A909" s="275"/>
      <c r="B909" s="342"/>
      <c r="C909" s="369"/>
      <c r="D909" s="337"/>
      <c r="E909" s="275"/>
      <c r="F909" s="275"/>
      <c r="G909" s="275"/>
      <c r="H909" s="275"/>
      <c r="I909" s="275"/>
      <c r="J909" s="275"/>
      <c r="K909" s="275"/>
      <c r="L909" s="275"/>
      <c r="M909" s="275"/>
      <c r="N909" s="275"/>
      <c r="O909" s="275"/>
      <c r="P909" s="275"/>
      <c r="Q909" s="275"/>
      <c r="R909" s="275"/>
      <c r="S909" s="275"/>
      <c r="T909" s="275"/>
      <c r="U909" s="275"/>
      <c r="V909" s="275"/>
      <c r="W909" s="275"/>
      <c r="X909" s="275"/>
      <c r="Y909" s="275"/>
      <c r="Z909" s="275"/>
    </row>
    <row r="910" spans="1:26" ht="12.75" customHeight="1" x14ac:dyDescent="0.25">
      <c r="A910" s="275"/>
      <c r="B910" s="342"/>
      <c r="C910" s="369"/>
      <c r="D910" s="337"/>
      <c r="E910" s="275"/>
      <c r="F910" s="275"/>
      <c r="G910" s="275"/>
      <c r="H910" s="275"/>
      <c r="I910" s="275"/>
      <c r="J910" s="275"/>
      <c r="K910" s="275"/>
      <c r="L910" s="275"/>
      <c r="M910" s="275"/>
      <c r="N910" s="275"/>
      <c r="O910" s="275"/>
      <c r="P910" s="275"/>
      <c r="Q910" s="275"/>
      <c r="R910" s="275"/>
      <c r="S910" s="275"/>
      <c r="T910" s="275"/>
      <c r="U910" s="275"/>
      <c r="V910" s="275"/>
      <c r="W910" s="275"/>
      <c r="X910" s="275"/>
      <c r="Y910" s="275"/>
      <c r="Z910" s="275"/>
    </row>
    <row r="911" spans="1:26" ht="12.75" customHeight="1" x14ac:dyDescent="0.25">
      <c r="A911" s="275"/>
      <c r="B911" s="342"/>
      <c r="C911" s="369"/>
      <c r="D911" s="337"/>
      <c r="E911" s="275"/>
      <c r="F911" s="275"/>
      <c r="G911" s="275"/>
      <c r="H911" s="275"/>
      <c r="I911" s="275"/>
      <c r="J911" s="275"/>
      <c r="K911" s="275"/>
      <c r="L911" s="275"/>
      <c r="M911" s="275"/>
      <c r="N911" s="275"/>
      <c r="O911" s="275"/>
      <c r="P911" s="275"/>
      <c r="Q911" s="275"/>
      <c r="R911" s="275"/>
      <c r="S911" s="275"/>
      <c r="T911" s="275"/>
      <c r="U911" s="275"/>
      <c r="V911" s="275"/>
      <c r="W911" s="275"/>
      <c r="X911" s="275"/>
      <c r="Y911" s="275"/>
      <c r="Z911" s="275"/>
    </row>
    <row r="912" spans="1:26" ht="12.75" customHeight="1" x14ac:dyDescent="0.25">
      <c r="A912" s="275"/>
      <c r="B912" s="342"/>
      <c r="C912" s="369"/>
      <c r="D912" s="337"/>
      <c r="E912" s="275"/>
      <c r="F912" s="275"/>
      <c r="G912" s="275"/>
      <c r="H912" s="275"/>
      <c r="I912" s="275"/>
      <c r="J912" s="275"/>
      <c r="K912" s="275"/>
      <c r="L912" s="275"/>
      <c r="M912" s="275"/>
      <c r="N912" s="275"/>
      <c r="O912" s="275"/>
      <c r="P912" s="275"/>
      <c r="Q912" s="275"/>
      <c r="R912" s="275"/>
      <c r="S912" s="275"/>
      <c r="T912" s="275"/>
      <c r="U912" s="275"/>
      <c r="V912" s="275"/>
      <c r="W912" s="275"/>
      <c r="X912" s="275"/>
      <c r="Y912" s="275"/>
      <c r="Z912" s="275"/>
    </row>
    <row r="913" spans="1:26" ht="12.75" customHeight="1" x14ac:dyDescent="0.25">
      <c r="A913" s="275"/>
      <c r="B913" s="342"/>
      <c r="C913" s="369"/>
      <c r="D913" s="337"/>
      <c r="E913" s="275"/>
      <c r="F913" s="275"/>
      <c r="G913" s="275"/>
      <c r="H913" s="275"/>
      <c r="I913" s="275"/>
      <c r="J913" s="275"/>
      <c r="K913" s="275"/>
      <c r="L913" s="275"/>
      <c r="M913" s="275"/>
      <c r="N913" s="275"/>
      <c r="O913" s="275"/>
      <c r="P913" s="275"/>
      <c r="Q913" s="275"/>
      <c r="R913" s="275"/>
      <c r="S913" s="275"/>
      <c r="T913" s="275"/>
      <c r="U913" s="275"/>
      <c r="V913" s="275"/>
      <c r="W913" s="275"/>
      <c r="X913" s="275"/>
      <c r="Y913" s="275"/>
      <c r="Z913" s="275"/>
    </row>
    <row r="914" spans="1:26" ht="12.75" customHeight="1" x14ac:dyDescent="0.25">
      <c r="A914" s="275"/>
      <c r="B914" s="342"/>
      <c r="C914" s="369"/>
      <c r="D914" s="337"/>
      <c r="E914" s="275"/>
      <c r="F914" s="275"/>
      <c r="G914" s="275"/>
      <c r="H914" s="275"/>
      <c r="I914" s="275"/>
      <c r="J914" s="275"/>
      <c r="K914" s="275"/>
      <c r="L914" s="275"/>
      <c r="M914" s="275"/>
      <c r="N914" s="275"/>
      <c r="O914" s="275"/>
      <c r="P914" s="275"/>
      <c r="Q914" s="275"/>
      <c r="R914" s="275"/>
      <c r="S914" s="275"/>
      <c r="T914" s="275"/>
      <c r="U914" s="275"/>
      <c r="V914" s="275"/>
      <c r="W914" s="275"/>
      <c r="X914" s="275"/>
      <c r="Y914" s="275"/>
      <c r="Z914" s="275"/>
    </row>
    <row r="915" spans="1:26" ht="12.75" customHeight="1" x14ac:dyDescent="0.25">
      <c r="A915" s="275"/>
      <c r="B915" s="342"/>
      <c r="C915" s="369"/>
      <c r="D915" s="337"/>
      <c r="E915" s="275"/>
      <c r="F915" s="275"/>
      <c r="G915" s="275"/>
      <c r="H915" s="275"/>
      <c r="I915" s="275"/>
      <c r="J915" s="275"/>
      <c r="K915" s="275"/>
      <c r="L915" s="275"/>
      <c r="M915" s="275"/>
      <c r="N915" s="275"/>
      <c r="O915" s="275"/>
      <c r="P915" s="275"/>
      <c r="Q915" s="275"/>
      <c r="R915" s="275"/>
      <c r="S915" s="275"/>
      <c r="T915" s="275"/>
      <c r="U915" s="275"/>
      <c r="V915" s="275"/>
      <c r="W915" s="275"/>
      <c r="X915" s="275"/>
      <c r="Y915" s="275"/>
      <c r="Z915" s="275"/>
    </row>
    <row r="916" spans="1:26" ht="12.75" customHeight="1" x14ac:dyDescent="0.25">
      <c r="A916" s="275"/>
      <c r="B916" s="342"/>
      <c r="C916" s="369"/>
      <c r="D916" s="337"/>
      <c r="E916" s="275"/>
      <c r="F916" s="275"/>
      <c r="G916" s="275"/>
      <c r="H916" s="275"/>
      <c r="I916" s="275"/>
      <c r="J916" s="275"/>
      <c r="K916" s="275"/>
      <c r="L916" s="275"/>
      <c r="M916" s="275"/>
      <c r="N916" s="275"/>
      <c r="O916" s="275"/>
      <c r="P916" s="275"/>
      <c r="Q916" s="275"/>
      <c r="R916" s="275"/>
      <c r="S916" s="275"/>
      <c r="T916" s="275"/>
      <c r="U916" s="275"/>
      <c r="V916" s="275"/>
      <c r="W916" s="275"/>
      <c r="X916" s="275"/>
      <c r="Y916" s="275"/>
      <c r="Z916" s="275"/>
    </row>
    <row r="917" spans="1:26" ht="12.75" customHeight="1" x14ac:dyDescent="0.25">
      <c r="A917" s="275"/>
      <c r="B917" s="342"/>
      <c r="C917" s="369"/>
      <c r="D917" s="337"/>
      <c r="E917" s="275"/>
      <c r="F917" s="275"/>
      <c r="G917" s="275"/>
      <c r="H917" s="275"/>
      <c r="I917" s="275"/>
      <c r="J917" s="275"/>
      <c r="K917" s="275"/>
      <c r="L917" s="275"/>
      <c r="M917" s="275"/>
      <c r="N917" s="275"/>
      <c r="O917" s="275"/>
      <c r="P917" s="275"/>
      <c r="Q917" s="275"/>
      <c r="R917" s="275"/>
      <c r="S917" s="275"/>
      <c r="T917" s="275"/>
      <c r="U917" s="275"/>
      <c r="V917" s="275"/>
      <c r="W917" s="275"/>
      <c r="X917" s="275"/>
      <c r="Y917" s="275"/>
      <c r="Z917" s="275"/>
    </row>
    <row r="918" spans="1:26" ht="12.75" customHeight="1" x14ac:dyDescent="0.25">
      <c r="A918" s="275"/>
      <c r="B918" s="342"/>
      <c r="C918" s="369"/>
      <c r="D918" s="337"/>
      <c r="E918" s="275"/>
      <c r="F918" s="275"/>
      <c r="G918" s="275"/>
      <c r="H918" s="275"/>
      <c r="I918" s="275"/>
      <c r="J918" s="275"/>
      <c r="K918" s="275"/>
      <c r="L918" s="275"/>
      <c r="M918" s="275"/>
      <c r="N918" s="275"/>
      <c r="O918" s="275"/>
      <c r="P918" s="275"/>
      <c r="Q918" s="275"/>
      <c r="R918" s="275"/>
      <c r="S918" s="275"/>
      <c r="T918" s="275"/>
      <c r="U918" s="275"/>
      <c r="V918" s="275"/>
      <c r="W918" s="275"/>
      <c r="X918" s="275"/>
      <c r="Y918" s="275"/>
      <c r="Z918" s="275"/>
    </row>
    <row r="919" spans="1:26" ht="12.75" customHeight="1" x14ac:dyDescent="0.25">
      <c r="A919" s="275"/>
      <c r="B919" s="342"/>
      <c r="C919" s="369"/>
      <c r="D919" s="337"/>
      <c r="E919" s="275"/>
      <c r="F919" s="275"/>
      <c r="G919" s="275"/>
      <c r="H919" s="275"/>
      <c r="I919" s="275"/>
      <c r="J919" s="275"/>
      <c r="K919" s="275"/>
      <c r="L919" s="275"/>
      <c r="M919" s="275"/>
      <c r="N919" s="275"/>
      <c r="O919" s="275"/>
      <c r="P919" s="275"/>
      <c r="Q919" s="275"/>
      <c r="R919" s="275"/>
      <c r="S919" s="275"/>
      <c r="T919" s="275"/>
      <c r="U919" s="275"/>
      <c r="V919" s="275"/>
      <c r="W919" s="275"/>
      <c r="X919" s="275"/>
      <c r="Y919" s="275"/>
      <c r="Z919" s="275"/>
    </row>
    <row r="920" spans="1:26" ht="12.75" customHeight="1" x14ac:dyDescent="0.25">
      <c r="A920" s="275"/>
      <c r="B920" s="342"/>
      <c r="C920" s="369"/>
      <c r="D920" s="337"/>
      <c r="E920" s="275"/>
      <c r="F920" s="275"/>
      <c r="G920" s="275"/>
      <c r="H920" s="275"/>
      <c r="I920" s="275"/>
      <c r="J920" s="275"/>
      <c r="K920" s="275"/>
      <c r="L920" s="275"/>
      <c r="M920" s="275"/>
      <c r="N920" s="275"/>
      <c r="O920" s="275"/>
      <c r="P920" s="275"/>
      <c r="Q920" s="275"/>
      <c r="R920" s="275"/>
      <c r="S920" s="275"/>
      <c r="T920" s="275"/>
      <c r="U920" s="275"/>
      <c r="V920" s="275"/>
      <c r="W920" s="275"/>
      <c r="X920" s="275"/>
      <c r="Y920" s="275"/>
      <c r="Z920" s="275"/>
    </row>
    <row r="921" spans="1:26" ht="12.75" customHeight="1" x14ac:dyDescent="0.25">
      <c r="A921" s="275"/>
      <c r="B921" s="342"/>
      <c r="C921" s="369"/>
      <c r="D921" s="337"/>
      <c r="E921" s="275"/>
      <c r="F921" s="275"/>
      <c r="G921" s="275"/>
      <c r="H921" s="275"/>
      <c r="I921" s="275"/>
      <c r="J921" s="275"/>
      <c r="K921" s="275"/>
      <c r="L921" s="275"/>
      <c r="M921" s="275"/>
      <c r="N921" s="275"/>
      <c r="O921" s="275"/>
      <c r="P921" s="275"/>
      <c r="Q921" s="275"/>
      <c r="R921" s="275"/>
      <c r="S921" s="275"/>
      <c r="T921" s="275"/>
      <c r="U921" s="275"/>
      <c r="V921" s="275"/>
      <c r="W921" s="275"/>
      <c r="X921" s="275"/>
      <c r="Y921" s="275"/>
      <c r="Z921" s="275"/>
    </row>
    <row r="922" spans="1:26" ht="12.75" customHeight="1" x14ac:dyDescent="0.25">
      <c r="A922" s="275"/>
      <c r="B922" s="342"/>
      <c r="C922" s="369"/>
      <c r="D922" s="337"/>
      <c r="E922" s="275"/>
      <c r="F922" s="275"/>
      <c r="G922" s="275"/>
      <c r="H922" s="275"/>
      <c r="I922" s="275"/>
      <c r="J922" s="275"/>
      <c r="K922" s="275"/>
      <c r="L922" s="275"/>
      <c r="M922" s="275"/>
      <c r="N922" s="275"/>
      <c r="O922" s="275"/>
      <c r="P922" s="275"/>
      <c r="Q922" s="275"/>
      <c r="R922" s="275"/>
      <c r="S922" s="275"/>
      <c r="T922" s="275"/>
      <c r="U922" s="275"/>
      <c r="V922" s="275"/>
      <c r="W922" s="275"/>
      <c r="X922" s="275"/>
      <c r="Y922" s="275"/>
      <c r="Z922" s="275"/>
    </row>
    <row r="923" spans="1:26" ht="12.75" customHeight="1" x14ac:dyDescent="0.25">
      <c r="A923" s="275"/>
      <c r="B923" s="342"/>
      <c r="C923" s="369"/>
      <c r="D923" s="337"/>
      <c r="E923" s="275"/>
      <c r="F923" s="275"/>
      <c r="G923" s="275"/>
      <c r="H923" s="275"/>
      <c r="I923" s="275"/>
      <c r="J923" s="275"/>
      <c r="K923" s="275"/>
      <c r="L923" s="275"/>
      <c r="M923" s="275"/>
      <c r="N923" s="275"/>
      <c r="O923" s="275"/>
      <c r="P923" s="275"/>
      <c r="Q923" s="275"/>
      <c r="R923" s="275"/>
      <c r="S923" s="275"/>
      <c r="T923" s="275"/>
      <c r="U923" s="275"/>
      <c r="V923" s="275"/>
      <c r="W923" s="275"/>
      <c r="X923" s="275"/>
      <c r="Y923" s="275"/>
      <c r="Z923" s="275"/>
    </row>
    <row r="924" spans="1:26" ht="12.75" customHeight="1" x14ac:dyDescent="0.25">
      <c r="A924" s="275"/>
      <c r="B924" s="342"/>
      <c r="C924" s="369"/>
      <c r="D924" s="337"/>
      <c r="E924" s="275"/>
      <c r="F924" s="275"/>
      <c r="G924" s="275"/>
      <c r="H924" s="275"/>
      <c r="I924" s="275"/>
      <c r="J924" s="275"/>
      <c r="K924" s="275"/>
      <c r="L924" s="275"/>
      <c r="M924" s="275"/>
      <c r="N924" s="275"/>
      <c r="O924" s="275"/>
      <c r="P924" s="275"/>
      <c r="Q924" s="275"/>
      <c r="R924" s="275"/>
      <c r="S924" s="275"/>
      <c r="T924" s="275"/>
      <c r="U924" s="275"/>
      <c r="V924" s="275"/>
      <c r="W924" s="275"/>
      <c r="X924" s="275"/>
      <c r="Y924" s="275"/>
      <c r="Z924" s="275"/>
    </row>
    <row r="925" spans="1:26" ht="12.75" customHeight="1" x14ac:dyDescent="0.25">
      <c r="A925" s="275"/>
      <c r="B925" s="342"/>
      <c r="C925" s="369"/>
      <c r="D925" s="337"/>
      <c r="E925" s="275"/>
      <c r="F925" s="275"/>
      <c r="G925" s="275"/>
      <c r="H925" s="275"/>
      <c r="I925" s="275"/>
      <c r="J925" s="275"/>
      <c r="K925" s="275"/>
      <c r="L925" s="275"/>
      <c r="M925" s="275"/>
      <c r="N925" s="275"/>
      <c r="O925" s="275"/>
      <c r="P925" s="275"/>
      <c r="Q925" s="275"/>
      <c r="R925" s="275"/>
      <c r="S925" s="275"/>
      <c r="T925" s="275"/>
      <c r="U925" s="275"/>
      <c r="V925" s="275"/>
      <c r="W925" s="275"/>
      <c r="X925" s="275"/>
      <c r="Y925" s="275"/>
      <c r="Z925" s="275"/>
    </row>
    <row r="926" spans="1:26" ht="12.75" customHeight="1" x14ac:dyDescent="0.25">
      <c r="A926" s="275"/>
      <c r="B926" s="342"/>
      <c r="C926" s="369"/>
      <c r="D926" s="337"/>
      <c r="E926" s="275"/>
      <c r="F926" s="275"/>
      <c r="G926" s="275"/>
      <c r="H926" s="275"/>
      <c r="I926" s="275"/>
      <c r="J926" s="275"/>
      <c r="K926" s="275"/>
      <c r="L926" s="275"/>
      <c r="M926" s="275"/>
      <c r="N926" s="275"/>
      <c r="O926" s="275"/>
      <c r="P926" s="275"/>
      <c r="Q926" s="275"/>
      <c r="R926" s="275"/>
      <c r="S926" s="275"/>
      <c r="T926" s="275"/>
      <c r="U926" s="275"/>
      <c r="V926" s="275"/>
      <c r="W926" s="275"/>
      <c r="X926" s="275"/>
      <c r="Y926" s="275"/>
      <c r="Z926" s="275"/>
    </row>
    <row r="927" spans="1:26" ht="12.75" customHeight="1" x14ac:dyDescent="0.25">
      <c r="A927" s="275"/>
      <c r="B927" s="342"/>
      <c r="C927" s="369"/>
      <c r="D927" s="337"/>
      <c r="E927" s="275"/>
      <c r="F927" s="275"/>
      <c r="G927" s="275"/>
      <c r="H927" s="275"/>
      <c r="I927" s="275"/>
      <c r="J927" s="275"/>
      <c r="K927" s="275"/>
      <c r="L927" s="275"/>
      <c r="M927" s="275"/>
      <c r="N927" s="275"/>
      <c r="O927" s="275"/>
      <c r="P927" s="275"/>
      <c r="Q927" s="275"/>
      <c r="R927" s="275"/>
      <c r="S927" s="275"/>
      <c r="T927" s="275"/>
      <c r="U927" s="275"/>
      <c r="V927" s="275"/>
      <c r="W927" s="275"/>
      <c r="X927" s="275"/>
      <c r="Y927" s="275"/>
      <c r="Z927" s="275"/>
    </row>
    <row r="928" spans="1:26" ht="12.75" customHeight="1" x14ac:dyDescent="0.25">
      <c r="A928" s="275"/>
      <c r="B928" s="342"/>
      <c r="C928" s="369"/>
      <c r="D928" s="337"/>
      <c r="E928" s="275"/>
      <c r="F928" s="275"/>
      <c r="G928" s="275"/>
      <c r="H928" s="275"/>
      <c r="I928" s="275"/>
      <c r="J928" s="275"/>
      <c r="K928" s="275"/>
      <c r="L928" s="275"/>
      <c r="M928" s="275"/>
      <c r="N928" s="275"/>
      <c r="O928" s="275"/>
      <c r="P928" s="275"/>
      <c r="Q928" s="275"/>
      <c r="R928" s="275"/>
      <c r="S928" s="275"/>
      <c r="T928" s="275"/>
      <c r="U928" s="275"/>
      <c r="V928" s="275"/>
      <c r="W928" s="275"/>
      <c r="X928" s="275"/>
      <c r="Y928" s="275"/>
      <c r="Z928" s="275"/>
    </row>
    <row r="929" spans="1:26" ht="12.75" customHeight="1" x14ac:dyDescent="0.25">
      <c r="A929" s="275"/>
      <c r="B929" s="342"/>
      <c r="C929" s="369"/>
      <c r="D929" s="337"/>
      <c r="E929" s="275"/>
      <c r="F929" s="275"/>
      <c r="G929" s="275"/>
      <c r="H929" s="275"/>
      <c r="I929" s="275"/>
      <c r="J929" s="275"/>
      <c r="K929" s="275"/>
      <c r="L929" s="275"/>
      <c r="M929" s="275"/>
      <c r="N929" s="275"/>
      <c r="O929" s="275"/>
      <c r="P929" s="275"/>
      <c r="Q929" s="275"/>
      <c r="R929" s="275"/>
      <c r="S929" s="275"/>
      <c r="T929" s="275"/>
      <c r="U929" s="275"/>
      <c r="V929" s="275"/>
      <c r="W929" s="275"/>
      <c r="X929" s="275"/>
      <c r="Y929" s="275"/>
      <c r="Z929" s="275"/>
    </row>
    <row r="930" spans="1:26" ht="12.75" customHeight="1" x14ac:dyDescent="0.25">
      <c r="A930" s="275"/>
      <c r="B930" s="342"/>
      <c r="C930" s="369"/>
      <c r="D930" s="337"/>
      <c r="E930" s="275"/>
      <c r="F930" s="275"/>
      <c r="G930" s="275"/>
      <c r="H930" s="275"/>
      <c r="I930" s="275"/>
      <c r="J930" s="275"/>
      <c r="K930" s="275"/>
      <c r="L930" s="275"/>
      <c r="M930" s="275"/>
      <c r="N930" s="275"/>
      <c r="O930" s="275"/>
      <c r="P930" s="275"/>
      <c r="Q930" s="275"/>
      <c r="R930" s="275"/>
      <c r="S930" s="275"/>
      <c r="T930" s="275"/>
      <c r="U930" s="275"/>
      <c r="V930" s="275"/>
      <c r="W930" s="275"/>
      <c r="X930" s="275"/>
      <c r="Y930" s="275"/>
      <c r="Z930" s="275"/>
    </row>
    <row r="931" spans="1:26" ht="12.75" customHeight="1" x14ac:dyDescent="0.25">
      <c r="A931" s="275"/>
      <c r="B931" s="342"/>
      <c r="C931" s="369"/>
      <c r="D931" s="337"/>
      <c r="E931" s="275"/>
      <c r="F931" s="275"/>
      <c r="G931" s="275"/>
      <c r="H931" s="275"/>
      <c r="I931" s="275"/>
      <c r="J931" s="275"/>
      <c r="K931" s="275"/>
      <c r="L931" s="275"/>
      <c r="M931" s="275"/>
      <c r="N931" s="275"/>
      <c r="O931" s="275"/>
      <c r="P931" s="275"/>
      <c r="Q931" s="275"/>
      <c r="R931" s="275"/>
      <c r="S931" s="275"/>
      <c r="T931" s="275"/>
      <c r="U931" s="275"/>
      <c r="V931" s="275"/>
      <c r="W931" s="275"/>
      <c r="X931" s="275"/>
      <c r="Y931" s="275"/>
      <c r="Z931" s="275"/>
    </row>
    <row r="932" spans="1:26" ht="12.75" customHeight="1" x14ac:dyDescent="0.25">
      <c r="A932" s="275"/>
      <c r="B932" s="342"/>
      <c r="C932" s="369"/>
      <c r="D932" s="337"/>
      <c r="E932" s="275"/>
      <c r="F932" s="275"/>
      <c r="G932" s="275"/>
      <c r="H932" s="275"/>
      <c r="I932" s="275"/>
      <c r="J932" s="275"/>
      <c r="K932" s="275"/>
      <c r="L932" s="275"/>
      <c r="M932" s="275"/>
      <c r="N932" s="275"/>
      <c r="O932" s="275"/>
      <c r="P932" s="275"/>
      <c r="Q932" s="275"/>
      <c r="R932" s="275"/>
      <c r="S932" s="275"/>
      <c r="T932" s="275"/>
      <c r="U932" s="275"/>
      <c r="V932" s="275"/>
      <c r="W932" s="275"/>
      <c r="X932" s="275"/>
      <c r="Y932" s="275"/>
      <c r="Z932" s="275"/>
    </row>
    <row r="933" spans="1:26" ht="12.75" customHeight="1" x14ac:dyDescent="0.25">
      <c r="A933" s="275"/>
      <c r="B933" s="342"/>
      <c r="C933" s="369"/>
      <c r="D933" s="337"/>
      <c r="E933" s="275"/>
      <c r="F933" s="275"/>
      <c r="G933" s="275"/>
      <c r="H933" s="275"/>
      <c r="I933" s="275"/>
      <c r="J933" s="275"/>
      <c r="K933" s="275"/>
      <c r="L933" s="275"/>
      <c r="M933" s="275"/>
      <c r="N933" s="275"/>
      <c r="O933" s="275"/>
      <c r="P933" s="275"/>
      <c r="Q933" s="275"/>
      <c r="R933" s="275"/>
      <c r="S933" s="275"/>
      <c r="T933" s="275"/>
      <c r="U933" s="275"/>
      <c r="V933" s="275"/>
      <c r="W933" s="275"/>
      <c r="X933" s="275"/>
      <c r="Y933" s="275"/>
      <c r="Z933" s="275"/>
    </row>
    <row r="934" spans="1:26" ht="12.75" customHeight="1" x14ac:dyDescent="0.25">
      <c r="A934" s="275"/>
      <c r="B934" s="342"/>
      <c r="C934" s="369"/>
      <c r="D934" s="337"/>
      <c r="E934" s="275"/>
      <c r="F934" s="275"/>
      <c r="G934" s="275"/>
      <c r="H934" s="275"/>
      <c r="I934" s="275"/>
      <c r="J934" s="275"/>
      <c r="K934" s="275"/>
      <c r="L934" s="275"/>
      <c r="M934" s="275"/>
      <c r="N934" s="275"/>
      <c r="O934" s="275"/>
      <c r="P934" s="275"/>
      <c r="Q934" s="275"/>
      <c r="R934" s="275"/>
      <c r="S934" s="275"/>
      <c r="T934" s="275"/>
      <c r="U934" s="275"/>
      <c r="V934" s="275"/>
      <c r="W934" s="275"/>
      <c r="X934" s="275"/>
      <c r="Y934" s="275"/>
      <c r="Z934" s="275"/>
    </row>
    <row r="935" spans="1:26" ht="12.75" customHeight="1" x14ac:dyDescent="0.25">
      <c r="A935" s="275"/>
      <c r="B935" s="342"/>
      <c r="C935" s="369"/>
      <c r="D935" s="337"/>
      <c r="E935" s="275"/>
      <c r="F935" s="275"/>
      <c r="G935" s="275"/>
      <c r="H935" s="275"/>
      <c r="I935" s="275"/>
      <c r="J935" s="275"/>
      <c r="K935" s="275"/>
      <c r="L935" s="275"/>
      <c r="M935" s="275"/>
      <c r="N935" s="275"/>
      <c r="O935" s="275"/>
      <c r="P935" s="275"/>
      <c r="Q935" s="275"/>
      <c r="R935" s="275"/>
      <c r="S935" s="275"/>
      <c r="T935" s="275"/>
      <c r="U935" s="275"/>
      <c r="V935" s="275"/>
      <c r="W935" s="275"/>
      <c r="X935" s="275"/>
      <c r="Y935" s="275"/>
      <c r="Z935" s="275"/>
    </row>
    <row r="936" spans="1:26" ht="12.75" customHeight="1" x14ac:dyDescent="0.25">
      <c r="A936" s="275"/>
      <c r="B936" s="342"/>
      <c r="C936" s="369"/>
      <c r="D936" s="337"/>
      <c r="E936" s="275"/>
      <c r="F936" s="275"/>
      <c r="G936" s="275"/>
      <c r="H936" s="275"/>
      <c r="I936" s="275"/>
      <c r="J936" s="275"/>
      <c r="K936" s="275"/>
      <c r="L936" s="275"/>
      <c r="M936" s="275"/>
      <c r="N936" s="275"/>
      <c r="O936" s="275"/>
      <c r="P936" s="275"/>
      <c r="Q936" s="275"/>
      <c r="R936" s="275"/>
      <c r="S936" s="275"/>
      <c r="T936" s="275"/>
      <c r="U936" s="275"/>
      <c r="V936" s="275"/>
      <c r="W936" s="275"/>
      <c r="X936" s="275"/>
      <c r="Y936" s="275"/>
      <c r="Z936" s="275"/>
    </row>
    <row r="937" spans="1:26" ht="12.75" customHeight="1" x14ac:dyDescent="0.25">
      <c r="A937" s="275"/>
      <c r="B937" s="342"/>
      <c r="C937" s="369"/>
      <c r="D937" s="337"/>
      <c r="E937" s="275"/>
      <c r="F937" s="275"/>
      <c r="G937" s="275"/>
      <c r="H937" s="275"/>
      <c r="I937" s="275"/>
      <c r="J937" s="275"/>
      <c r="K937" s="275"/>
      <c r="L937" s="275"/>
      <c r="M937" s="275"/>
      <c r="N937" s="275"/>
      <c r="O937" s="275"/>
      <c r="P937" s="275"/>
      <c r="Q937" s="275"/>
      <c r="R937" s="275"/>
      <c r="S937" s="275"/>
      <c r="T937" s="275"/>
      <c r="U937" s="275"/>
      <c r="V937" s="275"/>
      <c r="W937" s="275"/>
      <c r="X937" s="275"/>
      <c r="Y937" s="275"/>
      <c r="Z937" s="275"/>
    </row>
    <row r="938" spans="1:26" ht="12.75" customHeight="1" x14ac:dyDescent="0.25">
      <c r="A938" s="275"/>
      <c r="B938" s="342"/>
      <c r="C938" s="369"/>
      <c r="D938" s="337"/>
      <c r="E938" s="275"/>
      <c r="F938" s="275"/>
      <c r="G938" s="275"/>
      <c r="H938" s="275"/>
      <c r="I938" s="275"/>
      <c r="J938" s="275"/>
      <c r="K938" s="275"/>
      <c r="L938" s="275"/>
      <c r="M938" s="275"/>
      <c r="N938" s="275"/>
      <c r="O938" s="275"/>
      <c r="P938" s="275"/>
      <c r="Q938" s="275"/>
      <c r="R938" s="275"/>
      <c r="S938" s="275"/>
      <c r="T938" s="275"/>
      <c r="U938" s="275"/>
      <c r="V938" s="275"/>
      <c r="W938" s="275"/>
      <c r="X938" s="275"/>
      <c r="Y938" s="275"/>
      <c r="Z938" s="275"/>
    </row>
    <row r="939" spans="1:26" ht="12.75" customHeight="1" x14ac:dyDescent="0.25">
      <c r="A939" s="275"/>
      <c r="B939" s="342"/>
      <c r="C939" s="369"/>
      <c r="D939" s="337"/>
      <c r="E939" s="275"/>
      <c r="F939" s="275"/>
      <c r="G939" s="275"/>
      <c r="H939" s="275"/>
      <c r="I939" s="275"/>
      <c r="J939" s="275"/>
      <c r="K939" s="275"/>
      <c r="L939" s="275"/>
      <c r="M939" s="275"/>
      <c r="N939" s="275"/>
      <c r="O939" s="275"/>
      <c r="P939" s="275"/>
      <c r="Q939" s="275"/>
      <c r="R939" s="275"/>
      <c r="S939" s="275"/>
      <c r="T939" s="275"/>
      <c r="U939" s="275"/>
      <c r="V939" s="275"/>
      <c r="W939" s="275"/>
      <c r="X939" s="275"/>
      <c r="Y939" s="275"/>
      <c r="Z939" s="275"/>
    </row>
    <row r="940" spans="1:26" ht="12.75" customHeight="1" x14ac:dyDescent="0.25">
      <c r="A940" s="275"/>
      <c r="B940" s="342"/>
      <c r="C940" s="369"/>
      <c r="D940" s="337"/>
      <c r="E940" s="275"/>
      <c r="F940" s="275"/>
      <c r="G940" s="275"/>
      <c r="H940" s="275"/>
      <c r="I940" s="275"/>
      <c r="J940" s="275"/>
      <c r="K940" s="275"/>
      <c r="L940" s="275"/>
      <c r="M940" s="275"/>
      <c r="N940" s="275"/>
      <c r="O940" s="275"/>
      <c r="P940" s="275"/>
      <c r="Q940" s="275"/>
      <c r="R940" s="275"/>
      <c r="S940" s="275"/>
      <c r="T940" s="275"/>
      <c r="U940" s="275"/>
      <c r="V940" s="275"/>
      <c r="W940" s="275"/>
      <c r="X940" s="275"/>
      <c r="Y940" s="275"/>
      <c r="Z940" s="275"/>
    </row>
    <row r="941" spans="1:26" ht="12.75" customHeight="1" x14ac:dyDescent="0.25">
      <c r="A941" s="275"/>
      <c r="B941" s="342"/>
      <c r="C941" s="369"/>
      <c r="D941" s="337"/>
      <c r="E941" s="275"/>
      <c r="F941" s="275"/>
      <c r="G941" s="275"/>
      <c r="H941" s="275"/>
      <c r="I941" s="275"/>
      <c r="J941" s="275"/>
      <c r="K941" s="275"/>
      <c r="L941" s="275"/>
      <c r="M941" s="275"/>
      <c r="N941" s="275"/>
      <c r="O941" s="275"/>
      <c r="P941" s="275"/>
      <c r="Q941" s="275"/>
      <c r="R941" s="275"/>
      <c r="S941" s="275"/>
      <c r="T941" s="275"/>
      <c r="U941" s="275"/>
      <c r="V941" s="275"/>
      <c r="W941" s="275"/>
      <c r="X941" s="275"/>
      <c r="Y941" s="275"/>
      <c r="Z941" s="275"/>
    </row>
    <row r="942" spans="1:26" ht="12.75" customHeight="1" x14ac:dyDescent="0.25">
      <c r="A942" s="275"/>
      <c r="B942" s="342"/>
      <c r="C942" s="369"/>
      <c r="D942" s="337"/>
      <c r="E942" s="275"/>
      <c r="F942" s="275"/>
      <c r="G942" s="275"/>
      <c r="H942" s="275"/>
      <c r="I942" s="275"/>
      <c r="J942" s="275"/>
      <c r="K942" s="275"/>
      <c r="L942" s="275"/>
      <c r="M942" s="275"/>
      <c r="N942" s="275"/>
      <c r="O942" s="275"/>
      <c r="P942" s="275"/>
      <c r="Q942" s="275"/>
      <c r="R942" s="275"/>
      <c r="S942" s="275"/>
      <c r="T942" s="275"/>
      <c r="U942" s="275"/>
      <c r="V942" s="275"/>
      <c r="W942" s="275"/>
      <c r="X942" s="275"/>
      <c r="Y942" s="275"/>
      <c r="Z942" s="275"/>
    </row>
    <row r="943" spans="1:26" ht="12.75" customHeight="1" x14ac:dyDescent="0.25">
      <c r="A943" s="275"/>
      <c r="B943" s="342"/>
      <c r="C943" s="369"/>
      <c r="D943" s="337"/>
      <c r="E943" s="275"/>
      <c r="F943" s="275"/>
      <c r="G943" s="275"/>
      <c r="H943" s="275"/>
      <c r="I943" s="275"/>
      <c r="J943" s="275"/>
      <c r="K943" s="275"/>
      <c r="L943" s="275"/>
      <c r="M943" s="275"/>
      <c r="N943" s="275"/>
      <c r="O943" s="275"/>
      <c r="P943" s="275"/>
      <c r="Q943" s="275"/>
      <c r="R943" s="275"/>
      <c r="S943" s="275"/>
      <c r="T943" s="275"/>
      <c r="U943" s="275"/>
      <c r="V943" s="275"/>
      <c r="W943" s="275"/>
      <c r="X943" s="275"/>
      <c r="Y943" s="275"/>
      <c r="Z943" s="275"/>
    </row>
    <row r="944" spans="1:26" ht="12.75" customHeight="1" x14ac:dyDescent="0.25">
      <c r="A944" s="275"/>
      <c r="B944" s="342"/>
      <c r="C944" s="369"/>
      <c r="D944" s="337"/>
      <c r="E944" s="275"/>
      <c r="F944" s="275"/>
      <c r="G944" s="275"/>
      <c r="H944" s="275"/>
      <c r="I944" s="275"/>
      <c r="J944" s="275"/>
      <c r="K944" s="275"/>
      <c r="L944" s="275"/>
      <c r="M944" s="275"/>
      <c r="N944" s="275"/>
      <c r="O944" s="275"/>
      <c r="P944" s="275"/>
      <c r="Q944" s="275"/>
      <c r="R944" s="275"/>
      <c r="S944" s="275"/>
      <c r="T944" s="275"/>
      <c r="U944" s="275"/>
      <c r="V944" s="275"/>
      <c r="W944" s="275"/>
      <c r="X944" s="275"/>
      <c r="Y944" s="275"/>
      <c r="Z944" s="275"/>
    </row>
    <row r="945" spans="1:26" ht="12.75" customHeight="1" x14ac:dyDescent="0.25">
      <c r="A945" s="275"/>
      <c r="B945" s="342"/>
      <c r="C945" s="369"/>
      <c r="D945" s="337"/>
      <c r="E945" s="275"/>
      <c r="F945" s="275"/>
      <c r="G945" s="275"/>
      <c r="H945" s="275"/>
      <c r="I945" s="275"/>
      <c r="J945" s="275"/>
      <c r="K945" s="275"/>
      <c r="L945" s="275"/>
      <c r="M945" s="275"/>
      <c r="N945" s="275"/>
      <c r="O945" s="275"/>
      <c r="P945" s="275"/>
      <c r="Q945" s="275"/>
      <c r="R945" s="275"/>
      <c r="S945" s="275"/>
      <c r="T945" s="275"/>
      <c r="U945" s="275"/>
      <c r="V945" s="275"/>
      <c r="W945" s="275"/>
      <c r="X945" s="275"/>
      <c r="Y945" s="275"/>
      <c r="Z945" s="275"/>
    </row>
    <row r="946" spans="1:26" ht="12.75" customHeight="1" x14ac:dyDescent="0.25">
      <c r="A946" s="275"/>
      <c r="B946" s="342"/>
      <c r="C946" s="369"/>
      <c r="D946" s="337"/>
      <c r="E946" s="275"/>
      <c r="F946" s="275"/>
      <c r="G946" s="275"/>
      <c r="H946" s="275"/>
      <c r="I946" s="275"/>
      <c r="J946" s="275"/>
      <c r="K946" s="275"/>
      <c r="L946" s="275"/>
      <c r="M946" s="275"/>
      <c r="N946" s="275"/>
      <c r="O946" s="275"/>
      <c r="P946" s="275"/>
      <c r="Q946" s="275"/>
      <c r="R946" s="275"/>
      <c r="S946" s="275"/>
      <c r="T946" s="275"/>
      <c r="U946" s="275"/>
      <c r="V946" s="275"/>
      <c r="W946" s="275"/>
      <c r="X946" s="275"/>
      <c r="Y946" s="275"/>
      <c r="Z946" s="275"/>
    </row>
    <row r="947" spans="1:26" ht="12.75" customHeight="1" x14ac:dyDescent="0.25">
      <c r="A947" s="275"/>
      <c r="B947" s="342"/>
      <c r="C947" s="369"/>
      <c r="D947" s="337"/>
      <c r="E947" s="275"/>
      <c r="F947" s="275"/>
      <c r="G947" s="275"/>
      <c r="H947" s="275"/>
      <c r="I947" s="275"/>
      <c r="J947" s="275"/>
      <c r="K947" s="275"/>
      <c r="L947" s="275"/>
      <c r="M947" s="275"/>
      <c r="N947" s="275"/>
      <c r="O947" s="275"/>
      <c r="P947" s="275"/>
      <c r="Q947" s="275"/>
      <c r="R947" s="275"/>
      <c r="S947" s="275"/>
      <c r="T947" s="275"/>
      <c r="U947" s="275"/>
      <c r="V947" s="275"/>
      <c r="W947" s="275"/>
      <c r="X947" s="275"/>
      <c r="Y947" s="275"/>
      <c r="Z947" s="275"/>
    </row>
    <row r="948" spans="1:26" ht="12.75" customHeight="1" x14ac:dyDescent="0.25">
      <c r="A948" s="275"/>
      <c r="B948" s="342"/>
      <c r="C948" s="369"/>
      <c r="D948" s="337"/>
      <c r="E948" s="275"/>
      <c r="F948" s="275"/>
      <c r="G948" s="275"/>
      <c r="H948" s="275"/>
      <c r="I948" s="275"/>
      <c r="J948" s="275"/>
      <c r="K948" s="275"/>
      <c r="L948" s="275"/>
      <c r="M948" s="275"/>
      <c r="N948" s="275"/>
      <c r="O948" s="275"/>
      <c r="P948" s="275"/>
      <c r="Q948" s="275"/>
      <c r="R948" s="275"/>
      <c r="S948" s="275"/>
      <c r="T948" s="275"/>
      <c r="U948" s="275"/>
      <c r="V948" s="275"/>
      <c r="W948" s="275"/>
      <c r="X948" s="275"/>
      <c r="Y948" s="275"/>
      <c r="Z948" s="275"/>
    </row>
    <row r="949" spans="1:26" ht="12.75" customHeight="1" x14ac:dyDescent="0.25">
      <c r="A949" s="275"/>
      <c r="B949" s="342"/>
      <c r="C949" s="369"/>
      <c r="D949" s="337"/>
      <c r="E949" s="275"/>
      <c r="F949" s="275"/>
      <c r="G949" s="275"/>
      <c r="H949" s="275"/>
      <c r="I949" s="275"/>
      <c r="J949" s="275"/>
      <c r="K949" s="275"/>
      <c r="L949" s="275"/>
      <c r="M949" s="275"/>
      <c r="N949" s="275"/>
      <c r="O949" s="275"/>
      <c r="P949" s="275"/>
      <c r="Q949" s="275"/>
      <c r="R949" s="275"/>
      <c r="S949" s="275"/>
      <c r="T949" s="275"/>
      <c r="U949" s="275"/>
      <c r="V949" s="275"/>
      <c r="W949" s="275"/>
      <c r="X949" s="275"/>
      <c r="Y949" s="275"/>
      <c r="Z949" s="275"/>
    </row>
    <row r="950" spans="1:26" ht="12.75" customHeight="1" x14ac:dyDescent="0.25">
      <c r="A950" s="275"/>
      <c r="B950" s="342"/>
      <c r="C950" s="369"/>
      <c r="D950" s="337"/>
      <c r="E950" s="275"/>
      <c r="F950" s="275"/>
      <c r="G950" s="275"/>
      <c r="H950" s="275"/>
      <c r="I950" s="275"/>
      <c r="J950" s="275"/>
      <c r="K950" s="275"/>
      <c r="L950" s="275"/>
      <c r="M950" s="275"/>
      <c r="N950" s="275"/>
      <c r="O950" s="275"/>
      <c r="P950" s="275"/>
      <c r="Q950" s="275"/>
      <c r="R950" s="275"/>
      <c r="S950" s="275"/>
      <c r="T950" s="275"/>
      <c r="U950" s="275"/>
      <c r="V950" s="275"/>
      <c r="W950" s="275"/>
      <c r="X950" s="275"/>
      <c r="Y950" s="275"/>
      <c r="Z950" s="275"/>
    </row>
    <row r="951" spans="1:26" ht="12.75" customHeight="1" x14ac:dyDescent="0.25">
      <c r="A951" s="275"/>
      <c r="B951" s="342"/>
      <c r="C951" s="369"/>
      <c r="D951" s="337"/>
      <c r="E951" s="275"/>
      <c r="F951" s="275"/>
      <c r="G951" s="275"/>
      <c r="H951" s="275"/>
      <c r="I951" s="275"/>
      <c r="J951" s="275"/>
      <c r="K951" s="275"/>
      <c r="L951" s="275"/>
      <c r="M951" s="275"/>
      <c r="N951" s="275"/>
      <c r="O951" s="275"/>
      <c r="P951" s="275"/>
      <c r="Q951" s="275"/>
      <c r="R951" s="275"/>
      <c r="S951" s="275"/>
      <c r="T951" s="275"/>
      <c r="U951" s="275"/>
      <c r="V951" s="275"/>
      <c r="W951" s="275"/>
      <c r="X951" s="275"/>
      <c r="Y951" s="275"/>
      <c r="Z951" s="275"/>
    </row>
    <row r="952" spans="1:26" ht="12.75" customHeight="1" x14ac:dyDescent="0.25">
      <c r="A952" s="275"/>
      <c r="B952" s="342"/>
      <c r="C952" s="369"/>
      <c r="D952" s="337"/>
      <c r="E952" s="275"/>
      <c r="F952" s="275"/>
      <c r="G952" s="275"/>
      <c r="H952" s="275"/>
      <c r="I952" s="275"/>
      <c r="J952" s="275"/>
      <c r="K952" s="275"/>
      <c r="L952" s="275"/>
      <c r="M952" s="275"/>
      <c r="N952" s="275"/>
      <c r="O952" s="275"/>
      <c r="P952" s="275"/>
      <c r="Q952" s="275"/>
      <c r="R952" s="275"/>
      <c r="S952" s="275"/>
      <c r="T952" s="275"/>
      <c r="U952" s="275"/>
      <c r="V952" s="275"/>
      <c r="W952" s="275"/>
      <c r="X952" s="275"/>
      <c r="Y952" s="275"/>
      <c r="Z952" s="275"/>
    </row>
    <row r="953" spans="1:26" ht="12.75" customHeight="1" x14ac:dyDescent="0.25">
      <c r="A953" s="275"/>
      <c r="B953" s="342"/>
      <c r="C953" s="369"/>
      <c r="D953" s="337"/>
      <c r="E953" s="275"/>
      <c r="F953" s="275"/>
      <c r="G953" s="275"/>
      <c r="H953" s="275"/>
      <c r="I953" s="275"/>
      <c r="J953" s="275"/>
      <c r="K953" s="275"/>
      <c r="L953" s="275"/>
      <c r="M953" s="275"/>
      <c r="N953" s="275"/>
      <c r="O953" s="275"/>
      <c r="P953" s="275"/>
      <c r="Q953" s="275"/>
      <c r="R953" s="275"/>
      <c r="S953" s="275"/>
      <c r="T953" s="275"/>
      <c r="U953" s="275"/>
      <c r="V953" s="275"/>
      <c r="W953" s="275"/>
      <c r="X953" s="275"/>
      <c r="Y953" s="275"/>
      <c r="Z953" s="275"/>
    </row>
    <row r="954" spans="1:26" ht="12.75" customHeight="1" x14ac:dyDescent="0.25">
      <c r="A954" s="275"/>
      <c r="B954" s="342"/>
      <c r="C954" s="369"/>
      <c r="D954" s="337"/>
      <c r="E954" s="275"/>
      <c r="F954" s="275"/>
      <c r="G954" s="275"/>
      <c r="H954" s="275"/>
      <c r="I954" s="275"/>
      <c r="J954" s="275"/>
      <c r="K954" s="275"/>
      <c r="L954" s="275"/>
      <c r="M954" s="275"/>
      <c r="N954" s="275"/>
      <c r="O954" s="275"/>
      <c r="P954" s="275"/>
      <c r="Q954" s="275"/>
      <c r="R954" s="275"/>
      <c r="S954" s="275"/>
      <c r="T954" s="275"/>
      <c r="U954" s="275"/>
      <c r="V954" s="275"/>
      <c r="W954" s="275"/>
      <c r="X954" s="275"/>
      <c r="Y954" s="275"/>
      <c r="Z954" s="275"/>
    </row>
    <row r="955" spans="1:26" ht="12.75" customHeight="1" x14ac:dyDescent="0.25">
      <c r="A955" s="275"/>
      <c r="B955" s="342"/>
      <c r="C955" s="369"/>
      <c r="D955" s="337"/>
      <c r="E955" s="275"/>
      <c r="F955" s="275"/>
      <c r="G955" s="275"/>
      <c r="H955" s="275"/>
      <c r="I955" s="275"/>
      <c r="J955" s="275"/>
      <c r="K955" s="275"/>
      <c r="L955" s="275"/>
      <c r="M955" s="275"/>
      <c r="N955" s="275"/>
      <c r="O955" s="275"/>
      <c r="P955" s="275"/>
      <c r="Q955" s="275"/>
      <c r="R955" s="275"/>
      <c r="S955" s="275"/>
      <c r="T955" s="275"/>
      <c r="U955" s="275"/>
      <c r="V955" s="275"/>
      <c r="W955" s="275"/>
      <c r="X955" s="275"/>
      <c r="Y955" s="275"/>
      <c r="Z955" s="275"/>
    </row>
    <row r="956" spans="1:26" ht="12.75" customHeight="1" x14ac:dyDescent="0.25">
      <c r="A956" s="275"/>
      <c r="B956" s="342"/>
      <c r="C956" s="369"/>
      <c r="D956" s="337"/>
      <c r="E956" s="275"/>
      <c r="F956" s="275"/>
      <c r="G956" s="275"/>
      <c r="H956" s="275"/>
      <c r="I956" s="275"/>
      <c r="J956" s="275"/>
      <c r="K956" s="275"/>
      <c r="L956" s="275"/>
      <c r="M956" s="275"/>
      <c r="N956" s="275"/>
      <c r="O956" s="275"/>
      <c r="P956" s="275"/>
      <c r="Q956" s="275"/>
      <c r="R956" s="275"/>
      <c r="S956" s="275"/>
      <c r="T956" s="275"/>
      <c r="U956" s="275"/>
      <c r="V956" s="275"/>
      <c r="W956" s="275"/>
      <c r="X956" s="275"/>
      <c r="Y956" s="275"/>
      <c r="Z956" s="275"/>
    </row>
    <row r="957" spans="1:26" ht="12.75" customHeight="1" x14ac:dyDescent="0.25">
      <c r="A957" s="275"/>
      <c r="B957" s="342"/>
      <c r="C957" s="369"/>
      <c r="D957" s="337"/>
      <c r="E957" s="275"/>
      <c r="F957" s="275"/>
      <c r="G957" s="275"/>
      <c r="H957" s="275"/>
      <c r="I957" s="275"/>
      <c r="J957" s="275"/>
      <c r="K957" s="275"/>
      <c r="L957" s="275"/>
      <c r="M957" s="275"/>
      <c r="N957" s="275"/>
      <c r="O957" s="275"/>
      <c r="P957" s="275"/>
      <c r="Q957" s="275"/>
      <c r="R957" s="275"/>
      <c r="S957" s="275"/>
      <c r="T957" s="275"/>
      <c r="U957" s="275"/>
      <c r="V957" s="275"/>
      <c r="W957" s="275"/>
      <c r="X957" s="275"/>
      <c r="Y957" s="275"/>
      <c r="Z957" s="275"/>
    </row>
    <row r="958" spans="1:26" ht="12.75" customHeight="1" x14ac:dyDescent="0.25">
      <c r="A958" s="275"/>
      <c r="B958" s="342"/>
      <c r="C958" s="369"/>
      <c r="D958" s="337"/>
      <c r="E958" s="275"/>
      <c r="F958" s="275"/>
      <c r="G958" s="275"/>
      <c r="H958" s="275"/>
      <c r="I958" s="275"/>
      <c r="J958" s="275"/>
      <c r="K958" s="275"/>
      <c r="L958" s="275"/>
      <c r="M958" s="275"/>
      <c r="N958" s="275"/>
      <c r="O958" s="275"/>
      <c r="P958" s="275"/>
      <c r="Q958" s="275"/>
      <c r="R958" s="275"/>
      <c r="S958" s="275"/>
      <c r="T958" s="275"/>
      <c r="U958" s="275"/>
      <c r="V958" s="275"/>
      <c r="W958" s="275"/>
      <c r="X958" s="275"/>
      <c r="Y958" s="275"/>
      <c r="Z958" s="275"/>
    </row>
    <row r="959" spans="1:26" ht="12.75" customHeight="1" x14ac:dyDescent="0.25">
      <c r="A959" s="275"/>
      <c r="B959" s="342"/>
      <c r="C959" s="369"/>
      <c r="D959" s="337"/>
      <c r="E959" s="275"/>
      <c r="F959" s="275"/>
      <c r="G959" s="275"/>
      <c r="H959" s="275"/>
      <c r="I959" s="275"/>
      <c r="J959" s="275"/>
      <c r="K959" s="275"/>
      <c r="L959" s="275"/>
      <c r="M959" s="275"/>
      <c r="N959" s="275"/>
      <c r="O959" s="275"/>
      <c r="P959" s="275"/>
      <c r="Q959" s="275"/>
      <c r="R959" s="275"/>
      <c r="S959" s="275"/>
      <c r="T959" s="275"/>
      <c r="U959" s="275"/>
      <c r="V959" s="275"/>
      <c r="W959" s="275"/>
      <c r="X959" s="275"/>
      <c r="Y959" s="275"/>
      <c r="Z959" s="275"/>
    </row>
    <row r="960" spans="1:26" ht="12.75" customHeight="1" x14ac:dyDescent="0.25">
      <c r="A960" s="275"/>
      <c r="B960" s="342"/>
      <c r="C960" s="369"/>
      <c r="D960" s="337"/>
      <c r="E960" s="275"/>
      <c r="F960" s="275"/>
      <c r="G960" s="275"/>
      <c r="H960" s="275"/>
      <c r="I960" s="275"/>
      <c r="J960" s="275"/>
      <c r="K960" s="275"/>
      <c r="L960" s="275"/>
      <c r="M960" s="275"/>
      <c r="N960" s="275"/>
      <c r="O960" s="275"/>
      <c r="P960" s="275"/>
      <c r="Q960" s="275"/>
      <c r="R960" s="275"/>
      <c r="S960" s="275"/>
      <c r="T960" s="275"/>
      <c r="U960" s="275"/>
      <c r="V960" s="275"/>
      <c r="W960" s="275"/>
      <c r="X960" s="275"/>
      <c r="Y960" s="275"/>
      <c r="Z960" s="275"/>
    </row>
    <row r="961" spans="1:26" ht="12.75" customHeight="1" x14ac:dyDescent="0.25">
      <c r="A961" s="275"/>
      <c r="B961" s="342"/>
      <c r="C961" s="369"/>
      <c r="D961" s="337"/>
      <c r="E961" s="275"/>
      <c r="F961" s="275"/>
      <c r="G961" s="275"/>
      <c r="H961" s="275"/>
      <c r="I961" s="275"/>
      <c r="J961" s="275"/>
      <c r="K961" s="275"/>
      <c r="L961" s="275"/>
      <c r="M961" s="275"/>
      <c r="N961" s="275"/>
      <c r="O961" s="275"/>
      <c r="P961" s="275"/>
      <c r="Q961" s="275"/>
      <c r="R961" s="275"/>
      <c r="S961" s="275"/>
      <c r="T961" s="275"/>
      <c r="U961" s="275"/>
      <c r="V961" s="275"/>
      <c r="W961" s="275"/>
      <c r="X961" s="275"/>
      <c r="Y961" s="275"/>
      <c r="Z961" s="275"/>
    </row>
    <row r="962" spans="1:26" ht="12.75" customHeight="1" x14ac:dyDescent="0.25">
      <c r="A962" s="275"/>
      <c r="B962" s="342"/>
      <c r="C962" s="369"/>
      <c r="D962" s="337"/>
      <c r="E962" s="275"/>
      <c r="F962" s="275"/>
      <c r="G962" s="275"/>
      <c r="H962" s="275"/>
      <c r="I962" s="275"/>
      <c r="J962" s="275"/>
      <c r="K962" s="275"/>
      <c r="L962" s="275"/>
      <c r="M962" s="275"/>
      <c r="N962" s="275"/>
      <c r="O962" s="275"/>
      <c r="P962" s="275"/>
      <c r="Q962" s="275"/>
      <c r="R962" s="275"/>
      <c r="S962" s="275"/>
      <c r="T962" s="275"/>
      <c r="U962" s="275"/>
      <c r="V962" s="275"/>
      <c r="W962" s="275"/>
      <c r="X962" s="275"/>
      <c r="Y962" s="275"/>
      <c r="Z962" s="275"/>
    </row>
    <row r="963" spans="1:26" ht="12.75" customHeight="1" x14ac:dyDescent="0.25">
      <c r="A963" s="275"/>
      <c r="B963" s="342"/>
      <c r="C963" s="369"/>
      <c r="D963" s="337"/>
      <c r="E963" s="275"/>
      <c r="F963" s="275"/>
      <c r="G963" s="275"/>
      <c r="H963" s="275"/>
      <c r="I963" s="275"/>
      <c r="J963" s="275"/>
      <c r="K963" s="275"/>
      <c r="L963" s="275"/>
      <c r="M963" s="275"/>
      <c r="N963" s="275"/>
      <c r="O963" s="275"/>
      <c r="P963" s="275"/>
      <c r="Q963" s="275"/>
      <c r="R963" s="275"/>
      <c r="S963" s="275"/>
      <c r="T963" s="275"/>
      <c r="U963" s="275"/>
      <c r="V963" s="275"/>
      <c r="W963" s="275"/>
      <c r="X963" s="275"/>
      <c r="Y963" s="275"/>
      <c r="Z963" s="275"/>
    </row>
    <row r="964" spans="1:26" ht="12.75" customHeight="1" x14ac:dyDescent="0.25">
      <c r="A964" s="275"/>
      <c r="B964" s="342"/>
      <c r="C964" s="369"/>
      <c r="D964" s="337"/>
      <c r="E964" s="275"/>
      <c r="F964" s="275"/>
      <c r="G964" s="275"/>
      <c r="H964" s="275"/>
      <c r="I964" s="275"/>
      <c r="J964" s="275"/>
      <c r="K964" s="275"/>
      <c r="L964" s="275"/>
      <c r="M964" s="275"/>
      <c r="N964" s="275"/>
      <c r="O964" s="275"/>
      <c r="P964" s="275"/>
      <c r="Q964" s="275"/>
      <c r="R964" s="275"/>
      <c r="S964" s="275"/>
      <c r="T964" s="275"/>
      <c r="U964" s="275"/>
      <c r="V964" s="275"/>
      <c r="W964" s="275"/>
      <c r="X964" s="275"/>
      <c r="Y964" s="275"/>
      <c r="Z964" s="275"/>
    </row>
    <row r="965" spans="1:26" ht="12.75" customHeight="1" x14ac:dyDescent="0.25">
      <c r="A965" s="275"/>
      <c r="B965" s="342"/>
      <c r="C965" s="369"/>
      <c r="D965" s="337"/>
      <c r="E965" s="275"/>
      <c r="F965" s="275"/>
      <c r="G965" s="275"/>
      <c r="H965" s="275"/>
      <c r="I965" s="275"/>
      <c r="J965" s="275"/>
      <c r="K965" s="275"/>
      <c r="L965" s="275"/>
      <c r="M965" s="275"/>
      <c r="N965" s="275"/>
      <c r="O965" s="275"/>
      <c r="P965" s="275"/>
      <c r="Q965" s="275"/>
      <c r="R965" s="275"/>
      <c r="S965" s="275"/>
      <c r="T965" s="275"/>
      <c r="U965" s="275"/>
      <c r="V965" s="275"/>
      <c r="W965" s="275"/>
      <c r="X965" s="275"/>
      <c r="Y965" s="275"/>
      <c r="Z965" s="275"/>
    </row>
    <row r="966" spans="1:26" ht="12.75" customHeight="1" x14ac:dyDescent="0.25">
      <c r="A966" s="275"/>
      <c r="B966" s="342"/>
      <c r="C966" s="369"/>
      <c r="D966" s="337"/>
      <c r="E966" s="275"/>
      <c r="F966" s="275"/>
      <c r="G966" s="275"/>
      <c r="H966" s="275"/>
      <c r="I966" s="275"/>
      <c r="J966" s="275"/>
      <c r="K966" s="275"/>
      <c r="L966" s="275"/>
      <c r="M966" s="275"/>
      <c r="N966" s="275"/>
      <c r="O966" s="275"/>
      <c r="P966" s="275"/>
      <c r="Q966" s="275"/>
      <c r="R966" s="275"/>
      <c r="S966" s="275"/>
      <c r="T966" s="275"/>
      <c r="U966" s="275"/>
      <c r="V966" s="275"/>
      <c r="W966" s="275"/>
      <c r="X966" s="275"/>
      <c r="Y966" s="275"/>
      <c r="Z966" s="275"/>
    </row>
    <row r="967" spans="1:26" ht="12.75" customHeight="1" x14ac:dyDescent="0.25">
      <c r="A967" s="275"/>
      <c r="B967" s="342"/>
      <c r="C967" s="369"/>
      <c r="D967" s="337"/>
      <c r="E967" s="275"/>
      <c r="F967" s="275"/>
      <c r="G967" s="275"/>
      <c r="H967" s="275"/>
      <c r="I967" s="275"/>
      <c r="J967" s="275"/>
      <c r="K967" s="275"/>
      <c r="L967" s="275"/>
      <c r="M967" s="275"/>
      <c r="N967" s="275"/>
      <c r="O967" s="275"/>
      <c r="P967" s="275"/>
      <c r="Q967" s="275"/>
      <c r="R967" s="275"/>
      <c r="S967" s="275"/>
      <c r="T967" s="275"/>
      <c r="U967" s="275"/>
      <c r="V967" s="275"/>
      <c r="W967" s="275"/>
      <c r="X967" s="275"/>
      <c r="Y967" s="275"/>
      <c r="Z967" s="275"/>
    </row>
    <row r="968" spans="1:26" ht="12.75" customHeight="1" x14ac:dyDescent="0.25">
      <c r="A968" s="275"/>
      <c r="B968" s="342"/>
      <c r="C968" s="369"/>
      <c r="D968" s="337"/>
      <c r="E968" s="275"/>
      <c r="F968" s="275"/>
      <c r="G968" s="275"/>
      <c r="H968" s="275"/>
      <c r="I968" s="275"/>
      <c r="J968" s="275"/>
      <c r="K968" s="275"/>
      <c r="L968" s="275"/>
      <c r="M968" s="275"/>
      <c r="N968" s="275"/>
      <c r="O968" s="275"/>
      <c r="P968" s="275"/>
      <c r="Q968" s="275"/>
      <c r="R968" s="275"/>
      <c r="S968" s="275"/>
      <c r="T968" s="275"/>
      <c r="U968" s="275"/>
      <c r="V968" s="275"/>
      <c r="W968" s="275"/>
      <c r="X968" s="275"/>
      <c r="Y968" s="275"/>
      <c r="Z968" s="275"/>
    </row>
    <row r="969" spans="1:26" ht="12.75" customHeight="1" x14ac:dyDescent="0.25">
      <c r="A969" s="275"/>
      <c r="B969" s="342"/>
      <c r="C969" s="369"/>
      <c r="D969" s="337"/>
      <c r="E969" s="275"/>
      <c r="F969" s="275"/>
      <c r="G969" s="275"/>
      <c r="H969" s="275"/>
      <c r="I969" s="275"/>
      <c r="J969" s="275"/>
      <c r="K969" s="275"/>
      <c r="L969" s="275"/>
      <c r="M969" s="275"/>
      <c r="N969" s="275"/>
      <c r="O969" s="275"/>
      <c r="P969" s="275"/>
      <c r="Q969" s="275"/>
      <c r="R969" s="275"/>
      <c r="S969" s="275"/>
      <c r="T969" s="275"/>
      <c r="U969" s="275"/>
      <c r="V969" s="275"/>
      <c r="W969" s="275"/>
      <c r="X969" s="275"/>
      <c r="Y969" s="275"/>
      <c r="Z969" s="275"/>
    </row>
    <row r="970" spans="1:26" ht="12.75" customHeight="1" x14ac:dyDescent="0.25">
      <c r="A970" s="275"/>
      <c r="B970" s="342"/>
      <c r="C970" s="369"/>
      <c r="D970" s="337"/>
      <c r="E970" s="275"/>
      <c r="F970" s="275"/>
      <c r="G970" s="275"/>
      <c r="H970" s="275"/>
      <c r="I970" s="275"/>
      <c r="J970" s="275"/>
      <c r="K970" s="275"/>
      <c r="L970" s="275"/>
      <c r="M970" s="275"/>
      <c r="N970" s="275"/>
      <c r="O970" s="275"/>
      <c r="P970" s="275"/>
      <c r="Q970" s="275"/>
      <c r="R970" s="275"/>
      <c r="S970" s="275"/>
      <c r="T970" s="275"/>
      <c r="U970" s="275"/>
      <c r="V970" s="275"/>
      <c r="W970" s="275"/>
      <c r="X970" s="275"/>
      <c r="Y970" s="275"/>
      <c r="Z970" s="275"/>
    </row>
    <row r="971" spans="1:26" ht="12.75" customHeight="1" x14ac:dyDescent="0.25">
      <c r="A971" s="275"/>
      <c r="B971" s="342"/>
      <c r="C971" s="369"/>
      <c r="D971" s="337"/>
      <c r="E971" s="275"/>
      <c r="F971" s="275"/>
      <c r="G971" s="275"/>
      <c r="H971" s="275"/>
      <c r="I971" s="275"/>
      <c r="J971" s="275"/>
      <c r="K971" s="275"/>
      <c r="L971" s="275"/>
      <c r="M971" s="275"/>
      <c r="N971" s="275"/>
      <c r="O971" s="275"/>
      <c r="P971" s="275"/>
      <c r="Q971" s="275"/>
      <c r="R971" s="275"/>
      <c r="S971" s="275"/>
      <c r="T971" s="275"/>
      <c r="U971" s="275"/>
      <c r="V971" s="275"/>
      <c r="W971" s="275"/>
      <c r="X971" s="275"/>
      <c r="Y971" s="275"/>
      <c r="Z971" s="275"/>
    </row>
    <row r="972" spans="1:26" ht="12.75" customHeight="1" x14ac:dyDescent="0.25">
      <c r="A972" s="275"/>
      <c r="B972" s="342"/>
      <c r="C972" s="369"/>
      <c r="D972" s="337"/>
      <c r="E972" s="275"/>
      <c r="F972" s="275"/>
      <c r="G972" s="275"/>
      <c r="H972" s="275"/>
      <c r="I972" s="275"/>
      <c r="J972" s="275"/>
      <c r="K972" s="275"/>
      <c r="L972" s="275"/>
      <c r="M972" s="275"/>
      <c r="N972" s="275"/>
      <c r="O972" s="275"/>
      <c r="P972" s="275"/>
      <c r="Q972" s="275"/>
      <c r="R972" s="275"/>
      <c r="S972" s="275"/>
      <c r="T972" s="275"/>
      <c r="U972" s="275"/>
      <c r="V972" s="275"/>
      <c r="W972" s="275"/>
      <c r="X972" s="275"/>
      <c r="Y972" s="275"/>
      <c r="Z972" s="275"/>
    </row>
    <row r="973" spans="1:26" ht="12.75" customHeight="1" x14ac:dyDescent="0.25">
      <c r="A973" s="275"/>
      <c r="B973" s="342"/>
      <c r="C973" s="369"/>
      <c r="D973" s="337"/>
      <c r="E973" s="275"/>
      <c r="F973" s="275"/>
      <c r="G973" s="275"/>
      <c r="H973" s="275"/>
      <c r="I973" s="275"/>
      <c r="J973" s="275"/>
      <c r="K973" s="275"/>
      <c r="L973" s="275"/>
      <c r="M973" s="275"/>
      <c r="N973" s="275"/>
      <c r="O973" s="275"/>
      <c r="P973" s="275"/>
      <c r="Q973" s="275"/>
      <c r="R973" s="275"/>
      <c r="S973" s="275"/>
      <c r="T973" s="275"/>
      <c r="U973" s="275"/>
      <c r="V973" s="275"/>
      <c r="W973" s="275"/>
      <c r="X973" s="275"/>
      <c r="Y973" s="275"/>
      <c r="Z973" s="275"/>
    </row>
    <row r="974" spans="1:26" ht="12.75" customHeight="1" x14ac:dyDescent="0.25">
      <c r="A974" s="275"/>
      <c r="B974" s="342"/>
      <c r="C974" s="369"/>
      <c r="D974" s="337"/>
      <c r="E974" s="275"/>
      <c r="F974" s="275"/>
      <c r="G974" s="275"/>
      <c r="H974" s="275"/>
      <c r="I974" s="275"/>
      <c r="J974" s="275"/>
      <c r="K974" s="275"/>
      <c r="L974" s="275"/>
      <c r="M974" s="275"/>
      <c r="N974" s="275"/>
      <c r="O974" s="275"/>
      <c r="P974" s="275"/>
      <c r="Q974" s="275"/>
      <c r="R974" s="275"/>
      <c r="S974" s="275"/>
      <c r="T974" s="275"/>
      <c r="U974" s="275"/>
      <c r="V974" s="275"/>
      <c r="W974" s="275"/>
      <c r="X974" s="275"/>
      <c r="Y974" s="275"/>
      <c r="Z974" s="275"/>
    </row>
    <row r="975" spans="1:26" ht="12.75" customHeight="1" x14ac:dyDescent="0.25">
      <c r="A975" s="275"/>
      <c r="B975" s="342"/>
      <c r="C975" s="369"/>
      <c r="D975" s="337"/>
      <c r="E975" s="275"/>
      <c r="F975" s="275"/>
      <c r="G975" s="275"/>
      <c r="H975" s="275"/>
      <c r="I975" s="275"/>
      <c r="J975" s="275"/>
      <c r="K975" s="275"/>
      <c r="L975" s="275"/>
      <c r="M975" s="275"/>
      <c r="N975" s="275"/>
      <c r="O975" s="275"/>
      <c r="P975" s="275"/>
      <c r="Q975" s="275"/>
      <c r="R975" s="275"/>
      <c r="S975" s="275"/>
      <c r="T975" s="275"/>
      <c r="U975" s="275"/>
      <c r="V975" s="275"/>
      <c r="W975" s="275"/>
      <c r="X975" s="275"/>
      <c r="Y975" s="275"/>
      <c r="Z975" s="275"/>
    </row>
    <row r="976" spans="1:26" ht="12.75" customHeight="1" x14ac:dyDescent="0.25">
      <c r="A976" s="275"/>
      <c r="B976" s="342"/>
      <c r="C976" s="369"/>
      <c r="D976" s="337"/>
      <c r="E976" s="275"/>
      <c r="F976" s="275"/>
      <c r="G976" s="275"/>
      <c r="H976" s="275"/>
      <c r="I976" s="275"/>
      <c r="J976" s="275"/>
      <c r="K976" s="275"/>
      <c r="L976" s="275"/>
      <c r="M976" s="275"/>
      <c r="N976" s="275"/>
      <c r="O976" s="275"/>
      <c r="P976" s="275"/>
      <c r="Q976" s="275"/>
      <c r="R976" s="275"/>
      <c r="S976" s="275"/>
      <c r="T976" s="275"/>
      <c r="U976" s="275"/>
      <c r="V976" s="275"/>
      <c r="W976" s="275"/>
      <c r="X976" s="275"/>
      <c r="Y976" s="275"/>
      <c r="Z976" s="275"/>
    </row>
    <row r="977" spans="1:26" ht="12.75" customHeight="1" x14ac:dyDescent="0.25">
      <c r="A977" s="275"/>
      <c r="B977" s="342"/>
      <c r="C977" s="369"/>
      <c r="D977" s="337"/>
      <c r="E977" s="275"/>
      <c r="F977" s="275"/>
      <c r="G977" s="275"/>
      <c r="H977" s="275"/>
      <c r="I977" s="275"/>
      <c r="J977" s="275"/>
      <c r="K977" s="275"/>
      <c r="L977" s="275"/>
      <c r="M977" s="275"/>
      <c r="N977" s="275"/>
      <c r="O977" s="275"/>
      <c r="P977" s="275"/>
      <c r="Q977" s="275"/>
      <c r="R977" s="275"/>
      <c r="S977" s="275"/>
      <c r="T977" s="275"/>
      <c r="U977" s="275"/>
      <c r="V977" s="275"/>
      <c r="W977" s="275"/>
      <c r="X977" s="275"/>
      <c r="Y977" s="275"/>
      <c r="Z977" s="275"/>
    </row>
    <row r="978" spans="1:26" ht="12.75" customHeight="1" x14ac:dyDescent="0.25">
      <c r="A978" s="275"/>
      <c r="B978" s="342"/>
      <c r="C978" s="369"/>
      <c r="D978" s="337"/>
      <c r="E978" s="275"/>
      <c r="F978" s="275"/>
      <c r="G978" s="275"/>
      <c r="H978" s="275"/>
      <c r="I978" s="275"/>
      <c r="J978" s="275"/>
      <c r="K978" s="275"/>
      <c r="L978" s="275"/>
      <c r="M978" s="275"/>
      <c r="N978" s="275"/>
      <c r="O978" s="275"/>
      <c r="P978" s="275"/>
      <c r="Q978" s="275"/>
      <c r="R978" s="275"/>
      <c r="S978" s="275"/>
      <c r="T978" s="275"/>
      <c r="U978" s="275"/>
      <c r="V978" s="275"/>
      <c r="W978" s="275"/>
      <c r="X978" s="275"/>
      <c r="Y978" s="275"/>
      <c r="Z978" s="275"/>
    </row>
    <row r="979" spans="1:26" ht="12.75" customHeight="1" x14ac:dyDescent="0.25">
      <c r="A979" s="275"/>
      <c r="B979" s="342"/>
      <c r="C979" s="369"/>
      <c r="D979" s="337"/>
      <c r="E979" s="275"/>
      <c r="F979" s="275"/>
      <c r="G979" s="275"/>
      <c r="H979" s="275"/>
      <c r="I979" s="275"/>
      <c r="J979" s="275"/>
      <c r="K979" s="275"/>
      <c r="L979" s="275"/>
      <c r="M979" s="275"/>
      <c r="N979" s="275"/>
      <c r="O979" s="275"/>
      <c r="P979" s="275"/>
      <c r="Q979" s="275"/>
      <c r="R979" s="275"/>
      <c r="S979" s="275"/>
      <c r="T979" s="275"/>
      <c r="U979" s="275"/>
      <c r="V979" s="275"/>
      <c r="W979" s="275"/>
      <c r="X979" s="275"/>
      <c r="Y979" s="275"/>
      <c r="Z979" s="275"/>
    </row>
    <row r="980" spans="1:26" ht="12.75" customHeight="1" x14ac:dyDescent="0.25">
      <c r="A980" s="275"/>
      <c r="B980" s="342"/>
      <c r="C980" s="369"/>
      <c r="D980" s="337"/>
      <c r="E980" s="275"/>
      <c r="F980" s="275"/>
      <c r="G980" s="275"/>
      <c r="H980" s="275"/>
      <c r="I980" s="275"/>
      <c r="J980" s="275"/>
      <c r="K980" s="275"/>
      <c r="L980" s="275"/>
      <c r="M980" s="275"/>
      <c r="N980" s="275"/>
      <c r="O980" s="275"/>
      <c r="P980" s="275"/>
      <c r="Q980" s="275"/>
      <c r="R980" s="275"/>
      <c r="S980" s="275"/>
      <c r="T980" s="275"/>
      <c r="U980" s="275"/>
      <c r="V980" s="275"/>
      <c r="W980" s="275"/>
      <c r="X980" s="275"/>
      <c r="Y980" s="275"/>
      <c r="Z980" s="275"/>
    </row>
    <row r="981" spans="1:26" ht="12.75" customHeight="1" x14ac:dyDescent="0.25">
      <c r="A981" s="275"/>
      <c r="B981" s="342"/>
      <c r="C981" s="369"/>
      <c r="D981" s="337"/>
      <c r="E981" s="275"/>
      <c r="F981" s="275"/>
      <c r="G981" s="275"/>
      <c r="H981" s="275"/>
      <c r="I981" s="275"/>
      <c r="J981" s="275"/>
      <c r="K981" s="275"/>
      <c r="L981" s="275"/>
      <c r="M981" s="275"/>
      <c r="N981" s="275"/>
      <c r="O981" s="275"/>
      <c r="P981" s="275"/>
      <c r="Q981" s="275"/>
      <c r="R981" s="275"/>
      <c r="S981" s="275"/>
      <c r="T981" s="275"/>
      <c r="U981" s="275"/>
      <c r="V981" s="275"/>
      <c r="W981" s="275"/>
      <c r="X981" s="275"/>
      <c r="Y981" s="275"/>
      <c r="Z981" s="275"/>
    </row>
    <row r="982" spans="1:26" ht="12.75" customHeight="1" x14ac:dyDescent="0.25">
      <c r="A982" s="275"/>
      <c r="B982" s="342"/>
      <c r="C982" s="369"/>
      <c r="D982" s="337"/>
      <c r="E982" s="275"/>
      <c r="F982" s="275"/>
      <c r="G982" s="275"/>
      <c r="H982" s="275"/>
      <c r="I982" s="275"/>
      <c r="J982" s="275"/>
      <c r="K982" s="275"/>
      <c r="L982" s="275"/>
      <c r="M982" s="275"/>
      <c r="N982" s="275"/>
      <c r="O982" s="275"/>
      <c r="P982" s="275"/>
      <c r="Q982" s="275"/>
      <c r="R982" s="275"/>
      <c r="S982" s="275"/>
      <c r="T982" s="275"/>
      <c r="U982" s="275"/>
      <c r="V982" s="275"/>
      <c r="W982" s="275"/>
      <c r="X982" s="275"/>
      <c r="Y982" s="275"/>
      <c r="Z982" s="275"/>
    </row>
    <row r="983" spans="1:26" ht="12.75" customHeight="1" x14ac:dyDescent="0.25">
      <c r="A983" s="275"/>
      <c r="B983" s="342"/>
      <c r="C983" s="369"/>
      <c r="D983" s="337"/>
      <c r="E983" s="275"/>
      <c r="F983" s="275"/>
      <c r="G983" s="275"/>
      <c r="H983" s="275"/>
      <c r="I983" s="275"/>
      <c r="J983" s="275"/>
      <c r="K983" s="275"/>
      <c r="L983" s="275"/>
      <c r="M983" s="275"/>
      <c r="N983" s="275"/>
      <c r="O983" s="275"/>
      <c r="P983" s="275"/>
      <c r="Q983" s="275"/>
      <c r="R983" s="275"/>
      <c r="S983" s="275"/>
      <c r="T983" s="275"/>
      <c r="U983" s="275"/>
      <c r="V983" s="275"/>
      <c r="W983" s="275"/>
      <c r="X983" s="275"/>
      <c r="Y983" s="275"/>
      <c r="Z983" s="275"/>
    </row>
    <row r="984" spans="1:26" ht="12.75" customHeight="1" x14ac:dyDescent="0.25">
      <c r="A984" s="275"/>
      <c r="B984" s="342"/>
      <c r="C984" s="369"/>
      <c r="D984" s="337"/>
      <c r="E984" s="275"/>
      <c r="F984" s="275"/>
      <c r="G984" s="275"/>
      <c r="H984" s="275"/>
      <c r="I984" s="275"/>
      <c r="J984" s="275"/>
      <c r="K984" s="275"/>
      <c r="L984" s="275"/>
      <c r="M984" s="275"/>
      <c r="N984" s="275"/>
      <c r="O984" s="275"/>
      <c r="P984" s="275"/>
      <c r="Q984" s="275"/>
      <c r="R984" s="275"/>
      <c r="S984" s="275"/>
      <c r="T984" s="275"/>
      <c r="U984" s="275"/>
      <c r="V984" s="275"/>
      <c r="W984" s="275"/>
      <c r="X984" s="275"/>
      <c r="Y984" s="275"/>
      <c r="Z984" s="275"/>
    </row>
    <row r="985" spans="1:26" ht="12.75" customHeight="1" x14ac:dyDescent="0.25">
      <c r="A985" s="275"/>
      <c r="B985" s="342"/>
      <c r="C985" s="369"/>
      <c r="D985" s="337"/>
      <c r="E985" s="275"/>
      <c r="F985" s="275"/>
      <c r="G985" s="275"/>
      <c r="H985" s="275"/>
      <c r="I985" s="275"/>
      <c r="J985" s="275"/>
      <c r="K985" s="275"/>
      <c r="L985" s="275"/>
      <c r="M985" s="275"/>
      <c r="N985" s="275"/>
      <c r="O985" s="275"/>
      <c r="P985" s="275"/>
      <c r="Q985" s="275"/>
      <c r="R985" s="275"/>
      <c r="S985" s="275"/>
      <c r="T985" s="275"/>
      <c r="U985" s="275"/>
      <c r="V985" s="275"/>
      <c r="W985" s="275"/>
      <c r="X985" s="275"/>
      <c r="Y985" s="275"/>
      <c r="Z985" s="275"/>
    </row>
    <row r="986" spans="1:26" ht="12.75" customHeight="1" x14ac:dyDescent="0.25">
      <c r="A986" s="275"/>
      <c r="B986" s="342"/>
      <c r="C986" s="369"/>
      <c r="D986" s="337"/>
      <c r="E986" s="275"/>
      <c r="F986" s="275"/>
      <c r="G986" s="275"/>
      <c r="H986" s="275"/>
      <c r="I986" s="275"/>
      <c r="J986" s="275"/>
      <c r="K986" s="275"/>
      <c r="L986" s="275"/>
      <c r="M986" s="275"/>
      <c r="N986" s="275"/>
      <c r="O986" s="275"/>
      <c r="P986" s="275"/>
      <c r="Q986" s="275"/>
      <c r="R986" s="275"/>
      <c r="S986" s="275"/>
      <c r="T986" s="275"/>
      <c r="U986" s="275"/>
      <c r="V986" s="275"/>
      <c r="W986" s="275"/>
      <c r="X986" s="275"/>
      <c r="Y986" s="275"/>
      <c r="Z986" s="275"/>
    </row>
    <row r="987" spans="1:26" ht="12.75" customHeight="1" x14ac:dyDescent="0.25">
      <c r="A987" s="275"/>
      <c r="B987" s="342"/>
      <c r="C987" s="369"/>
      <c r="D987" s="337"/>
      <c r="E987" s="275"/>
      <c r="F987" s="275"/>
      <c r="G987" s="275"/>
      <c r="H987" s="275"/>
      <c r="I987" s="275"/>
      <c r="J987" s="275"/>
      <c r="K987" s="275"/>
      <c r="L987" s="275"/>
      <c r="M987" s="275"/>
      <c r="N987" s="275"/>
      <c r="O987" s="275"/>
      <c r="P987" s="275"/>
      <c r="Q987" s="275"/>
      <c r="R987" s="275"/>
      <c r="S987" s="275"/>
      <c r="T987" s="275"/>
      <c r="U987" s="275"/>
      <c r="V987" s="275"/>
      <c r="W987" s="275"/>
      <c r="X987" s="275"/>
      <c r="Y987" s="275"/>
      <c r="Z987" s="275"/>
    </row>
    <row r="988" spans="1:26" ht="12.75" customHeight="1" x14ac:dyDescent="0.25">
      <c r="A988" s="275"/>
      <c r="B988" s="342"/>
      <c r="C988" s="369"/>
      <c r="D988" s="337"/>
      <c r="E988" s="275"/>
      <c r="F988" s="275"/>
      <c r="G988" s="275"/>
      <c r="H988" s="275"/>
      <c r="I988" s="275"/>
      <c r="J988" s="275"/>
      <c r="K988" s="275"/>
      <c r="L988" s="275"/>
      <c r="M988" s="275"/>
      <c r="N988" s="275"/>
      <c r="O988" s="275"/>
      <c r="P988" s="275"/>
      <c r="Q988" s="275"/>
      <c r="R988" s="275"/>
      <c r="S988" s="275"/>
      <c r="T988" s="275"/>
      <c r="U988" s="275"/>
      <c r="V988" s="275"/>
      <c r="W988" s="275"/>
      <c r="X988" s="275"/>
      <c r="Y988" s="275"/>
      <c r="Z988" s="275"/>
    </row>
    <row r="989" spans="1:26" ht="12.75" customHeight="1" x14ac:dyDescent="0.25">
      <c r="A989" s="275"/>
      <c r="B989" s="342"/>
      <c r="C989" s="369"/>
      <c r="D989" s="337"/>
      <c r="E989" s="275"/>
      <c r="F989" s="275"/>
      <c r="G989" s="275"/>
      <c r="H989" s="275"/>
      <c r="I989" s="275"/>
      <c r="J989" s="275"/>
      <c r="K989" s="275"/>
      <c r="L989" s="275"/>
      <c r="M989" s="275"/>
      <c r="N989" s="275"/>
      <c r="O989" s="275"/>
      <c r="P989" s="275"/>
      <c r="Q989" s="275"/>
      <c r="R989" s="275"/>
      <c r="S989" s="275"/>
      <c r="T989" s="275"/>
      <c r="U989" s="275"/>
      <c r="V989" s="275"/>
      <c r="W989" s="275"/>
      <c r="X989" s="275"/>
      <c r="Y989" s="275"/>
      <c r="Z989" s="275"/>
    </row>
    <row r="990" spans="1:26" ht="12.75" customHeight="1" x14ac:dyDescent="0.25">
      <c r="A990" s="275"/>
      <c r="B990" s="342"/>
      <c r="C990" s="369"/>
      <c r="D990" s="337"/>
      <c r="E990" s="275"/>
      <c r="F990" s="275"/>
      <c r="G990" s="275"/>
      <c r="H990" s="275"/>
      <c r="I990" s="275"/>
      <c r="J990" s="275"/>
      <c r="K990" s="275"/>
      <c r="L990" s="275"/>
      <c r="M990" s="275"/>
      <c r="N990" s="275"/>
      <c r="O990" s="275"/>
      <c r="P990" s="275"/>
      <c r="Q990" s="275"/>
      <c r="R990" s="275"/>
      <c r="S990" s="275"/>
      <c r="T990" s="275"/>
      <c r="U990" s="275"/>
      <c r="V990" s="275"/>
      <c r="W990" s="275"/>
      <c r="X990" s="275"/>
      <c r="Y990" s="275"/>
      <c r="Z990" s="275"/>
    </row>
    <row r="991" spans="1:26" ht="12.75" customHeight="1" x14ac:dyDescent="0.25">
      <c r="A991" s="275"/>
      <c r="B991" s="342"/>
      <c r="C991" s="369"/>
      <c r="D991" s="337"/>
      <c r="E991" s="275"/>
      <c r="F991" s="275"/>
      <c r="G991" s="275"/>
      <c r="H991" s="275"/>
      <c r="I991" s="275"/>
      <c r="J991" s="275"/>
      <c r="K991" s="275"/>
      <c r="L991" s="275"/>
      <c r="M991" s="275"/>
      <c r="N991" s="275"/>
      <c r="O991" s="275"/>
      <c r="P991" s="275"/>
      <c r="Q991" s="275"/>
      <c r="R991" s="275"/>
      <c r="S991" s="275"/>
      <c r="T991" s="275"/>
      <c r="U991" s="275"/>
      <c r="V991" s="275"/>
      <c r="W991" s="275"/>
      <c r="X991" s="275"/>
      <c r="Y991" s="275"/>
      <c r="Z991" s="275"/>
    </row>
    <row r="992" spans="1:26" ht="12.75" customHeight="1" x14ac:dyDescent="0.25">
      <c r="A992" s="275"/>
      <c r="B992" s="342"/>
      <c r="C992" s="369"/>
      <c r="D992" s="337"/>
      <c r="E992" s="275"/>
      <c r="F992" s="275"/>
      <c r="G992" s="275"/>
      <c r="H992" s="275"/>
      <c r="I992" s="275"/>
      <c r="J992" s="275"/>
      <c r="K992" s="275"/>
      <c r="L992" s="275"/>
      <c r="M992" s="275"/>
      <c r="N992" s="275"/>
      <c r="O992" s="275"/>
      <c r="P992" s="275"/>
      <c r="Q992" s="275"/>
      <c r="R992" s="275"/>
      <c r="S992" s="275"/>
      <c r="T992" s="275"/>
      <c r="U992" s="275"/>
      <c r="V992" s="275"/>
      <c r="W992" s="275"/>
      <c r="X992" s="275"/>
      <c r="Y992" s="275"/>
      <c r="Z992" s="275"/>
    </row>
    <row r="993" spans="1:26" ht="12.75" customHeight="1" x14ac:dyDescent="0.25">
      <c r="A993" s="275"/>
      <c r="B993" s="342"/>
      <c r="C993" s="369"/>
      <c r="D993" s="337"/>
      <c r="E993" s="275"/>
      <c r="F993" s="275"/>
      <c r="G993" s="275"/>
      <c r="H993" s="275"/>
      <c r="I993" s="275"/>
      <c r="J993" s="275"/>
      <c r="K993" s="275"/>
      <c r="L993" s="275"/>
      <c r="M993" s="275"/>
      <c r="N993" s="275"/>
      <c r="O993" s="275"/>
      <c r="P993" s="275"/>
      <c r="Q993" s="275"/>
      <c r="R993" s="275"/>
      <c r="S993" s="275"/>
      <c r="T993" s="275"/>
      <c r="U993" s="275"/>
      <c r="V993" s="275"/>
      <c r="W993" s="275"/>
      <c r="X993" s="275"/>
      <c r="Y993" s="275"/>
      <c r="Z993" s="275"/>
    </row>
    <row r="994" spans="1:26" ht="12.75" customHeight="1" x14ac:dyDescent="0.25">
      <c r="A994" s="275"/>
      <c r="B994" s="342"/>
      <c r="C994" s="369"/>
      <c r="D994" s="337"/>
      <c r="E994" s="275"/>
      <c r="F994" s="275"/>
      <c r="G994" s="275"/>
      <c r="H994" s="275"/>
      <c r="I994" s="275"/>
      <c r="J994" s="275"/>
      <c r="K994" s="275"/>
      <c r="L994" s="275"/>
      <c r="M994" s="275"/>
      <c r="N994" s="275"/>
      <c r="O994" s="275"/>
      <c r="P994" s="275"/>
      <c r="Q994" s="275"/>
      <c r="R994" s="275"/>
      <c r="S994" s="275"/>
      <c r="T994" s="275"/>
      <c r="U994" s="275"/>
      <c r="V994" s="275"/>
      <c r="W994" s="275"/>
      <c r="X994" s="275"/>
      <c r="Y994" s="275"/>
      <c r="Z994" s="275"/>
    </row>
    <row r="995" spans="1:26" ht="12.75" customHeight="1" x14ac:dyDescent="0.25">
      <c r="A995" s="275"/>
      <c r="B995" s="342"/>
      <c r="C995" s="369"/>
      <c r="D995" s="337"/>
      <c r="E995" s="275"/>
      <c r="F995" s="275"/>
      <c r="G995" s="275"/>
      <c r="H995" s="275"/>
      <c r="I995" s="275"/>
      <c r="J995" s="275"/>
      <c r="K995" s="275"/>
      <c r="L995" s="275"/>
      <c r="M995" s="275"/>
      <c r="N995" s="275"/>
      <c r="O995" s="275"/>
      <c r="P995" s="275"/>
      <c r="Q995" s="275"/>
      <c r="R995" s="275"/>
      <c r="S995" s="275"/>
      <c r="T995" s="275"/>
      <c r="U995" s="275"/>
      <c r="V995" s="275"/>
      <c r="W995" s="275"/>
      <c r="X995" s="275"/>
      <c r="Y995" s="275"/>
      <c r="Z995" s="275"/>
    </row>
    <row r="996" spans="1:26" ht="12.75" customHeight="1" x14ac:dyDescent="0.25">
      <c r="A996" s="275"/>
      <c r="B996" s="342"/>
      <c r="C996" s="369"/>
      <c r="D996" s="337"/>
      <c r="E996" s="275"/>
      <c r="F996" s="275"/>
      <c r="G996" s="275"/>
      <c r="H996" s="275"/>
      <c r="I996" s="275"/>
      <c r="J996" s="275"/>
      <c r="K996" s="275"/>
      <c r="L996" s="275"/>
      <c r="M996" s="275"/>
      <c r="N996" s="275"/>
      <c r="O996" s="275"/>
      <c r="P996" s="275"/>
      <c r="Q996" s="275"/>
      <c r="R996" s="275"/>
      <c r="S996" s="275"/>
      <c r="T996" s="275"/>
      <c r="U996" s="275"/>
      <c r="V996" s="275"/>
      <c r="W996" s="275"/>
      <c r="X996" s="275"/>
      <c r="Y996" s="275"/>
      <c r="Z996" s="275"/>
    </row>
    <row r="997" spans="1:26" ht="12.75" customHeight="1" x14ac:dyDescent="0.25">
      <c r="A997" s="275"/>
      <c r="B997" s="342"/>
      <c r="C997" s="369"/>
      <c r="D997" s="337"/>
      <c r="E997" s="275"/>
      <c r="F997" s="275"/>
      <c r="G997" s="275"/>
      <c r="H997" s="275"/>
      <c r="I997" s="275"/>
      <c r="J997" s="275"/>
      <c r="K997" s="275"/>
      <c r="L997" s="275"/>
      <c r="M997" s="275"/>
      <c r="N997" s="275"/>
      <c r="O997" s="275"/>
      <c r="P997" s="275"/>
      <c r="Q997" s="275"/>
      <c r="R997" s="275"/>
      <c r="S997" s="275"/>
      <c r="T997" s="275"/>
      <c r="U997" s="275"/>
      <c r="V997" s="275"/>
      <c r="W997" s="275"/>
      <c r="X997" s="275"/>
      <c r="Y997" s="275"/>
      <c r="Z997" s="275"/>
    </row>
    <row r="998" spans="1:26" ht="12.75" customHeight="1" x14ac:dyDescent="0.25">
      <c r="A998" s="275"/>
      <c r="B998" s="342"/>
      <c r="C998" s="369"/>
      <c r="D998" s="337"/>
      <c r="E998" s="275"/>
      <c r="F998" s="275"/>
      <c r="G998" s="275"/>
      <c r="H998" s="275"/>
      <c r="I998" s="275"/>
      <c r="J998" s="275"/>
      <c r="K998" s="275"/>
      <c r="L998" s="275"/>
      <c r="M998" s="275"/>
      <c r="N998" s="275"/>
      <c r="O998" s="275"/>
      <c r="P998" s="275"/>
      <c r="Q998" s="275"/>
      <c r="R998" s="275"/>
      <c r="S998" s="275"/>
      <c r="T998" s="275"/>
      <c r="U998" s="275"/>
      <c r="V998" s="275"/>
      <c r="W998" s="275"/>
      <c r="X998" s="275"/>
      <c r="Y998" s="275"/>
      <c r="Z998" s="275"/>
    </row>
    <row r="999" spans="1:26" ht="12.75" customHeight="1" x14ac:dyDescent="0.25">
      <c r="A999" s="275"/>
      <c r="B999" s="342"/>
      <c r="C999" s="369"/>
      <c r="D999" s="337"/>
      <c r="E999" s="275"/>
      <c r="F999" s="275"/>
      <c r="G999" s="275"/>
      <c r="H999" s="275"/>
      <c r="I999" s="275"/>
      <c r="J999" s="275"/>
      <c r="K999" s="275"/>
      <c r="L999" s="275"/>
      <c r="M999" s="275"/>
      <c r="N999" s="275"/>
      <c r="O999" s="275"/>
      <c r="P999" s="275"/>
      <c r="Q999" s="275"/>
      <c r="R999" s="275"/>
      <c r="S999" s="275"/>
      <c r="T999" s="275"/>
      <c r="U999" s="275"/>
      <c r="V999" s="275"/>
      <c r="W999" s="275"/>
      <c r="X999" s="275"/>
      <c r="Y999" s="275"/>
      <c r="Z999" s="275"/>
    </row>
    <row r="1000" spans="1:26" ht="12.75" customHeight="1" x14ac:dyDescent="0.25">
      <c r="A1000" s="275"/>
      <c r="B1000" s="342"/>
      <c r="C1000" s="369"/>
      <c r="D1000" s="337"/>
      <c r="E1000" s="275"/>
      <c r="F1000" s="275"/>
      <c r="G1000" s="275"/>
      <c r="H1000" s="275"/>
      <c r="I1000" s="275"/>
      <c r="J1000" s="275"/>
      <c r="K1000" s="275"/>
      <c r="L1000" s="275"/>
      <c r="M1000" s="275"/>
      <c r="N1000" s="275"/>
      <c r="O1000" s="275"/>
      <c r="P1000" s="275"/>
      <c r="Q1000" s="275"/>
      <c r="R1000" s="275"/>
      <c r="S1000" s="275"/>
      <c r="T1000" s="275"/>
      <c r="U1000" s="275"/>
      <c r="V1000" s="275"/>
      <c r="W1000" s="275"/>
      <c r="X1000" s="275"/>
      <c r="Y1000" s="275"/>
      <c r="Z1000" s="275"/>
    </row>
    <row r="1001" spans="1:26" ht="12.75" customHeight="1" x14ac:dyDescent="0.25">
      <c r="A1001" s="275"/>
      <c r="B1001" s="342"/>
      <c r="C1001" s="369"/>
      <c r="D1001" s="337"/>
      <c r="E1001" s="275"/>
      <c r="F1001" s="275"/>
      <c r="G1001" s="275"/>
      <c r="H1001" s="275"/>
      <c r="I1001" s="275"/>
      <c r="J1001" s="275"/>
      <c r="K1001" s="275"/>
      <c r="L1001" s="275"/>
      <c r="M1001" s="275"/>
      <c r="N1001" s="275"/>
      <c r="O1001" s="275"/>
      <c r="P1001" s="275"/>
      <c r="Q1001" s="275"/>
      <c r="R1001" s="275"/>
      <c r="S1001" s="275"/>
      <c r="T1001" s="275"/>
      <c r="U1001" s="275"/>
      <c r="V1001" s="275"/>
      <c r="W1001" s="275"/>
      <c r="X1001" s="275"/>
      <c r="Y1001" s="275"/>
      <c r="Z1001" s="275"/>
    </row>
  </sheetData>
  <mergeCells count="6">
    <mergeCell ref="E16:E17"/>
    <mergeCell ref="A1:C1"/>
    <mergeCell ref="A2:C2"/>
    <mergeCell ref="A3:C3"/>
    <mergeCell ref="A4:C4"/>
    <mergeCell ref="A5:C5"/>
  </mergeCells>
  <pageMargins left="0.70866141732283472" right="0.70866141732283472" top="0.74803149606299213" bottom="0.74803149606299213" header="0.31496062992125984" footer="0.31496062992125984"/>
  <pageSetup scale="6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41"/>
  <sheetViews>
    <sheetView workbookViewId="0">
      <selection activeCell="G17" sqref="G17"/>
    </sheetView>
  </sheetViews>
  <sheetFormatPr baseColWidth="10" defaultColWidth="12.42578125" defaultRowHeight="12.75" x14ac:dyDescent="0.2"/>
  <cols>
    <col min="1" max="1" width="33.5703125" style="316" bestFit="1" customWidth="1"/>
    <col min="2" max="2" width="4.42578125" style="316" customWidth="1"/>
    <col min="3" max="3" width="8.7109375" style="316" bestFit="1" customWidth="1"/>
    <col min="4" max="4" width="1.42578125" style="316" customWidth="1"/>
    <col min="5" max="5" width="12.5703125" style="316" customWidth="1"/>
    <col min="6" max="6" width="4.42578125" style="316" customWidth="1"/>
    <col min="7" max="7" width="29.42578125" style="316" bestFit="1" customWidth="1"/>
    <col min="8" max="8" width="1.42578125" style="316" customWidth="1"/>
    <col min="9" max="9" width="10.5703125" style="316" bestFit="1" customWidth="1"/>
    <col min="10" max="10" width="2.85546875" style="316" customWidth="1"/>
    <col min="11" max="11" width="20.28515625" style="316" bestFit="1" customWidth="1"/>
    <col min="12" max="12" width="2.42578125" style="316" customWidth="1"/>
    <col min="13" max="13" width="29.42578125" style="316" bestFit="1" customWidth="1"/>
    <col min="14" max="14" width="3.140625" style="316" customWidth="1"/>
    <col min="15" max="15" width="12.140625" style="316" bestFit="1" customWidth="1"/>
    <col min="16" max="16" width="3.28515625" style="316" customWidth="1"/>
    <col min="17" max="17" width="12.140625" style="316" bestFit="1" customWidth="1"/>
    <col min="18" max="18" width="2.42578125" style="316" customWidth="1"/>
    <col min="19" max="19" width="11" style="316" bestFit="1" customWidth="1"/>
    <col min="20" max="255" width="12.42578125" style="316"/>
    <col min="256" max="259" width="12.42578125" style="316" customWidth="1"/>
    <col min="260" max="260" width="4.42578125" style="316" customWidth="1"/>
    <col min="261" max="261" width="15.42578125" style="316" customWidth="1"/>
    <col min="262" max="262" width="4.42578125" style="316" customWidth="1"/>
    <col min="263" max="263" width="12.42578125" style="316" customWidth="1"/>
    <col min="264" max="264" width="4.5703125" style="316" customWidth="1"/>
    <col min="265" max="265" width="12.42578125" style="316" customWidth="1"/>
    <col min="266" max="266" width="4.42578125" style="316" customWidth="1"/>
    <col min="267" max="267" width="23.5703125" style="316" bestFit="1" customWidth="1"/>
    <col min="268" max="268" width="5.28515625" style="316" customWidth="1"/>
    <col min="269" max="269" width="15.85546875" style="316" customWidth="1"/>
    <col min="270" max="270" width="4.42578125" style="316" customWidth="1"/>
    <col min="271" max="271" width="13.28515625" style="316" customWidth="1"/>
    <col min="272" max="272" width="4.42578125" style="316" customWidth="1"/>
    <col min="273" max="273" width="12.42578125" style="316" customWidth="1"/>
    <col min="274" max="274" width="2.85546875" style="316" customWidth="1"/>
    <col min="275" max="275" width="14" style="316" bestFit="1" customWidth="1"/>
    <col min="276" max="511" width="12.42578125" style="316"/>
    <col min="512" max="515" width="12.42578125" style="316" customWidth="1"/>
    <col min="516" max="516" width="4.42578125" style="316" customWidth="1"/>
    <col min="517" max="517" width="15.42578125" style="316" customWidth="1"/>
    <col min="518" max="518" width="4.42578125" style="316" customWidth="1"/>
    <col min="519" max="519" width="12.42578125" style="316" customWidth="1"/>
    <col min="520" max="520" width="4.5703125" style="316" customWidth="1"/>
    <col min="521" max="521" width="12.42578125" style="316" customWidth="1"/>
    <col min="522" max="522" width="4.42578125" style="316" customWidth="1"/>
    <col min="523" max="523" width="23.5703125" style="316" bestFit="1" customWidth="1"/>
    <col min="524" max="524" width="5.28515625" style="316" customWidth="1"/>
    <col min="525" max="525" width="15.85546875" style="316" customWidth="1"/>
    <col min="526" max="526" width="4.42578125" style="316" customWidth="1"/>
    <col min="527" max="527" width="13.28515625" style="316" customWidth="1"/>
    <col min="528" max="528" width="4.42578125" style="316" customWidth="1"/>
    <col min="529" max="529" width="12.42578125" style="316" customWidth="1"/>
    <col min="530" max="530" width="2.85546875" style="316" customWidth="1"/>
    <col min="531" max="531" width="14" style="316" bestFit="1" customWidth="1"/>
    <col min="532" max="767" width="12.42578125" style="316"/>
    <col min="768" max="771" width="12.42578125" style="316" customWidth="1"/>
    <col min="772" max="772" width="4.42578125" style="316" customWidth="1"/>
    <col min="773" max="773" width="15.42578125" style="316" customWidth="1"/>
    <col min="774" max="774" width="4.42578125" style="316" customWidth="1"/>
    <col min="775" max="775" width="12.42578125" style="316" customWidth="1"/>
    <col min="776" max="776" width="4.5703125" style="316" customWidth="1"/>
    <col min="777" max="777" width="12.42578125" style="316" customWidth="1"/>
    <col min="778" max="778" width="4.42578125" style="316" customWidth="1"/>
    <col min="779" max="779" width="23.5703125" style="316" bestFit="1" customWidth="1"/>
    <col min="780" max="780" width="5.28515625" style="316" customWidth="1"/>
    <col min="781" max="781" width="15.85546875" style="316" customWidth="1"/>
    <col min="782" max="782" width="4.42578125" style="316" customWidth="1"/>
    <col min="783" max="783" width="13.28515625" style="316" customWidth="1"/>
    <col min="784" max="784" width="4.42578125" style="316" customWidth="1"/>
    <col min="785" max="785" width="12.42578125" style="316" customWidth="1"/>
    <col min="786" max="786" width="2.85546875" style="316" customWidth="1"/>
    <col min="787" max="787" width="14" style="316" bestFit="1" customWidth="1"/>
    <col min="788" max="1023" width="12.42578125" style="316"/>
    <col min="1024" max="1027" width="12.42578125" style="316" customWidth="1"/>
    <col min="1028" max="1028" width="4.42578125" style="316" customWidth="1"/>
    <col min="1029" max="1029" width="15.42578125" style="316" customWidth="1"/>
    <col min="1030" max="1030" width="4.42578125" style="316" customWidth="1"/>
    <col min="1031" max="1031" width="12.42578125" style="316" customWidth="1"/>
    <col min="1032" max="1032" width="4.5703125" style="316" customWidth="1"/>
    <col min="1033" max="1033" width="12.42578125" style="316" customWidth="1"/>
    <col min="1034" max="1034" width="4.42578125" style="316" customWidth="1"/>
    <col min="1035" max="1035" width="23.5703125" style="316" bestFit="1" customWidth="1"/>
    <col min="1036" max="1036" width="5.28515625" style="316" customWidth="1"/>
    <col min="1037" max="1037" width="15.85546875" style="316" customWidth="1"/>
    <col min="1038" max="1038" width="4.42578125" style="316" customWidth="1"/>
    <col min="1039" max="1039" width="13.28515625" style="316" customWidth="1"/>
    <col min="1040" max="1040" width="4.42578125" style="316" customWidth="1"/>
    <col min="1041" max="1041" width="12.42578125" style="316" customWidth="1"/>
    <col min="1042" max="1042" width="2.85546875" style="316" customWidth="1"/>
    <col min="1043" max="1043" width="14" style="316" bestFit="1" customWidth="1"/>
    <col min="1044" max="1279" width="12.42578125" style="316"/>
    <col min="1280" max="1283" width="12.42578125" style="316" customWidth="1"/>
    <col min="1284" max="1284" width="4.42578125" style="316" customWidth="1"/>
    <col min="1285" max="1285" width="15.42578125" style="316" customWidth="1"/>
    <col min="1286" max="1286" width="4.42578125" style="316" customWidth="1"/>
    <col min="1287" max="1287" width="12.42578125" style="316" customWidth="1"/>
    <col min="1288" max="1288" width="4.5703125" style="316" customWidth="1"/>
    <col min="1289" max="1289" width="12.42578125" style="316" customWidth="1"/>
    <col min="1290" max="1290" width="4.42578125" style="316" customWidth="1"/>
    <col min="1291" max="1291" width="23.5703125" style="316" bestFit="1" customWidth="1"/>
    <col min="1292" max="1292" width="5.28515625" style="316" customWidth="1"/>
    <col min="1293" max="1293" width="15.85546875" style="316" customWidth="1"/>
    <col min="1294" max="1294" width="4.42578125" style="316" customWidth="1"/>
    <col min="1295" max="1295" width="13.28515625" style="316" customWidth="1"/>
    <col min="1296" max="1296" width="4.42578125" style="316" customWidth="1"/>
    <col min="1297" max="1297" width="12.42578125" style="316" customWidth="1"/>
    <col min="1298" max="1298" width="2.85546875" style="316" customWidth="1"/>
    <col min="1299" max="1299" width="14" style="316" bestFit="1" customWidth="1"/>
    <col min="1300" max="1535" width="12.42578125" style="316"/>
    <col min="1536" max="1539" width="12.42578125" style="316" customWidth="1"/>
    <col min="1540" max="1540" width="4.42578125" style="316" customWidth="1"/>
    <col min="1541" max="1541" width="15.42578125" style="316" customWidth="1"/>
    <col min="1542" max="1542" width="4.42578125" style="316" customWidth="1"/>
    <col min="1543" max="1543" width="12.42578125" style="316" customWidth="1"/>
    <col min="1544" max="1544" width="4.5703125" style="316" customWidth="1"/>
    <col min="1545" max="1545" width="12.42578125" style="316" customWidth="1"/>
    <col min="1546" max="1546" width="4.42578125" style="316" customWidth="1"/>
    <col min="1547" max="1547" width="23.5703125" style="316" bestFit="1" customWidth="1"/>
    <col min="1548" max="1548" width="5.28515625" style="316" customWidth="1"/>
    <col min="1549" max="1549" width="15.85546875" style="316" customWidth="1"/>
    <col min="1550" max="1550" width="4.42578125" style="316" customWidth="1"/>
    <col min="1551" max="1551" width="13.28515625" style="316" customWidth="1"/>
    <col min="1552" max="1552" width="4.42578125" style="316" customWidth="1"/>
    <col min="1553" max="1553" width="12.42578125" style="316" customWidth="1"/>
    <col min="1554" max="1554" width="2.85546875" style="316" customWidth="1"/>
    <col min="1555" max="1555" width="14" style="316" bestFit="1" customWidth="1"/>
    <col min="1556" max="1791" width="12.42578125" style="316"/>
    <col min="1792" max="1795" width="12.42578125" style="316" customWidth="1"/>
    <col min="1796" max="1796" width="4.42578125" style="316" customWidth="1"/>
    <col min="1797" max="1797" width="15.42578125" style="316" customWidth="1"/>
    <col min="1798" max="1798" width="4.42578125" style="316" customWidth="1"/>
    <col min="1799" max="1799" width="12.42578125" style="316" customWidth="1"/>
    <col min="1800" max="1800" width="4.5703125" style="316" customWidth="1"/>
    <col min="1801" max="1801" width="12.42578125" style="316" customWidth="1"/>
    <col min="1802" max="1802" width="4.42578125" style="316" customWidth="1"/>
    <col min="1803" max="1803" width="23.5703125" style="316" bestFit="1" customWidth="1"/>
    <col min="1804" max="1804" width="5.28515625" style="316" customWidth="1"/>
    <col min="1805" max="1805" width="15.85546875" style="316" customWidth="1"/>
    <col min="1806" max="1806" width="4.42578125" style="316" customWidth="1"/>
    <col min="1807" max="1807" width="13.28515625" style="316" customWidth="1"/>
    <col min="1808" max="1808" width="4.42578125" style="316" customWidth="1"/>
    <col min="1809" max="1809" width="12.42578125" style="316" customWidth="1"/>
    <col min="1810" max="1810" width="2.85546875" style="316" customWidth="1"/>
    <col min="1811" max="1811" width="14" style="316" bestFit="1" customWidth="1"/>
    <col min="1812" max="2047" width="12.42578125" style="316"/>
    <col min="2048" max="2051" width="12.42578125" style="316" customWidth="1"/>
    <col min="2052" max="2052" width="4.42578125" style="316" customWidth="1"/>
    <col min="2053" max="2053" width="15.42578125" style="316" customWidth="1"/>
    <col min="2054" max="2054" width="4.42578125" style="316" customWidth="1"/>
    <col min="2055" max="2055" width="12.42578125" style="316" customWidth="1"/>
    <col min="2056" max="2056" width="4.5703125" style="316" customWidth="1"/>
    <col min="2057" max="2057" width="12.42578125" style="316" customWidth="1"/>
    <col min="2058" max="2058" width="4.42578125" style="316" customWidth="1"/>
    <col min="2059" max="2059" width="23.5703125" style="316" bestFit="1" customWidth="1"/>
    <col min="2060" max="2060" width="5.28515625" style="316" customWidth="1"/>
    <col min="2061" max="2061" width="15.85546875" style="316" customWidth="1"/>
    <col min="2062" max="2062" width="4.42578125" style="316" customWidth="1"/>
    <col min="2063" max="2063" width="13.28515625" style="316" customWidth="1"/>
    <col min="2064" max="2064" width="4.42578125" style="316" customWidth="1"/>
    <col min="2065" max="2065" width="12.42578125" style="316" customWidth="1"/>
    <col min="2066" max="2066" width="2.85546875" style="316" customWidth="1"/>
    <col min="2067" max="2067" width="14" style="316" bestFit="1" customWidth="1"/>
    <col min="2068" max="2303" width="12.42578125" style="316"/>
    <col min="2304" max="2307" width="12.42578125" style="316" customWidth="1"/>
    <col min="2308" max="2308" width="4.42578125" style="316" customWidth="1"/>
    <col min="2309" max="2309" width="15.42578125" style="316" customWidth="1"/>
    <col min="2310" max="2310" width="4.42578125" style="316" customWidth="1"/>
    <col min="2311" max="2311" width="12.42578125" style="316" customWidth="1"/>
    <col min="2312" max="2312" width="4.5703125" style="316" customWidth="1"/>
    <col min="2313" max="2313" width="12.42578125" style="316" customWidth="1"/>
    <col min="2314" max="2314" width="4.42578125" style="316" customWidth="1"/>
    <col min="2315" max="2315" width="23.5703125" style="316" bestFit="1" customWidth="1"/>
    <col min="2316" max="2316" width="5.28515625" style="316" customWidth="1"/>
    <col min="2317" max="2317" width="15.85546875" style="316" customWidth="1"/>
    <col min="2318" max="2318" width="4.42578125" style="316" customWidth="1"/>
    <col min="2319" max="2319" width="13.28515625" style="316" customWidth="1"/>
    <col min="2320" max="2320" width="4.42578125" style="316" customWidth="1"/>
    <col min="2321" max="2321" width="12.42578125" style="316" customWidth="1"/>
    <col min="2322" max="2322" width="2.85546875" style="316" customWidth="1"/>
    <col min="2323" max="2323" width="14" style="316" bestFit="1" customWidth="1"/>
    <col min="2324" max="2559" width="12.42578125" style="316"/>
    <col min="2560" max="2563" width="12.42578125" style="316" customWidth="1"/>
    <col min="2564" max="2564" width="4.42578125" style="316" customWidth="1"/>
    <col min="2565" max="2565" width="15.42578125" style="316" customWidth="1"/>
    <col min="2566" max="2566" width="4.42578125" style="316" customWidth="1"/>
    <col min="2567" max="2567" width="12.42578125" style="316" customWidth="1"/>
    <col min="2568" max="2568" width="4.5703125" style="316" customWidth="1"/>
    <col min="2569" max="2569" width="12.42578125" style="316" customWidth="1"/>
    <col min="2570" max="2570" width="4.42578125" style="316" customWidth="1"/>
    <col min="2571" max="2571" width="23.5703125" style="316" bestFit="1" customWidth="1"/>
    <col min="2572" max="2572" width="5.28515625" style="316" customWidth="1"/>
    <col min="2573" max="2573" width="15.85546875" style="316" customWidth="1"/>
    <col min="2574" max="2574" width="4.42578125" style="316" customWidth="1"/>
    <col min="2575" max="2575" width="13.28515625" style="316" customWidth="1"/>
    <col min="2576" max="2576" width="4.42578125" style="316" customWidth="1"/>
    <col min="2577" max="2577" width="12.42578125" style="316" customWidth="1"/>
    <col min="2578" max="2578" width="2.85546875" style="316" customWidth="1"/>
    <col min="2579" max="2579" width="14" style="316" bestFit="1" customWidth="1"/>
    <col min="2580" max="2815" width="12.42578125" style="316"/>
    <col min="2816" max="2819" width="12.42578125" style="316" customWidth="1"/>
    <col min="2820" max="2820" width="4.42578125" style="316" customWidth="1"/>
    <col min="2821" max="2821" width="15.42578125" style="316" customWidth="1"/>
    <col min="2822" max="2822" width="4.42578125" style="316" customWidth="1"/>
    <col min="2823" max="2823" width="12.42578125" style="316" customWidth="1"/>
    <col min="2824" max="2824" width="4.5703125" style="316" customWidth="1"/>
    <col min="2825" max="2825" width="12.42578125" style="316" customWidth="1"/>
    <col min="2826" max="2826" width="4.42578125" style="316" customWidth="1"/>
    <col min="2827" max="2827" width="23.5703125" style="316" bestFit="1" customWidth="1"/>
    <col min="2828" max="2828" width="5.28515625" style="316" customWidth="1"/>
    <col min="2829" max="2829" width="15.85546875" style="316" customWidth="1"/>
    <col min="2830" max="2830" width="4.42578125" style="316" customWidth="1"/>
    <col min="2831" max="2831" width="13.28515625" style="316" customWidth="1"/>
    <col min="2832" max="2832" width="4.42578125" style="316" customWidth="1"/>
    <col min="2833" max="2833" width="12.42578125" style="316" customWidth="1"/>
    <col min="2834" max="2834" width="2.85546875" style="316" customWidth="1"/>
    <col min="2835" max="2835" width="14" style="316" bestFit="1" customWidth="1"/>
    <col min="2836" max="3071" width="12.42578125" style="316"/>
    <col min="3072" max="3075" width="12.42578125" style="316" customWidth="1"/>
    <col min="3076" max="3076" width="4.42578125" style="316" customWidth="1"/>
    <col min="3077" max="3077" width="15.42578125" style="316" customWidth="1"/>
    <col min="3078" max="3078" width="4.42578125" style="316" customWidth="1"/>
    <col min="3079" max="3079" width="12.42578125" style="316" customWidth="1"/>
    <col min="3080" max="3080" width="4.5703125" style="316" customWidth="1"/>
    <col min="3081" max="3081" width="12.42578125" style="316" customWidth="1"/>
    <col min="3082" max="3082" width="4.42578125" style="316" customWidth="1"/>
    <col min="3083" max="3083" width="23.5703125" style="316" bestFit="1" customWidth="1"/>
    <col min="3084" max="3084" width="5.28515625" style="316" customWidth="1"/>
    <col min="3085" max="3085" width="15.85546875" style="316" customWidth="1"/>
    <col min="3086" max="3086" width="4.42578125" style="316" customWidth="1"/>
    <col min="3087" max="3087" width="13.28515625" style="316" customWidth="1"/>
    <col min="3088" max="3088" width="4.42578125" style="316" customWidth="1"/>
    <col min="3089" max="3089" width="12.42578125" style="316" customWidth="1"/>
    <col min="3090" max="3090" width="2.85546875" style="316" customWidth="1"/>
    <col min="3091" max="3091" width="14" style="316" bestFit="1" customWidth="1"/>
    <col min="3092" max="3327" width="12.42578125" style="316"/>
    <col min="3328" max="3331" width="12.42578125" style="316" customWidth="1"/>
    <col min="3332" max="3332" width="4.42578125" style="316" customWidth="1"/>
    <col min="3333" max="3333" width="15.42578125" style="316" customWidth="1"/>
    <col min="3334" max="3334" width="4.42578125" style="316" customWidth="1"/>
    <col min="3335" max="3335" width="12.42578125" style="316" customWidth="1"/>
    <col min="3336" max="3336" width="4.5703125" style="316" customWidth="1"/>
    <col min="3337" max="3337" width="12.42578125" style="316" customWidth="1"/>
    <col min="3338" max="3338" width="4.42578125" style="316" customWidth="1"/>
    <col min="3339" max="3339" width="23.5703125" style="316" bestFit="1" customWidth="1"/>
    <col min="3340" max="3340" width="5.28515625" style="316" customWidth="1"/>
    <col min="3341" max="3341" width="15.85546875" style="316" customWidth="1"/>
    <col min="3342" max="3342" width="4.42578125" style="316" customWidth="1"/>
    <col min="3343" max="3343" width="13.28515625" style="316" customWidth="1"/>
    <col min="3344" max="3344" width="4.42578125" style="316" customWidth="1"/>
    <col min="3345" max="3345" width="12.42578125" style="316" customWidth="1"/>
    <col min="3346" max="3346" width="2.85546875" style="316" customWidth="1"/>
    <col min="3347" max="3347" width="14" style="316" bestFit="1" customWidth="1"/>
    <col min="3348" max="3583" width="12.42578125" style="316"/>
    <col min="3584" max="3587" width="12.42578125" style="316" customWidth="1"/>
    <col min="3588" max="3588" width="4.42578125" style="316" customWidth="1"/>
    <col min="3589" max="3589" width="15.42578125" style="316" customWidth="1"/>
    <col min="3590" max="3590" width="4.42578125" style="316" customWidth="1"/>
    <col min="3591" max="3591" width="12.42578125" style="316" customWidth="1"/>
    <col min="3592" max="3592" width="4.5703125" style="316" customWidth="1"/>
    <col min="3593" max="3593" width="12.42578125" style="316" customWidth="1"/>
    <col min="3594" max="3594" width="4.42578125" style="316" customWidth="1"/>
    <col min="3595" max="3595" width="23.5703125" style="316" bestFit="1" customWidth="1"/>
    <col min="3596" max="3596" width="5.28515625" style="316" customWidth="1"/>
    <col min="3597" max="3597" width="15.85546875" style="316" customWidth="1"/>
    <col min="3598" max="3598" width="4.42578125" style="316" customWidth="1"/>
    <col min="3599" max="3599" width="13.28515625" style="316" customWidth="1"/>
    <col min="3600" max="3600" width="4.42578125" style="316" customWidth="1"/>
    <col min="3601" max="3601" width="12.42578125" style="316" customWidth="1"/>
    <col min="3602" max="3602" width="2.85546875" style="316" customWidth="1"/>
    <col min="3603" max="3603" width="14" style="316" bestFit="1" customWidth="1"/>
    <col min="3604" max="3839" width="12.42578125" style="316"/>
    <col min="3840" max="3843" width="12.42578125" style="316" customWidth="1"/>
    <col min="3844" max="3844" width="4.42578125" style="316" customWidth="1"/>
    <col min="3845" max="3845" width="15.42578125" style="316" customWidth="1"/>
    <col min="3846" max="3846" width="4.42578125" style="316" customWidth="1"/>
    <col min="3847" max="3847" width="12.42578125" style="316" customWidth="1"/>
    <col min="3848" max="3848" width="4.5703125" style="316" customWidth="1"/>
    <col min="3849" max="3849" width="12.42578125" style="316" customWidth="1"/>
    <col min="3850" max="3850" width="4.42578125" style="316" customWidth="1"/>
    <col min="3851" max="3851" width="23.5703125" style="316" bestFit="1" customWidth="1"/>
    <col min="3852" max="3852" width="5.28515625" style="316" customWidth="1"/>
    <col min="3853" max="3853" width="15.85546875" style="316" customWidth="1"/>
    <col min="3854" max="3854" width="4.42578125" style="316" customWidth="1"/>
    <col min="3855" max="3855" width="13.28515625" style="316" customWidth="1"/>
    <col min="3856" max="3856" width="4.42578125" style="316" customWidth="1"/>
    <col min="3857" max="3857" width="12.42578125" style="316" customWidth="1"/>
    <col min="3858" max="3858" width="2.85546875" style="316" customWidth="1"/>
    <col min="3859" max="3859" width="14" style="316" bestFit="1" customWidth="1"/>
    <col min="3860" max="4095" width="12.42578125" style="316"/>
    <col min="4096" max="4099" width="12.42578125" style="316" customWidth="1"/>
    <col min="4100" max="4100" width="4.42578125" style="316" customWidth="1"/>
    <col min="4101" max="4101" width="15.42578125" style="316" customWidth="1"/>
    <col min="4102" max="4102" width="4.42578125" style="316" customWidth="1"/>
    <col min="4103" max="4103" width="12.42578125" style="316" customWidth="1"/>
    <col min="4104" max="4104" width="4.5703125" style="316" customWidth="1"/>
    <col min="4105" max="4105" width="12.42578125" style="316" customWidth="1"/>
    <col min="4106" max="4106" width="4.42578125" style="316" customWidth="1"/>
    <col min="4107" max="4107" width="23.5703125" style="316" bestFit="1" customWidth="1"/>
    <col min="4108" max="4108" width="5.28515625" style="316" customWidth="1"/>
    <col min="4109" max="4109" width="15.85546875" style="316" customWidth="1"/>
    <col min="4110" max="4110" width="4.42578125" style="316" customWidth="1"/>
    <col min="4111" max="4111" width="13.28515625" style="316" customWidth="1"/>
    <col min="4112" max="4112" width="4.42578125" style="316" customWidth="1"/>
    <col min="4113" max="4113" width="12.42578125" style="316" customWidth="1"/>
    <col min="4114" max="4114" width="2.85546875" style="316" customWidth="1"/>
    <col min="4115" max="4115" width="14" style="316" bestFit="1" customWidth="1"/>
    <col min="4116" max="4351" width="12.42578125" style="316"/>
    <col min="4352" max="4355" width="12.42578125" style="316" customWidth="1"/>
    <col min="4356" max="4356" width="4.42578125" style="316" customWidth="1"/>
    <col min="4357" max="4357" width="15.42578125" style="316" customWidth="1"/>
    <col min="4358" max="4358" width="4.42578125" style="316" customWidth="1"/>
    <col min="4359" max="4359" width="12.42578125" style="316" customWidth="1"/>
    <col min="4360" max="4360" width="4.5703125" style="316" customWidth="1"/>
    <col min="4361" max="4361" width="12.42578125" style="316" customWidth="1"/>
    <col min="4362" max="4362" width="4.42578125" style="316" customWidth="1"/>
    <col min="4363" max="4363" width="23.5703125" style="316" bestFit="1" customWidth="1"/>
    <col min="4364" max="4364" width="5.28515625" style="316" customWidth="1"/>
    <col min="4365" max="4365" width="15.85546875" style="316" customWidth="1"/>
    <col min="4366" max="4366" width="4.42578125" style="316" customWidth="1"/>
    <col min="4367" max="4367" width="13.28515625" style="316" customWidth="1"/>
    <col min="4368" max="4368" width="4.42578125" style="316" customWidth="1"/>
    <col min="4369" max="4369" width="12.42578125" style="316" customWidth="1"/>
    <col min="4370" max="4370" width="2.85546875" style="316" customWidth="1"/>
    <col min="4371" max="4371" width="14" style="316" bestFit="1" customWidth="1"/>
    <col min="4372" max="4607" width="12.42578125" style="316"/>
    <col min="4608" max="4611" width="12.42578125" style="316" customWidth="1"/>
    <col min="4612" max="4612" width="4.42578125" style="316" customWidth="1"/>
    <col min="4613" max="4613" width="15.42578125" style="316" customWidth="1"/>
    <col min="4614" max="4614" width="4.42578125" style="316" customWidth="1"/>
    <col min="4615" max="4615" width="12.42578125" style="316" customWidth="1"/>
    <col min="4616" max="4616" width="4.5703125" style="316" customWidth="1"/>
    <col min="4617" max="4617" width="12.42578125" style="316" customWidth="1"/>
    <col min="4618" max="4618" width="4.42578125" style="316" customWidth="1"/>
    <col min="4619" max="4619" width="23.5703125" style="316" bestFit="1" customWidth="1"/>
    <col min="4620" max="4620" width="5.28515625" style="316" customWidth="1"/>
    <col min="4621" max="4621" width="15.85546875" style="316" customWidth="1"/>
    <col min="4622" max="4622" width="4.42578125" style="316" customWidth="1"/>
    <col min="4623" max="4623" width="13.28515625" style="316" customWidth="1"/>
    <col min="4624" max="4624" width="4.42578125" style="316" customWidth="1"/>
    <col min="4625" max="4625" width="12.42578125" style="316" customWidth="1"/>
    <col min="4626" max="4626" width="2.85546875" style="316" customWidth="1"/>
    <col min="4627" max="4627" width="14" style="316" bestFit="1" customWidth="1"/>
    <col min="4628" max="4863" width="12.42578125" style="316"/>
    <col min="4864" max="4867" width="12.42578125" style="316" customWidth="1"/>
    <col min="4868" max="4868" width="4.42578125" style="316" customWidth="1"/>
    <col min="4869" max="4869" width="15.42578125" style="316" customWidth="1"/>
    <col min="4870" max="4870" width="4.42578125" style="316" customWidth="1"/>
    <col min="4871" max="4871" width="12.42578125" style="316" customWidth="1"/>
    <col min="4872" max="4872" width="4.5703125" style="316" customWidth="1"/>
    <col min="4873" max="4873" width="12.42578125" style="316" customWidth="1"/>
    <col min="4874" max="4874" width="4.42578125" style="316" customWidth="1"/>
    <col min="4875" max="4875" width="23.5703125" style="316" bestFit="1" customWidth="1"/>
    <col min="4876" max="4876" width="5.28515625" style="316" customWidth="1"/>
    <col min="4877" max="4877" width="15.85546875" style="316" customWidth="1"/>
    <col min="4878" max="4878" width="4.42578125" style="316" customWidth="1"/>
    <col min="4879" max="4879" width="13.28515625" style="316" customWidth="1"/>
    <col min="4880" max="4880" width="4.42578125" style="316" customWidth="1"/>
    <col min="4881" max="4881" width="12.42578125" style="316" customWidth="1"/>
    <col min="4882" max="4882" width="2.85546875" style="316" customWidth="1"/>
    <col min="4883" max="4883" width="14" style="316" bestFit="1" customWidth="1"/>
    <col min="4884" max="5119" width="12.42578125" style="316"/>
    <col min="5120" max="5123" width="12.42578125" style="316" customWidth="1"/>
    <col min="5124" max="5124" width="4.42578125" style="316" customWidth="1"/>
    <col min="5125" max="5125" width="15.42578125" style="316" customWidth="1"/>
    <col min="5126" max="5126" width="4.42578125" style="316" customWidth="1"/>
    <col min="5127" max="5127" width="12.42578125" style="316" customWidth="1"/>
    <col min="5128" max="5128" width="4.5703125" style="316" customWidth="1"/>
    <col min="5129" max="5129" width="12.42578125" style="316" customWidth="1"/>
    <col min="5130" max="5130" width="4.42578125" style="316" customWidth="1"/>
    <col min="5131" max="5131" width="23.5703125" style="316" bestFit="1" customWidth="1"/>
    <col min="5132" max="5132" width="5.28515625" style="316" customWidth="1"/>
    <col min="5133" max="5133" width="15.85546875" style="316" customWidth="1"/>
    <col min="5134" max="5134" width="4.42578125" style="316" customWidth="1"/>
    <col min="5135" max="5135" width="13.28515625" style="316" customWidth="1"/>
    <col min="5136" max="5136" width="4.42578125" style="316" customWidth="1"/>
    <col min="5137" max="5137" width="12.42578125" style="316" customWidth="1"/>
    <col min="5138" max="5138" width="2.85546875" style="316" customWidth="1"/>
    <col min="5139" max="5139" width="14" style="316" bestFit="1" customWidth="1"/>
    <col min="5140" max="5375" width="12.42578125" style="316"/>
    <col min="5376" max="5379" width="12.42578125" style="316" customWidth="1"/>
    <col min="5380" max="5380" width="4.42578125" style="316" customWidth="1"/>
    <col min="5381" max="5381" width="15.42578125" style="316" customWidth="1"/>
    <col min="5382" max="5382" width="4.42578125" style="316" customWidth="1"/>
    <col min="5383" max="5383" width="12.42578125" style="316" customWidth="1"/>
    <col min="5384" max="5384" width="4.5703125" style="316" customWidth="1"/>
    <col min="5385" max="5385" width="12.42578125" style="316" customWidth="1"/>
    <col min="5386" max="5386" width="4.42578125" style="316" customWidth="1"/>
    <col min="5387" max="5387" width="23.5703125" style="316" bestFit="1" customWidth="1"/>
    <col min="5388" max="5388" width="5.28515625" style="316" customWidth="1"/>
    <col min="5389" max="5389" width="15.85546875" style="316" customWidth="1"/>
    <col min="5390" max="5390" width="4.42578125" style="316" customWidth="1"/>
    <col min="5391" max="5391" width="13.28515625" style="316" customWidth="1"/>
    <col min="5392" max="5392" width="4.42578125" style="316" customWidth="1"/>
    <col min="5393" max="5393" width="12.42578125" style="316" customWidth="1"/>
    <col min="5394" max="5394" width="2.85546875" style="316" customWidth="1"/>
    <col min="5395" max="5395" width="14" style="316" bestFit="1" customWidth="1"/>
    <col min="5396" max="5631" width="12.42578125" style="316"/>
    <col min="5632" max="5635" width="12.42578125" style="316" customWidth="1"/>
    <col min="5636" max="5636" width="4.42578125" style="316" customWidth="1"/>
    <col min="5637" max="5637" width="15.42578125" style="316" customWidth="1"/>
    <col min="5638" max="5638" width="4.42578125" style="316" customWidth="1"/>
    <col min="5639" max="5639" width="12.42578125" style="316" customWidth="1"/>
    <col min="5640" max="5640" width="4.5703125" style="316" customWidth="1"/>
    <col min="5641" max="5641" width="12.42578125" style="316" customWidth="1"/>
    <col min="5642" max="5642" width="4.42578125" style="316" customWidth="1"/>
    <col min="5643" max="5643" width="23.5703125" style="316" bestFit="1" customWidth="1"/>
    <col min="5644" max="5644" width="5.28515625" style="316" customWidth="1"/>
    <col min="5645" max="5645" width="15.85546875" style="316" customWidth="1"/>
    <col min="5646" max="5646" width="4.42578125" style="316" customWidth="1"/>
    <col min="5647" max="5647" width="13.28515625" style="316" customWidth="1"/>
    <col min="5648" max="5648" width="4.42578125" style="316" customWidth="1"/>
    <col min="5649" max="5649" width="12.42578125" style="316" customWidth="1"/>
    <col min="5650" max="5650" width="2.85546875" style="316" customWidth="1"/>
    <col min="5651" max="5651" width="14" style="316" bestFit="1" customWidth="1"/>
    <col min="5652" max="5887" width="12.42578125" style="316"/>
    <col min="5888" max="5891" width="12.42578125" style="316" customWidth="1"/>
    <col min="5892" max="5892" width="4.42578125" style="316" customWidth="1"/>
    <col min="5893" max="5893" width="15.42578125" style="316" customWidth="1"/>
    <col min="5894" max="5894" width="4.42578125" style="316" customWidth="1"/>
    <col min="5895" max="5895" width="12.42578125" style="316" customWidth="1"/>
    <col min="5896" max="5896" width="4.5703125" style="316" customWidth="1"/>
    <col min="5897" max="5897" width="12.42578125" style="316" customWidth="1"/>
    <col min="5898" max="5898" width="4.42578125" style="316" customWidth="1"/>
    <col min="5899" max="5899" width="23.5703125" style="316" bestFit="1" customWidth="1"/>
    <col min="5900" max="5900" width="5.28515625" style="316" customWidth="1"/>
    <col min="5901" max="5901" width="15.85546875" style="316" customWidth="1"/>
    <col min="5902" max="5902" width="4.42578125" style="316" customWidth="1"/>
    <col min="5903" max="5903" width="13.28515625" style="316" customWidth="1"/>
    <col min="5904" max="5904" width="4.42578125" style="316" customWidth="1"/>
    <col min="5905" max="5905" width="12.42578125" style="316" customWidth="1"/>
    <col min="5906" max="5906" width="2.85546875" style="316" customWidth="1"/>
    <col min="5907" max="5907" width="14" style="316" bestFit="1" customWidth="1"/>
    <col min="5908" max="6143" width="12.42578125" style="316"/>
    <col min="6144" max="6147" width="12.42578125" style="316" customWidth="1"/>
    <col min="6148" max="6148" width="4.42578125" style="316" customWidth="1"/>
    <col min="6149" max="6149" width="15.42578125" style="316" customWidth="1"/>
    <col min="6150" max="6150" width="4.42578125" style="316" customWidth="1"/>
    <col min="6151" max="6151" width="12.42578125" style="316" customWidth="1"/>
    <col min="6152" max="6152" width="4.5703125" style="316" customWidth="1"/>
    <col min="6153" max="6153" width="12.42578125" style="316" customWidth="1"/>
    <col min="6154" max="6154" width="4.42578125" style="316" customWidth="1"/>
    <col min="6155" max="6155" width="23.5703125" style="316" bestFit="1" customWidth="1"/>
    <col min="6156" max="6156" width="5.28515625" style="316" customWidth="1"/>
    <col min="6157" max="6157" width="15.85546875" style="316" customWidth="1"/>
    <col min="6158" max="6158" width="4.42578125" style="316" customWidth="1"/>
    <col min="6159" max="6159" width="13.28515625" style="316" customWidth="1"/>
    <col min="6160" max="6160" width="4.42578125" style="316" customWidth="1"/>
    <col min="6161" max="6161" width="12.42578125" style="316" customWidth="1"/>
    <col min="6162" max="6162" width="2.85546875" style="316" customWidth="1"/>
    <col min="6163" max="6163" width="14" style="316" bestFit="1" customWidth="1"/>
    <col min="6164" max="6399" width="12.42578125" style="316"/>
    <col min="6400" max="6403" width="12.42578125" style="316" customWidth="1"/>
    <col min="6404" max="6404" width="4.42578125" style="316" customWidth="1"/>
    <col min="6405" max="6405" width="15.42578125" style="316" customWidth="1"/>
    <col min="6406" max="6406" width="4.42578125" style="316" customWidth="1"/>
    <col min="6407" max="6407" width="12.42578125" style="316" customWidth="1"/>
    <col min="6408" max="6408" width="4.5703125" style="316" customWidth="1"/>
    <col min="6409" max="6409" width="12.42578125" style="316" customWidth="1"/>
    <col min="6410" max="6410" width="4.42578125" style="316" customWidth="1"/>
    <col min="6411" max="6411" width="23.5703125" style="316" bestFit="1" customWidth="1"/>
    <col min="6412" max="6412" width="5.28515625" style="316" customWidth="1"/>
    <col min="6413" max="6413" width="15.85546875" style="316" customWidth="1"/>
    <col min="6414" max="6414" width="4.42578125" style="316" customWidth="1"/>
    <col min="6415" max="6415" width="13.28515625" style="316" customWidth="1"/>
    <col min="6416" max="6416" width="4.42578125" style="316" customWidth="1"/>
    <col min="6417" max="6417" width="12.42578125" style="316" customWidth="1"/>
    <col min="6418" max="6418" width="2.85546875" style="316" customWidth="1"/>
    <col min="6419" max="6419" width="14" style="316" bestFit="1" customWidth="1"/>
    <col min="6420" max="6655" width="12.42578125" style="316"/>
    <col min="6656" max="6659" width="12.42578125" style="316" customWidth="1"/>
    <col min="6660" max="6660" width="4.42578125" style="316" customWidth="1"/>
    <col min="6661" max="6661" width="15.42578125" style="316" customWidth="1"/>
    <col min="6662" max="6662" width="4.42578125" style="316" customWidth="1"/>
    <col min="6663" max="6663" width="12.42578125" style="316" customWidth="1"/>
    <col min="6664" max="6664" width="4.5703125" style="316" customWidth="1"/>
    <col min="6665" max="6665" width="12.42578125" style="316" customWidth="1"/>
    <col min="6666" max="6666" width="4.42578125" style="316" customWidth="1"/>
    <col min="6667" max="6667" width="23.5703125" style="316" bestFit="1" customWidth="1"/>
    <col min="6668" max="6668" width="5.28515625" style="316" customWidth="1"/>
    <col min="6669" max="6669" width="15.85546875" style="316" customWidth="1"/>
    <col min="6670" max="6670" width="4.42578125" style="316" customWidth="1"/>
    <col min="6671" max="6671" width="13.28515625" style="316" customWidth="1"/>
    <col min="6672" max="6672" width="4.42578125" style="316" customWidth="1"/>
    <col min="6673" max="6673" width="12.42578125" style="316" customWidth="1"/>
    <col min="6674" max="6674" width="2.85546875" style="316" customWidth="1"/>
    <col min="6675" max="6675" width="14" style="316" bestFit="1" customWidth="1"/>
    <col min="6676" max="6911" width="12.42578125" style="316"/>
    <col min="6912" max="6915" width="12.42578125" style="316" customWidth="1"/>
    <col min="6916" max="6916" width="4.42578125" style="316" customWidth="1"/>
    <col min="6917" max="6917" width="15.42578125" style="316" customWidth="1"/>
    <col min="6918" max="6918" width="4.42578125" style="316" customWidth="1"/>
    <col min="6919" max="6919" width="12.42578125" style="316" customWidth="1"/>
    <col min="6920" max="6920" width="4.5703125" style="316" customWidth="1"/>
    <col min="6921" max="6921" width="12.42578125" style="316" customWidth="1"/>
    <col min="6922" max="6922" width="4.42578125" style="316" customWidth="1"/>
    <col min="6923" max="6923" width="23.5703125" style="316" bestFit="1" customWidth="1"/>
    <col min="6924" max="6924" width="5.28515625" style="316" customWidth="1"/>
    <col min="6925" max="6925" width="15.85546875" style="316" customWidth="1"/>
    <col min="6926" max="6926" width="4.42578125" style="316" customWidth="1"/>
    <col min="6927" max="6927" width="13.28515625" style="316" customWidth="1"/>
    <col min="6928" max="6928" width="4.42578125" style="316" customWidth="1"/>
    <col min="6929" max="6929" width="12.42578125" style="316" customWidth="1"/>
    <col min="6930" max="6930" width="2.85546875" style="316" customWidth="1"/>
    <col min="6931" max="6931" width="14" style="316" bestFit="1" customWidth="1"/>
    <col min="6932" max="7167" width="12.42578125" style="316"/>
    <col min="7168" max="7171" width="12.42578125" style="316" customWidth="1"/>
    <col min="7172" max="7172" width="4.42578125" style="316" customWidth="1"/>
    <col min="7173" max="7173" width="15.42578125" style="316" customWidth="1"/>
    <col min="7174" max="7174" width="4.42578125" style="316" customWidth="1"/>
    <col min="7175" max="7175" width="12.42578125" style="316" customWidth="1"/>
    <col min="7176" max="7176" width="4.5703125" style="316" customWidth="1"/>
    <col min="7177" max="7177" width="12.42578125" style="316" customWidth="1"/>
    <col min="7178" max="7178" width="4.42578125" style="316" customWidth="1"/>
    <col min="7179" max="7179" width="23.5703125" style="316" bestFit="1" customWidth="1"/>
    <col min="7180" max="7180" width="5.28515625" style="316" customWidth="1"/>
    <col min="7181" max="7181" width="15.85546875" style="316" customWidth="1"/>
    <col min="7182" max="7182" width="4.42578125" style="316" customWidth="1"/>
    <col min="7183" max="7183" width="13.28515625" style="316" customWidth="1"/>
    <col min="7184" max="7184" width="4.42578125" style="316" customWidth="1"/>
    <col min="7185" max="7185" width="12.42578125" style="316" customWidth="1"/>
    <col min="7186" max="7186" width="2.85546875" style="316" customWidth="1"/>
    <col min="7187" max="7187" width="14" style="316" bestFit="1" customWidth="1"/>
    <col min="7188" max="7423" width="12.42578125" style="316"/>
    <col min="7424" max="7427" width="12.42578125" style="316" customWidth="1"/>
    <col min="7428" max="7428" width="4.42578125" style="316" customWidth="1"/>
    <col min="7429" max="7429" width="15.42578125" style="316" customWidth="1"/>
    <col min="7430" max="7430" width="4.42578125" style="316" customWidth="1"/>
    <col min="7431" max="7431" width="12.42578125" style="316" customWidth="1"/>
    <col min="7432" max="7432" width="4.5703125" style="316" customWidth="1"/>
    <col min="7433" max="7433" width="12.42578125" style="316" customWidth="1"/>
    <col min="7434" max="7434" width="4.42578125" style="316" customWidth="1"/>
    <col min="7435" max="7435" width="23.5703125" style="316" bestFit="1" customWidth="1"/>
    <col min="7436" max="7436" width="5.28515625" style="316" customWidth="1"/>
    <col min="7437" max="7437" width="15.85546875" style="316" customWidth="1"/>
    <col min="7438" max="7438" width="4.42578125" style="316" customWidth="1"/>
    <col min="7439" max="7439" width="13.28515625" style="316" customWidth="1"/>
    <col min="7440" max="7440" width="4.42578125" style="316" customWidth="1"/>
    <col min="7441" max="7441" width="12.42578125" style="316" customWidth="1"/>
    <col min="7442" max="7442" width="2.85546875" style="316" customWidth="1"/>
    <col min="7443" max="7443" width="14" style="316" bestFit="1" customWidth="1"/>
    <col min="7444" max="7679" width="12.42578125" style="316"/>
    <col min="7680" max="7683" width="12.42578125" style="316" customWidth="1"/>
    <col min="7684" max="7684" width="4.42578125" style="316" customWidth="1"/>
    <col min="7685" max="7685" width="15.42578125" style="316" customWidth="1"/>
    <col min="7686" max="7686" width="4.42578125" style="316" customWidth="1"/>
    <col min="7687" max="7687" width="12.42578125" style="316" customWidth="1"/>
    <col min="7688" max="7688" width="4.5703125" style="316" customWidth="1"/>
    <col min="7689" max="7689" width="12.42578125" style="316" customWidth="1"/>
    <col min="7690" max="7690" width="4.42578125" style="316" customWidth="1"/>
    <col min="7691" max="7691" width="23.5703125" style="316" bestFit="1" customWidth="1"/>
    <col min="7692" max="7692" width="5.28515625" style="316" customWidth="1"/>
    <col min="7693" max="7693" width="15.85546875" style="316" customWidth="1"/>
    <col min="7694" max="7694" width="4.42578125" style="316" customWidth="1"/>
    <col min="7695" max="7695" width="13.28515625" style="316" customWidth="1"/>
    <col min="7696" max="7696" width="4.42578125" style="316" customWidth="1"/>
    <col min="7697" max="7697" width="12.42578125" style="316" customWidth="1"/>
    <col min="7698" max="7698" width="2.85546875" style="316" customWidth="1"/>
    <col min="7699" max="7699" width="14" style="316" bestFit="1" customWidth="1"/>
    <col min="7700" max="7935" width="12.42578125" style="316"/>
    <col min="7936" max="7939" width="12.42578125" style="316" customWidth="1"/>
    <col min="7940" max="7940" width="4.42578125" style="316" customWidth="1"/>
    <col min="7941" max="7941" width="15.42578125" style="316" customWidth="1"/>
    <col min="7942" max="7942" width="4.42578125" style="316" customWidth="1"/>
    <col min="7943" max="7943" width="12.42578125" style="316" customWidth="1"/>
    <col min="7944" max="7944" width="4.5703125" style="316" customWidth="1"/>
    <col min="7945" max="7945" width="12.42578125" style="316" customWidth="1"/>
    <col min="7946" max="7946" width="4.42578125" style="316" customWidth="1"/>
    <col min="7947" max="7947" width="23.5703125" style="316" bestFit="1" customWidth="1"/>
    <col min="7948" max="7948" width="5.28515625" style="316" customWidth="1"/>
    <col min="7949" max="7949" width="15.85546875" style="316" customWidth="1"/>
    <col min="7950" max="7950" width="4.42578125" style="316" customWidth="1"/>
    <col min="7951" max="7951" width="13.28515625" style="316" customWidth="1"/>
    <col min="7952" max="7952" width="4.42578125" style="316" customWidth="1"/>
    <col min="7953" max="7953" width="12.42578125" style="316" customWidth="1"/>
    <col min="7954" max="7954" width="2.85546875" style="316" customWidth="1"/>
    <col min="7955" max="7955" width="14" style="316" bestFit="1" customWidth="1"/>
    <col min="7956" max="8191" width="12.42578125" style="316"/>
    <col min="8192" max="8195" width="12.42578125" style="316" customWidth="1"/>
    <col min="8196" max="8196" width="4.42578125" style="316" customWidth="1"/>
    <col min="8197" max="8197" width="15.42578125" style="316" customWidth="1"/>
    <col min="8198" max="8198" width="4.42578125" style="316" customWidth="1"/>
    <col min="8199" max="8199" width="12.42578125" style="316" customWidth="1"/>
    <col min="8200" max="8200" width="4.5703125" style="316" customWidth="1"/>
    <col min="8201" max="8201" width="12.42578125" style="316" customWidth="1"/>
    <col min="8202" max="8202" width="4.42578125" style="316" customWidth="1"/>
    <col min="8203" max="8203" width="23.5703125" style="316" bestFit="1" customWidth="1"/>
    <col min="8204" max="8204" width="5.28515625" style="316" customWidth="1"/>
    <col min="8205" max="8205" width="15.85546875" style="316" customWidth="1"/>
    <col min="8206" max="8206" width="4.42578125" style="316" customWidth="1"/>
    <col min="8207" max="8207" width="13.28515625" style="316" customWidth="1"/>
    <col min="8208" max="8208" width="4.42578125" style="316" customWidth="1"/>
    <col min="8209" max="8209" width="12.42578125" style="316" customWidth="1"/>
    <col min="8210" max="8210" width="2.85546875" style="316" customWidth="1"/>
    <col min="8211" max="8211" width="14" style="316" bestFit="1" customWidth="1"/>
    <col min="8212" max="8447" width="12.42578125" style="316"/>
    <col min="8448" max="8451" width="12.42578125" style="316" customWidth="1"/>
    <col min="8452" max="8452" width="4.42578125" style="316" customWidth="1"/>
    <col min="8453" max="8453" width="15.42578125" style="316" customWidth="1"/>
    <col min="8454" max="8454" width="4.42578125" style="316" customWidth="1"/>
    <col min="8455" max="8455" width="12.42578125" style="316" customWidth="1"/>
    <col min="8456" max="8456" width="4.5703125" style="316" customWidth="1"/>
    <col min="8457" max="8457" width="12.42578125" style="316" customWidth="1"/>
    <col min="8458" max="8458" width="4.42578125" style="316" customWidth="1"/>
    <col min="8459" max="8459" width="23.5703125" style="316" bestFit="1" customWidth="1"/>
    <col min="8460" max="8460" width="5.28515625" style="316" customWidth="1"/>
    <col min="8461" max="8461" width="15.85546875" style="316" customWidth="1"/>
    <col min="8462" max="8462" width="4.42578125" style="316" customWidth="1"/>
    <col min="8463" max="8463" width="13.28515625" style="316" customWidth="1"/>
    <col min="8464" max="8464" width="4.42578125" style="316" customWidth="1"/>
    <col min="8465" max="8465" width="12.42578125" style="316" customWidth="1"/>
    <col min="8466" max="8466" width="2.85546875" style="316" customWidth="1"/>
    <col min="8467" max="8467" width="14" style="316" bestFit="1" customWidth="1"/>
    <col min="8468" max="8703" width="12.42578125" style="316"/>
    <col min="8704" max="8707" width="12.42578125" style="316" customWidth="1"/>
    <col min="8708" max="8708" width="4.42578125" style="316" customWidth="1"/>
    <col min="8709" max="8709" width="15.42578125" style="316" customWidth="1"/>
    <col min="8710" max="8710" width="4.42578125" style="316" customWidth="1"/>
    <col min="8711" max="8711" width="12.42578125" style="316" customWidth="1"/>
    <col min="8712" max="8712" width="4.5703125" style="316" customWidth="1"/>
    <col min="8713" max="8713" width="12.42578125" style="316" customWidth="1"/>
    <col min="8714" max="8714" width="4.42578125" style="316" customWidth="1"/>
    <col min="8715" max="8715" width="23.5703125" style="316" bestFit="1" customWidth="1"/>
    <col min="8716" max="8716" width="5.28515625" style="316" customWidth="1"/>
    <col min="8717" max="8717" width="15.85546875" style="316" customWidth="1"/>
    <col min="8718" max="8718" width="4.42578125" style="316" customWidth="1"/>
    <col min="8719" max="8719" width="13.28515625" style="316" customWidth="1"/>
    <col min="8720" max="8720" width="4.42578125" style="316" customWidth="1"/>
    <col min="8721" max="8721" width="12.42578125" style="316" customWidth="1"/>
    <col min="8722" max="8722" width="2.85546875" style="316" customWidth="1"/>
    <col min="8723" max="8723" width="14" style="316" bestFit="1" customWidth="1"/>
    <col min="8724" max="8959" width="12.42578125" style="316"/>
    <col min="8960" max="8963" width="12.42578125" style="316" customWidth="1"/>
    <col min="8964" max="8964" width="4.42578125" style="316" customWidth="1"/>
    <col min="8965" max="8965" width="15.42578125" style="316" customWidth="1"/>
    <col min="8966" max="8966" width="4.42578125" style="316" customWidth="1"/>
    <col min="8967" max="8967" width="12.42578125" style="316" customWidth="1"/>
    <col min="8968" max="8968" width="4.5703125" style="316" customWidth="1"/>
    <col min="8969" max="8969" width="12.42578125" style="316" customWidth="1"/>
    <col min="8970" max="8970" width="4.42578125" style="316" customWidth="1"/>
    <col min="8971" max="8971" width="23.5703125" style="316" bestFit="1" customWidth="1"/>
    <col min="8972" max="8972" width="5.28515625" style="316" customWidth="1"/>
    <col min="8973" max="8973" width="15.85546875" style="316" customWidth="1"/>
    <col min="8974" max="8974" width="4.42578125" style="316" customWidth="1"/>
    <col min="8975" max="8975" width="13.28515625" style="316" customWidth="1"/>
    <col min="8976" max="8976" width="4.42578125" style="316" customWidth="1"/>
    <col min="8977" max="8977" width="12.42578125" style="316" customWidth="1"/>
    <col min="8978" max="8978" width="2.85546875" style="316" customWidth="1"/>
    <col min="8979" max="8979" width="14" style="316" bestFit="1" customWidth="1"/>
    <col min="8980" max="9215" width="12.42578125" style="316"/>
    <col min="9216" max="9219" width="12.42578125" style="316" customWidth="1"/>
    <col min="9220" max="9220" width="4.42578125" style="316" customWidth="1"/>
    <col min="9221" max="9221" width="15.42578125" style="316" customWidth="1"/>
    <col min="9222" max="9222" width="4.42578125" style="316" customWidth="1"/>
    <col min="9223" max="9223" width="12.42578125" style="316" customWidth="1"/>
    <col min="9224" max="9224" width="4.5703125" style="316" customWidth="1"/>
    <col min="9225" max="9225" width="12.42578125" style="316" customWidth="1"/>
    <col min="9226" max="9226" width="4.42578125" style="316" customWidth="1"/>
    <col min="9227" max="9227" width="23.5703125" style="316" bestFit="1" customWidth="1"/>
    <col min="9228" max="9228" width="5.28515625" style="316" customWidth="1"/>
    <col min="9229" max="9229" width="15.85546875" style="316" customWidth="1"/>
    <col min="9230" max="9230" width="4.42578125" style="316" customWidth="1"/>
    <col min="9231" max="9231" width="13.28515625" style="316" customWidth="1"/>
    <col min="9232" max="9232" width="4.42578125" style="316" customWidth="1"/>
    <col min="9233" max="9233" width="12.42578125" style="316" customWidth="1"/>
    <col min="9234" max="9234" width="2.85546875" style="316" customWidth="1"/>
    <col min="9235" max="9235" width="14" style="316" bestFit="1" customWidth="1"/>
    <col min="9236" max="9471" width="12.42578125" style="316"/>
    <col min="9472" max="9475" width="12.42578125" style="316" customWidth="1"/>
    <col min="9476" max="9476" width="4.42578125" style="316" customWidth="1"/>
    <col min="9477" max="9477" width="15.42578125" style="316" customWidth="1"/>
    <col min="9478" max="9478" width="4.42578125" style="316" customWidth="1"/>
    <col min="9479" max="9479" width="12.42578125" style="316" customWidth="1"/>
    <col min="9480" max="9480" width="4.5703125" style="316" customWidth="1"/>
    <col min="9481" max="9481" width="12.42578125" style="316" customWidth="1"/>
    <col min="9482" max="9482" width="4.42578125" style="316" customWidth="1"/>
    <col min="9483" max="9483" width="23.5703125" style="316" bestFit="1" customWidth="1"/>
    <col min="9484" max="9484" width="5.28515625" style="316" customWidth="1"/>
    <col min="9485" max="9485" width="15.85546875" style="316" customWidth="1"/>
    <col min="9486" max="9486" width="4.42578125" style="316" customWidth="1"/>
    <col min="9487" max="9487" width="13.28515625" style="316" customWidth="1"/>
    <col min="9488" max="9488" width="4.42578125" style="316" customWidth="1"/>
    <col min="9489" max="9489" width="12.42578125" style="316" customWidth="1"/>
    <col min="9490" max="9490" width="2.85546875" style="316" customWidth="1"/>
    <col min="9491" max="9491" width="14" style="316" bestFit="1" customWidth="1"/>
    <col min="9492" max="9727" width="12.42578125" style="316"/>
    <col min="9728" max="9731" width="12.42578125" style="316" customWidth="1"/>
    <col min="9732" max="9732" width="4.42578125" style="316" customWidth="1"/>
    <col min="9733" max="9733" width="15.42578125" style="316" customWidth="1"/>
    <col min="9734" max="9734" width="4.42578125" style="316" customWidth="1"/>
    <col min="9735" max="9735" width="12.42578125" style="316" customWidth="1"/>
    <col min="9736" max="9736" width="4.5703125" style="316" customWidth="1"/>
    <col min="9737" max="9737" width="12.42578125" style="316" customWidth="1"/>
    <col min="9738" max="9738" width="4.42578125" style="316" customWidth="1"/>
    <col min="9739" max="9739" width="23.5703125" style="316" bestFit="1" customWidth="1"/>
    <col min="9740" max="9740" width="5.28515625" style="316" customWidth="1"/>
    <col min="9741" max="9741" width="15.85546875" style="316" customWidth="1"/>
    <col min="9742" max="9742" width="4.42578125" style="316" customWidth="1"/>
    <col min="9743" max="9743" width="13.28515625" style="316" customWidth="1"/>
    <col min="9744" max="9744" width="4.42578125" style="316" customWidth="1"/>
    <col min="9745" max="9745" width="12.42578125" style="316" customWidth="1"/>
    <col min="9746" max="9746" width="2.85546875" style="316" customWidth="1"/>
    <col min="9747" max="9747" width="14" style="316" bestFit="1" customWidth="1"/>
    <col min="9748" max="9983" width="12.42578125" style="316"/>
    <col min="9984" max="9987" width="12.42578125" style="316" customWidth="1"/>
    <col min="9988" max="9988" width="4.42578125" style="316" customWidth="1"/>
    <col min="9989" max="9989" width="15.42578125" style="316" customWidth="1"/>
    <col min="9990" max="9990" width="4.42578125" style="316" customWidth="1"/>
    <col min="9991" max="9991" width="12.42578125" style="316" customWidth="1"/>
    <col min="9992" max="9992" width="4.5703125" style="316" customWidth="1"/>
    <col min="9993" max="9993" width="12.42578125" style="316" customWidth="1"/>
    <col min="9994" max="9994" width="4.42578125" style="316" customWidth="1"/>
    <col min="9995" max="9995" width="23.5703125" style="316" bestFit="1" customWidth="1"/>
    <col min="9996" max="9996" width="5.28515625" style="316" customWidth="1"/>
    <col min="9997" max="9997" width="15.85546875" style="316" customWidth="1"/>
    <col min="9998" max="9998" width="4.42578125" style="316" customWidth="1"/>
    <col min="9999" max="9999" width="13.28515625" style="316" customWidth="1"/>
    <col min="10000" max="10000" width="4.42578125" style="316" customWidth="1"/>
    <col min="10001" max="10001" width="12.42578125" style="316" customWidth="1"/>
    <col min="10002" max="10002" width="2.85546875" style="316" customWidth="1"/>
    <col min="10003" max="10003" width="14" style="316" bestFit="1" customWidth="1"/>
    <col min="10004" max="10239" width="12.42578125" style="316"/>
    <col min="10240" max="10243" width="12.42578125" style="316" customWidth="1"/>
    <col min="10244" max="10244" width="4.42578125" style="316" customWidth="1"/>
    <col min="10245" max="10245" width="15.42578125" style="316" customWidth="1"/>
    <col min="10246" max="10246" width="4.42578125" style="316" customWidth="1"/>
    <col min="10247" max="10247" width="12.42578125" style="316" customWidth="1"/>
    <col min="10248" max="10248" width="4.5703125" style="316" customWidth="1"/>
    <col min="10249" max="10249" width="12.42578125" style="316" customWidth="1"/>
    <col min="10250" max="10250" width="4.42578125" style="316" customWidth="1"/>
    <col min="10251" max="10251" width="23.5703125" style="316" bestFit="1" customWidth="1"/>
    <col min="10252" max="10252" width="5.28515625" style="316" customWidth="1"/>
    <col min="10253" max="10253" width="15.85546875" style="316" customWidth="1"/>
    <col min="10254" max="10254" width="4.42578125" style="316" customWidth="1"/>
    <col min="10255" max="10255" width="13.28515625" style="316" customWidth="1"/>
    <col min="10256" max="10256" width="4.42578125" style="316" customWidth="1"/>
    <col min="10257" max="10257" width="12.42578125" style="316" customWidth="1"/>
    <col min="10258" max="10258" width="2.85546875" style="316" customWidth="1"/>
    <col min="10259" max="10259" width="14" style="316" bestFit="1" customWidth="1"/>
    <col min="10260" max="10495" width="12.42578125" style="316"/>
    <col min="10496" max="10499" width="12.42578125" style="316" customWidth="1"/>
    <col min="10500" max="10500" width="4.42578125" style="316" customWidth="1"/>
    <col min="10501" max="10501" width="15.42578125" style="316" customWidth="1"/>
    <col min="10502" max="10502" width="4.42578125" style="316" customWidth="1"/>
    <col min="10503" max="10503" width="12.42578125" style="316" customWidth="1"/>
    <col min="10504" max="10504" width="4.5703125" style="316" customWidth="1"/>
    <col min="10505" max="10505" width="12.42578125" style="316" customWidth="1"/>
    <col min="10506" max="10506" width="4.42578125" style="316" customWidth="1"/>
    <col min="10507" max="10507" width="23.5703125" style="316" bestFit="1" customWidth="1"/>
    <col min="10508" max="10508" width="5.28515625" style="316" customWidth="1"/>
    <col min="10509" max="10509" width="15.85546875" style="316" customWidth="1"/>
    <col min="10510" max="10510" width="4.42578125" style="316" customWidth="1"/>
    <col min="10511" max="10511" width="13.28515625" style="316" customWidth="1"/>
    <col min="10512" max="10512" width="4.42578125" style="316" customWidth="1"/>
    <col min="10513" max="10513" width="12.42578125" style="316" customWidth="1"/>
    <col min="10514" max="10514" width="2.85546875" style="316" customWidth="1"/>
    <col min="10515" max="10515" width="14" style="316" bestFit="1" customWidth="1"/>
    <col min="10516" max="10751" width="12.42578125" style="316"/>
    <col min="10752" max="10755" width="12.42578125" style="316" customWidth="1"/>
    <col min="10756" max="10756" width="4.42578125" style="316" customWidth="1"/>
    <col min="10757" max="10757" width="15.42578125" style="316" customWidth="1"/>
    <col min="10758" max="10758" width="4.42578125" style="316" customWidth="1"/>
    <col min="10759" max="10759" width="12.42578125" style="316" customWidth="1"/>
    <col min="10760" max="10760" width="4.5703125" style="316" customWidth="1"/>
    <col min="10761" max="10761" width="12.42578125" style="316" customWidth="1"/>
    <col min="10762" max="10762" width="4.42578125" style="316" customWidth="1"/>
    <col min="10763" max="10763" width="23.5703125" style="316" bestFit="1" customWidth="1"/>
    <col min="10764" max="10764" width="5.28515625" style="316" customWidth="1"/>
    <col min="10765" max="10765" width="15.85546875" style="316" customWidth="1"/>
    <col min="10766" max="10766" width="4.42578125" style="316" customWidth="1"/>
    <col min="10767" max="10767" width="13.28515625" style="316" customWidth="1"/>
    <col min="10768" max="10768" width="4.42578125" style="316" customWidth="1"/>
    <col min="10769" max="10769" width="12.42578125" style="316" customWidth="1"/>
    <col min="10770" max="10770" width="2.85546875" style="316" customWidth="1"/>
    <col min="10771" max="10771" width="14" style="316" bestFit="1" customWidth="1"/>
    <col min="10772" max="11007" width="12.42578125" style="316"/>
    <col min="11008" max="11011" width="12.42578125" style="316" customWidth="1"/>
    <col min="11012" max="11012" width="4.42578125" style="316" customWidth="1"/>
    <col min="11013" max="11013" width="15.42578125" style="316" customWidth="1"/>
    <col min="11014" max="11014" width="4.42578125" style="316" customWidth="1"/>
    <col min="11015" max="11015" width="12.42578125" style="316" customWidth="1"/>
    <col min="11016" max="11016" width="4.5703125" style="316" customWidth="1"/>
    <col min="11017" max="11017" width="12.42578125" style="316" customWidth="1"/>
    <col min="11018" max="11018" width="4.42578125" style="316" customWidth="1"/>
    <col min="11019" max="11019" width="23.5703125" style="316" bestFit="1" customWidth="1"/>
    <col min="11020" max="11020" width="5.28515625" style="316" customWidth="1"/>
    <col min="11021" max="11021" width="15.85546875" style="316" customWidth="1"/>
    <col min="11022" max="11022" width="4.42578125" style="316" customWidth="1"/>
    <col min="11023" max="11023" width="13.28515625" style="316" customWidth="1"/>
    <col min="11024" max="11024" width="4.42578125" style="316" customWidth="1"/>
    <col min="11025" max="11025" width="12.42578125" style="316" customWidth="1"/>
    <col min="11026" max="11026" width="2.85546875" style="316" customWidth="1"/>
    <col min="11027" max="11027" width="14" style="316" bestFit="1" customWidth="1"/>
    <col min="11028" max="11263" width="12.42578125" style="316"/>
    <col min="11264" max="11267" width="12.42578125" style="316" customWidth="1"/>
    <col min="11268" max="11268" width="4.42578125" style="316" customWidth="1"/>
    <col min="11269" max="11269" width="15.42578125" style="316" customWidth="1"/>
    <col min="11270" max="11270" width="4.42578125" style="316" customWidth="1"/>
    <col min="11271" max="11271" width="12.42578125" style="316" customWidth="1"/>
    <col min="11272" max="11272" width="4.5703125" style="316" customWidth="1"/>
    <col min="11273" max="11273" width="12.42578125" style="316" customWidth="1"/>
    <col min="11274" max="11274" width="4.42578125" style="316" customWidth="1"/>
    <col min="11275" max="11275" width="23.5703125" style="316" bestFit="1" customWidth="1"/>
    <col min="11276" max="11276" width="5.28515625" style="316" customWidth="1"/>
    <col min="11277" max="11277" width="15.85546875" style="316" customWidth="1"/>
    <col min="11278" max="11278" width="4.42578125" style="316" customWidth="1"/>
    <col min="11279" max="11279" width="13.28515625" style="316" customWidth="1"/>
    <col min="11280" max="11280" width="4.42578125" style="316" customWidth="1"/>
    <col min="11281" max="11281" width="12.42578125" style="316" customWidth="1"/>
    <col min="11282" max="11282" width="2.85546875" style="316" customWidth="1"/>
    <col min="11283" max="11283" width="14" style="316" bestFit="1" customWidth="1"/>
    <col min="11284" max="11519" width="12.42578125" style="316"/>
    <col min="11520" max="11523" width="12.42578125" style="316" customWidth="1"/>
    <col min="11524" max="11524" width="4.42578125" style="316" customWidth="1"/>
    <col min="11525" max="11525" width="15.42578125" style="316" customWidth="1"/>
    <col min="11526" max="11526" width="4.42578125" style="316" customWidth="1"/>
    <col min="11527" max="11527" width="12.42578125" style="316" customWidth="1"/>
    <col min="11528" max="11528" width="4.5703125" style="316" customWidth="1"/>
    <col min="11529" max="11529" width="12.42578125" style="316" customWidth="1"/>
    <col min="11530" max="11530" width="4.42578125" style="316" customWidth="1"/>
    <col min="11531" max="11531" width="23.5703125" style="316" bestFit="1" customWidth="1"/>
    <col min="11532" max="11532" width="5.28515625" style="316" customWidth="1"/>
    <col min="11533" max="11533" width="15.85546875" style="316" customWidth="1"/>
    <col min="11534" max="11534" width="4.42578125" style="316" customWidth="1"/>
    <col min="11535" max="11535" width="13.28515625" style="316" customWidth="1"/>
    <col min="11536" max="11536" width="4.42578125" style="316" customWidth="1"/>
    <col min="11537" max="11537" width="12.42578125" style="316" customWidth="1"/>
    <col min="11538" max="11538" width="2.85546875" style="316" customWidth="1"/>
    <col min="11539" max="11539" width="14" style="316" bestFit="1" customWidth="1"/>
    <col min="11540" max="11775" width="12.42578125" style="316"/>
    <col min="11776" max="11779" width="12.42578125" style="316" customWidth="1"/>
    <col min="11780" max="11780" width="4.42578125" style="316" customWidth="1"/>
    <col min="11781" max="11781" width="15.42578125" style="316" customWidth="1"/>
    <col min="11782" max="11782" width="4.42578125" style="316" customWidth="1"/>
    <col min="11783" max="11783" width="12.42578125" style="316" customWidth="1"/>
    <col min="11784" max="11784" width="4.5703125" style="316" customWidth="1"/>
    <col min="11785" max="11785" width="12.42578125" style="316" customWidth="1"/>
    <col min="11786" max="11786" width="4.42578125" style="316" customWidth="1"/>
    <col min="11787" max="11787" width="23.5703125" style="316" bestFit="1" customWidth="1"/>
    <col min="11788" max="11788" width="5.28515625" style="316" customWidth="1"/>
    <col min="11789" max="11789" width="15.85546875" style="316" customWidth="1"/>
    <col min="11790" max="11790" width="4.42578125" style="316" customWidth="1"/>
    <col min="11791" max="11791" width="13.28515625" style="316" customWidth="1"/>
    <col min="11792" max="11792" width="4.42578125" style="316" customWidth="1"/>
    <col min="11793" max="11793" width="12.42578125" style="316" customWidth="1"/>
    <col min="11794" max="11794" width="2.85546875" style="316" customWidth="1"/>
    <col min="11795" max="11795" width="14" style="316" bestFit="1" customWidth="1"/>
    <col min="11796" max="12031" width="12.42578125" style="316"/>
    <col min="12032" max="12035" width="12.42578125" style="316" customWidth="1"/>
    <col min="12036" max="12036" width="4.42578125" style="316" customWidth="1"/>
    <col min="12037" max="12037" width="15.42578125" style="316" customWidth="1"/>
    <col min="12038" max="12038" width="4.42578125" style="316" customWidth="1"/>
    <col min="12039" max="12039" width="12.42578125" style="316" customWidth="1"/>
    <col min="12040" max="12040" width="4.5703125" style="316" customWidth="1"/>
    <col min="12041" max="12041" width="12.42578125" style="316" customWidth="1"/>
    <col min="12042" max="12042" width="4.42578125" style="316" customWidth="1"/>
    <col min="12043" max="12043" width="23.5703125" style="316" bestFit="1" customWidth="1"/>
    <col min="12044" max="12044" width="5.28515625" style="316" customWidth="1"/>
    <col min="12045" max="12045" width="15.85546875" style="316" customWidth="1"/>
    <col min="12046" max="12046" width="4.42578125" style="316" customWidth="1"/>
    <col min="12047" max="12047" width="13.28515625" style="316" customWidth="1"/>
    <col min="12048" max="12048" width="4.42578125" style="316" customWidth="1"/>
    <col min="12049" max="12049" width="12.42578125" style="316" customWidth="1"/>
    <col min="12050" max="12050" width="2.85546875" style="316" customWidth="1"/>
    <col min="12051" max="12051" width="14" style="316" bestFit="1" customWidth="1"/>
    <col min="12052" max="12287" width="12.42578125" style="316"/>
    <col min="12288" max="12291" width="12.42578125" style="316" customWidth="1"/>
    <col min="12292" max="12292" width="4.42578125" style="316" customWidth="1"/>
    <col min="12293" max="12293" width="15.42578125" style="316" customWidth="1"/>
    <col min="12294" max="12294" width="4.42578125" style="316" customWidth="1"/>
    <col min="12295" max="12295" width="12.42578125" style="316" customWidth="1"/>
    <col min="12296" max="12296" width="4.5703125" style="316" customWidth="1"/>
    <col min="12297" max="12297" width="12.42578125" style="316" customWidth="1"/>
    <col min="12298" max="12298" width="4.42578125" style="316" customWidth="1"/>
    <col min="12299" max="12299" width="23.5703125" style="316" bestFit="1" customWidth="1"/>
    <col min="12300" max="12300" width="5.28515625" style="316" customWidth="1"/>
    <col min="12301" max="12301" width="15.85546875" style="316" customWidth="1"/>
    <col min="12302" max="12302" width="4.42578125" style="316" customWidth="1"/>
    <col min="12303" max="12303" width="13.28515625" style="316" customWidth="1"/>
    <col min="12304" max="12304" width="4.42578125" style="316" customWidth="1"/>
    <col min="12305" max="12305" width="12.42578125" style="316" customWidth="1"/>
    <col min="12306" max="12306" width="2.85546875" style="316" customWidth="1"/>
    <col min="12307" max="12307" width="14" style="316" bestFit="1" customWidth="1"/>
    <col min="12308" max="12543" width="12.42578125" style="316"/>
    <col min="12544" max="12547" width="12.42578125" style="316" customWidth="1"/>
    <col min="12548" max="12548" width="4.42578125" style="316" customWidth="1"/>
    <col min="12549" max="12549" width="15.42578125" style="316" customWidth="1"/>
    <col min="12550" max="12550" width="4.42578125" style="316" customWidth="1"/>
    <col min="12551" max="12551" width="12.42578125" style="316" customWidth="1"/>
    <col min="12552" max="12552" width="4.5703125" style="316" customWidth="1"/>
    <col min="12553" max="12553" width="12.42578125" style="316" customWidth="1"/>
    <col min="12554" max="12554" width="4.42578125" style="316" customWidth="1"/>
    <col min="12555" max="12555" width="23.5703125" style="316" bestFit="1" customWidth="1"/>
    <col min="12556" max="12556" width="5.28515625" style="316" customWidth="1"/>
    <col min="12557" max="12557" width="15.85546875" style="316" customWidth="1"/>
    <col min="12558" max="12558" width="4.42578125" style="316" customWidth="1"/>
    <col min="12559" max="12559" width="13.28515625" style="316" customWidth="1"/>
    <col min="12560" max="12560" width="4.42578125" style="316" customWidth="1"/>
    <col min="12561" max="12561" width="12.42578125" style="316" customWidth="1"/>
    <col min="12562" max="12562" width="2.85546875" style="316" customWidth="1"/>
    <col min="12563" max="12563" width="14" style="316" bestFit="1" customWidth="1"/>
    <col min="12564" max="12799" width="12.42578125" style="316"/>
    <col min="12800" max="12803" width="12.42578125" style="316" customWidth="1"/>
    <col min="12804" max="12804" width="4.42578125" style="316" customWidth="1"/>
    <col min="12805" max="12805" width="15.42578125" style="316" customWidth="1"/>
    <col min="12806" max="12806" width="4.42578125" style="316" customWidth="1"/>
    <col min="12807" max="12807" width="12.42578125" style="316" customWidth="1"/>
    <col min="12808" max="12808" width="4.5703125" style="316" customWidth="1"/>
    <col min="12809" max="12809" width="12.42578125" style="316" customWidth="1"/>
    <col min="12810" max="12810" width="4.42578125" style="316" customWidth="1"/>
    <col min="12811" max="12811" width="23.5703125" style="316" bestFit="1" customWidth="1"/>
    <col min="12812" max="12812" width="5.28515625" style="316" customWidth="1"/>
    <col min="12813" max="12813" width="15.85546875" style="316" customWidth="1"/>
    <col min="12814" max="12814" width="4.42578125" style="316" customWidth="1"/>
    <col min="12815" max="12815" width="13.28515625" style="316" customWidth="1"/>
    <col min="12816" max="12816" width="4.42578125" style="316" customWidth="1"/>
    <col min="12817" max="12817" width="12.42578125" style="316" customWidth="1"/>
    <col min="12818" max="12818" width="2.85546875" style="316" customWidth="1"/>
    <col min="12819" max="12819" width="14" style="316" bestFit="1" customWidth="1"/>
    <col min="12820" max="13055" width="12.42578125" style="316"/>
    <col min="13056" max="13059" width="12.42578125" style="316" customWidth="1"/>
    <col min="13060" max="13060" width="4.42578125" style="316" customWidth="1"/>
    <col min="13061" max="13061" width="15.42578125" style="316" customWidth="1"/>
    <col min="13062" max="13062" width="4.42578125" style="316" customWidth="1"/>
    <col min="13063" max="13063" width="12.42578125" style="316" customWidth="1"/>
    <col min="13064" max="13064" width="4.5703125" style="316" customWidth="1"/>
    <col min="13065" max="13065" width="12.42578125" style="316" customWidth="1"/>
    <col min="13066" max="13066" width="4.42578125" style="316" customWidth="1"/>
    <col min="13067" max="13067" width="23.5703125" style="316" bestFit="1" customWidth="1"/>
    <col min="13068" max="13068" width="5.28515625" style="316" customWidth="1"/>
    <col min="13069" max="13069" width="15.85546875" style="316" customWidth="1"/>
    <col min="13070" max="13070" width="4.42578125" style="316" customWidth="1"/>
    <col min="13071" max="13071" width="13.28515625" style="316" customWidth="1"/>
    <col min="13072" max="13072" width="4.42578125" style="316" customWidth="1"/>
    <col min="13073" max="13073" width="12.42578125" style="316" customWidth="1"/>
    <col min="13074" max="13074" width="2.85546875" style="316" customWidth="1"/>
    <col min="13075" max="13075" width="14" style="316" bestFit="1" customWidth="1"/>
    <col min="13076" max="13311" width="12.42578125" style="316"/>
    <col min="13312" max="13315" width="12.42578125" style="316" customWidth="1"/>
    <col min="13316" max="13316" width="4.42578125" style="316" customWidth="1"/>
    <col min="13317" max="13317" width="15.42578125" style="316" customWidth="1"/>
    <col min="13318" max="13318" width="4.42578125" style="316" customWidth="1"/>
    <col min="13319" max="13319" width="12.42578125" style="316" customWidth="1"/>
    <col min="13320" max="13320" width="4.5703125" style="316" customWidth="1"/>
    <col min="13321" max="13321" width="12.42578125" style="316" customWidth="1"/>
    <col min="13322" max="13322" width="4.42578125" style="316" customWidth="1"/>
    <col min="13323" max="13323" width="23.5703125" style="316" bestFit="1" customWidth="1"/>
    <col min="13324" max="13324" width="5.28515625" style="316" customWidth="1"/>
    <col min="13325" max="13325" width="15.85546875" style="316" customWidth="1"/>
    <col min="13326" max="13326" width="4.42578125" style="316" customWidth="1"/>
    <col min="13327" max="13327" width="13.28515625" style="316" customWidth="1"/>
    <col min="13328" max="13328" width="4.42578125" style="316" customWidth="1"/>
    <col min="13329" max="13329" width="12.42578125" style="316" customWidth="1"/>
    <col min="13330" max="13330" width="2.85546875" style="316" customWidth="1"/>
    <col min="13331" max="13331" width="14" style="316" bestFit="1" customWidth="1"/>
    <col min="13332" max="13567" width="12.42578125" style="316"/>
    <col min="13568" max="13571" width="12.42578125" style="316" customWidth="1"/>
    <col min="13572" max="13572" width="4.42578125" style="316" customWidth="1"/>
    <col min="13573" max="13573" width="15.42578125" style="316" customWidth="1"/>
    <col min="13574" max="13574" width="4.42578125" style="316" customWidth="1"/>
    <col min="13575" max="13575" width="12.42578125" style="316" customWidth="1"/>
    <col min="13576" max="13576" width="4.5703125" style="316" customWidth="1"/>
    <col min="13577" max="13577" width="12.42578125" style="316" customWidth="1"/>
    <col min="13578" max="13578" width="4.42578125" style="316" customWidth="1"/>
    <col min="13579" max="13579" width="23.5703125" style="316" bestFit="1" customWidth="1"/>
    <col min="13580" max="13580" width="5.28515625" style="316" customWidth="1"/>
    <col min="13581" max="13581" width="15.85546875" style="316" customWidth="1"/>
    <col min="13582" max="13582" width="4.42578125" style="316" customWidth="1"/>
    <col min="13583" max="13583" width="13.28515625" style="316" customWidth="1"/>
    <col min="13584" max="13584" width="4.42578125" style="316" customWidth="1"/>
    <col min="13585" max="13585" width="12.42578125" style="316" customWidth="1"/>
    <col min="13586" max="13586" width="2.85546875" style="316" customWidth="1"/>
    <col min="13587" max="13587" width="14" style="316" bestFit="1" customWidth="1"/>
    <col min="13588" max="13823" width="12.42578125" style="316"/>
    <col min="13824" max="13827" width="12.42578125" style="316" customWidth="1"/>
    <col min="13828" max="13828" width="4.42578125" style="316" customWidth="1"/>
    <col min="13829" max="13829" width="15.42578125" style="316" customWidth="1"/>
    <col min="13830" max="13830" width="4.42578125" style="316" customWidth="1"/>
    <col min="13831" max="13831" width="12.42578125" style="316" customWidth="1"/>
    <col min="13832" max="13832" width="4.5703125" style="316" customWidth="1"/>
    <col min="13833" max="13833" width="12.42578125" style="316" customWidth="1"/>
    <col min="13834" max="13834" width="4.42578125" style="316" customWidth="1"/>
    <col min="13835" max="13835" width="23.5703125" style="316" bestFit="1" customWidth="1"/>
    <col min="13836" max="13836" width="5.28515625" style="316" customWidth="1"/>
    <col min="13837" max="13837" width="15.85546875" style="316" customWidth="1"/>
    <col min="13838" max="13838" width="4.42578125" style="316" customWidth="1"/>
    <col min="13839" max="13839" width="13.28515625" style="316" customWidth="1"/>
    <col min="13840" max="13840" width="4.42578125" style="316" customWidth="1"/>
    <col min="13841" max="13841" width="12.42578125" style="316" customWidth="1"/>
    <col min="13842" max="13842" width="2.85546875" style="316" customWidth="1"/>
    <col min="13843" max="13843" width="14" style="316" bestFit="1" customWidth="1"/>
    <col min="13844" max="14079" width="12.42578125" style="316"/>
    <col min="14080" max="14083" width="12.42578125" style="316" customWidth="1"/>
    <col min="14084" max="14084" width="4.42578125" style="316" customWidth="1"/>
    <col min="14085" max="14085" width="15.42578125" style="316" customWidth="1"/>
    <col min="14086" max="14086" width="4.42578125" style="316" customWidth="1"/>
    <col min="14087" max="14087" width="12.42578125" style="316" customWidth="1"/>
    <col min="14088" max="14088" width="4.5703125" style="316" customWidth="1"/>
    <col min="14089" max="14089" width="12.42578125" style="316" customWidth="1"/>
    <col min="14090" max="14090" width="4.42578125" style="316" customWidth="1"/>
    <col min="14091" max="14091" width="23.5703125" style="316" bestFit="1" customWidth="1"/>
    <col min="14092" max="14092" width="5.28515625" style="316" customWidth="1"/>
    <col min="14093" max="14093" width="15.85546875" style="316" customWidth="1"/>
    <col min="14094" max="14094" width="4.42578125" style="316" customWidth="1"/>
    <col min="14095" max="14095" width="13.28515625" style="316" customWidth="1"/>
    <col min="14096" max="14096" width="4.42578125" style="316" customWidth="1"/>
    <col min="14097" max="14097" width="12.42578125" style="316" customWidth="1"/>
    <col min="14098" max="14098" width="2.85546875" style="316" customWidth="1"/>
    <col min="14099" max="14099" width="14" style="316" bestFit="1" customWidth="1"/>
    <col min="14100" max="14335" width="12.42578125" style="316"/>
    <col min="14336" max="14339" width="12.42578125" style="316" customWidth="1"/>
    <col min="14340" max="14340" width="4.42578125" style="316" customWidth="1"/>
    <col min="14341" max="14341" width="15.42578125" style="316" customWidth="1"/>
    <col min="14342" max="14342" width="4.42578125" style="316" customWidth="1"/>
    <col min="14343" max="14343" width="12.42578125" style="316" customWidth="1"/>
    <col min="14344" max="14344" width="4.5703125" style="316" customWidth="1"/>
    <col min="14345" max="14345" width="12.42578125" style="316" customWidth="1"/>
    <col min="14346" max="14346" width="4.42578125" style="316" customWidth="1"/>
    <col min="14347" max="14347" width="23.5703125" style="316" bestFit="1" customWidth="1"/>
    <col min="14348" max="14348" width="5.28515625" style="316" customWidth="1"/>
    <col min="14349" max="14349" width="15.85546875" style="316" customWidth="1"/>
    <col min="14350" max="14350" width="4.42578125" style="316" customWidth="1"/>
    <col min="14351" max="14351" width="13.28515625" style="316" customWidth="1"/>
    <col min="14352" max="14352" width="4.42578125" style="316" customWidth="1"/>
    <col min="14353" max="14353" width="12.42578125" style="316" customWidth="1"/>
    <col min="14354" max="14354" width="2.85546875" style="316" customWidth="1"/>
    <col min="14355" max="14355" width="14" style="316" bestFit="1" customWidth="1"/>
    <col min="14356" max="14591" width="12.42578125" style="316"/>
    <col min="14592" max="14595" width="12.42578125" style="316" customWidth="1"/>
    <col min="14596" max="14596" width="4.42578125" style="316" customWidth="1"/>
    <col min="14597" max="14597" width="15.42578125" style="316" customWidth="1"/>
    <col min="14598" max="14598" width="4.42578125" style="316" customWidth="1"/>
    <col min="14599" max="14599" width="12.42578125" style="316" customWidth="1"/>
    <col min="14600" max="14600" width="4.5703125" style="316" customWidth="1"/>
    <col min="14601" max="14601" width="12.42578125" style="316" customWidth="1"/>
    <col min="14602" max="14602" width="4.42578125" style="316" customWidth="1"/>
    <col min="14603" max="14603" width="23.5703125" style="316" bestFit="1" customWidth="1"/>
    <col min="14604" max="14604" width="5.28515625" style="316" customWidth="1"/>
    <col min="14605" max="14605" width="15.85546875" style="316" customWidth="1"/>
    <col min="14606" max="14606" width="4.42578125" style="316" customWidth="1"/>
    <col min="14607" max="14607" width="13.28515625" style="316" customWidth="1"/>
    <col min="14608" max="14608" width="4.42578125" style="316" customWidth="1"/>
    <col min="14609" max="14609" width="12.42578125" style="316" customWidth="1"/>
    <col min="14610" max="14610" width="2.85546875" style="316" customWidth="1"/>
    <col min="14611" max="14611" width="14" style="316" bestFit="1" customWidth="1"/>
    <col min="14612" max="14847" width="12.42578125" style="316"/>
    <col min="14848" max="14851" width="12.42578125" style="316" customWidth="1"/>
    <col min="14852" max="14852" width="4.42578125" style="316" customWidth="1"/>
    <col min="14853" max="14853" width="15.42578125" style="316" customWidth="1"/>
    <col min="14854" max="14854" width="4.42578125" style="316" customWidth="1"/>
    <col min="14855" max="14855" width="12.42578125" style="316" customWidth="1"/>
    <col min="14856" max="14856" width="4.5703125" style="316" customWidth="1"/>
    <col min="14857" max="14857" width="12.42578125" style="316" customWidth="1"/>
    <col min="14858" max="14858" width="4.42578125" style="316" customWidth="1"/>
    <col min="14859" max="14859" width="23.5703125" style="316" bestFit="1" customWidth="1"/>
    <col min="14860" max="14860" width="5.28515625" style="316" customWidth="1"/>
    <col min="14861" max="14861" width="15.85546875" style="316" customWidth="1"/>
    <col min="14862" max="14862" width="4.42578125" style="316" customWidth="1"/>
    <col min="14863" max="14863" width="13.28515625" style="316" customWidth="1"/>
    <col min="14864" max="14864" width="4.42578125" style="316" customWidth="1"/>
    <col min="14865" max="14865" width="12.42578125" style="316" customWidth="1"/>
    <col min="14866" max="14866" width="2.85546875" style="316" customWidth="1"/>
    <col min="14867" max="14867" width="14" style="316" bestFit="1" customWidth="1"/>
    <col min="14868" max="15103" width="12.42578125" style="316"/>
    <col min="15104" max="15107" width="12.42578125" style="316" customWidth="1"/>
    <col min="15108" max="15108" width="4.42578125" style="316" customWidth="1"/>
    <col min="15109" max="15109" width="15.42578125" style="316" customWidth="1"/>
    <col min="15110" max="15110" width="4.42578125" style="316" customWidth="1"/>
    <col min="15111" max="15111" width="12.42578125" style="316" customWidth="1"/>
    <col min="15112" max="15112" width="4.5703125" style="316" customWidth="1"/>
    <col min="15113" max="15113" width="12.42578125" style="316" customWidth="1"/>
    <col min="15114" max="15114" width="4.42578125" style="316" customWidth="1"/>
    <col min="15115" max="15115" width="23.5703125" style="316" bestFit="1" customWidth="1"/>
    <col min="15116" max="15116" width="5.28515625" style="316" customWidth="1"/>
    <col min="15117" max="15117" width="15.85546875" style="316" customWidth="1"/>
    <col min="15118" max="15118" width="4.42578125" style="316" customWidth="1"/>
    <col min="15119" max="15119" width="13.28515625" style="316" customWidth="1"/>
    <col min="15120" max="15120" width="4.42578125" style="316" customWidth="1"/>
    <col min="15121" max="15121" width="12.42578125" style="316" customWidth="1"/>
    <col min="15122" max="15122" width="2.85546875" style="316" customWidth="1"/>
    <col min="15123" max="15123" width="14" style="316" bestFit="1" customWidth="1"/>
    <col min="15124" max="15359" width="12.42578125" style="316"/>
    <col min="15360" max="15363" width="12.42578125" style="316" customWidth="1"/>
    <col min="15364" max="15364" width="4.42578125" style="316" customWidth="1"/>
    <col min="15365" max="15365" width="15.42578125" style="316" customWidth="1"/>
    <col min="15366" max="15366" width="4.42578125" style="316" customWidth="1"/>
    <col min="15367" max="15367" width="12.42578125" style="316" customWidth="1"/>
    <col min="15368" max="15368" width="4.5703125" style="316" customWidth="1"/>
    <col min="15369" max="15369" width="12.42578125" style="316" customWidth="1"/>
    <col min="15370" max="15370" width="4.42578125" style="316" customWidth="1"/>
    <col min="15371" max="15371" width="23.5703125" style="316" bestFit="1" customWidth="1"/>
    <col min="15372" max="15372" width="5.28515625" style="316" customWidth="1"/>
    <col min="15373" max="15373" width="15.85546875" style="316" customWidth="1"/>
    <col min="15374" max="15374" width="4.42578125" style="316" customWidth="1"/>
    <col min="15375" max="15375" width="13.28515625" style="316" customWidth="1"/>
    <col min="15376" max="15376" width="4.42578125" style="316" customWidth="1"/>
    <col min="15377" max="15377" width="12.42578125" style="316" customWidth="1"/>
    <col min="15378" max="15378" width="2.85546875" style="316" customWidth="1"/>
    <col min="15379" max="15379" width="14" style="316" bestFit="1" customWidth="1"/>
    <col min="15380" max="15615" width="12.42578125" style="316"/>
    <col min="15616" max="15619" width="12.42578125" style="316" customWidth="1"/>
    <col min="15620" max="15620" width="4.42578125" style="316" customWidth="1"/>
    <col min="15621" max="15621" width="15.42578125" style="316" customWidth="1"/>
    <col min="15622" max="15622" width="4.42578125" style="316" customWidth="1"/>
    <col min="15623" max="15623" width="12.42578125" style="316" customWidth="1"/>
    <col min="15624" max="15624" width="4.5703125" style="316" customWidth="1"/>
    <col min="15625" max="15625" width="12.42578125" style="316" customWidth="1"/>
    <col min="15626" max="15626" width="4.42578125" style="316" customWidth="1"/>
    <col min="15627" max="15627" width="23.5703125" style="316" bestFit="1" customWidth="1"/>
    <col min="15628" max="15628" width="5.28515625" style="316" customWidth="1"/>
    <col min="15629" max="15629" width="15.85546875" style="316" customWidth="1"/>
    <col min="15630" max="15630" width="4.42578125" style="316" customWidth="1"/>
    <col min="15631" max="15631" width="13.28515625" style="316" customWidth="1"/>
    <col min="15632" max="15632" width="4.42578125" style="316" customWidth="1"/>
    <col min="15633" max="15633" width="12.42578125" style="316" customWidth="1"/>
    <col min="15634" max="15634" width="2.85546875" style="316" customWidth="1"/>
    <col min="15635" max="15635" width="14" style="316" bestFit="1" customWidth="1"/>
    <col min="15636" max="15871" width="12.42578125" style="316"/>
    <col min="15872" max="15875" width="12.42578125" style="316" customWidth="1"/>
    <col min="15876" max="15876" width="4.42578125" style="316" customWidth="1"/>
    <col min="15877" max="15877" width="15.42578125" style="316" customWidth="1"/>
    <col min="15878" max="15878" width="4.42578125" style="316" customWidth="1"/>
    <col min="15879" max="15879" width="12.42578125" style="316" customWidth="1"/>
    <col min="15880" max="15880" width="4.5703125" style="316" customWidth="1"/>
    <col min="15881" max="15881" width="12.42578125" style="316" customWidth="1"/>
    <col min="15882" max="15882" width="4.42578125" style="316" customWidth="1"/>
    <col min="15883" max="15883" width="23.5703125" style="316" bestFit="1" customWidth="1"/>
    <col min="15884" max="15884" width="5.28515625" style="316" customWidth="1"/>
    <col min="15885" max="15885" width="15.85546875" style="316" customWidth="1"/>
    <col min="15886" max="15886" width="4.42578125" style="316" customWidth="1"/>
    <col min="15887" max="15887" width="13.28515625" style="316" customWidth="1"/>
    <col min="15888" max="15888" width="4.42578125" style="316" customWidth="1"/>
    <col min="15889" max="15889" width="12.42578125" style="316" customWidth="1"/>
    <col min="15890" max="15890" width="2.85546875" style="316" customWidth="1"/>
    <col min="15891" max="15891" width="14" style="316" bestFit="1" customWidth="1"/>
    <col min="15892" max="16127" width="12.42578125" style="316"/>
    <col min="16128" max="16131" width="12.42578125" style="316" customWidth="1"/>
    <col min="16132" max="16132" width="4.42578125" style="316" customWidth="1"/>
    <col min="16133" max="16133" width="15.42578125" style="316" customWidth="1"/>
    <col min="16134" max="16134" width="4.42578125" style="316" customWidth="1"/>
    <col min="16135" max="16135" width="12.42578125" style="316" customWidth="1"/>
    <col min="16136" max="16136" width="4.5703125" style="316" customWidth="1"/>
    <col min="16137" max="16137" width="12.42578125" style="316" customWidth="1"/>
    <col min="16138" max="16138" width="4.42578125" style="316" customWidth="1"/>
    <col min="16139" max="16139" width="23.5703125" style="316" bestFit="1" customWidth="1"/>
    <col min="16140" max="16140" width="5.28515625" style="316" customWidth="1"/>
    <col min="16141" max="16141" width="15.85546875" style="316" customWidth="1"/>
    <col min="16142" max="16142" width="4.42578125" style="316" customWidth="1"/>
    <col min="16143" max="16143" width="13.28515625" style="316" customWidth="1"/>
    <col min="16144" max="16144" width="4.42578125" style="316" customWidth="1"/>
    <col min="16145" max="16145" width="12.42578125" style="316" customWidth="1"/>
    <col min="16146" max="16146" width="2.85546875" style="316" customWidth="1"/>
    <col min="16147" max="16147" width="14" style="316" bestFit="1" customWidth="1"/>
    <col min="16148" max="16384" width="12.42578125" style="316"/>
  </cols>
  <sheetData>
    <row r="1" spans="1:19" x14ac:dyDescent="0.2">
      <c r="A1" s="431" t="str">
        <f>+DATOS!H6</f>
        <v>GRUPO DE LOLITA S.A.S</v>
      </c>
      <c r="B1" s="431"/>
      <c r="C1" s="431"/>
      <c r="D1" s="431"/>
      <c r="E1" s="431"/>
      <c r="F1" s="431"/>
      <c r="G1" s="431"/>
      <c r="H1" s="431"/>
      <c r="I1" s="431"/>
      <c r="J1" s="431"/>
      <c r="K1" s="431"/>
      <c r="L1" s="431"/>
      <c r="M1" s="431"/>
      <c r="N1" s="431"/>
      <c r="O1" s="431"/>
      <c r="P1" s="431"/>
      <c r="Q1" s="431"/>
      <c r="R1" s="431"/>
      <c r="S1" s="431"/>
    </row>
    <row r="2" spans="1:19" x14ac:dyDescent="0.2">
      <c r="A2" s="431" t="str">
        <f>+DATOS!H7</f>
        <v>NIT: 900.307.969-5</v>
      </c>
      <c r="B2" s="431"/>
      <c r="C2" s="431"/>
      <c r="D2" s="431"/>
      <c r="E2" s="431"/>
      <c r="F2" s="431"/>
      <c r="G2" s="431"/>
      <c r="H2" s="431"/>
      <c r="I2" s="431"/>
      <c r="J2" s="431"/>
      <c r="K2" s="431"/>
      <c r="L2" s="431"/>
      <c r="M2" s="431"/>
      <c r="N2" s="431"/>
      <c r="O2" s="431"/>
      <c r="P2" s="431"/>
      <c r="Q2" s="431"/>
      <c r="R2" s="431"/>
      <c r="S2" s="431"/>
    </row>
    <row r="3" spans="1:19" x14ac:dyDescent="0.2">
      <c r="A3" s="431" t="str">
        <f>+DATOS!H8</f>
        <v>A 30 de Junio de 2026 y 2025</v>
      </c>
      <c r="B3" s="431"/>
      <c r="C3" s="431"/>
      <c r="D3" s="431"/>
      <c r="E3" s="431"/>
      <c r="F3" s="431"/>
      <c r="G3" s="431"/>
      <c r="H3" s="431"/>
      <c r="I3" s="431"/>
      <c r="J3" s="431"/>
      <c r="K3" s="431"/>
      <c r="L3" s="431"/>
      <c r="M3" s="431"/>
      <c r="N3" s="431"/>
      <c r="O3" s="431"/>
      <c r="P3" s="431"/>
      <c r="Q3" s="431"/>
      <c r="R3" s="431"/>
      <c r="S3" s="431"/>
    </row>
    <row r="4" spans="1:19" x14ac:dyDescent="0.2">
      <c r="A4" s="431" t="s">
        <v>222</v>
      </c>
      <c r="B4" s="431"/>
      <c r="C4" s="431"/>
      <c r="D4" s="431"/>
      <c r="E4" s="431"/>
      <c r="F4" s="431"/>
      <c r="G4" s="431"/>
      <c r="H4" s="431"/>
      <c r="I4" s="431"/>
      <c r="J4" s="431"/>
      <c r="K4" s="431"/>
      <c r="L4" s="431"/>
      <c r="M4" s="431"/>
      <c r="N4" s="431"/>
      <c r="O4" s="431"/>
      <c r="P4" s="431"/>
      <c r="Q4" s="431"/>
      <c r="R4" s="431"/>
      <c r="S4" s="431"/>
    </row>
    <row r="5" spans="1:19" x14ac:dyDescent="0.2">
      <c r="A5" s="317"/>
      <c r="B5" s="317"/>
      <c r="C5" s="317"/>
      <c r="D5" s="318"/>
      <c r="E5" s="318"/>
      <c r="F5" s="318"/>
      <c r="G5" s="317"/>
      <c r="H5" s="318"/>
      <c r="I5" s="317"/>
      <c r="J5" s="318"/>
      <c r="K5" s="317"/>
      <c r="L5" s="318"/>
      <c r="M5" s="317"/>
      <c r="N5" s="318"/>
      <c r="O5" s="318"/>
      <c r="P5" s="318"/>
      <c r="Q5" s="317"/>
      <c r="R5" s="318"/>
      <c r="S5" s="317"/>
    </row>
    <row r="6" spans="1:19" x14ac:dyDescent="0.2">
      <c r="A6" s="317"/>
      <c r="B6" s="317"/>
      <c r="C6" s="317"/>
      <c r="D6" s="318"/>
      <c r="E6" s="318"/>
      <c r="F6" s="318"/>
      <c r="G6" s="317"/>
      <c r="H6" s="318"/>
      <c r="I6" s="317"/>
      <c r="J6" s="318"/>
      <c r="K6" s="317"/>
      <c r="L6" s="318"/>
      <c r="M6" s="317"/>
      <c r="N6" s="318"/>
      <c r="O6" s="318"/>
      <c r="P6" s="318"/>
      <c r="Q6" s="317"/>
      <c r="R6" s="318"/>
      <c r="S6" s="317"/>
    </row>
    <row r="7" spans="1:19" x14ac:dyDescent="0.2">
      <c r="D7" s="319"/>
      <c r="E7" s="319"/>
      <c r="F7" s="319"/>
      <c r="H7" s="319"/>
      <c r="J7" s="319"/>
      <c r="L7" s="319"/>
      <c r="N7" s="319"/>
      <c r="O7" s="319"/>
      <c r="P7" s="319"/>
      <c r="R7" s="319"/>
    </row>
    <row r="8" spans="1:19" ht="25.5" x14ac:dyDescent="0.2">
      <c r="C8" s="320" t="s">
        <v>567</v>
      </c>
      <c r="D8" s="320"/>
      <c r="E8" s="320" t="s">
        <v>568</v>
      </c>
      <c r="F8" s="320"/>
      <c r="G8" s="432" t="s">
        <v>354</v>
      </c>
      <c r="H8" s="320"/>
      <c r="I8" s="320" t="s">
        <v>569</v>
      </c>
      <c r="J8" s="320"/>
      <c r="K8" s="320" t="s">
        <v>570</v>
      </c>
      <c r="L8" s="320"/>
      <c r="M8" s="321" t="s">
        <v>571</v>
      </c>
      <c r="N8" s="320"/>
      <c r="O8" s="320" t="s">
        <v>572</v>
      </c>
      <c r="P8" s="320"/>
      <c r="Q8" s="320" t="s">
        <v>573</v>
      </c>
      <c r="R8" s="320"/>
      <c r="S8" s="320" t="s">
        <v>574</v>
      </c>
    </row>
    <row r="9" spans="1:19" x14ac:dyDescent="0.2">
      <c r="C9" s="322" t="s">
        <v>575</v>
      </c>
      <c r="D9" s="323"/>
      <c r="E9" s="322" t="s">
        <v>567</v>
      </c>
      <c r="F9" s="323"/>
      <c r="G9" s="432"/>
      <c r="H9" s="323"/>
      <c r="I9" s="322" t="s">
        <v>576</v>
      </c>
      <c r="J9" s="323"/>
      <c r="K9" s="322" t="s">
        <v>577</v>
      </c>
      <c r="L9" s="323"/>
      <c r="M9" s="322" t="s">
        <v>577</v>
      </c>
      <c r="N9" s="323"/>
      <c r="O9" s="322" t="s">
        <v>578</v>
      </c>
      <c r="P9" s="323"/>
      <c r="Q9" s="322" t="s">
        <v>578</v>
      </c>
      <c r="R9" s="323"/>
      <c r="S9" s="322" t="s">
        <v>336</v>
      </c>
    </row>
    <row r="10" spans="1:19" x14ac:dyDescent="0.2">
      <c r="D10" s="319"/>
      <c r="F10" s="319"/>
      <c r="H10" s="319"/>
      <c r="I10" s="324"/>
      <c r="J10" s="325"/>
      <c r="K10" s="324"/>
      <c r="L10" s="325"/>
      <c r="M10" s="324"/>
      <c r="N10" s="325"/>
      <c r="O10" s="324"/>
      <c r="P10" s="325"/>
      <c r="Q10" s="324"/>
      <c r="R10" s="325"/>
      <c r="S10" s="324"/>
    </row>
    <row r="11" spans="1:19" x14ac:dyDescent="0.2">
      <c r="C11" s="326"/>
      <c r="D11" s="326"/>
      <c r="E11" s="326"/>
      <c r="F11" s="326"/>
      <c r="G11" s="326"/>
      <c r="H11" s="326"/>
      <c r="I11" s="326"/>
      <c r="J11" s="326"/>
      <c r="K11" s="326"/>
      <c r="L11" s="325"/>
      <c r="M11" s="326"/>
      <c r="N11" s="326"/>
      <c r="O11" s="326"/>
      <c r="P11" s="326"/>
      <c r="Q11" s="326"/>
      <c r="R11" s="326"/>
      <c r="S11" s="326"/>
    </row>
    <row r="12" spans="1:19" x14ac:dyDescent="0.2">
      <c r="C12" s="326"/>
      <c r="D12" s="326"/>
      <c r="E12" s="326"/>
      <c r="F12" s="326"/>
      <c r="G12" s="326"/>
      <c r="H12" s="326"/>
      <c r="I12" s="326"/>
      <c r="J12" s="326"/>
      <c r="K12" s="326"/>
      <c r="L12" s="325"/>
      <c r="M12" s="326"/>
      <c r="N12" s="326"/>
      <c r="O12" s="326"/>
      <c r="P12" s="326"/>
      <c r="Q12" s="326"/>
      <c r="R12" s="326"/>
      <c r="S12" s="326"/>
    </row>
    <row r="13" spans="1:19" ht="13.5" thickBot="1" x14ac:dyDescent="0.25">
      <c r="A13" s="327" t="s">
        <v>585</v>
      </c>
      <c r="B13" s="328"/>
      <c r="C13" s="329">
        <f>+'ESF=BALANCE'!O55</f>
        <v>1737000</v>
      </c>
      <c r="D13" s="330"/>
      <c r="E13" s="329">
        <f>+'ESF=BALANCE'!O57</f>
        <v>0</v>
      </c>
      <c r="F13" s="330"/>
      <c r="G13" s="329">
        <f>+'ESF=BALANCE'!O60</f>
        <v>73934.517999999996</v>
      </c>
      <c r="H13" s="330"/>
      <c r="I13" s="329">
        <f>+'ESF=BALANCE'!O63</f>
        <v>32620.972100000272</v>
      </c>
      <c r="J13" s="330"/>
      <c r="K13" s="329">
        <f>+'ESF=BALANCE'!L68</f>
        <v>0</v>
      </c>
      <c r="L13" s="331"/>
      <c r="M13" s="329">
        <v>0</v>
      </c>
      <c r="N13" s="330"/>
      <c r="O13" s="329">
        <f>+'ESF=BALANCE'!O67</f>
        <v>339509.75068999996</v>
      </c>
      <c r="P13" s="330"/>
      <c r="Q13" s="329">
        <v>0</v>
      </c>
      <c r="R13" s="330"/>
      <c r="S13" s="329">
        <f>+C13+E13+G13+I13+K13+O13</f>
        <v>2183065.2407900002</v>
      </c>
    </row>
    <row r="14" spans="1:19" ht="13.5" thickTop="1" x14ac:dyDescent="0.2">
      <c r="A14" s="327"/>
      <c r="B14" s="328"/>
      <c r="C14" s="330"/>
      <c r="D14" s="330"/>
      <c r="E14" s="330"/>
      <c r="F14" s="330"/>
      <c r="G14" s="330"/>
      <c r="H14" s="330"/>
      <c r="I14" s="330"/>
      <c r="J14" s="330"/>
      <c r="K14" s="330"/>
      <c r="L14" s="331"/>
      <c r="M14" s="330"/>
      <c r="N14" s="330"/>
      <c r="O14" s="330"/>
      <c r="P14" s="330"/>
      <c r="Q14" s="330"/>
      <c r="R14" s="330"/>
      <c r="S14" s="330"/>
    </row>
    <row r="15" spans="1:19" x14ac:dyDescent="0.2">
      <c r="A15" s="316" t="s">
        <v>579</v>
      </c>
      <c r="C15" s="326">
        <v>0</v>
      </c>
      <c r="D15" s="326"/>
      <c r="E15" s="326">
        <v>0</v>
      </c>
      <c r="F15" s="326"/>
      <c r="G15" s="326">
        <v>0</v>
      </c>
      <c r="H15" s="326"/>
      <c r="I15" s="326">
        <v>0</v>
      </c>
      <c r="J15" s="326"/>
      <c r="K15" s="326">
        <v>0</v>
      </c>
      <c r="L15" s="326"/>
      <c r="M15" s="326">
        <v>0</v>
      </c>
      <c r="N15" s="326"/>
      <c r="O15" s="326"/>
      <c r="P15" s="326"/>
      <c r="Q15" s="326"/>
      <c r="R15" s="326"/>
      <c r="S15" s="332">
        <f>SUM(C15:Q15)</f>
        <v>0</v>
      </c>
    </row>
    <row r="16" spans="1:19" x14ac:dyDescent="0.2">
      <c r="A16" s="333"/>
      <c r="C16" s="326"/>
      <c r="D16" s="326"/>
      <c r="E16" s="326"/>
      <c r="F16" s="326"/>
      <c r="G16" s="326"/>
      <c r="H16" s="326"/>
      <c r="I16" s="326"/>
      <c r="J16" s="326"/>
      <c r="K16" s="326"/>
      <c r="L16" s="326"/>
      <c r="M16" s="326"/>
      <c r="N16" s="326"/>
      <c r="O16" s="326"/>
      <c r="P16" s="326"/>
      <c r="Q16" s="326"/>
      <c r="R16" s="326"/>
      <c r="S16" s="326"/>
    </row>
    <row r="17" spans="1:19" x14ac:dyDescent="0.2">
      <c r="A17" s="316" t="s">
        <v>580</v>
      </c>
      <c r="C17" s="332">
        <v>0</v>
      </c>
      <c r="D17" s="326"/>
      <c r="E17" s="332">
        <v>0</v>
      </c>
      <c r="F17" s="326"/>
      <c r="G17" s="332">
        <f>+'ESF=BALANCE'!L60-'ESF=BALANCE'!O60</f>
        <v>-22284.600999999995</v>
      </c>
      <c r="H17" s="326"/>
      <c r="I17" s="332">
        <v>0</v>
      </c>
      <c r="J17" s="326"/>
      <c r="K17" s="332">
        <v>0</v>
      </c>
      <c r="L17" s="326"/>
      <c r="M17" s="332">
        <v>0</v>
      </c>
      <c r="N17" s="326"/>
      <c r="O17" s="332"/>
      <c r="P17" s="326"/>
      <c r="Q17" s="332"/>
      <c r="R17" s="326"/>
      <c r="S17" s="332">
        <f>SUM(C17:Q17)</f>
        <v>-22284.600999999995</v>
      </c>
    </row>
    <row r="18" spans="1:19" x14ac:dyDescent="0.2">
      <c r="C18" s="332"/>
      <c r="D18" s="326"/>
      <c r="E18" s="332"/>
      <c r="F18" s="326"/>
      <c r="G18" s="332"/>
      <c r="H18" s="326"/>
      <c r="I18" s="332"/>
      <c r="J18" s="326"/>
      <c r="K18" s="332"/>
      <c r="L18" s="326"/>
      <c r="M18" s="332"/>
      <c r="N18" s="326"/>
      <c r="O18" s="332"/>
      <c r="P18" s="326"/>
      <c r="Q18" s="332"/>
      <c r="R18" s="326"/>
      <c r="S18" s="332"/>
    </row>
    <row r="19" spans="1:19" x14ac:dyDescent="0.2">
      <c r="A19" s="316" t="s">
        <v>581</v>
      </c>
      <c r="C19" s="332">
        <v>0</v>
      </c>
      <c r="D19" s="326"/>
      <c r="E19" s="332">
        <v>0</v>
      </c>
      <c r="F19" s="326"/>
      <c r="G19" s="332">
        <v>0</v>
      </c>
      <c r="H19" s="326"/>
      <c r="I19" s="332">
        <v>0</v>
      </c>
      <c r="J19" s="326"/>
      <c r="K19" s="332">
        <v>0</v>
      </c>
      <c r="L19" s="326"/>
      <c r="M19" s="332">
        <v>0</v>
      </c>
      <c r="N19" s="326"/>
      <c r="O19" s="332">
        <f>-83536-0.5</f>
        <v>-83536.5</v>
      </c>
      <c r="P19" s="326"/>
      <c r="Q19" s="332"/>
      <c r="R19" s="326"/>
      <c r="S19" s="332">
        <f>SUM(C19:Q19)</f>
        <v>-83536.5</v>
      </c>
    </row>
    <row r="20" spans="1:19" x14ac:dyDescent="0.2">
      <c r="C20" s="332"/>
      <c r="D20" s="326"/>
      <c r="E20" s="332"/>
      <c r="F20" s="326"/>
      <c r="G20" s="332"/>
      <c r="H20" s="326"/>
      <c r="I20" s="332"/>
      <c r="J20" s="326"/>
      <c r="K20" s="332"/>
      <c r="L20" s="326"/>
      <c r="M20" s="332"/>
      <c r="N20" s="326"/>
      <c r="O20" s="332"/>
      <c r="P20" s="326"/>
      <c r="Q20" s="332"/>
      <c r="R20" s="326"/>
      <c r="S20" s="332"/>
    </row>
    <row r="21" spans="1:19" x14ac:dyDescent="0.2">
      <c r="A21" s="334" t="s">
        <v>582</v>
      </c>
      <c r="C21" s="332">
        <v>0</v>
      </c>
      <c r="D21" s="326"/>
      <c r="E21" s="332">
        <v>0</v>
      </c>
      <c r="F21" s="326"/>
      <c r="G21" s="332">
        <v>0</v>
      </c>
      <c r="H21" s="326"/>
      <c r="I21" s="332">
        <v>0</v>
      </c>
      <c r="J21" s="326"/>
      <c r="K21" s="332">
        <v>0</v>
      </c>
      <c r="L21" s="326"/>
      <c r="M21" s="332">
        <v>0</v>
      </c>
      <c r="N21" s="326"/>
      <c r="O21" s="326"/>
      <c r="P21" s="326"/>
      <c r="Q21" s="332"/>
      <c r="R21" s="326"/>
      <c r="S21" s="332">
        <f>SUM(C21:Q21)</f>
        <v>0</v>
      </c>
    </row>
    <row r="22" spans="1:19" x14ac:dyDescent="0.2">
      <c r="C22" s="332"/>
      <c r="D22" s="326"/>
      <c r="E22" s="332"/>
      <c r="F22" s="326"/>
      <c r="G22" s="332"/>
      <c r="H22" s="326"/>
      <c r="I22" s="332"/>
      <c r="J22" s="326"/>
      <c r="K22" s="332"/>
      <c r="L22" s="326"/>
      <c r="M22" s="332"/>
      <c r="N22" s="326"/>
      <c r="O22" s="332"/>
      <c r="P22" s="326"/>
      <c r="Q22" s="332">
        <f>SUM(B22:K22)</f>
        <v>0</v>
      </c>
      <c r="R22" s="326"/>
      <c r="S22" s="332"/>
    </row>
    <row r="23" spans="1:19" x14ac:dyDescent="0.2">
      <c r="A23" s="335" t="s">
        <v>583</v>
      </c>
      <c r="C23" s="332">
        <v>0</v>
      </c>
      <c r="D23" s="326"/>
      <c r="E23" s="332">
        <v>0</v>
      </c>
      <c r="F23" s="326"/>
      <c r="G23" s="332">
        <v>0</v>
      </c>
      <c r="H23" s="326"/>
      <c r="I23" s="332">
        <f>-'ESF=BALANCE'!O64</f>
        <v>-32620.972100000272</v>
      </c>
      <c r="J23" s="326"/>
      <c r="K23" s="332">
        <v>0</v>
      </c>
      <c r="L23" s="326"/>
      <c r="M23" s="326">
        <v>0</v>
      </c>
      <c r="N23" s="326"/>
      <c r="O23" s="332">
        <f>-G17</f>
        <v>22284.600999999995</v>
      </c>
      <c r="P23" s="326"/>
      <c r="Q23" s="332"/>
      <c r="R23" s="326"/>
      <c r="S23" s="332">
        <f>SUM(C23:Q23)</f>
        <v>-10336.371100000277</v>
      </c>
    </row>
    <row r="24" spans="1:19" x14ac:dyDescent="0.2">
      <c r="C24" s="332"/>
      <c r="D24" s="326"/>
      <c r="E24" s="332"/>
      <c r="F24" s="326"/>
      <c r="G24" s="332"/>
      <c r="H24" s="326"/>
      <c r="I24" s="332"/>
      <c r="J24" s="326"/>
      <c r="K24" s="332"/>
      <c r="L24" s="326"/>
      <c r="M24" s="332"/>
      <c r="N24" s="326"/>
      <c r="O24" s="332"/>
      <c r="P24" s="326"/>
      <c r="Q24" s="332"/>
      <c r="R24" s="326"/>
      <c r="S24" s="332"/>
    </row>
    <row r="25" spans="1:19" x14ac:dyDescent="0.2">
      <c r="A25" s="335" t="s">
        <v>584</v>
      </c>
      <c r="C25" s="332">
        <v>0</v>
      </c>
      <c r="D25" s="326"/>
      <c r="E25" s="332">
        <v>0</v>
      </c>
      <c r="F25" s="326"/>
      <c r="G25" s="332">
        <v>0</v>
      </c>
      <c r="H25" s="326"/>
      <c r="I25" s="336">
        <f>+'ESF=BALANCE'!L63</f>
        <v>56988.014119999731</v>
      </c>
      <c r="J25" s="326"/>
      <c r="K25" s="332">
        <v>0</v>
      </c>
      <c r="L25" s="326"/>
      <c r="M25" s="332">
        <v>0</v>
      </c>
      <c r="N25" s="326"/>
      <c r="O25" s="332">
        <f>+I13</f>
        <v>32620.972100000272</v>
      </c>
      <c r="P25" s="326"/>
      <c r="Q25" s="332"/>
      <c r="R25" s="326"/>
      <c r="S25" s="332">
        <f>SUM(C25:Q25)</f>
        <v>89608.986220000006</v>
      </c>
    </row>
    <row r="26" spans="1:19" x14ac:dyDescent="0.2">
      <c r="C26" s="326"/>
      <c r="D26" s="326"/>
      <c r="E26" s="326"/>
      <c r="F26" s="326"/>
      <c r="G26" s="326"/>
      <c r="H26" s="326"/>
      <c r="I26" s="326"/>
      <c r="J26" s="326"/>
      <c r="K26" s="326"/>
      <c r="L26" s="325"/>
      <c r="M26" s="326"/>
      <c r="N26" s="326"/>
      <c r="O26" s="326"/>
      <c r="P26" s="326"/>
      <c r="Q26" s="326"/>
      <c r="R26" s="326"/>
      <c r="S26" s="326"/>
    </row>
    <row r="27" spans="1:19" ht="13.5" thickBot="1" x14ac:dyDescent="0.25">
      <c r="A27" s="327" t="s">
        <v>592</v>
      </c>
      <c r="B27" s="328"/>
      <c r="C27" s="329">
        <f>SUM(C13)+C21+C15</f>
        <v>1737000</v>
      </c>
      <c r="D27" s="330"/>
      <c r="E27" s="329">
        <f>SUM(E13)+E21</f>
        <v>0</v>
      </c>
      <c r="F27" s="330"/>
      <c r="G27" s="329">
        <f>+SUM(G13:G24)</f>
        <v>51649.917000000001</v>
      </c>
      <c r="H27" s="330"/>
      <c r="I27" s="329">
        <f>SUM(I13)+I21+I23+I25</f>
        <v>56988.014119999731</v>
      </c>
      <c r="J27" s="330"/>
      <c r="K27" s="329">
        <f>SUM(K13)+K21+K23</f>
        <v>0</v>
      </c>
      <c r="L27" s="331"/>
      <c r="M27" s="329"/>
      <c r="N27" s="330"/>
      <c r="O27" s="329">
        <f>+SUM(O13:O26)</f>
        <v>310878.82379000017</v>
      </c>
      <c r="P27" s="330"/>
      <c r="Q27" s="329">
        <f>SUM(Q13)+Q21</f>
        <v>0</v>
      </c>
      <c r="R27" s="330"/>
      <c r="S27" s="329">
        <f>SUM(S13)+S21+S23+S25+S19+S17+S15</f>
        <v>2156516.7549100001</v>
      </c>
    </row>
    <row r="28" spans="1:19" ht="13.5" thickTop="1" x14ac:dyDescent="0.2">
      <c r="A28" s="327"/>
      <c r="B28" s="328"/>
      <c r="C28" s="330"/>
      <c r="D28" s="330"/>
      <c r="E28" s="330"/>
      <c r="F28" s="330"/>
      <c r="G28" s="330"/>
      <c r="H28" s="330"/>
      <c r="I28" s="330"/>
      <c r="J28" s="330"/>
      <c r="K28" s="330"/>
      <c r="L28" s="331"/>
      <c r="M28" s="330"/>
      <c r="N28" s="330"/>
      <c r="O28" s="330"/>
      <c r="P28" s="330"/>
      <c r="Q28" s="330"/>
      <c r="R28" s="330"/>
      <c r="S28" s="330"/>
    </row>
    <row r="37" spans="1:13" x14ac:dyDescent="0.2">
      <c r="A37" s="316" t="s">
        <v>586</v>
      </c>
      <c r="G37" s="316" t="s">
        <v>587</v>
      </c>
      <c r="M37" s="316" t="s">
        <v>587</v>
      </c>
    </row>
    <row r="38" spans="1:13" s="328" customFormat="1" x14ac:dyDescent="0.2">
      <c r="A38" s="328" t="str">
        <f>+[1]DATOS!H12</f>
        <v>Diego Botero Jaramillo</v>
      </c>
      <c r="G38" s="328" t="s">
        <v>588</v>
      </c>
      <c r="M38" s="328" t="str">
        <f>+DATOS!H14</f>
        <v>Leidy Yasmin Gomez Toro</v>
      </c>
    </row>
    <row r="39" spans="1:13" x14ac:dyDescent="0.2">
      <c r="A39" s="316" t="str">
        <f>+[1]DATOS!H13</f>
        <v>C.C 71.787.709</v>
      </c>
      <c r="G39" s="316" t="s">
        <v>589</v>
      </c>
      <c r="M39" s="316" t="str">
        <f>"TP: "&amp;+DATOS!H15</f>
        <v>TP: TP: 318364-T</v>
      </c>
    </row>
    <row r="40" spans="1:13" x14ac:dyDescent="0.2">
      <c r="A40" s="316" t="s">
        <v>388</v>
      </c>
      <c r="G40" s="316" t="s">
        <v>590</v>
      </c>
      <c r="M40" s="316" t="s">
        <v>25</v>
      </c>
    </row>
    <row r="41" spans="1:13" x14ac:dyDescent="0.2">
      <c r="G41" s="316" t="s">
        <v>591</v>
      </c>
    </row>
  </sheetData>
  <mergeCells count="5">
    <mergeCell ref="A1:S1"/>
    <mergeCell ref="A2:S2"/>
    <mergeCell ref="A3:S3"/>
    <mergeCell ref="A4:S4"/>
    <mergeCell ref="G8:G9"/>
  </mergeCells>
  <dataValidations count="1">
    <dataValidation type="list" allowBlank="1" showInputMessage="1" showErrorMessage="1" sqref="WVU983029 JI8 TE8 ADA8 AMW8 AWS8 BGO8 BQK8 CAG8 CKC8 CTY8 DDU8 DNQ8 DXM8 EHI8 ERE8 FBA8 FKW8 FUS8 GEO8 GOK8 GYG8 HIC8 HRY8 IBU8 ILQ8 IVM8 JFI8 JPE8 JZA8 KIW8 KSS8 LCO8 LMK8 LWG8 MGC8 MPY8 MZU8 NJQ8 NTM8 ODI8 ONE8 OXA8 PGW8 PQS8 QAO8 QKK8 QUG8 REC8 RNY8 RXU8 SHQ8 SRM8 TBI8 TLE8 TVA8 UEW8 UOS8 UYO8 VIK8 VSG8 WCC8 WLY8 WVU8 M65525 JI65525 TE65525 ADA65525 AMW65525 AWS65525 BGO65525 BQK65525 CAG65525 CKC65525 CTY65525 DDU65525 DNQ65525 DXM65525 EHI65525 ERE65525 FBA65525 FKW65525 FUS65525 GEO65525 GOK65525 GYG65525 HIC65525 HRY65525 IBU65525 ILQ65525 IVM65525 JFI65525 JPE65525 JZA65525 KIW65525 KSS65525 LCO65525 LMK65525 LWG65525 MGC65525 MPY65525 MZU65525 NJQ65525 NTM65525 ODI65525 ONE65525 OXA65525 PGW65525 PQS65525 QAO65525 QKK65525 QUG65525 REC65525 RNY65525 RXU65525 SHQ65525 SRM65525 TBI65525 TLE65525 TVA65525 UEW65525 UOS65525 UYO65525 VIK65525 VSG65525 WCC65525 WLY65525 WVU65525 M131061 JI131061 TE131061 ADA131061 AMW131061 AWS131061 BGO131061 BQK131061 CAG131061 CKC131061 CTY131061 DDU131061 DNQ131061 DXM131061 EHI131061 ERE131061 FBA131061 FKW131061 FUS131061 GEO131061 GOK131061 GYG131061 HIC131061 HRY131061 IBU131061 ILQ131061 IVM131061 JFI131061 JPE131061 JZA131061 KIW131061 KSS131061 LCO131061 LMK131061 LWG131061 MGC131061 MPY131061 MZU131061 NJQ131061 NTM131061 ODI131061 ONE131061 OXA131061 PGW131061 PQS131061 QAO131061 QKK131061 QUG131061 REC131061 RNY131061 RXU131061 SHQ131061 SRM131061 TBI131061 TLE131061 TVA131061 UEW131061 UOS131061 UYO131061 VIK131061 VSG131061 WCC131061 WLY131061 WVU131061 M196597 JI196597 TE196597 ADA196597 AMW196597 AWS196597 BGO196597 BQK196597 CAG196597 CKC196597 CTY196597 DDU196597 DNQ196597 DXM196597 EHI196597 ERE196597 FBA196597 FKW196597 FUS196597 GEO196597 GOK196597 GYG196597 HIC196597 HRY196597 IBU196597 ILQ196597 IVM196597 JFI196597 JPE196597 JZA196597 KIW196597 KSS196597 LCO196597 LMK196597 LWG196597 MGC196597 MPY196597 MZU196597 NJQ196597 NTM196597 ODI196597 ONE196597 OXA196597 PGW196597 PQS196597 QAO196597 QKK196597 QUG196597 REC196597 RNY196597 RXU196597 SHQ196597 SRM196597 TBI196597 TLE196597 TVA196597 UEW196597 UOS196597 UYO196597 VIK196597 VSG196597 WCC196597 WLY196597 WVU196597 M262133 JI262133 TE262133 ADA262133 AMW262133 AWS262133 BGO262133 BQK262133 CAG262133 CKC262133 CTY262133 DDU262133 DNQ262133 DXM262133 EHI262133 ERE262133 FBA262133 FKW262133 FUS262133 GEO262133 GOK262133 GYG262133 HIC262133 HRY262133 IBU262133 ILQ262133 IVM262133 JFI262133 JPE262133 JZA262133 KIW262133 KSS262133 LCO262133 LMK262133 LWG262133 MGC262133 MPY262133 MZU262133 NJQ262133 NTM262133 ODI262133 ONE262133 OXA262133 PGW262133 PQS262133 QAO262133 QKK262133 QUG262133 REC262133 RNY262133 RXU262133 SHQ262133 SRM262133 TBI262133 TLE262133 TVA262133 UEW262133 UOS262133 UYO262133 VIK262133 VSG262133 WCC262133 WLY262133 WVU262133 M327669 JI327669 TE327669 ADA327669 AMW327669 AWS327669 BGO327669 BQK327669 CAG327669 CKC327669 CTY327669 DDU327669 DNQ327669 DXM327669 EHI327669 ERE327669 FBA327669 FKW327669 FUS327669 GEO327669 GOK327669 GYG327669 HIC327669 HRY327669 IBU327669 ILQ327669 IVM327669 JFI327669 JPE327669 JZA327669 KIW327669 KSS327669 LCO327669 LMK327669 LWG327669 MGC327669 MPY327669 MZU327669 NJQ327669 NTM327669 ODI327669 ONE327669 OXA327669 PGW327669 PQS327669 QAO327669 QKK327669 QUG327669 REC327669 RNY327669 RXU327669 SHQ327669 SRM327669 TBI327669 TLE327669 TVA327669 UEW327669 UOS327669 UYO327669 VIK327669 VSG327669 WCC327669 WLY327669 WVU327669 M393205 JI393205 TE393205 ADA393205 AMW393205 AWS393205 BGO393205 BQK393205 CAG393205 CKC393205 CTY393205 DDU393205 DNQ393205 DXM393205 EHI393205 ERE393205 FBA393205 FKW393205 FUS393205 GEO393205 GOK393205 GYG393205 HIC393205 HRY393205 IBU393205 ILQ393205 IVM393205 JFI393205 JPE393205 JZA393205 KIW393205 KSS393205 LCO393205 LMK393205 LWG393205 MGC393205 MPY393205 MZU393205 NJQ393205 NTM393205 ODI393205 ONE393205 OXA393205 PGW393205 PQS393205 QAO393205 QKK393205 QUG393205 REC393205 RNY393205 RXU393205 SHQ393205 SRM393205 TBI393205 TLE393205 TVA393205 UEW393205 UOS393205 UYO393205 VIK393205 VSG393205 WCC393205 WLY393205 WVU393205 M458741 JI458741 TE458741 ADA458741 AMW458741 AWS458741 BGO458741 BQK458741 CAG458741 CKC458741 CTY458741 DDU458741 DNQ458741 DXM458741 EHI458741 ERE458741 FBA458741 FKW458741 FUS458741 GEO458741 GOK458741 GYG458741 HIC458741 HRY458741 IBU458741 ILQ458741 IVM458741 JFI458741 JPE458741 JZA458741 KIW458741 KSS458741 LCO458741 LMK458741 LWG458741 MGC458741 MPY458741 MZU458741 NJQ458741 NTM458741 ODI458741 ONE458741 OXA458741 PGW458741 PQS458741 QAO458741 QKK458741 QUG458741 REC458741 RNY458741 RXU458741 SHQ458741 SRM458741 TBI458741 TLE458741 TVA458741 UEW458741 UOS458741 UYO458741 VIK458741 VSG458741 WCC458741 WLY458741 WVU458741 M524277 JI524277 TE524277 ADA524277 AMW524277 AWS524277 BGO524277 BQK524277 CAG524277 CKC524277 CTY524277 DDU524277 DNQ524277 DXM524277 EHI524277 ERE524277 FBA524277 FKW524277 FUS524277 GEO524277 GOK524277 GYG524277 HIC524277 HRY524277 IBU524277 ILQ524277 IVM524277 JFI524277 JPE524277 JZA524277 KIW524277 KSS524277 LCO524277 LMK524277 LWG524277 MGC524277 MPY524277 MZU524277 NJQ524277 NTM524277 ODI524277 ONE524277 OXA524277 PGW524277 PQS524277 QAO524277 QKK524277 QUG524277 REC524277 RNY524277 RXU524277 SHQ524277 SRM524277 TBI524277 TLE524277 TVA524277 UEW524277 UOS524277 UYO524277 VIK524277 VSG524277 WCC524277 WLY524277 WVU524277 M589813 JI589813 TE589813 ADA589813 AMW589813 AWS589813 BGO589813 BQK589813 CAG589813 CKC589813 CTY589813 DDU589813 DNQ589813 DXM589813 EHI589813 ERE589813 FBA589813 FKW589813 FUS589813 GEO589813 GOK589813 GYG589813 HIC589813 HRY589813 IBU589813 ILQ589813 IVM589813 JFI589813 JPE589813 JZA589813 KIW589813 KSS589813 LCO589813 LMK589813 LWG589813 MGC589813 MPY589813 MZU589813 NJQ589813 NTM589813 ODI589813 ONE589813 OXA589813 PGW589813 PQS589813 QAO589813 QKK589813 QUG589813 REC589813 RNY589813 RXU589813 SHQ589813 SRM589813 TBI589813 TLE589813 TVA589813 UEW589813 UOS589813 UYO589813 VIK589813 VSG589813 WCC589813 WLY589813 WVU589813 M655349 JI655349 TE655349 ADA655349 AMW655349 AWS655349 BGO655349 BQK655349 CAG655349 CKC655349 CTY655349 DDU655349 DNQ655349 DXM655349 EHI655349 ERE655349 FBA655349 FKW655349 FUS655349 GEO655349 GOK655349 GYG655349 HIC655349 HRY655349 IBU655349 ILQ655349 IVM655349 JFI655349 JPE655349 JZA655349 KIW655349 KSS655349 LCO655349 LMK655349 LWG655349 MGC655349 MPY655349 MZU655349 NJQ655349 NTM655349 ODI655349 ONE655349 OXA655349 PGW655349 PQS655349 QAO655349 QKK655349 QUG655349 REC655349 RNY655349 RXU655349 SHQ655349 SRM655349 TBI655349 TLE655349 TVA655349 UEW655349 UOS655349 UYO655349 VIK655349 VSG655349 WCC655349 WLY655349 WVU655349 M720885 JI720885 TE720885 ADA720885 AMW720885 AWS720885 BGO720885 BQK720885 CAG720885 CKC720885 CTY720885 DDU720885 DNQ720885 DXM720885 EHI720885 ERE720885 FBA720885 FKW720885 FUS720885 GEO720885 GOK720885 GYG720885 HIC720885 HRY720885 IBU720885 ILQ720885 IVM720885 JFI720885 JPE720885 JZA720885 KIW720885 KSS720885 LCO720885 LMK720885 LWG720885 MGC720885 MPY720885 MZU720885 NJQ720885 NTM720885 ODI720885 ONE720885 OXA720885 PGW720885 PQS720885 QAO720885 QKK720885 QUG720885 REC720885 RNY720885 RXU720885 SHQ720885 SRM720885 TBI720885 TLE720885 TVA720885 UEW720885 UOS720885 UYO720885 VIK720885 VSG720885 WCC720885 WLY720885 WVU720885 M786421 JI786421 TE786421 ADA786421 AMW786421 AWS786421 BGO786421 BQK786421 CAG786421 CKC786421 CTY786421 DDU786421 DNQ786421 DXM786421 EHI786421 ERE786421 FBA786421 FKW786421 FUS786421 GEO786421 GOK786421 GYG786421 HIC786421 HRY786421 IBU786421 ILQ786421 IVM786421 JFI786421 JPE786421 JZA786421 KIW786421 KSS786421 LCO786421 LMK786421 LWG786421 MGC786421 MPY786421 MZU786421 NJQ786421 NTM786421 ODI786421 ONE786421 OXA786421 PGW786421 PQS786421 QAO786421 QKK786421 QUG786421 REC786421 RNY786421 RXU786421 SHQ786421 SRM786421 TBI786421 TLE786421 TVA786421 UEW786421 UOS786421 UYO786421 VIK786421 VSG786421 WCC786421 WLY786421 WVU786421 M851957 JI851957 TE851957 ADA851957 AMW851957 AWS851957 BGO851957 BQK851957 CAG851957 CKC851957 CTY851957 DDU851957 DNQ851957 DXM851957 EHI851957 ERE851957 FBA851957 FKW851957 FUS851957 GEO851957 GOK851957 GYG851957 HIC851957 HRY851957 IBU851957 ILQ851957 IVM851957 JFI851957 JPE851957 JZA851957 KIW851957 KSS851957 LCO851957 LMK851957 LWG851957 MGC851957 MPY851957 MZU851957 NJQ851957 NTM851957 ODI851957 ONE851957 OXA851957 PGW851957 PQS851957 QAO851957 QKK851957 QUG851957 REC851957 RNY851957 RXU851957 SHQ851957 SRM851957 TBI851957 TLE851957 TVA851957 UEW851957 UOS851957 UYO851957 VIK851957 VSG851957 WCC851957 WLY851957 WVU851957 M917493 JI917493 TE917493 ADA917493 AMW917493 AWS917493 BGO917493 BQK917493 CAG917493 CKC917493 CTY917493 DDU917493 DNQ917493 DXM917493 EHI917493 ERE917493 FBA917493 FKW917493 FUS917493 GEO917493 GOK917493 GYG917493 HIC917493 HRY917493 IBU917493 ILQ917493 IVM917493 JFI917493 JPE917493 JZA917493 KIW917493 KSS917493 LCO917493 LMK917493 LWG917493 MGC917493 MPY917493 MZU917493 NJQ917493 NTM917493 ODI917493 ONE917493 OXA917493 PGW917493 PQS917493 QAO917493 QKK917493 QUG917493 REC917493 RNY917493 RXU917493 SHQ917493 SRM917493 TBI917493 TLE917493 TVA917493 UEW917493 UOS917493 UYO917493 VIK917493 VSG917493 WCC917493 WLY917493 WVU917493 M983029 JI983029 TE983029 ADA983029 AMW983029 AWS983029 BGO983029 BQK983029 CAG983029 CKC983029 CTY983029 DDU983029 DNQ983029 DXM983029 EHI983029 ERE983029 FBA983029 FKW983029 FUS983029 GEO983029 GOK983029 GYG983029 HIC983029 HRY983029 IBU983029 ILQ983029 IVM983029 JFI983029 JPE983029 JZA983029 KIW983029 KSS983029 LCO983029 LMK983029 LWG983029 MGC983029 MPY983029 MZU983029 NJQ983029 NTM983029 ODI983029 ONE983029 OXA983029 PGW983029 PQS983029 QAO983029 QKK983029 QUG983029 REC983029 RNY983029 RXU983029 SHQ983029 SRM983029 TBI983029 TLE983029 TVA983029 UEW983029 UOS983029 UYO983029 VIK983029 VSG983029 WCC983029 WLY983029 M8" xr:uid="{00000000-0002-0000-0500-000000000000}">
      <formula1>$B$6:$B$60</formula1>
    </dataValidation>
  </dataValidations>
  <pageMargins left="0.70866141732283472" right="0.70866141732283472" top="0.74803149606299213" bottom="0.74803149606299213" header="0.31496062992125984" footer="0.31496062992125984"/>
  <pageSetup paperSize="9" scale="63"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0"/>
  <sheetViews>
    <sheetView showGridLines="0" workbookViewId="0">
      <selection activeCell="C30" sqref="C30"/>
    </sheetView>
  </sheetViews>
  <sheetFormatPr baseColWidth="10" defaultColWidth="14.42578125" defaultRowHeight="15" customHeight="1" x14ac:dyDescent="0.25"/>
  <cols>
    <col min="1" max="1" width="63.85546875" customWidth="1"/>
    <col min="2" max="2" width="26.140625" customWidth="1"/>
    <col min="3" max="3" width="25.42578125" customWidth="1"/>
    <col min="4" max="4" width="10.7109375" customWidth="1"/>
    <col min="5" max="5" width="12.7109375" customWidth="1"/>
    <col min="6" max="26" width="10.7109375" customWidth="1"/>
  </cols>
  <sheetData>
    <row r="1" spans="1:3" ht="15.75" x14ac:dyDescent="0.25">
      <c r="A1" s="433" t="str">
        <f>+DATOS!H6</f>
        <v>GRUPO DE LOLITA S.A.S</v>
      </c>
      <c r="B1" s="400"/>
      <c r="C1" s="400"/>
    </row>
    <row r="2" spans="1:3" ht="15.75" x14ac:dyDescent="0.25">
      <c r="A2" s="433" t="str">
        <f>+DATOS!H7</f>
        <v>NIT: 900.307.969-5</v>
      </c>
      <c r="B2" s="400"/>
      <c r="C2" s="400"/>
    </row>
    <row r="3" spans="1:3" ht="15.75" x14ac:dyDescent="0.25">
      <c r="A3" s="433" t="s">
        <v>242</v>
      </c>
      <c r="B3" s="400"/>
      <c r="C3" s="400"/>
    </row>
    <row r="4" spans="1:3" ht="15.75" x14ac:dyDescent="0.25">
      <c r="A4" s="433" t="str">
        <f>+DATOS!H8</f>
        <v>A 30 de Junio de 2026 y 2025</v>
      </c>
      <c r="B4" s="400"/>
      <c r="C4" s="400"/>
    </row>
    <row r="5" spans="1:3" ht="15.75" x14ac:dyDescent="0.25">
      <c r="A5" s="433" t="str">
        <f>+'E.R.I.ACUMULADO'!A6</f>
        <v>(Cifras Expresadas en Miles de Pesos Colombianos)</v>
      </c>
      <c r="B5" s="400"/>
      <c r="C5" s="400"/>
    </row>
    <row r="7" spans="1:3" x14ac:dyDescent="0.25">
      <c r="A7" s="173" t="s">
        <v>213</v>
      </c>
      <c r="B7" s="174" t="str">
        <f>+DATOS!H10</f>
        <v>2026-06</v>
      </c>
      <c r="C7" s="174" t="str">
        <f>+DATOS!H11</f>
        <v>2025-06</v>
      </c>
    </row>
    <row r="8" spans="1:3" x14ac:dyDescent="0.25">
      <c r="A8" s="176" t="s">
        <v>244</v>
      </c>
      <c r="B8" s="176">
        <f>+'E.R.I.ACUMULADO'!D109+DATOS!D121+DATOS!D122+DATOS!D140+DATOS!D141+DATOS!D150+DATOS!D179+DATOS!D180+DATOS!D155</f>
        <v>150787.68641999972</v>
      </c>
      <c r="C8" s="176">
        <f>+'E.R.I.ACUMULADO'!G109+DATOS!G121+DATOS!G122+DATOS!G140+DATOS!G141+DATOS!G150+DATOS!G179+DATOS!G180+DATOS!G155</f>
        <v>87813.416270000263</v>
      </c>
    </row>
    <row r="9" spans="1:3" x14ac:dyDescent="0.25">
      <c r="A9" s="176" t="s">
        <v>248</v>
      </c>
      <c r="B9" s="176">
        <f>+'E.R.I.ACUMULADO'!D109+DATOS!D179+DATOS!D140+DATOS!D121</f>
        <v>84457.90441999973</v>
      </c>
      <c r="C9" s="176">
        <f>+'E.R.I.ACUMULADO'!G109+DATOS!G121+DATOS!G140+DATOS!G179</f>
        <v>38101.601400000269</v>
      </c>
    </row>
    <row r="10" spans="1:3" x14ac:dyDescent="0.25">
      <c r="A10" s="176" t="s">
        <v>249</v>
      </c>
      <c r="B10" s="176">
        <f>-(+'E.R.I.ACUMULADO'!D52+'E.R.I.ACUMULADO'!D30+'E.R.I.ACUMULADO'!D68+'E.R.I.ACUMULADO'!D80)</f>
        <v>1082238.58235</v>
      </c>
      <c r="C10" s="176">
        <f>-(+'E.R.I.ACUMULADO'!G30+'E.R.I.ACUMULADO'!G52+'E.R.I.ACUMULADO'!G68+'E.R.I.ACUMULADO'!G80)</f>
        <v>1650195.0772299997</v>
      </c>
    </row>
    <row r="11" spans="1:3" x14ac:dyDescent="0.25">
      <c r="A11" s="176" t="s">
        <v>251</v>
      </c>
      <c r="B11" s="176">
        <f>(+'ESF=BALANCE'!D22+'ESF=BALANCE'!D27+'ESF=BALANCE'!D28)*DATOS!H18</f>
        <v>62.161706500000001</v>
      </c>
      <c r="C11" s="176">
        <f>(+'ESF=BALANCE'!G22+'ESF=BALANCE'!G27+'ESF=BALANCE'!G28)*DATOS!H18</f>
        <v>60.318756000003702</v>
      </c>
    </row>
    <row r="12" spans="1:3" x14ac:dyDescent="0.25">
      <c r="A12" s="176" t="s">
        <v>253</v>
      </c>
      <c r="B12" s="176">
        <f>+'ESF=BALANCE'!D30*DATOS!H18</f>
        <v>92.953250199999204</v>
      </c>
      <c r="C12" s="176">
        <f>+'ESF=BALANCE'!G30*DATOS!H18</f>
        <v>818.49588000000006</v>
      </c>
    </row>
    <row r="13" spans="1:3" x14ac:dyDescent="0.25">
      <c r="A13" s="176" t="s">
        <v>254</v>
      </c>
      <c r="B13" s="183">
        <f>+B10/'E.R.I.ACUMULADO'!D13</f>
        <v>0.51130203849503375</v>
      </c>
      <c r="C13" s="183">
        <f>+C10/'E.R.I.ACUMULADO'!G13</f>
        <v>0.56149460247772343</v>
      </c>
    </row>
    <row r="14" spans="1:3" x14ac:dyDescent="0.25">
      <c r="A14" s="176" t="s">
        <v>256</v>
      </c>
      <c r="B14" s="183">
        <f>(+DATOS!D110+DATOS!D111+DATOS!D126+DATOS!D127+DATOS!D167+DATOS!D169+DATOS!D170+DATOS!D171+DATOS!D128+DATOS!D112)/'E.R.I.ACUMULADO'!D13</f>
        <v>0.26783046142706801</v>
      </c>
      <c r="C14" s="183">
        <f>+(DATOS!G110+DATOS!G111+DATOS!G112+DATOS!G126+DATOS!G127+DATOS!G128+DATOS!G167+DATOS!G169+DATOS!G170+DATOS!G171)/'E.R.I.ACUMULADO'!G13</f>
        <v>0.23161572413082315</v>
      </c>
    </row>
    <row r="15" spans="1:3" x14ac:dyDescent="0.25">
      <c r="A15" s="173" t="s">
        <v>258</v>
      </c>
      <c r="B15" s="174" t="str">
        <f>+B7</f>
        <v>2026-06</v>
      </c>
      <c r="C15" s="174" t="str">
        <f>+C7</f>
        <v>2025-06</v>
      </c>
    </row>
    <row r="16" spans="1:3" x14ac:dyDescent="0.25">
      <c r="A16" s="176" t="s">
        <v>259</v>
      </c>
      <c r="B16" s="186">
        <f>+'ESF=BALANCE'!D38-'ESF=BALANCE'!L38</f>
        <v>677867.13668999961</v>
      </c>
      <c r="C16" s="187">
        <f>+'ESF=BALANCE'!G38-'ESF=BALANCE'!O38</f>
        <v>252386.62527000072</v>
      </c>
    </row>
    <row r="17" spans="1:3" x14ac:dyDescent="0.25">
      <c r="A17" s="176" t="s">
        <v>262</v>
      </c>
      <c r="B17" s="188">
        <f>+'ESF=BALANCE'!D38/'ESF=BALANCE'!L38</f>
        <v>2.8182163287297812</v>
      </c>
      <c r="C17" s="189">
        <f>+'ESF=BALANCE'!G38/'ESF=BALANCE'!O38</f>
        <v>1.5651091840579083</v>
      </c>
    </row>
    <row r="18" spans="1:3" ht="10.5" customHeight="1" x14ac:dyDescent="0.25">
      <c r="A18" s="190"/>
      <c r="B18" s="191"/>
      <c r="C18" s="192"/>
    </row>
    <row r="19" spans="1:3" x14ac:dyDescent="0.25">
      <c r="A19" s="173" t="s">
        <v>265</v>
      </c>
      <c r="B19" s="174" t="str">
        <f>+B15</f>
        <v>2026-06</v>
      </c>
      <c r="C19" s="174" t="str">
        <f>+C15</f>
        <v>2025-06</v>
      </c>
    </row>
    <row r="20" spans="1:3" x14ac:dyDescent="0.25">
      <c r="A20" s="176" t="s">
        <v>266</v>
      </c>
      <c r="B20" s="193">
        <f>+'ESF=BALANCE'!L51/'ESF=BALANCE'!D71</f>
        <v>0.49520013723569184</v>
      </c>
      <c r="C20" s="193">
        <f>+'ESF=BALANCE'!O51/'ESF=BALANCE'!G71</f>
        <v>0.2651007029529816</v>
      </c>
    </row>
    <row r="21" spans="1:3" ht="15.75" customHeight="1" x14ac:dyDescent="0.25">
      <c r="A21" s="176" t="s">
        <v>268</v>
      </c>
      <c r="B21" s="193">
        <f>+'ESF=BALANCE'!L38/'ESF=BALANCE'!L51</f>
        <v>0.31984719163114639</v>
      </c>
      <c r="C21" s="193">
        <f>+'ESF=BALANCE'!O38/'ESF=BALANCE'!O51</f>
        <v>0.57159263889250389</v>
      </c>
    </row>
    <row r="22" spans="1:3" ht="8.25" customHeight="1" x14ac:dyDescent="0.25">
      <c r="A22" s="190"/>
      <c r="B22" s="191"/>
      <c r="C22" s="192"/>
    </row>
    <row r="23" spans="1:3" ht="15.75" customHeight="1" x14ac:dyDescent="0.25">
      <c r="A23" s="173" t="s">
        <v>270</v>
      </c>
      <c r="B23" s="174" t="str">
        <f>+B15</f>
        <v>2026-06</v>
      </c>
      <c r="C23" s="174" t="str">
        <f>+C15</f>
        <v>2025-06</v>
      </c>
    </row>
    <row r="24" spans="1:3" ht="15.75" customHeight="1" x14ac:dyDescent="0.25">
      <c r="A24" s="194" t="s">
        <v>271</v>
      </c>
      <c r="B24" s="69">
        <f>+'ESF=BALANCE'!D22+'ESF=BALANCE'!D27+'ESF=BALANCE'!D28</f>
        <v>6216.17065</v>
      </c>
      <c r="C24" s="186">
        <f>+'ESF=BALANCE'!G22+'ESF=BALANCE'!G27+'ESF=BALANCE'!G28</f>
        <v>6031.8756000003705</v>
      </c>
    </row>
    <row r="25" spans="1:3" ht="15.75" customHeight="1" x14ac:dyDescent="0.25">
      <c r="A25" s="194" t="s">
        <v>273</v>
      </c>
      <c r="B25" s="196">
        <f>+'E.R.I.ACUMULADO'!D13/INDICADORES!B24</f>
        <v>340.50426810596008</v>
      </c>
      <c r="C25" s="197">
        <f>+'E.R.I.ACUMULADO'!G13/INDICADORES!C24</f>
        <v>487.23370688875275</v>
      </c>
    </row>
    <row r="26" spans="1:3" ht="15.75" customHeight="1" x14ac:dyDescent="0.25">
      <c r="A26" s="198" t="s">
        <v>276</v>
      </c>
      <c r="B26" s="199">
        <f>(365/B25)/12*DATOS!H9</f>
        <v>0.53596978685509045</v>
      </c>
      <c r="C26" s="199">
        <f>(365/C25)/12*DATOS!H9</f>
        <v>0.37456357682098779</v>
      </c>
    </row>
    <row r="27" spans="1:3" ht="6.75" customHeight="1" x14ac:dyDescent="0.25">
      <c r="A27" s="194"/>
      <c r="B27" s="187"/>
      <c r="C27" s="201"/>
    </row>
    <row r="28" spans="1:3" ht="15.75" customHeight="1" x14ac:dyDescent="0.25">
      <c r="A28" s="202" t="s">
        <v>279</v>
      </c>
      <c r="B28" s="187">
        <f>+'ESF=BALANCE'!L15</f>
        <v>134879.89074</v>
      </c>
      <c r="C28" s="201">
        <f>+'ESF=BALANCE'!O15</f>
        <v>204376.71504000001</v>
      </c>
    </row>
    <row r="29" spans="1:3" ht="15.75" customHeight="1" x14ac:dyDescent="0.25">
      <c r="A29" s="194" t="s">
        <v>280</v>
      </c>
      <c r="B29" s="186">
        <f>-'E.R.I.ACUMULADO'!D15/INDICADORES!B28</f>
        <v>7.0918788097470253</v>
      </c>
      <c r="C29" s="186">
        <f>-'E.R.I.ACUMULADO'!G15/INDICADORES!C28</f>
        <v>6.0724380600652204</v>
      </c>
    </row>
    <row r="30" spans="1:3" ht="15.75" customHeight="1" x14ac:dyDescent="0.25">
      <c r="A30" s="198" t="s">
        <v>282</v>
      </c>
      <c r="B30" s="203">
        <f>(365/B29)/12*DATOS!H9</f>
        <v>25.733660274788306</v>
      </c>
      <c r="C30" s="204">
        <f>(365/B29)/12*DATOS!H9</f>
        <v>25.733660274788306</v>
      </c>
    </row>
    <row r="31" spans="1:3" ht="9" customHeight="1" x14ac:dyDescent="0.25">
      <c r="A31" s="176"/>
      <c r="B31" s="187"/>
      <c r="C31" s="187"/>
    </row>
    <row r="32" spans="1:3" ht="15.75" customHeight="1" x14ac:dyDescent="0.25">
      <c r="A32" s="173" t="s">
        <v>284</v>
      </c>
      <c r="B32" s="174" t="str">
        <f>+B23</f>
        <v>2026-06</v>
      </c>
      <c r="C32" s="174" t="str">
        <f>+C23</f>
        <v>2025-06</v>
      </c>
    </row>
    <row r="33" spans="1:3" ht="15.75" customHeight="1" x14ac:dyDescent="0.25">
      <c r="A33" s="176" t="s">
        <v>286</v>
      </c>
      <c r="B33" s="183">
        <f>+'E.R.I.ACUMULADO'!E19</f>
        <v>0.54807847993659786</v>
      </c>
      <c r="C33" s="183">
        <f>+'E.R.I.ACUMULADO'!H19</f>
        <v>0.57771582497473528</v>
      </c>
    </row>
    <row r="34" spans="1:3" ht="15.75" customHeight="1" x14ac:dyDescent="0.25">
      <c r="A34" s="176" t="s">
        <v>287</v>
      </c>
      <c r="B34" s="183">
        <f>+'E.R.I.ACUMULADO'!E74</f>
        <v>7.6237049955427613E-2</v>
      </c>
      <c r="C34" s="183">
        <f>+'E.R.I.ACUMULADO'!H74</f>
        <v>4.6632394297512425E-2</v>
      </c>
    </row>
    <row r="35" spans="1:3" ht="15.75" customHeight="1" x14ac:dyDescent="0.25">
      <c r="A35" s="176" t="s">
        <v>288</v>
      </c>
      <c r="B35" s="183">
        <f>+'E.R.I.ACUMULADO'!E109</f>
        <v>2.6923904085981165E-2</v>
      </c>
      <c r="C35" s="183">
        <f>+'E.R.I.ACUMULADO'!H109</f>
        <v>1.1099596656458608E-2</v>
      </c>
    </row>
    <row r="36" spans="1:3" ht="15.75" customHeight="1" x14ac:dyDescent="0.25">
      <c r="A36" s="176" t="s">
        <v>289</v>
      </c>
      <c r="B36" s="183">
        <f>+'E.R.I.ACUMULADO'!D109/'ESF=BALANCE'!L69</f>
        <v>5.8415994382576261E-2</v>
      </c>
      <c r="C36" s="183">
        <f>+'E.R.I.ACUMULADO'!G109/'ESF=BALANCE'!O69</f>
        <v>1.506026460137134E-2</v>
      </c>
    </row>
    <row r="37" spans="1:3" ht="15.75" customHeight="1" x14ac:dyDescent="0.25"/>
    <row r="38" spans="1:3" ht="15.75" customHeight="1" x14ac:dyDescent="0.25"/>
    <row r="39" spans="1:3" ht="15.75" customHeight="1" x14ac:dyDescent="0.25"/>
    <row r="40" spans="1:3" ht="15.75" customHeight="1" x14ac:dyDescent="0.25"/>
    <row r="41" spans="1:3" ht="15.75" customHeight="1" x14ac:dyDescent="0.25"/>
    <row r="42" spans="1:3" ht="15.75" customHeight="1" x14ac:dyDescent="0.25"/>
    <row r="43" spans="1:3" ht="15.75" customHeight="1" x14ac:dyDescent="0.25">
      <c r="A43" s="205"/>
      <c r="B43" s="206"/>
      <c r="C43" s="207"/>
    </row>
    <row r="44" spans="1:3" ht="15.75" customHeight="1" x14ac:dyDescent="0.25"/>
    <row r="45" spans="1:3" ht="15.75" customHeight="1" x14ac:dyDescent="0.25"/>
    <row r="46" spans="1:3" ht="15.75" customHeight="1" x14ac:dyDescent="0.25"/>
    <row r="47" spans="1:3" ht="15.75" customHeight="1" x14ac:dyDescent="0.25"/>
    <row r="48" spans="1: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1:C1"/>
    <mergeCell ref="A2:C2"/>
    <mergeCell ref="A4:C4"/>
    <mergeCell ref="A3:C3"/>
    <mergeCell ref="A5:C5"/>
  </mergeCells>
  <pageMargins left="0.7" right="0.7" top="0.75" bottom="0.75" header="0" footer="0"/>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113"/>
  <sheetViews>
    <sheetView tabSelected="1" topLeftCell="A1984" zoomScaleNormal="100" workbookViewId="0">
      <selection activeCell="A2003" sqref="A2003:XFD3001"/>
    </sheetView>
  </sheetViews>
  <sheetFormatPr baseColWidth="10" defaultColWidth="14.42578125" defaultRowHeight="15" customHeight="1" x14ac:dyDescent="0.25"/>
  <cols>
    <col min="1" max="1" width="12.140625" style="267" customWidth="1"/>
    <col min="2" max="2" width="9.7109375" style="267" customWidth="1"/>
    <col min="3" max="3" width="31.140625" style="267" bestFit="1" customWidth="1"/>
    <col min="4" max="4" width="13.5703125" style="267" customWidth="1"/>
    <col min="5" max="5" width="31.5703125" style="267" bestFit="1" customWidth="1"/>
    <col min="6" max="6" width="13.42578125" style="267" customWidth="1"/>
    <col min="7" max="8" width="13" style="267" customWidth="1"/>
    <col min="9" max="9" width="13.42578125" style="267" customWidth="1"/>
    <col min="10" max="10" width="11.42578125" style="267" customWidth="1"/>
    <col min="11" max="11" width="16.5703125" style="267" bestFit="1" customWidth="1"/>
    <col min="12" max="16384" width="14.42578125" style="267"/>
  </cols>
  <sheetData>
    <row r="1" spans="1:10" x14ac:dyDescent="0.25">
      <c r="A1" s="434" t="s">
        <v>1508</v>
      </c>
      <c r="B1" s="435"/>
      <c r="C1" s="435"/>
      <c r="D1" s="435"/>
      <c r="E1" s="435"/>
      <c r="F1" s="435"/>
      <c r="G1" s="435"/>
      <c r="H1" s="435"/>
      <c r="I1" s="435"/>
      <c r="J1" s="266"/>
    </row>
    <row r="2" spans="1:10" x14ac:dyDescent="0.25">
      <c r="A2" s="436" t="s">
        <v>1467</v>
      </c>
      <c r="B2" s="437"/>
      <c r="C2" s="437"/>
      <c r="D2" s="437"/>
      <c r="E2" s="437"/>
      <c r="F2" s="437"/>
      <c r="G2" s="437"/>
      <c r="H2" s="437"/>
      <c r="I2" s="437"/>
      <c r="J2" s="266"/>
    </row>
    <row r="3" spans="1:10" x14ac:dyDescent="0.25">
      <c r="A3" s="379" t="s">
        <v>306</v>
      </c>
      <c r="B3" s="379" t="s">
        <v>307</v>
      </c>
      <c r="C3" s="379" t="s">
        <v>308</v>
      </c>
      <c r="D3" s="379" t="s">
        <v>11</v>
      </c>
      <c r="E3" s="379" t="s">
        <v>645</v>
      </c>
      <c r="F3" s="377" t="s">
        <v>309</v>
      </c>
      <c r="G3" s="377" t="s">
        <v>310</v>
      </c>
      <c r="H3" s="377" t="s">
        <v>311</v>
      </c>
      <c r="I3" s="377" t="s">
        <v>312</v>
      </c>
      <c r="J3" s="268" t="s">
        <v>313</v>
      </c>
    </row>
    <row r="4" spans="1:10" x14ac:dyDescent="0.25">
      <c r="A4" s="380">
        <v>1</v>
      </c>
      <c r="B4" s="381" t="s">
        <v>315</v>
      </c>
      <c r="C4" s="381" t="s">
        <v>4</v>
      </c>
      <c r="D4" s="381" t="s">
        <v>315</v>
      </c>
      <c r="E4" s="381" t="s">
        <v>315</v>
      </c>
      <c r="F4" s="378">
        <v>2138303384.0999999</v>
      </c>
      <c r="G4" s="378">
        <v>1310329005.6400001</v>
      </c>
      <c r="H4" s="378">
        <v>1292282715.8900001</v>
      </c>
      <c r="I4" s="378">
        <v>2156349673.8499999</v>
      </c>
      <c r="J4" s="266">
        <f t="shared" ref="J4:J11" si="0">+LEN(A4)</f>
        <v>1</v>
      </c>
    </row>
    <row r="5" spans="1:10" x14ac:dyDescent="0.25">
      <c r="A5" s="380">
        <v>11</v>
      </c>
      <c r="B5" s="381" t="s">
        <v>315</v>
      </c>
      <c r="C5" s="381" t="s">
        <v>6</v>
      </c>
      <c r="D5" s="381" t="s">
        <v>315</v>
      </c>
      <c r="E5" s="381" t="s">
        <v>315</v>
      </c>
      <c r="F5" s="378">
        <v>130120752.7</v>
      </c>
      <c r="G5" s="378">
        <v>1069860320.05</v>
      </c>
      <c r="H5" s="378">
        <v>1060529944.71</v>
      </c>
      <c r="I5" s="378">
        <v>139451128.03999999</v>
      </c>
      <c r="J5" s="266">
        <f t="shared" si="0"/>
        <v>2</v>
      </c>
    </row>
    <row r="6" spans="1:10" x14ac:dyDescent="0.25">
      <c r="A6" s="380">
        <v>1105</v>
      </c>
      <c r="B6" s="381" t="s">
        <v>315</v>
      </c>
      <c r="C6" s="381" t="s">
        <v>7</v>
      </c>
      <c r="D6" s="381" t="s">
        <v>315</v>
      </c>
      <c r="E6" s="381" t="s">
        <v>315</v>
      </c>
      <c r="F6" s="378">
        <v>73332096.700000003</v>
      </c>
      <c r="G6" s="378">
        <v>553811278.71000004</v>
      </c>
      <c r="H6" s="378">
        <v>561566319</v>
      </c>
      <c r="I6" s="378">
        <v>65577056.409999996</v>
      </c>
      <c r="J6" s="266">
        <f t="shared" si="0"/>
        <v>4</v>
      </c>
    </row>
    <row r="7" spans="1:10" x14ac:dyDescent="0.25">
      <c r="A7" s="380">
        <v>110505</v>
      </c>
      <c r="B7" s="381" t="s">
        <v>321</v>
      </c>
      <c r="C7" s="381" t="s">
        <v>318</v>
      </c>
      <c r="D7" s="381" t="s">
        <v>315</v>
      </c>
      <c r="E7" s="381" t="s">
        <v>315</v>
      </c>
      <c r="F7" s="378">
        <v>73332096.700000003</v>
      </c>
      <c r="G7" s="378">
        <v>553811278.71000004</v>
      </c>
      <c r="H7" s="378">
        <v>561566319</v>
      </c>
      <c r="I7" s="378">
        <v>65577056.409999996</v>
      </c>
      <c r="J7" s="266">
        <f t="shared" si="0"/>
        <v>6</v>
      </c>
    </row>
    <row r="8" spans="1:10" x14ac:dyDescent="0.25">
      <c r="A8" s="380">
        <v>11050501</v>
      </c>
      <c r="B8" s="381" t="s">
        <v>321</v>
      </c>
      <c r="C8" s="381" t="s">
        <v>1509</v>
      </c>
      <c r="D8" s="381" t="s">
        <v>315</v>
      </c>
      <c r="E8" s="381" t="s">
        <v>315</v>
      </c>
      <c r="F8" s="378">
        <v>15160301.01</v>
      </c>
      <c r="G8" s="378">
        <v>213949660</v>
      </c>
      <c r="H8" s="378">
        <v>220336561</v>
      </c>
      <c r="I8" s="378">
        <v>8773400.0099999998</v>
      </c>
      <c r="J8" s="266">
        <f t="shared" si="0"/>
        <v>8</v>
      </c>
    </row>
    <row r="9" spans="1:10" x14ac:dyDescent="0.25">
      <c r="A9" s="380">
        <v>11050504</v>
      </c>
      <c r="B9" s="381" t="s">
        <v>321</v>
      </c>
      <c r="C9" s="381" t="s">
        <v>1510</v>
      </c>
      <c r="D9" s="381" t="s">
        <v>315</v>
      </c>
      <c r="E9" s="381" t="s">
        <v>315</v>
      </c>
      <c r="F9" s="378">
        <v>8125598.8999999901</v>
      </c>
      <c r="G9" s="378">
        <v>200246488</v>
      </c>
      <c r="H9" s="378">
        <v>200309136</v>
      </c>
      <c r="I9" s="378">
        <v>8062950.8999999901</v>
      </c>
      <c r="J9" s="266">
        <f t="shared" si="0"/>
        <v>8</v>
      </c>
    </row>
    <row r="10" spans="1:10" x14ac:dyDescent="0.25">
      <c r="A10" s="380">
        <v>11050508</v>
      </c>
      <c r="B10" s="381" t="s">
        <v>321</v>
      </c>
      <c r="C10" s="381" t="s">
        <v>1511</v>
      </c>
      <c r="D10" s="381" t="s">
        <v>315</v>
      </c>
      <c r="E10" s="381" t="s">
        <v>315</v>
      </c>
      <c r="F10" s="378">
        <v>1.00000000093132E-2</v>
      </c>
      <c r="G10" s="378">
        <v>451781.02</v>
      </c>
      <c r="H10" s="378">
        <v>451781</v>
      </c>
      <c r="I10" s="378">
        <v>3.0000000027939702E-2</v>
      </c>
      <c r="J10" s="266">
        <f t="shared" si="0"/>
        <v>8</v>
      </c>
    </row>
    <row r="11" spans="1:10" x14ac:dyDescent="0.25">
      <c r="A11" s="380">
        <v>11050509</v>
      </c>
      <c r="B11" s="381" t="s">
        <v>321</v>
      </c>
      <c r="C11" s="381" t="s">
        <v>1512</v>
      </c>
      <c r="D11" s="381" t="s">
        <v>315</v>
      </c>
      <c r="E11" s="381" t="s">
        <v>315</v>
      </c>
      <c r="F11" s="378">
        <v>300000</v>
      </c>
      <c r="G11" s="378">
        <v>0</v>
      </c>
      <c r="H11" s="378">
        <v>0</v>
      </c>
      <c r="I11" s="378">
        <v>300000</v>
      </c>
      <c r="J11" s="266">
        <f t="shared" si="0"/>
        <v>8</v>
      </c>
    </row>
    <row r="12" spans="1:10" x14ac:dyDescent="0.25">
      <c r="A12" s="380">
        <v>11050510</v>
      </c>
      <c r="B12" s="381" t="s">
        <v>321</v>
      </c>
      <c r="C12" s="381" t="s">
        <v>1513</v>
      </c>
      <c r="D12" s="381" t="s">
        <v>315</v>
      </c>
      <c r="E12" s="381" t="s">
        <v>315</v>
      </c>
      <c r="F12" s="378">
        <v>4325501</v>
      </c>
      <c r="G12" s="378">
        <v>77043390</v>
      </c>
      <c r="H12" s="378">
        <v>77624991</v>
      </c>
      <c r="I12" s="378">
        <v>3743900</v>
      </c>
      <c r="J12" s="266">
        <f t="shared" ref="J12:J75" si="1">+LEN(A12)</f>
        <v>8</v>
      </c>
    </row>
    <row r="13" spans="1:10" x14ac:dyDescent="0.25">
      <c r="A13" s="380">
        <v>11050511</v>
      </c>
      <c r="B13" s="381" t="s">
        <v>321</v>
      </c>
      <c r="C13" s="381" t="s">
        <v>1514</v>
      </c>
      <c r="D13" s="381" t="s">
        <v>315</v>
      </c>
      <c r="E13" s="381" t="s">
        <v>315</v>
      </c>
      <c r="F13" s="378">
        <v>399283.77999999898</v>
      </c>
      <c r="G13" s="378">
        <v>61458100</v>
      </c>
      <c r="H13" s="378">
        <v>61458100</v>
      </c>
      <c r="I13" s="378">
        <v>399283.77999999898</v>
      </c>
      <c r="J13" s="266">
        <f t="shared" si="1"/>
        <v>8</v>
      </c>
    </row>
    <row r="14" spans="1:10" x14ac:dyDescent="0.25">
      <c r="A14" s="380">
        <v>11050512</v>
      </c>
      <c r="B14" s="381" t="s">
        <v>321</v>
      </c>
      <c r="C14" s="381" t="s">
        <v>699</v>
      </c>
      <c r="D14" s="381" t="s">
        <v>315</v>
      </c>
      <c r="E14" s="381" t="s">
        <v>315</v>
      </c>
      <c r="F14" s="378">
        <v>45021412</v>
      </c>
      <c r="G14" s="378">
        <v>587730.68999999994</v>
      </c>
      <c r="H14" s="378">
        <v>1311621</v>
      </c>
      <c r="I14" s="378">
        <v>44297521.689999998</v>
      </c>
      <c r="J14" s="266">
        <f t="shared" si="1"/>
        <v>8</v>
      </c>
    </row>
    <row r="15" spans="1:10" x14ac:dyDescent="0.25">
      <c r="A15" s="380">
        <v>11050520</v>
      </c>
      <c r="B15" s="381" t="s">
        <v>321</v>
      </c>
      <c r="C15" s="381" t="s">
        <v>1468</v>
      </c>
      <c r="D15" s="381" t="s">
        <v>315</v>
      </c>
      <c r="E15" s="381" t="s">
        <v>315</v>
      </c>
      <c r="F15" s="378">
        <v>0</v>
      </c>
      <c r="G15" s="378">
        <v>74129</v>
      </c>
      <c r="H15" s="378">
        <v>74129</v>
      </c>
      <c r="I15" s="378">
        <v>0</v>
      </c>
      <c r="J15" s="266">
        <f t="shared" si="1"/>
        <v>8</v>
      </c>
    </row>
    <row r="16" spans="1:10" x14ac:dyDescent="0.25">
      <c r="A16" s="380">
        <v>1110</v>
      </c>
      <c r="B16" s="381" t="s">
        <v>315</v>
      </c>
      <c r="C16" s="381" t="s">
        <v>10</v>
      </c>
      <c r="D16" s="381" t="s">
        <v>315</v>
      </c>
      <c r="E16" s="381" t="s">
        <v>315</v>
      </c>
      <c r="F16" s="378">
        <v>41362265.169999897</v>
      </c>
      <c r="G16" s="378">
        <v>497935313</v>
      </c>
      <c r="H16" s="378">
        <v>498963625.70999998</v>
      </c>
      <c r="I16" s="378">
        <v>40333952.459999897</v>
      </c>
      <c r="J16" s="266">
        <f t="shared" si="1"/>
        <v>4</v>
      </c>
    </row>
    <row r="17" spans="1:10" x14ac:dyDescent="0.25">
      <c r="A17" s="380">
        <v>111005</v>
      </c>
      <c r="B17" s="381" t="s">
        <v>315</v>
      </c>
      <c r="C17" s="381" t="s">
        <v>323</v>
      </c>
      <c r="D17" s="381" t="s">
        <v>315</v>
      </c>
      <c r="E17" s="381" t="s">
        <v>315</v>
      </c>
      <c r="F17" s="378">
        <v>41362265.169999897</v>
      </c>
      <c r="G17" s="378">
        <v>497935313</v>
      </c>
      <c r="H17" s="378">
        <v>498963625.70999998</v>
      </c>
      <c r="I17" s="378">
        <v>40333952.459999897</v>
      </c>
      <c r="J17" s="266">
        <f t="shared" si="1"/>
        <v>6</v>
      </c>
    </row>
    <row r="18" spans="1:10" x14ac:dyDescent="0.25">
      <c r="A18" s="380">
        <v>11100501</v>
      </c>
      <c r="B18" s="381" t="s">
        <v>321</v>
      </c>
      <c r="C18" s="381" t="s">
        <v>1515</v>
      </c>
      <c r="D18" s="381" t="s">
        <v>315</v>
      </c>
      <c r="E18" s="381" t="s">
        <v>315</v>
      </c>
      <c r="F18" s="378">
        <v>35532796.109999903</v>
      </c>
      <c r="G18" s="378">
        <v>393579828</v>
      </c>
      <c r="H18" s="378">
        <v>397847839.43000001</v>
      </c>
      <c r="I18" s="378">
        <v>31264784.679999899</v>
      </c>
      <c r="J18" s="266">
        <f t="shared" si="1"/>
        <v>8</v>
      </c>
    </row>
    <row r="19" spans="1:10" x14ac:dyDescent="0.25">
      <c r="A19" s="380">
        <v>11100502</v>
      </c>
      <c r="B19" s="381" t="s">
        <v>321</v>
      </c>
      <c r="C19" s="381" t="s">
        <v>1516</v>
      </c>
      <c r="D19" s="381" t="s">
        <v>315</v>
      </c>
      <c r="E19" s="381" t="s">
        <v>315</v>
      </c>
      <c r="F19" s="378">
        <v>4791041.6699999897</v>
      </c>
      <c r="G19" s="378">
        <v>94355485</v>
      </c>
      <c r="H19" s="378">
        <v>91094529.659999996</v>
      </c>
      <c r="I19" s="378">
        <v>8051997.0099999998</v>
      </c>
      <c r="J19" s="266">
        <f t="shared" si="1"/>
        <v>8</v>
      </c>
    </row>
    <row r="20" spans="1:10" x14ac:dyDescent="0.25">
      <c r="A20" s="380">
        <v>11100503</v>
      </c>
      <c r="B20" s="381" t="s">
        <v>321</v>
      </c>
      <c r="C20" s="381" t="s">
        <v>1517</v>
      </c>
      <c r="D20" s="381" t="s">
        <v>315</v>
      </c>
      <c r="E20" s="381" t="s">
        <v>315</v>
      </c>
      <c r="F20" s="378">
        <v>1038427.39</v>
      </c>
      <c r="G20" s="378">
        <v>10000000</v>
      </c>
      <c r="H20" s="378">
        <v>10021256.619999999</v>
      </c>
      <c r="I20" s="378">
        <v>1017170.77</v>
      </c>
      <c r="J20" s="266">
        <f t="shared" si="1"/>
        <v>8</v>
      </c>
    </row>
    <row r="21" spans="1:10" ht="15.75" customHeight="1" x14ac:dyDescent="0.25">
      <c r="A21" s="380">
        <v>1130</v>
      </c>
      <c r="B21" s="381" t="s">
        <v>321</v>
      </c>
      <c r="C21" s="381" t="s">
        <v>712</v>
      </c>
      <c r="D21" s="381" t="s">
        <v>315</v>
      </c>
      <c r="E21" s="381" t="s">
        <v>315</v>
      </c>
      <c r="F21" s="378">
        <v>15426390.83</v>
      </c>
      <c r="G21" s="378">
        <v>18113728.34</v>
      </c>
      <c r="H21" s="378">
        <v>0</v>
      </c>
      <c r="I21" s="378">
        <v>33540119.170000002</v>
      </c>
      <c r="J21" s="266">
        <f t="shared" si="1"/>
        <v>4</v>
      </c>
    </row>
    <row r="22" spans="1:10" ht="15.75" customHeight="1" x14ac:dyDescent="0.25">
      <c r="A22" s="380">
        <v>113040</v>
      </c>
      <c r="B22" s="381" t="s">
        <v>321</v>
      </c>
      <c r="C22" s="381" t="s">
        <v>712</v>
      </c>
      <c r="D22" s="381" t="s">
        <v>315</v>
      </c>
      <c r="E22" s="381" t="s">
        <v>315</v>
      </c>
      <c r="F22" s="378">
        <v>15426390.83</v>
      </c>
      <c r="G22" s="378">
        <v>18113728.34</v>
      </c>
      <c r="H22" s="378">
        <v>0</v>
      </c>
      <c r="I22" s="378">
        <v>33540119.170000002</v>
      </c>
      <c r="J22" s="266">
        <f t="shared" si="1"/>
        <v>6</v>
      </c>
    </row>
    <row r="23" spans="1:10" ht="15.75" customHeight="1" x14ac:dyDescent="0.25">
      <c r="A23" s="380">
        <v>11304001</v>
      </c>
      <c r="B23" s="381" t="s">
        <v>321</v>
      </c>
      <c r="C23" s="381" t="s">
        <v>1518</v>
      </c>
      <c r="D23" s="381" t="s">
        <v>315</v>
      </c>
      <c r="E23" s="381" t="s">
        <v>315</v>
      </c>
      <c r="F23" s="378">
        <v>419644.11</v>
      </c>
      <c r="G23" s="378">
        <v>3647.9</v>
      </c>
      <c r="H23" s="378">
        <v>0</v>
      </c>
      <c r="I23" s="378">
        <v>423292.01</v>
      </c>
      <c r="J23" s="266">
        <f t="shared" si="1"/>
        <v>8</v>
      </c>
    </row>
    <row r="24" spans="1:10" ht="15.75" customHeight="1" x14ac:dyDescent="0.25">
      <c r="A24" s="380">
        <v>11304001</v>
      </c>
      <c r="B24" s="381" t="s">
        <v>321</v>
      </c>
      <c r="C24" s="381" t="s">
        <v>1518</v>
      </c>
      <c r="D24" s="381" t="s">
        <v>641</v>
      </c>
      <c r="E24" s="381" t="s">
        <v>1519</v>
      </c>
      <c r="F24" s="378">
        <v>419644.11</v>
      </c>
      <c r="G24" s="378">
        <v>3647.9</v>
      </c>
      <c r="H24" s="378">
        <v>0</v>
      </c>
      <c r="I24" s="378">
        <v>423292.01</v>
      </c>
      <c r="J24" s="266">
        <f t="shared" si="1"/>
        <v>8</v>
      </c>
    </row>
    <row r="25" spans="1:10" ht="15.75" customHeight="1" x14ac:dyDescent="0.25">
      <c r="A25" s="380">
        <v>11304002</v>
      </c>
      <c r="B25" s="381" t="s">
        <v>321</v>
      </c>
      <c r="C25" s="381" t="s">
        <v>1520</v>
      </c>
      <c r="D25" s="381" t="s">
        <v>315</v>
      </c>
      <c r="E25" s="381" t="s">
        <v>315</v>
      </c>
      <c r="F25" s="378">
        <v>15006746.720000001</v>
      </c>
      <c r="G25" s="378">
        <v>18110080.440000001</v>
      </c>
      <c r="H25" s="378">
        <v>0</v>
      </c>
      <c r="I25" s="378">
        <v>33116827.16</v>
      </c>
      <c r="J25" s="266">
        <f t="shared" si="1"/>
        <v>8</v>
      </c>
    </row>
    <row r="26" spans="1:10" ht="15.75" customHeight="1" x14ac:dyDescent="0.25">
      <c r="A26" s="380">
        <v>11304002</v>
      </c>
      <c r="B26" s="381" t="s">
        <v>321</v>
      </c>
      <c r="C26" s="381" t="s">
        <v>1520</v>
      </c>
      <c r="D26" s="381" t="s">
        <v>328</v>
      </c>
      <c r="E26" s="381" t="s">
        <v>1521</v>
      </c>
      <c r="F26" s="378">
        <v>3776748.72</v>
      </c>
      <c r="G26" s="378">
        <v>300920.44</v>
      </c>
      <c r="H26" s="378">
        <v>0</v>
      </c>
      <c r="I26" s="378">
        <v>4077669.16</v>
      </c>
      <c r="J26" s="266">
        <f t="shared" si="1"/>
        <v>8</v>
      </c>
    </row>
    <row r="27" spans="1:10" ht="15.75" customHeight="1" x14ac:dyDescent="0.25">
      <c r="A27" s="380">
        <v>11304002</v>
      </c>
      <c r="B27" s="381" t="s">
        <v>321</v>
      </c>
      <c r="C27" s="381" t="s">
        <v>1520</v>
      </c>
      <c r="D27" s="381" t="s">
        <v>329</v>
      </c>
      <c r="E27" s="381" t="s">
        <v>330</v>
      </c>
      <c r="F27" s="378">
        <v>11229998</v>
      </c>
      <c r="G27" s="378">
        <v>17809160</v>
      </c>
      <c r="H27" s="378">
        <v>0</v>
      </c>
      <c r="I27" s="378">
        <v>29039158</v>
      </c>
      <c r="J27" s="266">
        <f t="shared" si="1"/>
        <v>8</v>
      </c>
    </row>
    <row r="28" spans="1:10" ht="15.75" customHeight="1" x14ac:dyDescent="0.25">
      <c r="A28" s="380">
        <v>13</v>
      </c>
      <c r="B28" s="381" t="s">
        <v>315</v>
      </c>
      <c r="C28" s="381" t="s">
        <v>331</v>
      </c>
      <c r="D28" s="381" t="s">
        <v>315</v>
      </c>
      <c r="E28" s="381" t="s">
        <v>315</v>
      </c>
      <c r="F28" s="378">
        <v>777218958.97000003</v>
      </c>
      <c r="G28" s="378">
        <v>56076425.020000003</v>
      </c>
      <c r="H28" s="378">
        <v>68835609.019999996</v>
      </c>
      <c r="I28" s="378">
        <v>764459774.97000003</v>
      </c>
      <c r="J28" s="266">
        <f t="shared" si="1"/>
        <v>2</v>
      </c>
    </row>
    <row r="29" spans="1:10" ht="15.75" customHeight="1" x14ac:dyDescent="0.25">
      <c r="A29" s="380">
        <v>1305</v>
      </c>
      <c r="B29" s="381" t="s">
        <v>315</v>
      </c>
      <c r="C29" s="381" t="s">
        <v>18</v>
      </c>
      <c r="D29" s="381" t="s">
        <v>315</v>
      </c>
      <c r="E29" s="381" t="s">
        <v>315</v>
      </c>
      <c r="F29" s="378">
        <v>8674490.6500000004</v>
      </c>
      <c r="G29" s="378">
        <v>15430490.02</v>
      </c>
      <c r="H29" s="378">
        <v>17888810.02</v>
      </c>
      <c r="I29" s="378">
        <v>6216170.6500000004</v>
      </c>
      <c r="J29" s="266">
        <f t="shared" si="1"/>
        <v>4</v>
      </c>
    </row>
    <row r="30" spans="1:10" ht="15.75" customHeight="1" x14ac:dyDescent="0.25">
      <c r="A30" s="380">
        <v>130505</v>
      </c>
      <c r="B30" s="381" t="s">
        <v>315</v>
      </c>
      <c r="C30" s="381" t="s">
        <v>332</v>
      </c>
      <c r="D30" s="381" t="s">
        <v>315</v>
      </c>
      <c r="E30" s="381" t="s">
        <v>315</v>
      </c>
      <c r="F30" s="378">
        <v>8674490.6500000004</v>
      </c>
      <c r="G30" s="378">
        <v>15430490.02</v>
      </c>
      <c r="H30" s="378">
        <v>17888810.02</v>
      </c>
      <c r="I30" s="378">
        <v>6216170.6500000004</v>
      </c>
      <c r="J30" s="266">
        <f t="shared" si="1"/>
        <v>6</v>
      </c>
    </row>
    <row r="31" spans="1:10" ht="15.75" customHeight="1" x14ac:dyDescent="0.25">
      <c r="A31" s="380">
        <v>13050501</v>
      </c>
      <c r="B31" s="381" t="s">
        <v>315</v>
      </c>
      <c r="C31" s="381" t="s">
        <v>334</v>
      </c>
      <c r="D31" s="381" t="s">
        <v>315</v>
      </c>
      <c r="E31" s="381" t="s">
        <v>315</v>
      </c>
      <c r="F31" s="378">
        <v>8674490.6500000004</v>
      </c>
      <c r="G31" s="378">
        <v>15340290</v>
      </c>
      <c r="H31" s="378">
        <v>17798610</v>
      </c>
      <c r="I31" s="378">
        <v>6216170.6500000004</v>
      </c>
      <c r="J31" s="266">
        <f t="shared" si="1"/>
        <v>8</v>
      </c>
    </row>
    <row r="32" spans="1:10" ht="15.75" customHeight="1" x14ac:dyDescent="0.25">
      <c r="A32" s="380">
        <v>13050501</v>
      </c>
      <c r="B32" s="381" t="s">
        <v>315</v>
      </c>
      <c r="C32" s="381" t="s">
        <v>334</v>
      </c>
      <c r="D32" s="381" t="s">
        <v>493</v>
      </c>
      <c r="E32" s="381" t="s">
        <v>1522</v>
      </c>
      <c r="F32" s="378">
        <v>251500</v>
      </c>
      <c r="G32" s="378">
        <v>0</v>
      </c>
      <c r="H32" s="378">
        <v>0</v>
      </c>
      <c r="I32" s="378">
        <v>251500</v>
      </c>
      <c r="J32" s="266">
        <f t="shared" si="1"/>
        <v>8</v>
      </c>
    </row>
    <row r="33" spans="1:11" ht="15.75" customHeight="1" x14ac:dyDescent="0.25">
      <c r="A33" s="380">
        <v>13050501</v>
      </c>
      <c r="B33" s="381" t="s">
        <v>315</v>
      </c>
      <c r="C33" s="381" t="s">
        <v>334</v>
      </c>
      <c r="D33" s="381" t="s">
        <v>717</v>
      </c>
      <c r="E33" s="381" t="s">
        <v>718</v>
      </c>
      <c r="F33" s="378">
        <v>8048912</v>
      </c>
      <c r="G33" s="378">
        <v>14283590</v>
      </c>
      <c r="H33" s="378">
        <v>16736810</v>
      </c>
      <c r="I33" s="378">
        <v>5595692</v>
      </c>
      <c r="J33" s="266">
        <f t="shared" si="1"/>
        <v>8</v>
      </c>
    </row>
    <row r="34" spans="1:11" ht="15.75" customHeight="1" x14ac:dyDescent="0.25">
      <c r="A34" s="380">
        <v>13050501</v>
      </c>
      <c r="B34" s="381" t="s">
        <v>315</v>
      </c>
      <c r="C34" s="381" t="s">
        <v>334</v>
      </c>
      <c r="D34" s="381" t="s">
        <v>721</v>
      </c>
      <c r="E34" s="381" t="s">
        <v>722</v>
      </c>
      <c r="F34" s="378">
        <v>157100</v>
      </c>
      <c r="G34" s="378">
        <v>1056700</v>
      </c>
      <c r="H34" s="378">
        <v>1061800</v>
      </c>
      <c r="I34" s="378">
        <v>152000</v>
      </c>
      <c r="J34" s="266">
        <f t="shared" si="1"/>
        <v>8</v>
      </c>
    </row>
    <row r="35" spans="1:11" ht="15.75" customHeight="1" x14ac:dyDescent="0.25">
      <c r="A35" s="380">
        <v>13050501</v>
      </c>
      <c r="B35" s="381" t="s">
        <v>315</v>
      </c>
      <c r="C35" s="381" t="s">
        <v>334</v>
      </c>
      <c r="D35" s="381" t="s">
        <v>723</v>
      </c>
      <c r="E35" s="381" t="s">
        <v>724</v>
      </c>
      <c r="F35" s="378">
        <v>216978.65</v>
      </c>
      <c r="G35" s="378">
        <v>0</v>
      </c>
      <c r="H35" s="378">
        <v>0</v>
      </c>
      <c r="I35" s="378">
        <v>216978.65</v>
      </c>
      <c r="J35" s="266">
        <f t="shared" si="1"/>
        <v>8</v>
      </c>
    </row>
    <row r="36" spans="1:11" ht="15.75" customHeight="1" x14ac:dyDescent="0.25">
      <c r="A36" s="380">
        <v>13050502</v>
      </c>
      <c r="B36" s="381" t="s">
        <v>321</v>
      </c>
      <c r="C36" s="381" t="s">
        <v>727</v>
      </c>
      <c r="D36" s="381" t="s">
        <v>315</v>
      </c>
      <c r="E36" s="381" t="s">
        <v>315</v>
      </c>
      <c r="F36" s="378">
        <v>0</v>
      </c>
      <c r="G36" s="378">
        <v>90200.02</v>
      </c>
      <c r="H36" s="378">
        <v>90200.02</v>
      </c>
      <c r="I36" s="378">
        <v>0</v>
      </c>
      <c r="J36" s="266">
        <f t="shared" si="1"/>
        <v>8</v>
      </c>
    </row>
    <row r="37" spans="1:11" ht="15.75" customHeight="1" x14ac:dyDescent="0.25">
      <c r="A37" s="380">
        <v>13050502</v>
      </c>
      <c r="B37" s="381" t="s">
        <v>321</v>
      </c>
      <c r="C37" s="381" t="s">
        <v>727</v>
      </c>
      <c r="D37" s="381" t="s">
        <v>1523</v>
      </c>
      <c r="E37" s="381" t="s">
        <v>1524</v>
      </c>
      <c r="F37" s="378">
        <v>0</v>
      </c>
      <c r="G37" s="378">
        <v>90200.02</v>
      </c>
      <c r="H37" s="378">
        <v>90200.02</v>
      </c>
      <c r="I37" s="378">
        <v>0</v>
      </c>
      <c r="J37" s="266">
        <f t="shared" si="1"/>
        <v>8</v>
      </c>
    </row>
    <row r="38" spans="1:11" ht="15.75" customHeight="1" x14ac:dyDescent="0.25">
      <c r="A38" s="380">
        <v>1325</v>
      </c>
      <c r="B38" s="381" t="s">
        <v>315</v>
      </c>
      <c r="C38" s="381" t="s">
        <v>730</v>
      </c>
      <c r="D38" s="381" t="s">
        <v>315</v>
      </c>
      <c r="E38" s="381" t="s">
        <v>315</v>
      </c>
      <c r="F38" s="378">
        <v>0</v>
      </c>
      <c r="G38" s="378">
        <v>0</v>
      </c>
      <c r="H38" s="378">
        <v>0</v>
      </c>
      <c r="I38" s="378">
        <v>0</v>
      </c>
      <c r="J38" s="266">
        <f t="shared" si="1"/>
        <v>4</v>
      </c>
    </row>
    <row r="39" spans="1:11" ht="15.75" customHeight="1" x14ac:dyDescent="0.25">
      <c r="A39" s="380">
        <v>132510</v>
      </c>
      <c r="B39" s="381" t="s">
        <v>315</v>
      </c>
      <c r="C39" s="381" t="s">
        <v>731</v>
      </c>
      <c r="D39" s="381" t="s">
        <v>315</v>
      </c>
      <c r="E39" s="381" t="s">
        <v>315</v>
      </c>
      <c r="F39" s="378">
        <v>0</v>
      </c>
      <c r="G39" s="378">
        <v>0</v>
      </c>
      <c r="H39" s="378">
        <v>0</v>
      </c>
      <c r="I39" s="378">
        <v>0</v>
      </c>
      <c r="J39" s="266">
        <f t="shared" si="1"/>
        <v>6</v>
      </c>
    </row>
    <row r="40" spans="1:11" ht="15.75" customHeight="1" x14ac:dyDescent="0.25">
      <c r="A40" s="380">
        <v>13251005</v>
      </c>
      <c r="B40" s="381" t="s">
        <v>315</v>
      </c>
      <c r="C40" s="381" t="s">
        <v>731</v>
      </c>
      <c r="D40" s="381" t="s">
        <v>315</v>
      </c>
      <c r="E40" s="381" t="s">
        <v>315</v>
      </c>
      <c r="F40" s="378">
        <v>0</v>
      </c>
      <c r="G40" s="378">
        <v>0</v>
      </c>
      <c r="H40" s="378">
        <v>0</v>
      </c>
      <c r="I40" s="378">
        <v>0</v>
      </c>
      <c r="J40" s="266">
        <f t="shared" si="1"/>
        <v>8</v>
      </c>
    </row>
    <row r="41" spans="1:11" ht="15.75" customHeight="1" x14ac:dyDescent="0.25">
      <c r="A41" s="380">
        <v>1330</v>
      </c>
      <c r="B41" s="381" t="s">
        <v>315</v>
      </c>
      <c r="C41" s="381" t="s">
        <v>20</v>
      </c>
      <c r="D41" s="381" t="s">
        <v>315</v>
      </c>
      <c r="E41" s="381" t="s">
        <v>315</v>
      </c>
      <c r="F41" s="378">
        <v>623476895.32000005</v>
      </c>
      <c r="G41" s="378">
        <v>25428500</v>
      </c>
      <c r="H41" s="378">
        <v>0</v>
      </c>
      <c r="I41" s="378">
        <v>648905395.32000005</v>
      </c>
      <c r="J41" s="266">
        <f t="shared" si="1"/>
        <v>4</v>
      </c>
    </row>
    <row r="42" spans="1:11" ht="15.75" customHeight="1" x14ac:dyDescent="0.25">
      <c r="A42" s="380">
        <v>133005</v>
      </c>
      <c r="B42" s="381" t="s">
        <v>315</v>
      </c>
      <c r="C42" s="381" t="s">
        <v>346</v>
      </c>
      <c r="D42" s="381" t="s">
        <v>315</v>
      </c>
      <c r="E42" s="381" t="s">
        <v>315</v>
      </c>
      <c r="F42" s="378">
        <v>0</v>
      </c>
      <c r="G42" s="378">
        <v>6241479</v>
      </c>
      <c r="H42" s="378">
        <v>0</v>
      </c>
      <c r="I42" s="378">
        <v>6241479</v>
      </c>
      <c r="J42" s="266">
        <f t="shared" si="1"/>
        <v>6</v>
      </c>
    </row>
    <row r="43" spans="1:11" ht="15.75" customHeight="1" x14ac:dyDescent="0.25">
      <c r="A43" s="380">
        <v>13300501</v>
      </c>
      <c r="B43" s="381" t="s">
        <v>315</v>
      </c>
      <c r="C43" s="381" t="s">
        <v>346</v>
      </c>
      <c r="D43" s="381" t="s">
        <v>315</v>
      </c>
      <c r="E43" s="381" t="s">
        <v>315</v>
      </c>
      <c r="F43" s="378">
        <v>0</v>
      </c>
      <c r="G43" s="378">
        <v>6241479</v>
      </c>
      <c r="H43" s="378">
        <v>0</v>
      </c>
      <c r="I43" s="378">
        <v>6241479</v>
      </c>
      <c r="J43" s="266">
        <f t="shared" si="1"/>
        <v>8</v>
      </c>
      <c r="K43" s="267" t="s">
        <v>659</v>
      </c>
    </row>
    <row r="44" spans="1:11" ht="15.75" customHeight="1" x14ac:dyDescent="0.25">
      <c r="A44" s="380">
        <v>13300501</v>
      </c>
      <c r="B44" s="381" t="s">
        <v>315</v>
      </c>
      <c r="C44" s="381" t="s">
        <v>346</v>
      </c>
      <c r="D44" s="381" t="s">
        <v>1038</v>
      </c>
      <c r="E44" s="381" t="s">
        <v>1039</v>
      </c>
      <c r="F44" s="378">
        <v>0</v>
      </c>
      <c r="G44" s="378">
        <v>1303343</v>
      </c>
      <c r="H44" s="378">
        <v>0</v>
      </c>
      <c r="I44" s="378">
        <v>1303343</v>
      </c>
      <c r="J44" s="266">
        <f t="shared" si="1"/>
        <v>8</v>
      </c>
    </row>
    <row r="45" spans="1:11" ht="15.75" customHeight="1" x14ac:dyDescent="0.25">
      <c r="A45" s="380">
        <v>13300501</v>
      </c>
      <c r="B45" s="381" t="s">
        <v>315</v>
      </c>
      <c r="C45" s="381" t="s">
        <v>346</v>
      </c>
      <c r="D45" s="381" t="s">
        <v>757</v>
      </c>
      <c r="E45" s="381" t="s">
        <v>758</v>
      </c>
      <c r="F45" s="378">
        <v>0</v>
      </c>
      <c r="G45" s="378">
        <v>3072976</v>
      </c>
      <c r="H45" s="378">
        <v>0</v>
      </c>
      <c r="I45" s="378">
        <v>3072976</v>
      </c>
      <c r="J45" s="266">
        <f t="shared" si="1"/>
        <v>8</v>
      </c>
    </row>
    <row r="46" spans="1:11" ht="15.75" customHeight="1" x14ac:dyDescent="0.25">
      <c r="A46" s="380">
        <v>13300501</v>
      </c>
      <c r="B46" s="381" t="s">
        <v>315</v>
      </c>
      <c r="C46" s="381" t="s">
        <v>346</v>
      </c>
      <c r="D46" s="381" t="s">
        <v>1040</v>
      </c>
      <c r="E46" s="381" t="s">
        <v>750</v>
      </c>
      <c r="F46" s="378">
        <v>0</v>
      </c>
      <c r="G46" s="378">
        <v>1089960</v>
      </c>
      <c r="H46" s="378">
        <v>0</v>
      </c>
      <c r="I46" s="378">
        <v>1089960</v>
      </c>
      <c r="J46" s="266">
        <f t="shared" si="1"/>
        <v>8</v>
      </c>
    </row>
    <row r="47" spans="1:11" ht="15.75" customHeight="1" x14ac:dyDescent="0.25">
      <c r="A47" s="380">
        <v>13300501</v>
      </c>
      <c r="B47" s="381" t="s">
        <v>315</v>
      </c>
      <c r="C47" s="381" t="s">
        <v>346</v>
      </c>
      <c r="D47" s="381" t="s">
        <v>399</v>
      </c>
      <c r="E47" s="381" t="s">
        <v>863</v>
      </c>
      <c r="F47" s="378">
        <v>0</v>
      </c>
      <c r="G47" s="378">
        <v>775200</v>
      </c>
      <c r="H47" s="378">
        <v>0</v>
      </c>
      <c r="I47" s="378">
        <v>775200</v>
      </c>
      <c r="J47" s="266">
        <f t="shared" si="1"/>
        <v>8</v>
      </c>
    </row>
    <row r="48" spans="1:11" ht="15.75" customHeight="1" x14ac:dyDescent="0.25">
      <c r="A48" s="380">
        <v>13300502</v>
      </c>
      <c r="B48" s="381" t="s">
        <v>321</v>
      </c>
      <c r="C48" s="381" t="s">
        <v>737</v>
      </c>
      <c r="D48" s="381" t="s">
        <v>315</v>
      </c>
      <c r="E48" s="381" t="s">
        <v>315</v>
      </c>
      <c r="F48" s="378">
        <v>0</v>
      </c>
      <c r="G48" s="378">
        <v>0</v>
      </c>
      <c r="H48" s="378">
        <v>0</v>
      </c>
      <c r="I48" s="378">
        <v>0</v>
      </c>
      <c r="J48" s="266">
        <f t="shared" si="1"/>
        <v>8</v>
      </c>
    </row>
    <row r="49" spans="1:10" ht="15.75" customHeight="1" x14ac:dyDescent="0.25">
      <c r="A49" s="380">
        <v>133010</v>
      </c>
      <c r="B49" s="381" t="s">
        <v>321</v>
      </c>
      <c r="C49" s="381" t="s">
        <v>749</v>
      </c>
      <c r="D49" s="381" t="s">
        <v>315</v>
      </c>
      <c r="E49" s="381" t="s">
        <v>315</v>
      </c>
      <c r="F49" s="378">
        <v>623476895.32000005</v>
      </c>
      <c r="G49" s="378">
        <v>19187021</v>
      </c>
      <c r="H49" s="378">
        <v>0</v>
      </c>
      <c r="I49" s="378">
        <v>642663916.32000005</v>
      </c>
      <c r="J49" s="266">
        <f t="shared" si="1"/>
        <v>6</v>
      </c>
    </row>
    <row r="50" spans="1:10" ht="15.75" customHeight="1" x14ac:dyDescent="0.25">
      <c r="A50" s="380">
        <v>13301001</v>
      </c>
      <c r="B50" s="381" t="s">
        <v>321</v>
      </c>
      <c r="C50" s="381" t="s">
        <v>749</v>
      </c>
      <c r="D50" s="381" t="s">
        <v>315</v>
      </c>
      <c r="E50" s="381" t="s">
        <v>315</v>
      </c>
      <c r="F50" s="378">
        <v>623476895.32000005</v>
      </c>
      <c r="G50" s="378">
        <v>19187021</v>
      </c>
      <c r="H50" s="378">
        <v>0</v>
      </c>
      <c r="I50" s="378">
        <v>642663916.32000005</v>
      </c>
      <c r="J50" s="266">
        <f t="shared" si="1"/>
        <v>8</v>
      </c>
    </row>
    <row r="51" spans="1:10" ht="15.75" customHeight="1" x14ac:dyDescent="0.25">
      <c r="A51" s="380">
        <v>13301001</v>
      </c>
      <c r="B51" s="381" t="s">
        <v>321</v>
      </c>
      <c r="C51" s="381" t="s">
        <v>749</v>
      </c>
      <c r="D51" s="381" t="s">
        <v>425</v>
      </c>
      <c r="E51" s="381" t="s">
        <v>426</v>
      </c>
      <c r="F51" s="378">
        <v>42386801.009999998</v>
      </c>
      <c r="G51" s="378">
        <v>0</v>
      </c>
      <c r="H51" s="378">
        <v>0</v>
      </c>
      <c r="I51" s="378">
        <v>42386801.009999998</v>
      </c>
      <c r="J51" s="266">
        <f t="shared" si="1"/>
        <v>8</v>
      </c>
    </row>
    <row r="52" spans="1:10" ht="15.75" customHeight="1" x14ac:dyDescent="0.25">
      <c r="A52" s="380">
        <v>13301001</v>
      </c>
      <c r="B52" s="381" t="s">
        <v>321</v>
      </c>
      <c r="C52" s="381" t="s">
        <v>749</v>
      </c>
      <c r="D52" s="381" t="s">
        <v>751</v>
      </c>
      <c r="E52" s="381" t="s">
        <v>752</v>
      </c>
      <c r="F52" s="378">
        <v>73359947.530000001</v>
      </c>
      <c r="G52" s="378">
        <v>0</v>
      </c>
      <c r="H52" s="378">
        <v>0</v>
      </c>
      <c r="I52" s="378">
        <v>73359947.530000001</v>
      </c>
      <c r="J52" s="266">
        <f t="shared" si="1"/>
        <v>8</v>
      </c>
    </row>
    <row r="53" spans="1:10" ht="15.75" customHeight="1" x14ac:dyDescent="0.25">
      <c r="A53" s="380">
        <v>13301001</v>
      </c>
      <c r="B53" s="381" t="s">
        <v>321</v>
      </c>
      <c r="C53" s="381" t="s">
        <v>749</v>
      </c>
      <c r="D53" s="381" t="s">
        <v>753</v>
      </c>
      <c r="E53" s="381" t="s">
        <v>1525</v>
      </c>
      <c r="F53" s="378">
        <v>30786100.539999999</v>
      </c>
      <c r="G53" s="378">
        <v>0</v>
      </c>
      <c r="H53" s="378">
        <v>0</v>
      </c>
      <c r="I53" s="378">
        <v>30786100.539999999</v>
      </c>
      <c r="J53" s="266">
        <f t="shared" si="1"/>
        <v>8</v>
      </c>
    </row>
    <row r="54" spans="1:10" ht="15.75" customHeight="1" x14ac:dyDescent="0.25">
      <c r="A54" s="380">
        <v>13301001</v>
      </c>
      <c r="B54" s="381" t="s">
        <v>321</v>
      </c>
      <c r="C54" s="381" t="s">
        <v>749</v>
      </c>
      <c r="D54" s="381" t="s">
        <v>755</v>
      </c>
      <c r="E54" s="381" t="s">
        <v>756</v>
      </c>
      <c r="F54" s="378">
        <v>112746859</v>
      </c>
      <c r="G54" s="378">
        <v>0</v>
      </c>
      <c r="H54" s="378">
        <v>0</v>
      </c>
      <c r="I54" s="378">
        <v>112746859</v>
      </c>
      <c r="J54" s="266">
        <f t="shared" si="1"/>
        <v>8</v>
      </c>
    </row>
    <row r="55" spans="1:10" ht="15.75" customHeight="1" x14ac:dyDescent="0.25">
      <c r="A55" s="380">
        <v>13301001</v>
      </c>
      <c r="B55" s="381" t="s">
        <v>321</v>
      </c>
      <c r="C55" s="381" t="s">
        <v>749</v>
      </c>
      <c r="D55" s="381" t="s">
        <v>757</v>
      </c>
      <c r="E55" s="381" t="s">
        <v>758</v>
      </c>
      <c r="F55" s="378">
        <v>20141276</v>
      </c>
      <c r="G55" s="378">
        <v>0</v>
      </c>
      <c r="H55" s="378">
        <v>0</v>
      </c>
      <c r="I55" s="378">
        <v>20141276</v>
      </c>
      <c r="J55" s="266">
        <f t="shared" si="1"/>
        <v>8</v>
      </c>
    </row>
    <row r="56" spans="1:10" ht="15.75" customHeight="1" x14ac:dyDescent="0.25">
      <c r="A56" s="380">
        <v>13301001</v>
      </c>
      <c r="B56" s="381" t="s">
        <v>321</v>
      </c>
      <c r="C56" s="381" t="s">
        <v>749</v>
      </c>
      <c r="D56" s="381" t="s">
        <v>759</v>
      </c>
      <c r="E56" s="381" t="s">
        <v>760</v>
      </c>
      <c r="F56" s="378">
        <v>41552711.990000002</v>
      </c>
      <c r="G56" s="378">
        <v>2010689</v>
      </c>
      <c r="H56" s="378">
        <v>0</v>
      </c>
      <c r="I56" s="378">
        <v>43563400.990000002</v>
      </c>
      <c r="J56" s="266">
        <f t="shared" si="1"/>
        <v>8</v>
      </c>
    </row>
    <row r="57" spans="1:10" ht="15.75" customHeight="1" x14ac:dyDescent="0.25">
      <c r="A57" s="380">
        <v>13301001</v>
      </c>
      <c r="B57" s="381" t="s">
        <v>321</v>
      </c>
      <c r="C57" s="381" t="s">
        <v>749</v>
      </c>
      <c r="D57" s="381" t="s">
        <v>1040</v>
      </c>
      <c r="E57" s="381" t="s">
        <v>750</v>
      </c>
      <c r="F57" s="378">
        <v>15392625</v>
      </c>
      <c r="G57" s="378">
        <v>9594000</v>
      </c>
      <c r="H57" s="378">
        <v>0</v>
      </c>
      <c r="I57" s="378">
        <v>24986625</v>
      </c>
      <c r="J57" s="266">
        <f t="shared" si="1"/>
        <v>8</v>
      </c>
    </row>
    <row r="58" spans="1:10" ht="15.75" customHeight="1" x14ac:dyDescent="0.25">
      <c r="A58" s="380">
        <v>13301001</v>
      </c>
      <c r="B58" s="381" t="s">
        <v>321</v>
      </c>
      <c r="C58" s="381" t="s">
        <v>749</v>
      </c>
      <c r="D58" s="381" t="s">
        <v>763</v>
      </c>
      <c r="E58" s="381" t="s">
        <v>764</v>
      </c>
      <c r="F58" s="378">
        <v>101423389.67</v>
      </c>
      <c r="G58" s="378">
        <v>2369479</v>
      </c>
      <c r="H58" s="378">
        <v>0</v>
      </c>
      <c r="I58" s="378">
        <v>103792868.67</v>
      </c>
      <c r="J58" s="266">
        <f t="shared" si="1"/>
        <v>8</v>
      </c>
    </row>
    <row r="59" spans="1:10" ht="15.75" customHeight="1" x14ac:dyDescent="0.25">
      <c r="A59" s="380">
        <v>13301001</v>
      </c>
      <c r="B59" s="381" t="s">
        <v>321</v>
      </c>
      <c r="C59" s="381" t="s">
        <v>749</v>
      </c>
      <c r="D59" s="381" t="s">
        <v>765</v>
      </c>
      <c r="E59" s="381" t="s">
        <v>766</v>
      </c>
      <c r="F59" s="378">
        <v>42517005.880000003</v>
      </c>
      <c r="G59" s="378">
        <v>1421687</v>
      </c>
      <c r="H59" s="378">
        <v>0</v>
      </c>
      <c r="I59" s="378">
        <v>43938692.880000003</v>
      </c>
      <c r="J59" s="266">
        <f t="shared" si="1"/>
        <v>8</v>
      </c>
    </row>
    <row r="60" spans="1:10" ht="15.75" customHeight="1" x14ac:dyDescent="0.25">
      <c r="A60" s="380">
        <v>13301001</v>
      </c>
      <c r="B60" s="381" t="s">
        <v>321</v>
      </c>
      <c r="C60" s="381" t="s">
        <v>749</v>
      </c>
      <c r="D60" s="381" t="s">
        <v>767</v>
      </c>
      <c r="E60" s="381" t="s">
        <v>768</v>
      </c>
      <c r="F60" s="378">
        <v>100624644.95</v>
      </c>
      <c r="G60" s="378">
        <v>2369479</v>
      </c>
      <c r="H60" s="378">
        <v>0</v>
      </c>
      <c r="I60" s="378">
        <v>102994123.95</v>
      </c>
      <c r="J60" s="266">
        <f t="shared" si="1"/>
        <v>8</v>
      </c>
    </row>
    <row r="61" spans="1:10" ht="15.75" customHeight="1" x14ac:dyDescent="0.25">
      <c r="A61" s="380">
        <v>13301001</v>
      </c>
      <c r="B61" s="381" t="s">
        <v>321</v>
      </c>
      <c r="C61" s="381" t="s">
        <v>749</v>
      </c>
      <c r="D61" s="381" t="s">
        <v>769</v>
      </c>
      <c r="E61" s="381" t="s">
        <v>1526</v>
      </c>
      <c r="F61" s="378">
        <v>42545533.75</v>
      </c>
      <c r="G61" s="378">
        <v>1421687</v>
      </c>
      <c r="H61" s="378">
        <v>0</v>
      </c>
      <c r="I61" s="378">
        <v>43967220.75</v>
      </c>
      <c r="J61" s="266">
        <f t="shared" si="1"/>
        <v>8</v>
      </c>
    </row>
    <row r="62" spans="1:10" ht="15.75" customHeight="1" x14ac:dyDescent="0.25">
      <c r="A62" s="380">
        <v>1365</v>
      </c>
      <c r="B62" s="381" t="s">
        <v>315</v>
      </c>
      <c r="C62" s="381" t="s">
        <v>771</v>
      </c>
      <c r="D62" s="381" t="s">
        <v>315</v>
      </c>
      <c r="E62" s="381" t="s">
        <v>315</v>
      </c>
      <c r="F62" s="378">
        <v>835197</v>
      </c>
      <c r="G62" s="378">
        <v>217435</v>
      </c>
      <c r="H62" s="378">
        <v>199838</v>
      </c>
      <c r="I62" s="378">
        <v>852794</v>
      </c>
      <c r="J62" s="266">
        <f t="shared" si="1"/>
        <v>4</v>
      </c>
    </row>
    <row r="63" spans="1:10" ht="15.75" customHeight="1" x14ac:dyDescent="0.25">
      <c r="A63" s="380">
        <v>136525</v>
      </c>
      <c r="B63" s="381" t="s">
        <v>315</v>
      </c>
      <c r="C63" s="381" t="s">
        <v>772</v>
      </c>
      <c r="D63" s="381" t="s">
        <v>315</v>
      </c>
      <c r="E63" s="381" t="s">
        <v>315</v>
      </c>
      <c r="F63" s="378">
        <v>23999</v>
      </c>
      <c r="G63" s="378">
        <v>0</v>
      </c>
      <c r="H63" s="378">
        <v>19950</v>
      </c>
      <c r="I63" s="378">
        <v>4049</v>
      </c>
      <c r="J63" s="266">
        <f t="shared" si="1"/>
        <v>6</v>
      </c>
    </row>
    <row r="64" spans="1:10" ht="15.75" customHeight="1" x14ac:dyDescent="0.25">
      <c r="A64" s="380">
        <v>13652501</v>
      </c>
      <c r="B64" s="381" t="s">
        <v>315</v>
      </c>
      <c r="C64" s="381" t="s">
        <v>773</v>
      </c>
      <c r="D64" s="381" t="s">
        <v>315</v>
      </c>
      <c r="E64" s="381" t="s">
        <v>315</v>
      </c>
      <c r="F64" s="378">
        <v>23999</v>
      </c>
      <c r="G64" s="378">
        <v>0</v>
      </c>
      <c r="H64" s="378">
        <v>19950</v>
      </c>
      <c r="I64" s="378">
        <v>4049</v>
      </c>
      <c r="J64" s="266">
        <f t="shared" si="1"/>
        <v>8</v>
      </c>
    </row>
    <row r="65" spans="1:10" ht="15.75" customHeight="1" x14ac:dyDescent="0.25">
      <c r="A65" s="380">
        <v>13652501</v>
      </c>
      <c r="B65" s="381" t="s">
        <v>315</v>
      </c>
      <c r="C65" s="381" t="s">
        <v>773</v>
      </c>
      <c r="D65" s="381" t="s">
        <v>1527</v>
      </c>
      <c r="E65" s="381" t="s">
        <v>1528</v>
      </c>
      <c r="F65" s="378">
        <v>0</v>
      </c>
      <c r="G65" s="378">
        <v>0</v>
      </c>
      <c r="H65" s="378">
        <v>19950</v>
      </c>
      <c r="I65" s="378">
        <v>-19950</v>
      </c>
      <c r="J65" s="266">
        <f t="shared" si="1"/>
        <v>8</v>
      </c>
    </row>
    <row r="66" spans="1:10" ht="15.75" customHeight="1" x14ac:dyDescent="0.25">
      <c r="A66" s="380">
        <v>13652501</v>
      </c>
      <c r="B66" s="381" t="s">
        <v>315</v>
      </c>
      <c r="C66" s="381" t="s">
        <v>773</v>
      </c>
      <c r="D66" s="381" t="s">
        <v>1412</v>
      </c>
      <c r="E66" s="381" t="s">
        <v>1413</v>
      </c>
      <c r="F66" s="378">
        <v>23999</v>
      </c>
      <c r="G66" s="378">
        <v>0</v>
      </c>
      <c r="H66" s="378">
        <v>0</v>
      </c>
      <c r="I66" s="378">
        <v>23999</v>
      </c>
      <c r="J66" s="266">
        <f t="shared" si="1"/>
        <v>8</v>
      </c>
    </row>
    <row r="67" spans="1:10" ht="15.75" customHeight="1" x14ac:dyDescent="0.25">
      <c r="A67" s="380">
        <v>136595</v>
      </c>
      <c r="B67" s="381" t="s">
        <v>315</v>
      </c>
      <c r="C67" s="381" t="s">
        <v>238</v>
      </c>
      <c r="D67" s="381" t="s">
        <v>315</v>
      </c>
      <c r="E67" s="381" t="s">
        <v>315</v>
      </c>
      <c r="F67" s="378">
        <v>811198</v>
      </c>
      <c r="G67" s="378">
        <v>217435</v>
      </c>
      <c r="H67" s="378">
        <v>179888</v>
      </c>
      <c r="I67" s="378">
        <v>848745</v>
      </c>
      <c r="J67" s="266">
        <f t="shared" si="1"/>
        <v>6</v>
      </c>
    </row>
    <row r="68" spans="1:10" ht="15.75" customHeight="1" x14ac:dyDescent="0.25">
      <c r="A68" s="380">
        <v>13659501</v>
      </c>
      <c r="B68" s="381" t="s">
        <v>315</v>
      </c>
      <c r="C68" s="381" t="s">
        <v>778</v>
      </c>
      <c r="D68" s="381" t="s">
        <v>315</v>
      </c>
      <c r="E68" s="381" t="s">
        <v>315</v>
      </c>
      <c r="F68" s="378">
        <v>221197</v>
      </c>
      <c r="G68" s="378">
        <v>217435</v>
      </c>
      <c r="H68" s="378">
        <v>179888</v>
      </c>
      <c r="I68" s="378">
        <v>258744</v>
      </c>
      <c r="J68" s="266">
        <f t="shared" si="1"/>
        <v>8</v>
      </c>
    </row>
    <row r="69" spans="1:10" ht="15.75" customHeight="1" x14ac:dyDescent="0.25">
      <c r="A69" s="380">
        <v>13659501</v>
      </c>
      <c r="B69" s="381" t="s">
        <v>315</v>
      </c>
      <c r="C69" s="381" t="s">
        <v>778</v>
      </c>
      <c r="D69" s="381" t="s">
        <v>742</v>
      </c>
      <c r="E69" s="381" t="s">
        <v>1529</v>
      </c>
      <c r="F69" s="378">
        <v>-9120</v>
      </c>
      <c r="G69" s="378">
        <v>41928</v>
      </c>
      <c r="H69" s="378">
        <v>32788</v>
      </c>
      <c r="I69" s="378">
        <v>20</v>
      </c>
      <c r="J69" s="266">
        <f t="shared" si="1"/>
        <v>8</v>
      </c>
    </row>
    <row r="70" spans="1:10" ht="15.75" customHeight="1" x14ac:dyDescent="0.25">
      <c r="A70" s="380">
        <v>13659501</v>
      </c>
      <c r="B70" s="381" t="s">
        <v>315</v>
      </c>
      <c r="C70" s="381" t="s">
        <v>778</v>
      </c>
      <c r="D70" s="381" t="s">
        <v>1443</v>
      </c>
      <c r="E70" s="381" t="s">
        <v>1530</v>
      </c>
      <c r="F70" s="378">
        <v>101496</v>
      </c>
      <c r="G70" s="378">
        <v>88219</v>
      </c>
      <c r="H70" s="378">
        <v>34900</v>
      </c>
      <c r="I70" s="378">
        <v>154815</v>
      </c>
      <c r="J70" s="266">
        <f t="shared" si="1"/>
        <v>8</v>
      </c>
    </row>
    <row r="71" spans="1:10" ht="15.75" customHeight="1" x14ac:dyDescent="0.25">
      <c r="A71" s="380">
        <v>13659501</v>
      </c>
      <c r="B71" s="381" t="s">
        <v>315</v>
      </c>
      <c r="C71" s="381" t="s">
        <v>778</v>
      </c>
      <c r="D71" s="381" t="s">
        <v>1531</v>
      </c>
      <c r="E71" s="381" t="s">
        <v>1532</v>
      </c>
      <c r="F71" s="378">
        <v>69590</v>
      </c>
      <c r="G71" s="378">
        <v>0</v>
      </c>
      <c r="H71" s="378">
        <v>0</v>
      </c>
      <c r="I71" s="378">
        <v>69590</v>
      </c>
      <c r="J71" s="266">
        <f t="shared" si="1"/>
        <v>8</v>
      </c>
    </row>
    <row r="72" spans="1:10" ht="15.75" customHeight="1" x14ac:dyDescent="0.25">
      <c r="A72" s="380">
        <v>13659501</v>
      </c>
      <c r="B72" s="381" t="s">
        <v>315</v>
      </c>
      <c r="C72" s="381" t="s">
        <v>778</v>
      </c>
      <c r="D72" s="381" t="s">
        <v>1444</v>
      </c>
      <c r="E72" s="381" t="s">
        <v>1533</v>
      </c>
      <c r="F72" s="378">
        <v>59231</v>
      </c>
      <c r="G72" s="378">
        <v>74784</v>
      </c>
      <c r="H72" s="378">
        <v>91200</v>
      </c>
      <c r="I72" s="378">
        <v>42815</v>
      </c>
      <c r="J72" s="266">
        <f t="shared" si="1"/>
        <v>8</v>
      </c>
    </row>
    <row r="73" spans="1:10" ht="15.75" customHeight="1" x14ac:dyDescent="0.25">
      <c r="A73" s="380">
        <v>13659501</v>
      </c>
      <c r="B73" s="381" t="s">
        <v>315</v>
      </c>
      <c r="C73" s="381" t="s">
        <v>778</v>
      </c>
      <c r="D73" s="381" t="s">
        <v>792</v>
      </c>
      <c r="E73" s="381" t="s">
        <v>1534</v>
      </c>
      <c r="F73" s="378">
        <v>0</v>
      </c>
      <c r="G73" s="378">
        <v>12504</v>
      </c>
      <c r="H73" s="378">
        <v>21000</v>
      </c>
      <c r="I73" s="378">
        <v>-8496</v>
      </c>
      <c r="J73" s="266">
        <f t="shared" si="1"/>
        <v>8</v>
      </c>
    </row>
    <row r="74" spans="1:10" ht="15.75" customHeight="1" x14ac:dyDescent="0.25">
      <c r="A74" s="380">
        <v>13659502</v>
      </c>
      <c r="B74" s="381" t="s">
        <v>321</v>
      </c>
      <c r="C74" s="381" t="s">
        <v>796</v>
      </c>
      <c r="D74" s="381" t="s">
        <v>315</v>
      </c>
      <c r="E74" s="381" t="s">
        <v>315</v>
      </c>
      <c r="F74" s="378">
        <v>590001</v>
      </c>
      <c r="G74" s="378">
        <v>0</v>
      </c>
      <c r="H74" s="378">
        <v>0</v>
      </c>
      <c r="I74" s="378">
        <v>590001</v>
      </c>
      <c r="J74" s="266">
        <f t="shared" si="1"/>
        <v>8</v>
      </c>
    </row>
    <row r="75" spans="1:10" ht="15.75" customHeight="1" x14ac:dyDescent="0.25">
      <c r="A75" s="380">
        <v>13659502</v>
      </c>
      <c r="B75" s="381" t="s">
        <v>321</v>
      </c>
      <c r="C75" s="381" t="s">
        <v>796</v>
      </c>
      <c r="D75" s="381" t="s">
        <v>1535</v>
      </c>
      <c r="E75" s="381" t="s">
        <v>1536</v>
      </c>
      <c r="F75" s="378">
        <v>590000</v>
      </c>
      <c r="G75" s="378">
        <v>0</v>
      </c>
      <c r="H75" s="378">
        <v>0</v>
      </c>
      <c r="I75" s="378">
        <v>590000</v>
      </c>
      <c r="J75" s="266">
        <f t="shared" si="1"/>
        <v>8</v>
      </c>
    </row>
    <row r="76" spans="1:10" ht="15.75" customHeight="1" x14ac:dyDescent="0.25">
      <c r="A76" s="380">
        <v>13659502</v>
      </c>
      <c r="B76" s="381" t="s">
        <v>321</v>
      </c>
      <c r="C76" s="381" t="s">
        <v>796</v>
      </c>
      <c r="D76" s="381" t="s">
        <v>1412</v>
      </c>
      <c r="E76" s="381" t="s">
        <v>1413</v>
      </c>
      <c r="F76" s="378">
        <v>1</v>
      </c>
      <c r="G76" s="378">
        <v>0</v>
      </c>
      <c r="H76" s="378">
        <v>0</v>
      </c>
      <c r="I76" s="378">
        <v>1</v>
      </c>
      <c r="J76" s="266">
        <f t="shared" ref="J76:J139" si="2">+LEN(A76)</f>
        <v>8</v>
      </c>
    </row>
    <row r="77" spans="1:10" ht="15.75" customHeight="1" x14ac:dyDescent="0.25">
      <c r="A77" s="380">
        <v>1380</v>
      </c>
      <c r="B77" s="381" t="s">
        <v>315</v>
      </c>
      <c r="C77" s="381" t="s">
        <v>24</v>
      </c>
      <c r="D77" s="381" t="s">
        <v>315</v>
      </c>
      <c r="E77" s="381" t="s">
        <v>315</v>
      </c>
      <c r="F77" s="378">
        <v>144232376</v>
      </c>
      <c r="G77" s="378">
        <v>15000000</v>
      </c>
      <c r="H77" s="378">
        <v>50746961</v>
      </c>
      <c r="I77" s="378">
        <v>108485415</v>
      </c>
      <c r="J77" s="266">
        <f t="shared" si="2"/>
        <v>4</v>
      </c>
    </row>
    <row r="78" spans="1:10" ht="15.75" customHeight="1" x14ac:dyDescent="0.25">
      <c r="A78" s="380">
        <v>138095</v>
      </c>
      <c r="B78" s="381" t="s">
        <v>315</v>
      </c>
      <c r="C78" s="381" t="s">
        <v>799</v>
      </c>
      <c r="D78" s="381" t="s">
        <v>315</v>
      </c>
      <c r="E78" s="381" t="s">
        <v>315</v>
      </c>
      <c r="F78" s="378">
        <v>144232376</v>
      </c>
      <c r="G78" s="378">
        <v>15000000</v>
      </c>
      <c r="H78" s="378">
        <v>50746961</v>
      </c>
      <c r="I78" s="378">
        <v>108485415</v>
      </c>
      <c r="J78" s="266">
        <f t="shared" si="2"/>
        <v>6</v>
      </c>
    </row>
    <row r="79" spans="1:10" ht="15.75" customHeight="1" x14ac:dyDescent="0.25">
      <c r="A79" s="380">
        <v>13809501</v>
      </c>
      <c r="B79" s="381" t="s">
        <v>321</v>
      </c>
      <c r="C79" s="381" t="s">
        <v>1537</v>
      </c>
      <c r="D79" s="381" t="s">
        <v>315</v>
      </c>
      <c r="E79" s="381" t="s">
        <v>315</v>
      </c>
      <c r="F79" s="378">
        <v>91813234</v>
      </c>
      <c r="G79" s="378">
        <v>0</v>
      </c>
      <c r="H79" s="378">
        <v>519061</v>
      </c>
      <c r="I79" s="378">
        <v>91294173</v>
      </c>
      <c r="J79" s="266">
        <f t="shared" si="2"/>
        <v>8</v>
      </c>
    </row>
    <row r="80" spans="1:10" ht="15.75" customHeight="1" x14ac:dyDescent="0.25">
      <c r="A80" s="380">
        <v>13809501</v>
      </c>
      <c r="B80" s="381" t="s">
        <v>321</v>
      </c>
      <c r="C80" s="381" t="s">
        <v>1537</v>
      </c>
      <c r="D80" s="381" t="s">
        <v>419</v>
      </c>
      <c r="E80" s="381" t="s">
        <v>420</v>
      </c>
      <c r="F80" s="378">
        <v>-5.5511151231257802E-17</v>
      </c>
      <c r="G80" s="378">
        <v>0</v>
      </c>
      <c r="H80" s="378">
        <v>0</v>
      </c>
      <c r="I80" s="378">
        <v>-5.5511151231257802E-17</v>
      </c>
      <c r="J80" s="266">
        <f t="shared" si="2"/>
        <v>8</v>
      </c>
    </row>
    <row r="81" spans="1:10" ht="15.75" customHeight="1" x14ac:dyDescent="0.25">
      <c r="A81" s="380">
        <v>13809501</v>
      </c>
      <c r="B81" s="381" t="s">
        <v>321</v>
      </c>
      <c r="C81" s="381" t="s">
        <v>1537</v>
      </c>
      <c r="D81" s="381" t="s">
        <v>329</v>
      </c>
      <c r="E81" s="381" t="s">
        <v>330</v>
      </c>
      <c r="F81" s="378">
        <v>2.7755575615628901E-17</v>
      </c>
      <c r="G81" s="378">
        <v>0</v>
      </c>
      <c r="H81" s="378">
        <v>0</v>
      </c>
      <c r="I81" s="378">
        <v>2.7755575615628901E-17</v>
      </c>
      <c r="J81" s="266">
        <f t="shared" si="2"/>
        <v>8</v>
      </c>
    </row>
    <row r="82" spans="1:10" ht="15.75" customHeight="1" x14ac:dyDescent="0.25">
      <c r="A82" s="380">
        <v>13809501</v>
      </c>
      <c r="B82" s="381" t="s">
        <v>321</v>
      </c>
      <c r="C82" s="381" t="s">
        <v>1537</v>
      </c>
      <c r="D82" s="381" t="s">
        <v>347</v>
      </c>
      <c r="E82" s="381" t="s">
        <v>348</v>
      </c>
      <c r="F82" s="378">
        <v>1333114</v>
      </c>
      <c r="G82" s="378">
        <v>0</v>
      </c>
      <c r="H82" s="378">
        <v>519061</v>
      </c>
      <c r="I82" s="378">
        <v>814053</v>
      </c>
      <c r="J82" s="266">
        <f t="shared" si="2"/>
        <v>8</v>
      </c>
    </row>
    <row r="83" spans="1:10" ht="15.75" customHeight="1" x14ac:dyDescent="0.25">
      <c r="A83" s="380">
        <v>13809501</v>
      </c>
      <c r="B83" s="381" t="s">
        <v>321</v>
      </c>
      <c r="C83" s="381" t="s">
        <v>1537</v>
      </c>
      <c r="D83" s="381" t="s">
        <v>927</v>
      </c>
      <c r="E83" s="381" t="s">
        <v>928</v>
      </c>
      <c r="F83" s="378">
        <v>7633075</v>
      </c>
      <c r="G83" s="378">
        <v>0</v>
      </c>
      <c r="H83" s="378">
        <v>0</v>
      </c>
      <c r="I83" s="378">
        <v>7633075</v>
      </c>
      <c r="J83" s="266">
        <f t="shared" si="2"/>
        <v>8</v>
      </c>
    </row>
    <row r="84" spans="1:10" ht="15.75" customHeight="1" x14ac:dyDescent="0.25">
      <c r="A84" s="380">
        <v>13809501</v>
      </c>
      <c r="B84" s="381" t="s">
        <v>321</v>
      </c>
      <c r="C84" s="381" t="s">
        <v>1537</v>
      </c>
      <c r="D84" s="381" t="s">
        <v>801</v>
      </c>
      <c r="E84" s="381" t="s">
        <v>802</v>
      </c>
      <c r="F84" s="378">
        <v>82847045</v>
      </c>
      <c r="G84" s="378">
        <v>0</v>
      </c>
      <c r="H84" s="378">
        <v>0</v>
      </c>
      <c r="I84" s="378">
        <v>82847045</v>
      </c>
      <c r="J84" s="266">
        <f t="shared" si="2"/>
        <v>8</v>
      </c>
    </row>
    <row r="85" spans="1:10" ht="15.75" customHeight="1" x14ac:dyDescent="0.25">
      <c r="A85" s="380">
        <v>13809503</v>
      </c>
      <c r="B85" s="381" t="s">
        <v>321</v>
      </c>
      <c r="C85" s="381" t="s">
        <v>1538</v>
      </c>
      <c r="D85" s="381" t="s">
        <v>315</v>
      </c>
      <c r="E85" s="381" t="s">
        <v>315</v>
      </c>
      <c r="F85" s="378">
        <v>52316042</v>
      </c>
      <c r="G85" s="378">
        <v>0</v>
      </c>
      <c r="H85" s="378">
        <v>35124800</v>
      </c>
      <c r="I85" s="378">
        <v>17191242</v>
      </c>
      <c r="J85" s="266">
        <f t="shared" si="2"/>
        <v>8</v>
      </c>
    </row>
    <row r="86" spans="1:10" ht="15.75" customHeight="1" x14ac:dyDescent="0.25">
      <c r="A86" s="380">
        <v>13809503</v>
      </c>
      <c r="B86" s="381" t="s">
        <v>321</v>
      </c>
      <c r="C86" s="381" t="s">
        <v>1538</v>
      </c>
      <c r="D86" s="381" t="s">
        <v>837</v>
      </c>
      <c r="E86" s="381" t="s">
        <v>838</v>
      </c>
      <c r="F86" s="378">
        <v>52316042</v>
      </c>
      <c r="G86" s="378">
        <v>0</v>
      </c>
      <c r="H86" s="378">
        <v>35124800</v>
      </c>
      <c r="I86" s="378">
        <v>17191242</v>
      </c>
      <c r="J86" s="266">
        <f t="shared" si="2"/>
        <v>8</v>
      </c>
    </row>
    <row r="87" spans="1:10" ht="15.75" customHeight="1" x14ac:dyDescent="0.25">
      <c r="A87" s="380">
        <v>13809506</v>
      </c>
      <c r="B87" s="381" t="s">
        <v>321</v>
      </c>
      <c r="C87" s="381" t="s">
        <v>1539</v>
      </c>
      <c r="D87" s="381" t="s">
        <v>315</v>
      </c>
      <c r="E87" s="381" t="s">
        <v>315</v>
      </c>
      <c r="F87" s="378">
        <v>0</v>
      </c>
      <c r="G87" s="378">
        <v>0</v>
      </c>
      <c r="H87" s="378">
        <v>0</v>
      </c>
      <c r="I87" s="378">
        <v>0</v>
      </c>
      <c r="J87" s="266">
        <f t="shared" si="2"/>
        <v>8</v>
      </c>
    </row>
    <row r="88" spans="1:10" ht="15.75" customHeight="1" x14ac:dyDescent="0.25">
      <c r="A88" s="380">
        <v>13809520</v>
      </c>
      <c r="B88" s="381" t="s">
        <v>315</v>
      </c>
      <c r="C88" s="381" t="s">
        <v>807</v>
      </c>
      <c r="D88" s="381" t="s">
        <v>315</v>
      </c>
      <c r="E88" s="381" t="s">
        <v>315</v>
      </c>
      <c r="F88" s="378">
        <v>103100</v>
      </c>
      <c r="G88" s="378">
        <v>15000000</v>
      </c>
      <c r="H88" s="378">
        <v>15103100</v>
      </c>
      <c r="I88" s="378">
        <v>0</v>
      </c>
      <c r="J88" s="266">
        <f t="shared" si="2"/>
        <v>8</v>
      </c>
    </row>
    <row r="89" spans="1:10" ht="15.75" customHeight="1" x14ac:dyDescent="0.25">
      <c r="A89" s="380">
        <v>13809520</v>
      </c>
      <c r="B89" s="381" t="s">
        <v>315</v>
      </c>
      <c r="C89" s="381" t="s">
        <v>807</v>
      </c>
      <c r="D89" s="381" t="s">
        <v>329</v>
      </c>
      <c r="E89" s="381" t="s">
        <v>330</v>
      </c>
      <c r="F89" s="378">
        <v>103100</v>
      </c>
      <c r="G89" s="378">
        <v>0</v>
      </c>
      <c r="H89" s="378">
        <v>103100</v>
      </c>
      <c r="I89" s="378">
        <v>0</v>
      </c>
      <c r="J89" s="266">
        <f t="shared" si="2"/>
        <v>8</v>
      </c>
    </row>
    <row r="90" spans="1:10" ht="15.75" customHeight="1" x14ac:dyDescent="0.25">
      <c r="A90" s="380">
        <v>13809520</v>
      </c>
      <c r="B90" s="381" t="s">
        <v>315</v>
      </c>
      <c r="C90" s="381" t="s">
        <v>807</v>
      </c>
      <c r="D90" s="381" t="s">
        <v>725</v>
      </c>
      <c r="E90" s="381" t="s">
        <v>1540</v>
      </c>
      <c r="F90" s="378">
        <v>0</v>
      </c>
      <c r="G90" s="378">
        <v>15000000</v>
      </c>
      <c r="H90" s="378">
        <v>15000000</v>
      </c>
      <c r="I90" s="378">
        <v>0</v>
      </c>
      <c r="J90" s="266">
        <f t="shared" si="2"/>
        <v>8</v>
      </c>
    </row>
    <row r="91" spans="1:10" ht="15.75" customHeight="1" x14ac:dyDescent="0.25">
      <c r="A91" s="380">
        <v>14</v>
      </c>
      <c r="B91" s="381" t="s">
        <v>315</v>
      </c>
      <c r="C91" s="381" t="s">
        <v>31</v>
      </c>
      <c r="D91" s="381" t="s">
        <v>315</v>
      </c>
      <c r="E91" s="381" t="s">
        <v>315</v>
      </c>
      <c r="F91" s="378">
        <v>4004253.0199999199</v>
      </c>
      <c r="G91" s="378">
        <v>161491365</v>
      </c>
      <c r="H91" s="378">
        <v>156200293</v>
      </c>
      <c r="I91" s="378">
        <v>9295325.0199999195</v>
      </c>
      <c r="J91" s="266">
        <f t="shared" si="2"/>
        <v>2</v>
      </c>
    </row>
    <row r="92" spans="1:10" ht="15.75" customHeight="1" x14ac:dyDescent="0.25">
      <c r="A92" s="380">
        <v>1435</v>
      </c>
      <c r="B92" s="381" t="s">
        <v>315</v>
      </c>
      <c r="C92" s="381" t="s">
        <v>809</v>
      </c>
      <c r="D92" s="381" t="s">
        <v>315</v>
      </c>
      <c r="E92" s="381" t="s">
        <v>315</v>
      </c>
      <c r="F92" s="378">
        <v>4004253.0199999199</v>
      </c>
      <c r="G92" s="378">
        <v>161491365</v>
      </c>
      <c r="H92" s="378">
        <v>156200293</v>
      </c>
      <c r="I92" s="378">
        <v>9295325.0199999195</v>
      </c>
      <c r="J92" s="266">
        <f t="shared" si="2"/>
        <v>4</v>
      </c>
    </row>
    <row r="93" spans="1:10" ht="15.75" customHeight="1" x14ac:dyDescent="0.25">
      <c r="A93" s="380">
        <v>143501</v>
      </c>
      <c r="B93" s="381" t="s">
        <v>321</v>
      </c>
      <c r="C93" s="381" t="s">
        <v>1541</v>
      </c>
      <c r="D93" s="381" t="s">
        <v>315</v>
      </c>
      <c r="E93" s="381" t="s">
        <v>315</v>
      </c>
      <c r="F93" s="378">
        <v>6209595.0199999204</v>
      </c>
      <c r="G93" s="378">
        <v>0</v>
      </c>
      <c r="H93" s="378">
        <v>0</v>
      </c>
      <c r="I93" s="378">
        <v>6209595.0199999204</v>
      </c>
      <c r="J93" s="266">
        <f t="shared" si="2"/>
        <v>6</v>
      </c>
    </row>
    <row r="94" spans="1:10" ht="15.75" customHeight="1" x14ac:dyDescent="0.25">
      <c r="A94" s="380">
        <v>143505</v>
      </c>
      <c r="B94" s="381" t="s">
        <v>315</v>
      </c>
      <c r="C94" s="381" t="s">
        <v>811</v>
      </c>
      <c r="D94" s="381" t="s">
        <v>315</v>
      </c>
      <c r="E94" s="381" t="s">
        <v>315</v>
      </c>
      <c r="F94" s="378">
        <v>774221520</v>
      </c>
      <c r="G94" s="378">
        <v>155960275</v>
      </c>
      <c r="H94" s="378">
        <v>0</v>
      </c>
      <c r="I94" s="378">
        <v>930181795</v>
      </c>
      <c r="J94" s="266">
        <f t="shared" si="2"/>
        <v>6</v>
      </c>
    </row>
    <row r="95" spans="1:10" ht="15.75" customHeight="1" x14ac:dyDescent="0.25">
      <c r="A95" s="380">
        <v>14350501</v>
      </c>
      <c r="B95" s="381" t="s">
        <v>315</v>
      </c>
      <c r="C95" s="381" t="s">
        <v>811</v>
      </c>
      <c r="D95" s="381" t="s">
        <v>315</v>
      </c>
      <c r="E95" s="381" t="s">
        <v>315</v>
      </c>
      <c r="F95" s="378">
        <v>562430246</v>
      </c>
      <c r="G95" s="378">
        <v>112794115</v>
      </c>
      <c r="H95" s="378">
        <v>0</v>
      </c>
      <c r="I95" s="378">
        <v>675224361</v>
      </c>
      <c r="J95" s="266">
        <f t="shared" si="2"/>
        <v>8</v>
      </c>
    </row>
    <row r="96" spans="1:10" ht="15.75" customHeight="1" x14ac:dyDescent="0.25">
      <c r="A96" s="380">
        <v>14350501</v>
      </c>
      <c r="B96" s="381" t="s">
        <v>315</v>
      </c>
      <c r="C96" s="381" t="s">
        <v>811</v>
      </c>
      <c r="D96" s="381" t="s">
        <v>630</v>
      </c>
      <c r="E96" s="381" t="s">
        <v>1542</v>
      </c>
      <c r="F96" s="378">
        <v>104310</v>
      </c>
      <c r="G96" s="378">
        <v>0</v>
      </c>
      <c r="H96" s="378">
        <v>0</v>
      </c>
      <c r="I96" s="378">
        <v>104310</v>
      </c>
      <c r="J96" s="266">
        <f t="shared" si="2"/>
        <v>8</v>
      </c>
    </row>
    <row r="97" spans="1:10" ht="15.75" customHeight="1" x14ac:dyDescent="0.25">
      <c r="A97" s="380">
        <v>14350501</v>
      </c>
      <c r="B97" s="381" t="s">
        <v>315</v>
      </c>
      <c r="C97" s="381" t="s">
        <v>811</v>
      </c>
      <c r="D97" s="381" t="s">
        <v>365</v>
      </c>
      <c r="E97" s="381" t="s">
        <v>366</v>
      </c>
      <c r="F97" s="378">
        <v>231059</v>
      </c>
      <c r="G97" s="378">
        <v>12760</v>
      </c>
      <c r="H97" s="378">
        <v>0</v>
      </c>
      <c r="I97" s="378">
        <v>243819</v>
      </c>
      <c r="J97" s="266">
        <f t="shared" si="2"/>
        <v>8</v>
      </c>
    </row>
    <row r="98" spans="1:10" ht="15.75" customHeight="1" x14ac:dyDescent="0.25">
      <c r="A98" s="380">
        <v>14350501</v>
      </c>
      <c r="B98" s="381" t="s">
        <v>315</v>
      </c>
      <c r="C98" s="381" t="s">
        <v>811</v>
      </c>
      <c r="D98" s="381" t="s">
        <v>367</v>
      </c>
      <c r="E98" s="381" t="s">
        <v>1543</v>
      </c>
      <c r="F98" s="378">
        <v>22579065</v>
      </c>
      <c r="G98" s="378">
        <v>4991458</v>
      </c>
      <c r="H98" s="378">
        <v>0</v>
      </c>
      <c r="I98" s="378">
        <v>27570523</v>
      </c>
      <c r="J98" s="266">
        <f t="shared" si="2"/>
        <v>8</v>
      </c>
    </row>
    <row r="99" spans="1:10" ht="15.75" customHeight="1" x14ac:dyDescent="0.25">
      <c r="A99" s="380">
        <v>14350501</v>
      </c>
      <c r="B99" s="381" t="s">
        <v>315</v>
      </c>
      <c r="C99" s="381" t="s">
        <v>811</v>
      </c>
      <c r="D99" s="381" t="s">
        <v>369</v>
      </c>
      <c r="E99" s="381" t="s">
        <v>815</v>
      </c>
      <c r="F99" s="378">
        <v>3327493</v>
      </c>
      <c r="G99" s="378">
        <v>570900</v>
      </c>
      <c r="H99" s="378">
        <v>0</v>
      </c>
      <c r="I99" s="378">
        <v>3898393</v>
      </c>
      <c r="J99" s="266">
        <f t="shared" si="2"/>
        <v>8</v>
      </c>
    </row>
    <row r="100" spans="1:10" ht="15.75" customHeight="1" x14ac:dyDescent="0.25">
      <c r="A100" s="380">
        <v>14350501</v>
      </c>
      <c r="B100" s="381" t="s">
        <v>315</v>
      </c>
      <c r="C100" s="381" t="s">
        <v>811</v>
      </c>
      <c r="D100" s="381" t="s">
        <v>1470</v>
      </c>
      <c r="E100" s="381" t="s">
        <v>1471</v>
      </c>
      <c r="F100" s="378">
        <v>9531009</v>
      </c>
      <c r="G100" s="378">
        <v>1786432</v>
      </c>
      <c r="H100" s="378">
        <v>0</v>
      </c>
      <c r="I100" s="378">
        <v>11317441</v>
      </c>
      <c r="J100" s="266">
        <f t="shared" si="2"/>
        <v>8</v>
      </c>
    </row>
    <row r="101" spans="1:10" ht="15.75" customHeight="1" x14ac:dyDescent="0.25">
      <c r="A101" s="380">
        <v>14350501</v>
      </c>
      <c r="B101" s="381" t="s">
        <v>315</v>
      </c>
      <c r="C101" s="381" t="s">
        <v>811</v>
      </c>
      <c r="D101" s="381" t="s">
        <v>347</v>
      </c>
      <c r="E101" s="381" t="s">
        <v>348</v>
      </c>
      <c r="F101" s="378">
        <v>380612143</v>
      </c>
      <c r="G101" s="378">
        <v>76101573</v>
      </c>
      <c r="H101" s="378">
        <v>0</v>
      </c>
      <c r="I101" s="378">
        <v>456713716</v>
      </c>
      <c r="J101" s="266">
        <f t="shared" si="2"/>
        <v>8</v>
      </c>
    </row>
    <row r="102" spans="1:10" ht="15.75" customHeight="1" x14ac:dyDescent="0.25">
      <c r="A102" s="380">
        <v>14350501</v>
      </c>
      <c r="B102" s="381" t="s">
        <v>315</v>
      </c>
      <c r="C102" s="381" t="s">
        <v>811</v>
      </c>
      <c r="D102" s="381" t="s">
        <v>636</v>
      </c>
      <c r="E102" s="381" t="s">
        <v>1145</v>
      </c>
      <c r="F102" s="378">
        <v>0</v>
      </c>
      <c r="G102" s="378">
        <v>36302</v>
      </c>
      <c r="H102" s="378">
        <v>0</v>
      </c>
      <c r="I102" s="378">
        <v>36302</v>
      </c>
      <c r="J102" s="266">
        <f t="shared" si="2"/>
        <v>8</v>
      </c>
    </row>
    <row r="103" spans="1:10" ht="15.75" customHeight="1" x14ac:dyDescent="0.25">
      <c r="A103" s="380">
        <v>14350501</v>
      </c>
      <c r="B103" s="381" t="s">
        <v>315</v>
      </c>
      <c r="C103" s="381" t="s">
        <v>811</v>
      </c>
      <c r="D103" s="381" t="s">
        <v>373</v>
      </c>
      <c r="E103" s="381" t="s">
        <v>1544</v>
      </c>
      <c r="F103" s="378">
        <v>2880784</v>
      </c>
      <c r="G103" s="378">
        <v>0</v>
      </c>
      <c r="H103" s="378">
        <v>0</v>
      </c>
      <c r="I103" s="378">
        <v>2880784</v>
      </c>
      <c r="J103" s="266">
        <f t="shared" si="2"/>
        <v>8</v>
      </c>
    </row>
    <row r="104" spans="1:10" ht="15.75" customHeight="1" x14ac:dyDescent="0.25">
      <c r="A104" s="380">
        <v>14350501</v>
      </c>
      <c r="B104" s="381" t="s">
        <v>315</v>
      </c>
      <c r="C104" s="381" t="s">
        <v>811</v>
      </c>
      <c r="D104" s="381" t="s">
        <v>375</v>
      </c>
      <c r="E104" s="381" t="s">
        <v>817</v>
      </c>
      <c r="F104" s="378">
        <v>21992</v>
      </c>
      <c r="G104" s="378">
        <v>8697</v>
      </c>
      <c r="H104" s="378">
        <v>0</v>
      </c>
      <c r="I104" s="378">
        <v>30689</v>
      </c>
      <c r="J104" s="266">
        <f t="shared" si="2"/>
        <v>8</v>
      </c>
    </row>
    <row r="105" spans="1:10" ht="15.75" customHeight="1" x14ac:dyDescent="0.25">
      <c r="A105" s="380">
        <v>14350501</v>
      </c>
      <c r="B105" s="381" t="s">
        <v>315</v>
      </c>
      <c r="C105" s="381" t="s">
        <v>811</v>
      </c>
      <c r="D105" s="381" t="s">
        <v>377</v>
      </c>
      <c r="E105" s="381" t="s">
        <v>378</v>
      </c>
      <c r="F105" s="378">
        <v>136476407</v>
      </c>
      <c r="G105" s="378">
        <v>27529665</v>
      </c>
      <c r="H105" s="378">
        <v>0</v>
      </c>
      <c r="I105" s="378">
        <v>164006072</v>
      </c>
      <c r="J105" s="266">
        <f t="shared" si="2"/>
        <v>8</v>
      </c>
    </row>
    <row r="106" spans="1:10" ht="15.75" customHeight="1" x14ac:dyDescent="0.25">
      <c r="A106" s="380">
        <v>14350501</v>
      </c>
      <c r="B106" s="381" t="s">
        <v>315</v>
      </c>
      <c r="C106" s="381" t="s">
        <v>811</v>
      </c>
      <c r="D106" s="381" t="s">
        <v>431</v>
      </c>
      <c r="E106" s="381" t="s">
        <v>432</v>
      </c>
      <c r="F106" s="378">
        <v>157795</v>
      </c>
      <c r="G106" s="378">
        <v>0</v>
      </c>
      <c r="H106" s="378">
        <v>0</v>
      </c>
      <c r="I106" s="378">
        <v>157795</v>
      </c>
      <c r="J106" s="266">
        <f t="shared" si="2"/>
        <v>8</v>
      </c>
    </row>
    <row r="107" spans="1:10" ht="15.75" customHeight="1" x14ac:dyDescent="0.25">
      <c r="A107" s="380">
        <v>14350501</v>
      </c>
      <c r="B107" s="381" t="s">
        <v>315</v>
      </c>
      <c r="C107" s="381" t="s">
        <v>811</v>
      </c>
      <c r="D107" s="381" t="s">
        <v>344</v>
      </c>
      <c r="E107" s="381" t="s">
        <v>820</v>
      </c>
      <c r="F107" s="378">
        <v>3970156</v>
      </c>
      <c r="G107" s="378">
        <v>1117780</v>
      </c>
      <c r="H107" s="378">
        <v>0</v>
      </c>
      <c r="I107" s="378">
        <v>5087936</v>
      </c>
      <c r="J107" s="266">
        <f t="shared" si="2"/>
        <v>8</v>
      </c>
    </row>
    <row r="108" spans="1:10" ht="15.75" customHeight="1" x14ac:dyDescent="0.25">
      <c r="A108" s="380">
        <v>14350501</v>
      </c>
      <c r="B108" s="381" t="s">
        <v>315</v>
      </c>
      <c r="C108" s="381" t="s">
        <v>811</v>
      </c>
      <c r="D108" s="381" t="s">
        <v>723</v>
      </c>
      <c r="E108" s="381" t="s">
        <v>724</v>
      </c>
      <c r="F108" s="378">
        <v>384033</v>
      </c>
      <c r="G108" s="378">
        <v>75798</v>
      </c>
      <c r="H108" s="378">
        <v>0</v>
      </c>
      <c r="I108" s="378">
        <v>459831</v>
      </c>
      <c r="J108" s="266">
        <f t="shared" si="2"/>
        <v>8</v>
      </c>
    </row>
    <row r="109" spans="1:10" ht="15.75" customHeight="1" x14ac:dyDescent="0.25">
      <c r="A109" s="380">
        <v>14350501</v>
      </c>
      <c r="B109" s="381" t="s">
        <v>315</v>
      </c>
      <c r="C109" s="381" t="s">
        <v>811</v>
      </c>
      <c r="D109" s="381" t="s">
        <v>665</v>
      </c>
      <c r="E109" s="381" t="s">
        <v>824</v>
      </c>
      <c r="F109" s="378">
        <v>2154000</v>
      </c>
      <c r="G109" s="378">
        <v>562750</v>
      </c>
      <c r="H109" s="378">
        <v>0</v>
      </c>
      <c r="I109" s="378">
        <v>2716750</v>
      </c>
      <c r="J109" s="266">
        <f t="shared" si="2"/>
        <v>8</v>
      </c>
    </row>
    <row r="110" spans="1:10" ht="15.75" customHeight="1" x14ac:dyDescent="0.25">
      <c r="A110" s="380">
        <v>14350502</v>
      </c>
      <c r="B110" s="381" t="s">
        <v>315</v>
      </c>
      <c r="C110" s="381" t="s">
        <v>381</v>
      </c>
      <c r="D110" s="381" t="s">
        <v>315</v>
      </c>
      <c r="E110" s="381" t="s">
        <v>315</v>
      </c>
      <c r="F110" s="378">
        <v>78592758</v>
      </c>
      <c r="G110" s="378">
        <v>16768596</v>
      </c>
      <c r="H110" s="378">
        <v>0</v>
      </c>
      <c r="I110" s="378">
        <v>95361354</v>
      </c>
      <c r="J110" s="266">
        <f t="shared" si="2"/>
        <v>8</v>
      </c>
    </row>
    <row r="111" spans="1:10" ht="15.75" customHeight="1" x14ac:dyDescent="0.25">
      <c r="A111" s="380">
        <v>14350502</v>
      </c>
      <c r="B111" s="381" t="s">
        <v>315</v>
      </c>
      <c r="C111" s="381" t="s">
        <v>381</v>
      </c>
      <c r="D111" s="381" t="s">
        <v>347</v>
      </c>
      <c r="E111" s="381" t="s">
        <v>348</v>
      </c>
      <c r="F111" s="378">
        <v>78588958</v>
      </c>
      <c r="G111" s="378">
        <v>16768596</v>
      </c>
      <c r="H111" s="378">
        <v>0</v>
      </c>
      <c r="I111" s="378">
        <v>95357554</v>
      </c>
      <c r="J111" s="266">
        <f t="shared" si="2"/>
        <v>8</v>
      </c>
    </row>
    <row r="112" spans="1:10" ht="15.75" customHeight="1" x14ac:dyDescent="0.25">
      <c r="A112" s="380">
        <v>14350502</v>
      </c>
      <c r="B112" s="381" t="s">
        <v>315</v>
      </c>
      <c r="C112" s="381" t="s">
        <v>381</v>
      </c>
      <c r="D112" s="381" t="s">
        <v>375</v>
      </c>
      <c r="E112" s="381" t="s">
        <v>817</v>
      </c>
      <c r="F112" s="378">
        <v>3800</v>
      </c>
      <c r="G112" s="378">
        <v>0</v>
      </c>
      <c r="H112" s="378">
        <v>0</v>
      </c>
      <c r="I112" s="378">
        <v>3800</v>
      </c>
      <c r="J112" s="266">
        <f t="shared" si="2"/>
        <v>8</v>
      </c>
    </row>
    <row r="113" spans="1:11" ht="15.75" customHeight="1" x14ac:dyDescent="0.25">
      <c r="A113" s="380">
        <v>14350503</v>
      </c>
      <c r="B113" s="381" t="s">
        <v>315</v>
      </c>
      <c r="C113" s="381" t="s">
        <v>360</v>
      </c>
      <c r="D113" s="381" t="s">
        <v>315</v>
      </c>
      <c r="E113" s="381" t="s">
        <v>315</v>
      </c>
      <c r="F113" s="378">
        <v>126463966</v>
      </c>
      <c r="G113" s="378">
        <v>25159364</v>
      </c>
      <c r="H113" s="378">
        <v>0</v>
      </c>
      <c r="I113" s="378">
        <v>151623330</v>
      </c>
      <c r="J113" s="266">
        <f t="shared" si="2"/>
        <v>8</v>
      </c>
    </row>
    <row r="114" spans="1:11" ht="15.75" customHeight="1" x14ac:dyDescent="0.25">
      <c r="A114" s="380">
        <v>14350503</v>
      </c>
      <c r="B114" s="381" t="s">
        <v>315</v>
      </c>
      <c r="C114" s="381" t="s">
        <v>360</v>
      </c>
      <c r="D114" s="381" t="s">
        <v>635</v>
      </c>
      <c r="E114" s="381" t="s">
        <v>812</v>
      </c>
      <c r="F114" s="378">
        <v>811192</v>
      </c>
      <c r="G114" s="378">
        <v>0</v>
      </c>
      <c r="H114" s="378">
        <v>0</v>
      </c>
      <c r="I114" s="378">
        <v>811192</v>
      </c>
      <c r="J114" s="266">
        <f t="shared" si="2"/>
        <v>8</v>
      </c>
    </row>
    <row r="115" spans="1:11" ht="15.75" customHeight="1" x14ac:dyDescent="0.25">
      <c r="A115" s="380">
        <v>14350503</v>
      </c>
      <c r="B115" s="381" t="s">
        <v>315</v>
      </c>
      <c r="C115" s="381" t="s">
        <v>360</v>
      </c>
      <c r="D115" s="381" t="s">
        <v>630</v>
      </c>
      <c r="E115" s="381" t="s">
        <v>1542</v>
      </c>
      <c r="F115" s="378">
        <v>13862483</v>
      </c>
      <c r="G115" s="378">
        <v>2609915</v>
      </c>
      <c r="H115" s="378">
        <v>0</v>
      </c>
      <c r="I115" s="378">
        <v>16472398</v>
      </c>
      <c r="J115" s="266">
        <f t="shared" si="2"/>
        <v>8</v>
      </c>
    </row>
    <row r="116" spans="1:11" ht="15.75" customHeight="1" x14ac:dyDescent="0.25">
      <c r="A116" s="380">
        <v>14350503</v>
      </c>
      <c r="B116" s="381" t="s">
        <v>315</v>
      </c>
      <c r="C116" s="381" t="s">
        <v>360</v>
      </c>
      <c r="D116" s="381" t="s">
        <v>365</v>
      </c>
      <c r="E116" s="381" t="s">
        <v>366</v>
      </c>
      <c r="F116" s="378">
        <v>246280</v>
      </c>
      <c r="G116" s="378">
        <v>65030</v>
      </c>
      <c r="H116" s="378">
        <v>0</v>
      </c>
      <c r="I116" s="378">
        <v>311310</v>
      </c>
      <c r="J116" s="266">
        <f t="shared" si="2"/>
        <v>8</v>
      </c>
    </row>
    <row r="117" spans="1:11" ht="15.75" customHeight="1" x14ac:dyDescent="0.25">
      <c r="A117" s="380">
        <v>14350503</v>
      </c>
      <c r="B117" s="381" t="s">
        <v>315</v>
      </c>
      <c r="C117" s="381" t="s">
        <v>360</v>
      </c>
      <c r="D117" s="381" t="s">
        <v>367</v>
      </c>
      <c r="E117" s="381" t="s">
        <v>1543</v>
      </c>
      <c r="F117" s="378">
        <v>18224928</v>
      </c>
      <c r="G117" s="378">
        <v>4102455</v>
      </c>
      <c r="H117" s="378">
        <v>0</v>
      </c>
      <c r="I117" s="378">
        <v>22327383</v>
      </c>
      <c r="J117" s="266">
        <f t="shared" si="2"/>
        <v>8</v>
      </c>
    </row>
    <row r="118" spans="1:11" ht="15.75" customHeight="1" x14ac:dyDescent="0.25">
      <c r="A118" s="380">
        <v>14350503</v>
      </c>
      <c r="B118" s="381" t="s">
        <v>315</v>
      </c>
      <c r="C118" s="381" t="s">
        <v>360</v>
      </c>
      <c r="D118" s="381" t="s">
        <v>369</v>
      </c>
      <c r="E118" s="381" t="s">
        <v>815</v>
      </c>
      <c r="F118" s="378">
        <v>11807825</v>
      </c>
      <c r="G118" s="378">
        <v>2444811</v>
      </c>
      <c r="H118" s="378">
        <v>0</v>
      </c>
      <c r="I118" s="378">
        <v>14252636</v>
      </c>
      <c r="J118" s="266">
        <f t="shared" si="2"/>
        <v>8</v>
      </c>
    </row>
    <row r="119" spans="1:11" ht="15.75" customHeight="1" x14ac:dyDescent="0.25">
      <c r="A119" s="380">
        <v>14350503</v>
      </c>
      <c r="B119" s="381" t="s">
        <v>315</v>
      </c>
      <c r="C119" s="381" t="s">
        <v>360</v>
      </c>
      <c r="D119" s="381" t="s">
        <v>1470</v>
      </c>
      <c r="E119" s="381" t="s">
        <v>1471</v>
      </c>
      <c r="F119" s="378">
        <v>19665575</v>
      </c>
      <c r="G119" s="378">
        <v>5218775</v>
      </c>
      <c r="H119" s="378">
        <v>0</v>
      </c>
      <c r="I119" s="378">
        <v>24884350</v>
      </c>
      <c r="J119" s="266">
        <f t="shared" si="2"/>
        <v>8</v>
      </c>
    </row>
    <row r="120" spans="1:11" ht="15.75" customHeight="1" x14ac:dyDescent="0.25">
      <c r="A120" s="380">
        <v>14350503</v>
      </c>
      <c r="B120" s="381" t="s">
        <v>315</v>
      </c>
      <c r="C120" s="381" t="s">
        <v>360</v>
      </c>
      <c r="D120" s="381" t="s">
        <v>347</v>
      </c>
      <c r="E120" s="381" t="s">
        <v>348</v>
      </c>
      <c r="F120" s="378">
        <v>52257151</v>
      </c>
      <c r="G120" s="378">
        <v>9735288</v>
      </c>
      <c r="H120" s="378">
        <v>0</v>
      </c>
      <c r="I120" s="378">
        <v>61992439</v>
      </c>
      <c r="J120" s="266">
        <f t="shared" si="2"/>
        <v>8</v>
      </c>
    </row>
    <row r="121" spans="1:11" ht="15.75" customHeight="1" x14ac:dyDescent="0.25">
      <c r="A121" s="380">
        <v>14350503</v>
      </c>
      <c r="B121" s="381" t="s">
        <v>315</v>
      </c>
      <c r="C121" s="381" t="s">
        <v>360</v>
      </c>
      <c r="D121" s="381" t="s">
        <v>373</v>
      </c>
      <c r="E121" s="381" t="s">
        <v>1544</v>
      </c>
      <c r="F121" s="378">
        <v>3336562</v>
      </c>
      <c r="G121" s="378">
        <v>0</v>
      </c>
      <c r="H121" s="378">
        <v>0</v>
      </c>
      <c r="I121" s="378">
        <v>3336562</v>
      </c>
      <c r="J121" s="266">
        <f t="shared" si="2"/>
        <v>8</v>
      </c>
    </row>
    <row r="122" spans="1:11" ht="15.75" customHeight="1" x14ac:dyDescent="0.25">
      <c r="A122" s="380">
        <v>14350503</v>
      </c>
      <c r="B122" s="381" t="s">
        <v>315</v>
      </c>
      <c r="C122" s="381" t="s">
        <v>360</v>
      </c>
      <c r="D122" s="381" t="s">
        <v>375</v>
      </c>
      <c r="E122" s="381" t="s">
        <v>817</v>
      </c>
      <c r="F122" s="378">
        <v>80290</v>
      </c>
      <c r="G122" s="378">
        <v>2700</v>
      </c>
      <c r="H122" s="378">
        <v>0</v>
      </c>
      <c r="I122" s="378">
        <v>82990</v>
      </c>
      <c r="J122" s="266">
        <f t="shared" si="2"/>
        <v>8</v>
      </c>
    </row>
    <row r="123" spans="1:11" ht="15.75" customHeight="1" x14ac:dyDescent="0.25">
      <c r="A123" s="380">
        <v>14350503</v>
      </c>
      <c r="B123" s="381" t="s">
        <v>315</v>
      </c>
      <c r="C123" s="381" t="s">
        <v>360</v>
      </c>
      <c r="D123" s="381" t="s">
        <v>377</v>
      </c>
      <c r="E123" s="381" t="s">
        <v>378</v>
      </c>
      <c r="F123" s="378">
        <v>6053546</v>
      </c>
      <c r="G123" s="378">
        <v>980390</v>
      </c>
      <c r="H123" s="378">
        <v>0</v>
      </c>
      <c r="I123" s="378">
        <v>7033936</v>
      </c>
      <c r="J123" s="266">
        <f t="shared" si="2"/>
        <v>8</v>
      </c>
    </row>
    <row r="124" spans="1:11" ht="15.75" customHeight="1" x14ac:dyDescent="0.25">
      <c r="A124" s="380">
        <v>14350503</v>
      </c>
      <c r="B124" s="381" t="s">
        <v>315</v>
      </c>
      <c r="C124" s="381" t="s">
        <v>360</v>
      </c>
      <c r="D124" s="381" t="s">
        <v>431</v>
      </c>
      <c r="E124" s="381" t="s">
        <v>432</v>
      </c>
      <c r="F124" s="378">
        <v>118134</v>
      </c>
      <c r="G124" s="378">
        <v>0</v>
      </c>
      <c r="H124" s="378">
        <v>0</v>
      </c>
      <c r="I124" s="378">
        <v>118134</v>
      </c>
      <c r="J124" s="266">
        <f t="shared" si="2"/>
        <v>8</v>
      </c>
    </row>
    <row r="125" spans="1:11" ht="15.75" customHeight="1" x14ac:dyDescent="0.25">
      <c r="A125" s="380">
        <v>14350505</v>
      </c>
      <c r="B125" s="381" t="s">
        <v>321</v>
      </c>
      <c r="C125" s="381" t="s">
        <v>830</v>
      </c>
      <c r="D125" s="381" t="s">
        <v>315</v>
      </c>
      <c r="E125" s="381" t="s">
        <v>315</v>
      </c>
      <c r="F125" s="378">
        <v>6734550</v>
      </c>
      <c r="G125" s="378">
        <v>1238200</v>
      </c>
      <c r="H125" s="378">
        <v>0</v>
      </c>
      <c r="I125" s="378">
        <v>7972750</v>
      </c>
      <c r="J125" s="266">
        <f t="shared" si="2"/>
        <v>8</v>
      </c>
    </row>
    <row r="126" spans="1:11" ht="15.75" customHeight="1" x14ac:dyDescent="0.25">
      <c r="A126" s="380">
        <v>14350505</v>
      </c>
      <c r="B126" s="381" t="s">
        <v>321</v>
      </c>
      <c r="C126" s="381" t="s">
        <v>830</v>
      </c>
      <c r="D126" s="381" t="s">
        <v>496</v>
      </c>
      <c r="E126" s="381" t="s">
        <v>1545</v>
      </c>
      <c r="F126" s="378">
        <v>6734550</v>
      </c>
      <c r="G126" s="378">
        <v>1238200</v>
      </c>
      <c r="H126" s="378">
        <v>0</v>
      </c>
      <c r="I126" s="378">
        <v>7972750</v>
      </c>
      <c r="J126" s="266">
        <f t="shared" si="2"/>
        <v>8</v>
      </c>
    </row>
    <row r="127" spans="1:11" ht="15.75" customHeight="1" x14ac:dyDescent="0.25">
      <c r="A127" s="380">
        <v>143522</v>
      </c>
      <c r="B127" s="381" t="s">
        <v>321</v>
      </c>
      <c r="C127" s="381" t="s">
        <v>831</v>
      </c>
      <c r="D127" s="381" t="s">
        <v>315</v>
      </c>
      <c r="E127" s="381" t="s">
        <v>315</v>
      </c>
      <c r="F127" s="378">
        <v>28512134</v>
      </c>
      <c r="G127" s="378">
        <v>5531090</v>
      </c>
      <c r="H127" s="378">
        <v>0</v>
      </c>
      <c r="I127" s="378">
        <v>34043224</v>
      </c>
      <c r="J127" s="266">
        <f t="shared" si="2"/>
        <v>6</v>
      </c>
      <c r="K127" s="267" t="s">
        <v>657</v>
      </c>
    </row>
    <row r="128" spans="1:11" ht="15.75" customHeight="1" x14ac:dyDescent="0.25">
      <c r="A128" s="380">
        <v>14352202</v>
      </c>
      <c r="B128" s="381" t="s">
        <v>321</v>
      </c>
      <c r="C128" s="381" t="s">
        <v>1546</v>
      </c>
      <c r="D128" s="381" t="s">
        <v>315</v>
      </c>
      <c r="E128" s="381" t="s">
        <v>315</v>
      </c>
      <c r="F128" s="378">
        <v>28512134</v>
      </c>
      <c r="G128" s="378">
        <v>5531090</v>
      </c>
      <c r="H128" s="378">
        <v>0</v>
      </c>
      <c r="I128" s="378">
        <v>34043224</v>
      </c>
      <c r="J128" s="266">
        <f t="shared" si="2"/>
        <v>8</v>
      </c>
    </row>
    <row r="129" spans="1:10" ht="15.75" customHeight="1" x14ac:dyDescent="0.25">
      <c r="A129" s="380">
        <v>14352202</v>
      </c>
      <c r="B129" s="381" t="s">
        <v>321</v>
      </c>
      <c r="C129" s="381" t="s">
        <v>1546</v>
      </c>
      <c r="D129" s="381" t="s">
        <v>367</v>
      </c>
      <c r="E129" s="381" t="s">
        <v>1543</v>
      </c>
      <c r="F129" s="378">
        <v>6935</v>
      </c>
      <c r="G129" s="378">
        <v>0</v>
      </c>
      <c r="H129" s="378">
        <v>0</v>
      </c>
      <c r="I129" s="378">
        <v>6935</v>
      </c>
      <c r="J129" s="266">
        <f t="shared" si="2"/>
        <v>8</v>
      </c>
    </row>
    <row r="130" spans="1:10" ht="15.75" customHeight="1" x14ac:dyDescent="0.25">
      <c r="A130" s="380">
        <v>14352202</v>
      </c>
      <c r="B130" s="381" t="s">
        <v>321</v>
      </c>
      <c r="C130" s="381" t="s">
        <v>1546</v>
      </c>
      <c r="D130" s="381" t="s">
        <v>369</v>
      </c>
      <c r="E130" s="381" t="s">
        <v>815</v>
      </c>
      <c r="F130" s="378">
        <v>258923</v>
      </c>
      <c r="G130" s="378">
        <v>45591</v>
      </c>
      <c r="H130" s="378">
        <v>0</v>
      </c>
      <c r="I130" s="378">
        <v>304514</v>
      </c>
      <c r="J130" s="266">
        <f t="shared" si="2"/>
        <v>8</v>
      </c>
    </row>
    <row r="131" spans="1:10" ht="15.75" customHeight="1" x14ac:dyDescent="0.25">
      <c r="A131" s="380">
        <v>14352202</v>
      </c>
      <c r="B131" s="381" t="s">
        <v>321</v>
      </c>
      <c r="C131" s="381" t="s">
        <v>1546</v>
      </c>
      <c r="D131" s="381" t="s">
        <v>347</v>
      </c>
      <c r="E131" s="381" t="s">
        <v>348</v>
      </c>
      <c r="F131" s="378">
        <v>26400565</v>
      </c>
      <c r="G131" s="378">
        <v>5143335</v>
      </c>
      <c r="H131" s="378">
        <v>0</v>
      </c>
      <c r="I131" s="378">
        <v>31543900</v>
      </c>
      <c r="J131" s="266">
        <f t="shared" si="2"/>
        <v>8</v>
      </c>
    </row>
    <row r="132" spans="1:10" ht="15.75" customHeight="1" x14ac:dyDescent="0.25">
      <c r="A132" s="380">
        <v>14352202</v>
      </c>
      <c r="B132" s="381" t="s">
        <v>321</v>
      </c>
      <c r="C132" s="381" t="s">
        <v>1546</v>
      </c>
      <c r="D132" s="381" t="s">
        <v>373</v>
      </c>
      <c r="E132" s="381" t="s">
        <v>1544</v>
      </c>
      <c r="F132" s="378">
        <v>5110</v>
      </c>
      <c r="G132" s="378">
        <v>0</v>
      </c>
      <c r="H132" s="378">
        <v>0</v>
      </c>
      <c r="I132" s="378">
        <v>5110</v>
      </c>
      <c r="J132" s="266">
        <f t="shared" si="2"/>
        <v>8</v>
      </c>
    </row>
    <row r="133" spans="1:10" ht="15.75" customHeight="1" x14ac:dyDescent="0.25">
      <c r="A133" s="380">
        <v>14352202</v>
      </c>
      <c r="B133" s="381" t="s">
        <v>321</v>
      </c>
      <c r="C133" s="381" t="s">
        <v>1546</v>
      </c>
      <c r="D133" s="381" t="s">
        <v>377</v>
      </c>
      <c r="E133" s="381" t="s">
        <v>378</v>
      </c>
      <c r="F133" s="378">
        <v>1840601</v>
      </c>
      <c r="G133" s="378">
        <v>342164</v>
      </c>
      <c r="H133" s="378">
        <v>0</v>
      </c>
      <c r="I133" s="378">
        <v>2182765</v>
      </c>
      <c r="J133" s="266">
        <f t="shared" si="2"/>
        <v>8</v>
      </c>
    </row>
    <row r="134" spans="1:10" ht="15.75" customHeight="1" x14ac:dyDescent="0.25">
      <c r="A134" s="380">
        <v>143575</v>
      </c>
      <c r="B134" s="381" t="s">
        <v>315</v>
      </c>
      <c r="C134" s="381" t="s">
        <v>390</v>
      </c>
      <c r="D134" s="381" t="s">
        <v>315</v>
      </c>
      <c r="E134" s="381" t="s">
        <v>315</v>
      </c>
      <c r="F134" s="378">
        <v>-3996407</v>
      </c>
      <c r="G134" s="378">
        <v>0</v>
      </c>
      <c r="H134" s="378">
        <v>591043</v>
      </c>
      <c r="I134" s="378">
        <v>-4587450</v>
      </c>
      <c r="J134" s="266">
        <f t="shared" si="2"/>
        <v>6</v>
      </c>
    </row>
    <row r="135" spans="1:10" ht="15.75" customHeight="1" x14ac:dyDescent="0.25">
      <c r="A135" s="380">
        <v>14357501</v>
      </c>
      <c r="B135" s="381" t="s">
        <v>321</v>
      </c>
      <c r="C135" s="381" t="s">
        <v>1547</v>
      </c>
      <c r="D135" s="381" t="s">
        <v>315</v>
      </c>
      <c r="E135" s="381" t="s">
        <v>315</v>
      </c>
      <c r="F135" s="378">
        <v>-1488215</v>
      </c>
      <c r="G135" s="378">
        <v>0</v>
      </c>
      <c r="H135" s="378">
        <v>200534</v>
      </c>
      <c r="I135" s="378">
        <v>-1688749</v>
      </c>
      <c r="J135" s="266">
        <f t="shared" si="2"/>
        <v>8</v>
      </c>
    </row>
    <row r="136" spans="1:10" ht="15.75" customHeight="1" x14ac:dyDescent="0.25">
      <c r="A136" s="380">
        <v>14357501</v>
      </c>
      <c r="B136" s="381" t="s">
        <v>321</v>
      </c>
      <c r="C136" s="381" t="s">
        <v>1547</v>
      </c>
      <c r="D136" s="381" t="s">
        <v>367</v>
      </c>
      <c r="E136" s="381" t="s">
        <v>1543</v>
      </c>
      <c r="F136" s="378">
        <v>-318448</v>
      </c>
      <c r="G136" s="378">
        <v>0</v>
      </c>
      <c r="H136" s="378">
        <v>135660</v>
      </c>
      <c r="I136" s="378">
        <v>-454108</v>
      </c>
      <c r="J136" s="266">
        <f t="shared" si="2"/>
        <v>8</v>
      </c>
    </row>
    <row r="137" spans="1:10" ht="15.75" customHeight="1" x14ac:dyDescent="0.25">
      <c r="A137" s="380">
        <v>14357501</v>
      </c>
      <c r="B137" s="381" t="s">
        <v>321</v>
      </c>
      <c r="C137" s="381" t="s">
        <v>1547</v>
      </c>
      <c r="D137" s="381" t="s">
        <v>369</v>
      </c>
      <c r="E137" s="381" t="s">
        <v>815</v>
      </c>
      <c r="F137" s="378">
        <v>-62406</v>
      </c>
      <c r="G137" s="378">
        <v>0</v>
      </c>
      <c r="H137" s="378">
        <v>0</v>
      </c>
      <c r="I137" s="378">
        <v>-62406</v>
      </c>
      <c r="J137" s="266">
        <f t="shared" si="2"/>
        <v>8</v>
      </c>
    </row>
    <row r="138" spans="1:10" ht="15.75" customHeight="1" x14ac:dyDescent="0.25">
      <c r="A138" s="380">
        <v>14357501</v>
      </c>
      <c r="B138" s="381" t="s">
        <v>321</v>
      </c>
      <c r="C138" s="381" t="s">
        <v>1547</v>
      </c>
      <c r="D138" s="381" t="s">
        <v>1470</v>
      </c>
      <c r="E138" s="381" t="s">
        <v>1471</v>
      </c>
      <c r="F138" s="378">
        <v>-492507</v>
      </c>
      <c r="G138" s="378">
        <v>0</v>
      </c>
      <c r="H138" s="378">
        <v>6674</v>
      </c>
      <c r="I138" s="378">
        <v>-499181</v>
      </c>
      <c r="J138" s="266">
        <f t="shared" si="2"/>
        <v>8</v>
      </c>
    </row>
    <row r="139" spans="1:10" ht="15.75" customHeight="1" x14ac:dyDescent="0.25">
      <c r="A139" s="380">
        <v>14357501</v>
      </c>
      <c r="B139" s="381" t="s">
        <v>321</v>
      </c>
      <c r="C139" s="381" t="s">
        <v>1547</v>
      </c>
      <c r="D139" s="381" t="s">
        <v>347</v>
      </c>
      <c r="E139" s="381" t="s">
        <v>348</v>
      </c>
      <c r="F139" s="378">
        <v>-199850</v>
      </c>
      <c r="G139" s="378">
        <v>0</v>
      </c>
      <c r="H139" s="378">
        <v>0</v>
      </c>
      <c r="I139" s="378">
        <v>-199850</v>
      </c>
      <c r="J139" s="266">
        <f t="shared" si="2"/>
        <v>8</v>
      </c>
    </row>
    <row r="140" spans="1:10" ht="15.75" customHeight="1" x14ac:dyDescent="0.25">
      <c r="A140" s="380">
        <v>14357501</v>
      </c>
      <c r="B140" s="381" t="s">
        <v>321</v>
      </c>
      <c r="C140" s="381" t="s">
        <v>1547</v>
      </c>
      <c r="D140" s="381" t="s">
        <v>431</v>
      </c>
      <c r="E140" s="381" t="s">
        <v>432</v>
      </c>
      <c r="F140" s="378">
        <v>-157795</v>
      </c>
      <c r="G140" s="378">
        <v>0</v>
      </c>
      <c r="H140" s="378">
        <v>0</v>
      </c>
      <c r="I140" s="378">
        <v>-157795</v>
      </c>
      <c r="J140" s="266">
        <f t="shared" ref="J140:J203" si="3">+LEN(A140)</f>
        <v>8</v>
      </c>
    </row>
    <row r="141" spans="1:10" ht="15.75" customHeight="1" x14ac:dyDescent="0.25">
      <c r="A141" s="380">
        <v>14357501</v>
      </c>
      <c r="B141" s="381" t="s">
        <v>321</v>
      </c>
      <c r="C141" s="381" t="s">
        <v>1547</v>
      </c>
      <c r="D141" s="381" t="s">
        <v>723</v>
      </c>
      <c r="E141" s="381" t="s">
        <v>724</v>
      </c>
      <c r="F141" s="378">
        <v>-173109</v>
      </c>
      <c r="G141" s="378">
        <v>0</v>
      </c>
      <c r="H141" s="378">
        <v>0</v>
      </c>
      <c r="I141" s="378">
        <v>-173109</v>
      </c>
      <c r="J141" s="266">
        <f t="shared" si="3"/>
        <v>8</v>
      </c>
    </row>
    <row r="142" spans="1:10" ht="15.75" customHeight="1" x14ac:dyDescent="0.25">
      <c r="A142" s="380">
        <v>14357501</v>
      </c>
      <c r="B142" s="381" t="s">
        <v>321</v>
      </c>
      <c r="C142" s="381" t="s">
        <v>1547</v>
      </c>
      <c r="D142" s="381" t="s">
        <v>665</v>
      </c>
      <c r="E142" s="381" t="s">
        <v>824</v>
      </c>
      <c r="F142" s="378">
        <v>-84100</v>
      </c>
      <c r="G142" s="378">
        <v>0</v>
      </c>
      <c r="H142" s="378">
        <v>58200</v>
      </c>
      <c r="I142" s="378">
        <v>-142300</v>
      </c>
      <c r="J142" s="266">
        <f t="shared" si="3"/>
        <v>8</v>
      </c>
    </row>
    <row r="143" spans="1:10" ht="15.75" customHeight="1" x14ac:dyDescent="0.25">
      <c r="A143" s="380">
        <v>14357503</v>
      </c>
      <c r="B143" s="381" t="s">
        <v>315</v>
      </c>
      <c r="C143" s="381" t="s">
        <v>835</v>
      </c>
      <c r="D143" s="381" t="s">
        <v>315</v>
      </c>
      <c r="E143" s="381" t="s">
        <v>315</v>
      </c>
      <c r="F143" s="378">
        <v>-2290377</v>
      </c>
      <c r="G143" s="378">
        <v>0</v>
      </c>
      <c r="H143" s="378">
        <v>390509</v>
      </c>
      <c r="I143" s="378">
        <v>-2680886</v>
      </c>
      <c r="J143" s="266">
        <f t="shared" si="3"/>
        <v>8</v>
      </c>
    </row>
    <row r="144" spans="1:10" ht="15.75" customHeight="1" x14ac:dyDescent="0.25">
      <c r="A144" s="380">
        <v>14357503</v>
      </c>
      <c r="B144" s="381" t="s">
        <v>315</v>
      </c>
      <c r="C144" s="381" t="s">
        <v>835</v>
      </c>
      <c r="D144" s="381" t="s">
        <v>630</v>
      </c>
      <c r="E144" s="381" t="s">
        <v>1542</v>
      </c>
      <c r="F144" s="378">
        <v>-126600</v>
      </c>
      <c r="G144" s="378">
        <v>0</v>
      </c>
      <c r="H144" s="378">
        <v>0</v>
      </c>
      <c r="I144" s="378">
        <v>-126600</v>
      </c>
      <c r="J144" s="266">
        <f t="shared" si="3"/>
        <v>8</v>
      </c>
    </row>
    <row r="145" spans="1:10" ht="15.75" customHeight="1" x14ac:dyDescent="0.25">
      <c r="A145" s="380">
        <v>14357503</v>
      </c>
      <c r="B145" s="381" t="s">
        <v>315</v>
      </c>
      <c r="C145" s="381" t="s">
        <v>835</v>
      </c>
      <c r="D145" s="381" t="s">
        <v>367</v>
      </c>
      <c r="E145" s="381" t="s">
        <v>1543</v>
      </c>
      <c r="F145" s="378">
        <v>-260417</v>
      </c>
      <c r="G145" s="378">
        <v>0</v>
      </c>
      <c r="H145" s="378">
        <v>175066</v>
      </c>
      <c r="I145" s="378">
        <v>-435483</v>
      </c>
      <c r="J145" s="266">
        <f t="shared" si="3"/>
        <v>8</v>
      </c>
    </row>
    <row r="146" spans="1:10" ht="15.75" customHeight="1" x14ac:dyDescent="0.25">
      <c r="A146" s="380">
        <v>14357503</v>
      </c>
      <c r="B146" s="381" t="s">
        <v>315</v>
      </c>
      <c r="C146" s="381" t="s">
        <v>835</v>
      </c>
      <c r="D146" s="381" t="s">
        <v>369</v>
      </c>
      <c r="E146" s="381" t="s">
        <v>815</v>
      </c>
      <c r="F146" s="378">
        <v>-230725</v>
      </c>
      <c r="G146" s="378">
        <v>0</v>
      </c>
      <c r="H146" s="378">
        <v>45528</v>
      </c>
      <c r="I146" s="378">
        <v>-276253</v>
      </c>
      <c r="J146" s="266">
        <f t="shared" si="3"/>
        <v>8</v>
      </c>
    </row>
    <row r="147" spans="1:10" ht="15.75" customHeight="1" x14ac:dyDescent="0.25">
      <c r="A147" s="380">
        <v>14357503</v>
      </c>
      <c r="B147" s="381" t="s">
        <v>315</v>
      </c>
      <c r="C147" s="381" t="s">
        <v>835</v>
      </c>
      <c r="D147" s="381" t="s">
        <v>1470</v>
      </c>
      <c r="E147" s="381" t="s">
        <v>1471</v>
      </c>
      <c r="F147" s="378">
        <v>-1550701</v>
      </c>
      <c r="G147" s="378">
        <v>0</v>
      </c>
      <c r="H147" s="378">
        <v>169915</v>
      </c>
      <c r="I147" s="378">
        <v>-1720616</v>
      </c>
      <c r="J147" s="266">
        <f t="shared" si="3"/>
        <v>8</v>
      </c>
    </row>
    <row r="148" spans="1:10" ht="15.75" customHeight="1" x14ac:dyDescent="0.25">
      <c r="A148" s="380">
        <v>14357503</v>
      </c>
      <c r="B148" s="381" t="s">
        <v>315</v>
      </c>
      <c r="C148" s="381" t="s">
        <v>835</v>
      </c>
      <c r="D148" s="381" t="s">
        <v>373</v>
      </c>
      <c r="E148" s="381" t="s">
        <v>1544</v>
      </c>
      <c r="F148" s="378">
        <v>-3800</v>
      </c>
      <c r="G148" s="378">
        <v>0</v>
      </c>
      <c r="H148" s="378">
        <v>0</v>
      </c>
      <c r="I148" s="378">
        <v>-3800</v>
      </c>
      <c r="J148" s="266">
        <f t="shared" si="3"/>
        <v>8</v>
      </c>
    </row>
    <row r="149" spans="1:10" ht="15.75" customHeight="1" x14ac:dyDescent="0.25">
      <c r="A149" s="380">
        <v>14357503</v>
      </c>
      <c r="B149" s="381" t="s">
        <v>315</v>
      </c>
      <c r="C149" s="381" t="s">
        <v>835</v>
      </c>
      <c r="D149" s="381" t="s">
        <v>431</v>
      </c>
      <c r="E149" s="381" t="s">
        <v>432</v>
      </c>
      <c r="F149" s="378">
        <v>-118134</v>
      </c>
      <c r="G149" s="378">
        <v>0</v>
      </c>
      <c r="H149" s="378">
        <v>0</v>
      </c>
      <c r="I149" s="378">
        <v>-118134</v>
      </c>
      <c r="J149" s="266">
        <f t="shared" si="3"/>
        <v>8</v>
      </c>
    </row>
    <row r="150" spans="1:10" ht="15.75" customHeight="1" x14ac:dyDescent="0.25">
      <c r="A150" s="380">
        <v>14357504</v>
      </c>
      <c r="B150" s="381" t="s">
        <v>321</v>
      </c>
      <c r="C150" s="381" t="s">
        <v>1548</v>
      </c>
      <c r="D150" s="381" t="s">
        <v>315</v>
      </c>
      <c r="E150" s="381" t="s">
        <v>315</v>
      </c>
      <c r="F150" s="378">
        <v>-217815</v>
      </c>
      <c r="G150" s="378">
        <v>0</v>
      </c>
      <c r="H150" s="378">
        <v>0</v>
      </c>
      <c r="I150" s="378">
        <v>-217815</v>
      </c>
      <c r="J150" s="266">
        <f t="shared" si="3"/>
        <v>8</v>
      </c>
    </row>
    <row r="151" spans="1:10" ht="15.75" customHeight="1" x14ac:dyDescent="0.25">
      <c r="A151" s="380">
        <v>14357504</v>
      </c>
      <c r="B151" s="381" t="s">
        <v>321</v>
      </c>
      <c r="C151" s="381" t="s">
        <v>1548</v>
      </c>
      <c r="D151" s="381" t="s">
        <v>630</v>
      </c>
      <c r="E151" s="381" t="s">
        <v>1542</v>
      </c>
      <c r="F151" s="378">
        <v>-86100</v>
      </c>
      <c r="G151" s="378">
        <v>0</v>
      </c>
      <c r="H151" s="378">
        <v>0</v>
      </c>
      <c r="I151" s="378">
        <v>-86100</v>
      </c>
      <c r="J151" s="266">
        <f t="shared" si="3"/>
        <v>8</v>
      </c>
    </row>
    <row r="152" spans="1:10" ht="15.75" customHeight="1" x14ac:dyDescent="0.25">
      <c r="A152" s="380">
        <v>14357504</v>
      </c>
      <c r="B152" s="381" t="s">
        <v>321</v>
      </c>
      <c r="C152" s="381" t="s">
        <v>1548</v>
      </c>
      <c r="D152" s="381" t="s">
        <v>367</v>
      </c>
      <c r="E152" s="381" t="s">
        <v>1543</v>
      </c>
      <c r="F152" s="378">
        <v>-115355</v>
      </c>
      <c r="G152" s="378">
        <v>0</v>
      </c>
      <c r="H152" s="378">
        <v>0</v>
      </c>
      <c r="I152" s="378">
        <v>-115355</v>
      </c>
      <c r="J152" s="266">
        <f t="shared" si="3"/>
        <v>8</v>
      </c>
    </row>
    <row r="153" spans="1:10" ht="15.75" customHeight="1" x14ac:dyDescent="0.25">
      <c r="A153" s="380">
        <v>14357504</v>
      </c>
      <c r="B153" s="381" t="s">
        <v>321</v>
      </c>
      <c r="C153" s="381" t="s">
        <v>1548</v>
      </c>
      <c r="D153" s="381" t="s">
        <v>369</v>
      </c>
      <c r="E153" s="381" t="s">
        <v>815</v>
      </c>
      <c r="F153" s="378">
        <v>-16360</v>
      </c>
      <c r="G153" s="378">
        <v>0</v>
      </c>
      <c r="H153" s="378">
        <v>0</v>
      </c>
      <c r="I153" s="378">
        <v>-16360</v>
      </c>
      <c r="J153" s="266">
        <f t="shared" si="3"/>
        <v>8</v>
      </c>
    </row>
    <row r="154" spans="1:10" ht="15.75" customHeight="1" x14ac:dyDescent="0.25">
      <c r="A154" s="380">
        <v>143590</v>
      </c>
      <c r="B154" s="381" t="s">
        <v>315</v>
      </c>
      <c r="C154" s="381" t="s">
        <v>1549</v>
      </c>
      <c r="D154" s="381" t="s">
        <v>315</v>
      </c>
      <c r="E154" s="381" t="s">
        <v>315</v>
      </c>
      <c r="F154" s="378">
        <v>-800942589</v>
      </c>
      <c r="G154" s="378">
        <v>0</v>
      </c>
      <c r="H154" s="378">
        <v>155609250</v>
      </c>
      <c r="I154" s="378">
        <v>-956551839</v>
      </c>
      <c r="J154" s="266">
        <f t="shared" si="3"/>
        <v>6</v>
      </c>
    </row>
    <row r="155" spans="1:10" ht="15.75" customHeight="1" x14ac:dyDescent="0.25">
      <c r="A155" s="380">
        <v>14359001</v>
      </c>
      <c r="B155" s="381" t="s">
        <v>315</v>
      </c>
      <c r="C155" s="381" t="s">
        <v>1549</v>
      </c>
      <c r="D155" s="381" t="s">
        <v>315</v>
      </c>
      <c r="E155" s="381" t="s">
        <v>315</v>
      </c>
      <c r="F155" s="378">
        <v>-800942589</v>
      </c>
      <c r="G155" s="378">
        <v>0</v>
      </c>
      <c r="H155" s="378">
        <v>155609250</v>
      </c>
      <c r="I155" s="378">
        <v>-956551839</v>
      </c>
      <c r="J155" s="266">
        <f t="shared" si="3"/>
        <v>8</v>
      </c>
    </row>
    <row r="156" spans="1:10" ht="15.75" customHeight="1" x14ac:dyDescent="0.25">
      <c r="A156" s="380">
        <v>15</v>
      </c>
      <c r="B156" s="381" t="s">
        <v>315</v>
      </c>
      <c r="C156" s="381" t="s">
        <v>38</v>
      </c>
      <c r="D156" s="381" t="s">
        <v>315</v>
      </c>
      <c r="E156" s="381" t="s">
        <v>315</v>
      </c>
      <c r="F156" s="378">
        <v>345474200.44999999</v>
      </c>
      <c r="G156" s="378">
        <v>0</v>
      </c>
      <c r="H156" s="378">
        <v>4578315.05</v>
      </c>
      <c r="I156" s="378">
        <v>340895885.39999998</v>
      </c>
      <c r="J156" s="266">
        <f t="shared" si="3"/>
        <v>2</v>
      </c>
    </row>
    <row r="157" spans="1:10" ht="15.75" customHeight="1" x14ac:dyDescent="0.25">
      <c r="A157" s="380">
        <v>1520</v>
      </c>
      <c r="B157" s="381" t="s">
        <v>315</v>
      </c>
      <c r="C157" s="381" t="s">
        <v>41</v>
      </c>
      <c r="D157" s="381" t="s">
        <v>315</v>
      </c>
      <c r="E157" s="381" t="s">
        <v>315</v>
      </c>
      <c r="F157" s="378">
        <v>534086145</v>
      </c>
      <c r="G157" s="378">
        <v>0</v>
      </c>
      <c r="H157" s="378">
        <v>0</v>
      </c>
      <c r="I157" s="378">
        <v>534086145</v>
      </c>
      <c r="J157" s="266">
        <f t="shared" si="3"/>
        <v>4</v>
      </c>
    </row>
    <row r="158" spans="1:10" ht="15.75" customHeight="1" x14ac:dyDescent="0.25">
      <c r="A158" s="380">
        <v>152001</v>
      </c>
      <c r="B158" s="381" t="s">
        <v>315</v>
      </c>
      <c r="C158" s="381" t="s">
        <v>41</v>
      </c>
      <c r="D158" s="381" t="s">
        <v>315</v>
      </c>
      <c r="E158" s="381" t="s">
        <v>315</v>
      </c>
      <c r="F158" s="378">
        <v>528404324</v>
      </c>
      <c r="G158" s="378">
        <v>0</v>
      </c>
      <c r="H158" s="378">
        <v>0</v>
      </c>
      <c r="I158" s="378">
        <v>528404324</v>
      </c>
      <c r="J158" s="266">
        <f t="shared" si="3"/>
        <v>6</v>
      </c>
    </row>
    <row r="159" spans="1:10" ht="15.75" customHeight="1" x14ac:dyDescent="0.25">
      <c r="A159" s="380">
        <v>15200101</v>
      </c>
      <c r="B159" s="381" t="s">
        <v>321</v>
      </c>
      <c r="C159" s="381" t="s">
        <v>41</v>
      </c>
      <c r="D159" s="381" t="s">
        <v>315</v>
      </c>
      <c r="E159" s="381" t="s">
        <v>315</v>
      </c>
      <c r="F159" s="378">
        <v>528404324</v>
      </c>
      <c r="G159" s="378">
        <v>0</v>
      </c>
      <c r="H159" s="378">
        <v>0</v>
      </c>
      <c r="I159" s="378">
        <v>528404324</v>
      </c>
      <c r="J159" s="266">
        <f t="shared" si="3"/>
        <v>8</v>
      </c>
    </row>
    <row r="160" spans="1:10" ht="15.75" customHeight="1" x14ac:dyDescent="0.25">
      <c r="A160" s="380">
        <v>15200101</v>
      </c>
      <c r="B160" s="381" t="s">
        <v>321</v>
      </c>
      <c r="C160" s="381" t="s">
        <v>41</v>
      </c>
      <c r="D160" s="381" t="s">
        <v>402</v>
      </c>
      <c r="E160" s="381" t="s">
        <v>1550</v>
      </c>
      <c r="F160" s="378">
        <v>6908000</v>
      </c>
      <c r="G160" s="378">
        <v>0</v>
      </c>
      <c r="H160" s="378">
        <v>0</v>
      </c>
      <c r="I160" s="378">
        <v>6908000</v>
      </c>
      <c r="J160" s="266">
        <f t="shared" si="3"/>
        <v>8</v>
      </c>
    </row>
    <row r="161" spans="1:10" ht="15.75" customHeight="1" x14ac:dyDescent="0.25">
      <c r="A161" s="380">
        <v>15200101</v>
      </c>
      <c r="B161" s="381" t="s">
        <v>321</v>
      </c>
      <c r="C161" s="381" t="s">
        <v>41</v>
      </c>
      <c r="D161" s="381" t="s">
        <v>396</v>
      </c>
      <c r="E161" s="381" t="s">
        <v>1551</v>
      </c>
      <c r="F161" s="378">
        <v>19958824</v>
      </c>
      <c r="G161" s="378">
        <v>0</v>
      </c>
      <c r="H161" s="378">
        <v>0</v>
      </c>
      <c r="I161" s="378">
        <v>19958824</v>
      </c>
      <c r="J161" s="266">
        <f t="shared" si="3"/>
        <v>8</v>
      </c>
    </row>
    <row r="162" spans="1:10" ht="15.75" customHeight="1" x14ac:dyDescent="0.25">
      <c r="A162" s="380">
        <v>15200101</v>
      </c>
      <c r="B162" s="381" t="s">
        <v>321</v>
      </c>
      <c r="C162" s="381" t="s">
        <v>41</v>
      </c>
      <c r="D162" s="381" t="s">
        <v>1552</v>
      </c>
      <c r="E162" s="381" t="s">
        <v>1553</v>
      </c>
      <c r="F162" s="378">
        <v>3037500</v>
      </c>
      <c r="G162" s="378">
        <v>0</v>
      </c>
      <c r="H162" s="378">
        <v>0</v>
      </c>
      <c r="I162" s="378">
        <v>3037500</v>
      </c>
      <c r="J162" s="266">
        <f t="shared" si="3"/>
        <v>8</v>
      </c>
    </row>
    <row r="163" spans="1:10" ht="15.75" customHeight="1" x14ac:dyDescent="0.25">
      <c r="A163" s="380">
        <v>15200101</v>
      </c>
      <c r="B163" s="381" t="s">
        <v>321</v>
      </c>
      <c r="C163" s="381" t="s">
        <v>41</v>
      </c>
      <c r="D163" s="381" t="s">
        <v>804</v>
      </c>
      <c r="E163" s="381" t="s">
        <v>1554</v>
      </c>
      <c r="F163" s="378">
        <v>199400000</v>
      </c>
      <c r="G163" s="378">
        <v>0</v>
      </c>
      <c r="H163" s="378">
        <v>0</v>
      </c>
      <c r="I163" s="378">
        <v>199400000</v>
      </c>
      <c r="J163" s="266">
        <f t="shared" si="3"/>
        <v>8</v>
      </c>
    </row>
    <row r="164" spans="1:10" ht="15.75" customHeight="1" x14ac:dyDescent="0.25">
      <c r="A164" s="380">
        <v>15200101</v>
      </c>
      <c r="B164" s="381" t="s">
        <v>321</v>
      </c>
      <c r="C164" s="381" t="s">
        <v>41</v>
      </c>
      <c r="D164" s="381" t="s">
        <v>801</v>
      </c>
      <c r="E164" s="381" t="s">
        <v>802</v>
      </c>
      <c r="F164" s="378">
        <v>299100000</v>
      </c>
      <c r="G164" s="378">
        <v>0</v>
      </c>
      <c r="H164" s="378">
        <v>0</v>
      </c>
      <c r="I164" s="378">
        <v>299100000</v>
      </c>
      <c r="J164" s="266">
        <f t="shared" si="3"/>
        <v>8</v>
      </c>
    </row>
    <row r="165" spans="1:10" ht="15.75" customHeight="1" x14ac:dyDescent="0.25">
      <c r="A165" s="380">
        <v>152010</v>
      </c>
      <c r="B165" s="381" t="s">
        <v>321</v>
      </c>
      <c r="C165" s="381" t="s">
        <v>881</v>
      </c>
      <c r="D165" s="381" t="s">
        <v>315</v>
      </c>
      <c r="E165" s="381" t="s">
        <v>315</v>
      </c>
      <c r="F165" s="378">
        <v>5681821</v>
      </c>
      <c r="G165" s="378">
        <v>0</v>
      </c>
      <c r="H165" s="378">
        <v>0</v>
      </c>
      <c r="I165" s="378">
        <v>5681821</v>
      </c>
      <c r="J165" s="266">
        <f t="shared" si="3"/>
        <v>6</v>
      </c>
    </row>
    <row r="166" spans="1:10" ht="15.75" customHeight="1" x14ac:dyDescent="0.25">
      <c r="A166" s="380">
        <v>15201001</v>
      </c>
      <c r="B166" s="381" t="s">
        <v>321</v>
      </c>
      <c r="C166" s="381" t="s">
        <v>881</v>
      </c>
      <c r="D166" s="381" t="s">
        <v>315</v>
      </c>
      <c r="E166" s="381" t="s">
        <v>315</v>
      </c>
      <c r="F166" s="378">
        <v>5681821</v>
      </c>
      <c r="G166" s="378">
        <v>0</v>
      </c>
      <c r="H166" s="378">
        <v>0</v>
      </c>
      <c r="I166" s="378">
        <v>5681821</v>
      </c>
      <c r="J166" s="266">
        <f t="shared" si="3"/>
        <v>8</v>
      </c>
    </row>
    <row r="167" spans="1:10" ht="15.75" customHeight="1" x14ac:dyDescent="0.25">
      <c r="A167" s="380">
        <v>15201001</v>
      </c>
      <c r="B167" s="381" t="s">
        <v>321</v>
      </c>
      <c r="C167" s="381" t="s">
        <v>881</v>
      </c>
      <c r="D167" s="381" t="s">
        <v>402</v>
      </c>
      <c r="E167" s="381" t="s">
        <v>1550</v>
      </c>
      <c r="F167" s="378">
        <v>1312520</v>
      </c>
      <c r="G167" s="378">
        <v>0</v>
      </c>
      <c r="H167" s="378">
        <v>0</v>
      </c>
      <c r="I167" s="378">
        <v>1312520</v>
      </c>
      <c r="J167" s="266">
        <f t="shared" si="3"/>
        <v>8</v>
      </c>
    </row>
    <row r="168" spans="1:10" ht="15.75" customHeight="1" x14ac:dyDescent="0.25">
      <c r="A168" s="380">
        <v>15201001</v>
      </c>
      <c r="B168" s="381" t="s">
        <v>321</v>
      </c>
      <c r="C168" s="381" t="s">
        <v>881</v>
      </c>
      <c r="D168" s="381" t="s">
        <v>396</v>
      </c>
      <c r="E168" s="381" t="s">
        <v>1551</v>
      </c>
      <c r="F168" s="378">
        <v>3792176</v>
      </c>
      <c r="G168" s="378">
        <v>0</v>
      </c>
      <c r="H168" s="378">
        <v>0</v>
      </c>
      <c r="I168" s="378">
        <v>3792176</v>
      </c>
      <c r="J168" s="266">
        <f t="shared" si="3"/>
        <v>8</v>
      </c>
    </row>
    <row r="169" spans="1:10" ht="15.75" customHeight="1" x14ac:dyDescent="0.25">
      <c r="A169" s="380">
        <v>15201001</v>
      </c>
      <c r="B169" s="381" t="s">
        <v>321</v>
      </c>
      <c r="C169" s="381" t="s">
        <v>881</v>
      </c>
      <c r="D169" s="381" t="s">
        <v>1552</v>
      </c>
      <c r="E169" s="381" t="s">
        <v>1553</v>
      </c>
      <c r="F169" s="378">
        <v>577125</v>
      </c>
      <c r="G169" s="378">
        <v>0</v>
      </c>
      <c r="H169" s="378">
        <v>0</v>
      </c>
      <c r="I169" s="378">
        <v>577125</v>
      </c>
      <c r="J169" s="266">
        <f t="shared" si="3"/>
        <v>8</v>
      </c>
    </row>
    <row r="170" spans="1:10" ht="15.75" customHeight="1" x14ac:dyDescent="0.25">
      <c r="A170" s="380">
        <v>1528</v>
      </c>
      <c r="B170" s="381" t="s">
        <v>321</v>
      </c>
      <c r="C170" s="381" t="s">
        <v>1555</v>
      </c>
      <c r="D170" s="381" t="s">
        <v>315</v>
      </c>
      <c r="E170" s="381" t="s">
        <v>315</v>
      </c>
      <c r="F170" s="378">
        <v>4293503</v>
      </c>
      <c r="G170" s="378">
        <v>0</v>
      </c>
      <c r="H170" s="378">
        <v>0</v>
      </c>
      <c r="I170" s="378">
        <v>4293503</v>
      </c>
      <c r="J170" s="266">
        <f t="shared" si="3"/>
        <v>4</v>
      </c>
    </row>
    <row r="171" spans="1:10" ht="15.75" customHeight="1" x14ac:dyDescent="0.25">
      <c r="A171" s="380">
        <v>152805</v>
      </c>
      <c r="B171" s="381" t="s">
        <v>321</v>
      </c>
      <c r="C171" s="381" t="s">
        <v>1555</v>
      </c>
      <c r="D171" s="381" t="s">
        <v>315</v>
      </c>
      <c r="E171" s="381" t="s">
        <v>315</v>
      </c>
      <c r="F171" s="378">
        <v>4293503</v>
      </c>
      <c r="G171" s="378">
        <v>0</v>
      </c>
      <c r="H171" s="378">
        <v>0</v>
      </c>
      <c r="I171" s="378">
        <v>4293503</v>
      </c>
      <c r="J171" s="266">
        <f t="shared" si="3"/>
        <v>6</v>
      </c>
    </row>
    <row r="172" spans="1:10" ht="15.75" customHeight="1" x14ac:dyDescent="0.25">
      <c r="A172" s="380">
        <v>15280501</v>
      </c>
      <c r="B172" s="381" t="s">
        <v>321</v>
      </c>
      <c r="C172" s="381" t="s">
        <v>1555</v>
      </c>
      <c r="D172" s="381" t="s">
        <v>315</v>
      </c>
      <c r="E172" s="381" t="s">
        <v>315</v>
      </c>
      <c r="F172" s="378">
        <v>4196108</v>
      </c>
      <c r="G172" s="378">
        <v>0</v>
      </c>
      <c r="H172" s="378">
        <v>0</v>
      </c>
      <c r="I172" s="378">
        <v>4196108</v>
      </c>
      <c r="J172" s="266">
        <f t="shared" si="3"/>
        <v>8</v>
      </c>
    </row>
    <row r="173" spans="1:10" ht="15.75" customHeight="1" x14ac:dyDescent="0.25">
      <c r="A173" s="380">
        <v>15280501</v>
      </c>
      <c r="B173" s="381" t="s">
        <v>321</v>
      </c>
      <c r="C173" s="381" t="s">
        <v>1555</v>
      </c>
      <c r="D173" s="381" t="s">
        <v>495</v>
      </c>
      <c r="E173" s="381" t="s">
        <v>925</v>
      </c>
      <c r="F173" s="378">
        <v>2074503</v>
      </c>
      <c r="G173" s="378">
        <v>0</v>
      </c>
      <c r="H173" s="378">
        <v>0</v>
      </c>
      <c r="I173" s="378">
        <v>2074503</v>
      </c>
      <c r="J173" s="266">
        <f t="shared" si="3"/>
        <v>8</v>
      </c>
    </row>
    <row r="174" spans="1:10" ht="15.75" customHeight="1" x14ac:dyDescent="0.25">
      <c r="A174" s="380">
        <v>15280501</v>
      </c>
      <c r="B174" s="381" t="s">
        <v>321</v>
      </c>
      <c r="C174" s="381" t="s">
        <v>1555</v>
      </c>
      <c r="D174" s="381" t="s">
        <v>1015</v>
      </c>
      <c r="E174" s="381" t="s">
        <v>1556</v>
      </c>
      <c r="F174" s="378">
        <v>2121605</v>
      </c>
      <c r="G174" s="378">
        <v>0</v>
      </c>
      <c r="H174" s="378">
        <v>0</v>
      </c>
      <c r="I174" s="378">
        <v>2121605</v>
      </c>
      <c r="J174" s="266">
        <f t="shared" si="3"/>
        <v>8</v>
      </c>
    </row>
    <row r="175" spans="1:10" ht="15.75" customHeight="1" x14ac:dyDescent="0.25">
      <c r="A175" s="380">
        <v>15280502</v>
      </c>
      <c r="B175" s="381" t="s">
        <v>321</v>
      </c>
      <c r="C175" s="381" t="s">
        <v>1557</v>
      </c>
      <c r="D175" s="381" t="s">
        <v>315</v>
      </c>
      <c r="E175" s="381" t="s">
        <v>315</v>
      </c>
      <c r="F175" s="378">
        <v>97395</v>
      </c>
      <c r="G175" s="378">
        <v>0</v>
      </c>
      <c r="H175" s="378">
        <v>0</v>
      </c>
      <c r="I175" s="378">
        <v>97395</v>
      </c>
      <c r="J175" s="266">
        <f t="shared" si="3"/>
        <v>8</v>
      </c>
    </row>
    <row r="176" spans="1:10" ht="15.75" customHeight="1" x14ac:dyDescent="0.25">
      <c r="A176" s="380">
        <v>15280502</v>
      </c>
      <c r="B176" s="381" t="s">
        <v>321</v>
      </c>
      <c r="C176" s="381" t="s">
        <v>1557</v>
      </c>
      <c r="D176" s="381" t="s">
        <v>1015</v>
      </c>
      <c r="E176" s="381" t="s">
        <v>1556</v>
      </c>
      <c r="F176" s="378">
        <v>97395</v>
      </c>
      <c r="G176" s="378">
        <v>0</v>
      </c>
      <c r="H176" s="378">
        <v>0</v>
      </c>
      <c r="I176" s="378">
        <v>97395</v>
      </c>
      <c r="J176" s="266">
        <f t="shared" si="3"/>
        <v>8</v>
      </c>
    </row>
    <row r="177" spans="1:10" ht="15.75" customHeight="1" x14ac:dyDescent="0.25">
      <c r="A177" s="380">
        <v>1592</v>
      </c>
      <c r="B177" s="381" t="s">
        <v>315</v>
      </c>
      <c r="C177" s="381" t="s">
        <v>1558</v>
      </c>
      <c r="D177" s="381" t="s">
        <v>315</v>
      </c>
      <c r="E177" s="381" t="s">
        <v>315</v>
      </c>
      <c r="F177" s="378">
        <v>-192905447.55000001</v>
      </c>
      <c r="G177" s="378">
        <v>0</v>
      </c>
      <c r="H177" s="378">
        <v>4578315.05</v>
      </c>
      <c r="I177" s="378">
        <v>-197483762.59999999</v>
      </c>
      <c r="J177" s="266">
        <f t="shared" si="3"/>
        <v>4</v>
      </c>
    </row>
    <row r="178" spans="1:10" ht="15.75" customHeight="1" x14ac:dyDescent="0.25">
      <c r="A178" s="380">
        <v>159220</v>
      </c>
      <c r="B178" s="381" t="s">
        <v>321</v>
      </c>
      <c r="C178" s="381" t="s">
        <v>41</v>
      </c>
      <c r="D178" s="381" t="s">
        <v>315</v>
      </c>
      <c r="E178" s="381" t="s">
        <v>315</v>
      </c>
      <c r="F178" s="378">
        <v>-192905447.55000001</v>
      </c>
      <c r="G178" s="378">
        <v>0</v>
      </c>
      <c r="H178" s="378">
        <v>4578315.05</v>
      </c>
      <c r="I178" s="378">
        <v>-197483762.59999999</v>
      </c>
      <c r="J178" s="266">
        <f t="shared" si="3"/>
        <v>6</v>
      </c>
    </row>
    <row r="179" spans="1:10" ht="15.75" customHeight="1" x14ac:dyDescent="0.25">
      <c r="A179" s="380">
        <v>15922001</v>
      </c>
      <c r="B179" s="381" t="s">
        <v>321</v>
      </c>
      <c r="C179" s="381" t="s">
        <v>41</v>
      </c>
      <c r="D179" s="381" t="s">
        <v>315</v>
      </c>
      <c r="E179" s="381" t="s">
        <v>315</v>
      </c>
      <c r="F179" s="378">
        <v>-192081326</v>
      </c>
      <c r="G179" s="378">
        <v>0</v>
      </c>
      <c r="H179" s="378">
        <v>4506757</v>
      </c>
      <c r="I179" s="378">
        <v>-196588083</v>
      </c>
      <c r="J179" s="266">
        <f t="shared" si="3"/>
        <v>8</v>
      </c>
    </row>
    <row r="180" spans="1:10" ht="15.75" customHeight="1" x14ac:dyDescent="0.25">
      <c r="A180" s="380">
        <v>15922001</v>
      </c>
      <c r="B180" s="381" t="s">
        <v>321</v>
      </c>
      <c r="C180" s="381" t="s">
        <v>41</v>
      </c>
      <c r="D180" s="381" t="s">
        <v>402</v>
      </c>
      <c r="E180" s="381" t="s">
        <v>1550</v>
      </c>
      <c r="F180" s="378">
        <v>-336441</v>
      </c>
      <c r="G180" s="378">
        <v>0</v>
      </c>
      <c r="H180" s="378">
        <v>12455</v>
      </c>
      <c r="I180" s="378">
        <v>-348896</v>
      </c>
      <c r="J180" s="266">
        <f t="shared" si="3"/>
        <v>8</v>
      </c>
    </row>
    <row r="181" spans="1:10" ht="15.75" customHeight="1" x14ac:dyDescent="0.25">
      <c r="A181" s="380">
        <v>15922001</v>
      </c>
      <c r="B181" s="381" t="s">
        <v>321</v>
      </c>
      <c r="C181" s="381" t="s">
        <v>41</v>
      </c>
      <c r="D181" s="381" t="s">
        <v>396</v>
      </c>
      <c r="E181" s="381" t="s">
        <v>1551</v>
      </c>
      <c r="F181" s="378">
        <v>-2278500</v>
      </c>
      <c r="G181" s="378">
        <v>0</v>
      </c>
      <c r="H181" s="378">
        <v>197925</v>
      </c>
      <c r="I181" s="378">
        <v>-2476425</v>
      </c>
      <c r="J181" s="266">
        <f t="shared" si="3"/>
        <v>8</v>
      </c>
    </row>
    <row r="182" spans="1:10" ht="15.75" customHeight="1" x14ac:dyDescent="0.25">
      <c r="A182" s="380">
        <v>15922001</v>
      </c>
      <c r="B182" s="381" t="s">
        <v>321</v>
      </c>
      <c r="C182" s="381" t="s">
        <v>41</v>
      </c>
      <c r="D182" s="381" t="s">
        <v>1552</v>
      </c>
      <c r="E182" s="381" t="s">
        <v>1553</v>
      </c>
      <c r="F182" s="378">
        <v>-240896</v>
      </c>
      <c r="G182" s="378">
        <v>0</v>
      </c>
      <c r="H182" s="378">
        <v>30112</v>
      </c>
      <c r="I182" s="378">
        <v>-271008</v>
      </c>
      <c r="J182" s="266">
        <f t="shared" si="3"/>
        <v>8</v>
      </c>
    </row>
    <row r="183" spans="1:10" ht="15.75" customHeight="1" x14ac:dyDescent="0.25">
      <c r="A183" s="380">
        <v>15922001</v>
      </c>
      <c r="B183" s="381" t="s">
        <v>321</v>
      </c>
      <c r="C183" s="381" t="s">
        <v>41</v>
      </c>
      <c r="D183" s="381" t="s">
        <v>804</v>
      </c>
      <c r="E183" s="381" t="s">
        <v>1554</v>
      </c>
      <c r="F183" s="378">
        <v>-74581076</v>
      </c>
      <c r="G183" s="378">
        <v>0</v>
      </c>
      <c r="H183" s="378">
        <v>1661666</v>
      </c>
      <c r="I183" s="378">
        <v>-76242742</v>
      </c>
      <c r="J183" s="266">
        <f t="shared" si="3"/>
        <v>8</v>
      </c>
    </row>
    <row r="184" spans="1:10" ht="15.75" customHeight="1" x14ac:dyDescent="0.25">
      <c r="A184" s="380">
        <v>15922001</v>
      </c>
      <c r="B184" s="381" t="s">
        <v>321</v>
      </c>
      <c r="C184" s="381" t="s">
        <v>41</v>
      </c>
      <c r="D184" s="381" t="s">
        <v>801</v>
      </c>
      <c r="E184" s="381" t="s">
        <v>802</v>
      </c>
      <c r="F184" s="378">
        <v>-114644413</v>
      </c>
      <c r="G184" s="378">
        <v>0</v>
      </c>
      <c r="H184" s="378">
        <v>2604599</v>
      </c>
      <c r="I184" s="378">
        <v>-117249012</v>
      </c>
      <c r="J184" s="266">
        <f t="shared" si="3"/>
        <v>8</v>
      </c>
    </row>
    <row r="185" spans="1:10" ht="15.75" customHeight="1" x14ac:dyDescent="0.25">
      <c r="A185" s="380">
        <v>15922003</v>
      </c>
      <c r="B185" s="381" t="s">
        <v>321</v>
      </c>
      <c r="C185" s="381" t="s">
        <v>1559</v>
      </c>
      <c r="D185" s="381" t="s">
        <v>315</v>
      </c>
      <c r="E185" s="381" t="s">
        <v>315</v>
      </c>
      <c r="F185" s="378">
        <v>-824121.55</v>
      </c>
      <c r="G185" s="378">
        <v>0</v>
      </c>
      <c r="H185" s="378">
        <v>71558.05</v>
      </c>
      <c r="I185" s="378">
        <v>-895679.6</v>
      </c>
      <c r="J185" s="266">
        <f t="shared" si="3"/>
        <v>8</v>
      </c>
    </row>
    <row r="186" spans="1:10" ht="15.75" customHeight="1" x14ac:dyDescent="0.25">
      <c r="A186" s="380">
        <v>15922003</v>
      </c>
      <c r="B186" s="381" t="s">
        <v>321</v>
      </c>
      <c r="C186" s="381" t="s">
        <v>1559</v>
      </c>
      <c r="D186" s="381" t="s">
        <v>396</v>
      </c>
      <c r="E186" s="381" t="s">
        <v>1551</v>
      </c>
      <c r="F186" s="378">
        <v>-443796</v>
      </c>
      <c r="G186" s="378">
        <v>0</v>
      </c>
      <c r="H186" s="378">
        <v>36983</v>
      </c>
      <c r="I186" s="378">
        <v>-480779</v>
      </c>
      <c r="J186" s="266">
        <f t="shared" si="3"/>
        <v>8</v>
      </c>
    </row>
    <row r="187" spans="1:10" ht="15.75" customHeight="1" x14ac:dyDescent="0.25">
      <c r="A187" s="380">
        <v>15922003</v>
      </c>
      <c r="B187" s="381" t="s">
        <v>321</v>
      </c>
      <c r="C187" s="381" t="s">
        <v>1559</v>
      </c>
      <c r="D187" s="381" t="s">
        <v>495</v>
      </c>
      <c r="E187" s="381" t="s">
        <v>925</v>
      </c>
      <c r="F187" s="378">
        <v>-380325.55</v>
      </c>
      <c r="G187" s="378">
        <v>0</v>
      </c>
      <c r="H187" s="378">
        <v>34575.050000000003</v>
      </c>
      <c r="I187" s="378">
        <v>-414900.6</v>
      </c>
      <c r="J187" s="266">
        <f t="shared" si="3"/>
        <v>8</v>
      </c>
    </row>
    <row r="188" spans="1:10" ht="15.75" customHeight="1" x14ac:dyDescent="0.25">
      <c r="A188" s="380">
        <v>16</v>
      </c>
      <c r="B188" s="381" t="s">
        <v>315</v>
      </c>
      <c r="C188" s="381" t="s">
        <v>414</v>
      </c>
      <c r="D188" s="381" t="s">
        <v>315</v>
      </c>
      <c r="E188" s="381" t="s">
        <v>315</v>
      </c>
      <c r="F188" s="378">
        <v>748532603</v>
      </c>
      <c r="G188" s="378">
        <v>16234200</v>
      </c>
      <c r="H188" s="378">
        <v>0</v>
      </c>
      <c r="I188" s="378">
        <v>764766803</v>
      </c>
      <c r="J188" s="266">
        <f t="shared" si="3"/>
        <v>2</v>
      </c>
    </row>
    <row r="189" spans="1:10" ht="15.75" customHeight="1" x14ac:dyDescent="0.25">
      <c r="A189" s="380">
        <v>1625</v>
      </c>
      <c r="B189" s="381" t="s">
        <v>321</v>
      </c>
      <c r="C189" s="381" t="s">
        <v>1560</v>
      </c>
      <c r="D189" s="381" t="s">
        <v>315</v>
      </c>
      <c r="E189" s="381" t="s">
        <v>315</v>
      </c>
      <c r="F189" s="378">
        <v>748532603</v>
      </c>
      <c r="G189" s="378">
        <v>0</v>
      </c>
      <c r="H189" s="378">
        <v>0</v>
      </c>
      <c r="I189" s="378">
        <v>748532603</v>
      </c>
      <c r="J189" s="266">
        <f t="shared" si="3"/>
        <v>4</v>
      </c>
    </row>
    <row r="190" spans="1:10" ht="15.75" customHeight="1" x14ac:dyDescent="0.25">
      <c r="A190" s="380">
        <v>162535</v>
      </c>
      <c r="B190" s="381" t="s">
        <v>321</v>
      </c>
      <c r="C190" s="381" t="s">
        <v>1561</v>
      </c>
      <c r="D190" s="381" t="s">
        <v>315</v>
      </c>
      <c r="E190" s="381" t="s">
        <v>315</v>
      </c>
      <c r="F190" s="378">
        <v>748532603</v>
      </c>
      <c r="G190" s="378">
        <v>0</v>
      </c>
      <c r="H190" s="378">
        <v>0</v>
      </c>
      <c r="I190" s="378">
        <v>748532603</v>
      </c>
      <c r="J190" s="266">
        <f t="shared" si="3"/>
        <v>6</v>
      </c>
    </row>
    <row r="191" spans="1:10" ht="15.75" customHeight="1" x14ac:dyDescent="0.25">
      <c r="A191" s="380">
        <v>16253501</v>
      </c>
      <c r="B191" s="381" t="s">
        <v>321</v>
      </c>
      <c r="C191" s="381" t="s">
        <v>1562</v>
      </c>
      <c r="D191" s="381" t="s">
        <v>315</v>
      </c>
      <c r="E191" s="381" t="s">
        <v>315</v>
      </c>
      <c r="F191" s="378">
        <v>748532603</v>
      </c>
      <c r="G191" s="378">
        <v>0</v>
      </c>
      <c r="H191" s="378">
        <v>0</v>
      </c>
      <c r="I191" s="378">
        <v>748532603</v>
      </c>
      <c r="J191" s="266">
        <f t="shared" si="3"/>
        <v>8</v>
      </c>
    </row>
    <row r="192" spans="1:10" ht="15.75" customHeight="1" x14ac:dyDescent="0.25">
      <c r="A192" s="380">
        <v>16253501</v>
      </c>
      <c r="B192" s="381" t="s">
        <v>321</v>
      </c>
      <c r="C192" s="381" t="s">
        <v>1562</v>
      </c>
      <c r="D192" s="381" t="s">
        <v>1563</v>
      </c>
      <c r="E192" s="381" t="s">
        <v>1564</v>
      </c>
      <c r="F192" s="378">
        <v>748532603</v>
      </c>
      <c r="G192" s="378">
        <v>0</v>
      </c>
      <c r="H192" s="378">
        <v>0</v>
      </c>
      <c r="I192" s="378">
        <v>748532603</v>
      </c>
      <c r="J192" s="266">
        <f t="shared" si="3"/>
        <v>8</v>
      </c>
    </row>
    <row r="193" spans="1:10" ht="15.75" customHeight="1" x14ac:dyDescent="0.25">
      <c r="A193" s="380">
        <v>1635</v>
      </c>
      <c r="B193" s="381" t="s">
        <v>315</v>
      </c>
      <c r="C193" s="381" t="s">
        <v>1472</v>
      </c>
      <c r="D193" s="381" t="s">
        <v>315</v>
      </c>
      <c r="E193" s="381" t="s">
        <v>315</v>
      </c>
      <c r="F193" s="378">
        <v>0</v>
      </c>
      <c r="G193" s="378">
        <v>16234200</v>
      </c>
      <c r="H193" s="378">
        <v>0</v>
      </c>
      <c r="I193" s="378">
        <v>16234200</v>
      </c>
      <c r="J193" s="266">
        <f t="shared" si="3"/>
        <v>4</v>
      </c>
    </row>
    <row r="194" spans="1:10" ht="15.75" customHeight="1" x14ac:dyDescent="0.25">
      <c r="A194" s="380">
        <v>163505</v>
      </c>
      <c r="B194" s="381" t="s">
        <v>315</v>
      </c>
      <c r="C194" s="381" t="s">
        <v>1473</v>
      </c>
      <c r="D194" s="381" t="s">
        <v>315</v>
      </c>
      <c r="E194" s="381" t="s">
        <v>315</v>
      </c>
      <c r="F194" s="378">
        <v>0</v>
      </c>
      <c r="G194" s="378">
        <v>16234200</v>
      </c>
      <c r="H194" s="378">
        <v>0</v>
      </c>
      <c r="I194" s="378">
        <v>16234200</v>
      </c>
      <c r="J194" s="266">
        <f t="shared" si="3"/>
        <v>6</v>
      </c>
    </row>
    <row r="195" spans="1:10" ht="15.75" customHeight="1" x14ac:dyDescent="0.25">
      <c r="A195" s="380">
        <v>16350501</v>
      </c>
      <c r="B195" s="381" t="s">
        <v>315</v>
      </c>
      <c r="C195" s="381" t="s">
        <v>1473</v>
      </c>
      <c r="D195" s="381" t="s">
        <v>315</v>
      </c>
      <c r="E195" s="381" t="s">
        <v>315</v>
      </c>
      <c r="F195" s="378">
        <v>0</v>
      </c>
      <c r="G195" s="378">
        <v>16234200</v>
      </c>
      <c r="H195" s="378">
        <v>0</v>
      </c>
      <c r="I195" s="378">
        <v>16234200</v>
      </c>
      <c r="J195" s="266">
        <f t="shared" si="3"/>
        <v>8</v>
      </c>
    </row>
    <row r="196" spans="1:10" ht="15.75" customHeight="1" x14ac:dyDescent="0.25">
      <c r="A196" s="380">
        <v>16350501</v>
      </c>
      <c r="B196" s="381" t="s">
        <v>315</v>
      </c>
      <c r="C196" s="381" t="s">
        <v>1473</v>
      </c>
      <c r="D196" s="381" t="s">
        <v>1474</v>
      </c>
      <c r="E196" s="381" t="s">
        <v>1475</v>
      </c>
      <c r="F196" s="378">
        <v>0</v>
      </c>
      <c r="G196" s="378">
        <v>16234200</v>
      </c>
      <c r="H196" s="378">
        <v>0</v>
      </c>
      <c r="I196" s="378">
        <v>16234200</v>
      </c>
      <c r="J196" s="266">
        <f t="shared" si="3"/>
        <v>8</v>
      </c>
    </row>
    <row r="197" spans="1:10" ht="15.75" customHeight="1" x14ac:dyDescent="0.25">
      <c r="A197" s="380">
        <v>19</v>
      </c>
      <c r="B197" s="381" t="s">
        <v>321</v>
      </c>
      <c r="C197" s="381" t="s">
        <v>417</v>
      </c>
      <c r="D197" s="381" t="s">
        <v>315</v>
      </c>
      <c r="E197" s="381" t="s">
        <v>315</v>
      </c>
      <c r="F197" s="378">
        <v>132952615.95999999</v>
      </c>
      <c r="G197" s="378">
        <v>6666695.5700000003</v>
      </c>
      <c r="H197" s="378">
        <v>2138554.11</v>
      </c>
      <c r="I197" s="378">
        <v>137480757.41999999</v>
      </c>
      <c r="J197" s="266">
        <f t="shared" si="3"/>
        <v>2</v>
      </c>
    </row>
    <row r="198" spans="1:10" ht="15.75" customHeight="1" x14ac:dyDescent="0.25">
      <c r="A198" s="380">
        <v>1955</v>
      </c>
      <c r="B198" s="381" t="s">
        <v>321</v>
      </c>
      <c r="C198" s="381" t="s">
        <v>1565</v>
      </c>
      <c r="D198" s="381" t="s">
        <v>315</v>
      </c>
      <c r="E198" s="381" t="s">
        <v>315</v>
      </c>
      <c r="F198" s="378">
        <v>132952615.95999999</v>
      </c>
      <c r="G198" s="378">
        <v>6666695.5700000003</v>
      </c>
      <c r="H198" s="378">
        <v>2138554.11</v>
      </c>
      <c r="I198" s="378">
        <v>137480757.41999999</v>
      </c>
      <c r="J198" s="266">
        <f t="shared" si="3"/>
        <v>4</v>
      </c>
    </row>
    <row r="199" spans="1:10" ht="15.75" customHeight="1" x14ac:dyDescent="0.25">
      <c r="A199" s="380">
        <v>195510</v>
      </c>
      <c r="B199" s="381" t="s">
        <v>321</v>
      </c>
      <c r="C199" s="381" t="s">
        <v>916</v>
      </c>
      <c r="D199" s="381" t="s">
        <v>315</v>
      </c>
      <c r="E199" s="381" t="s">
        <v>315</v>
      </c>
      <c r="F199" s="378">
        <v>2118152.11</v>
      </c>
      <c r="G199" s="378">
        <v>0</v>
      </c>
      <c r="H199" s="378">
        <v>2118152.11</v>
      </c>
      <c r="I199" s="378">
        <v>-4.65661287307739E-10</v>
      </c>
      <c r="J199" s="266">
        <f t="shared" si="3"/>
        <v>6</v>
      </c>
    </row>
    <row r="200" spans="1:10" ht="15.75" customHeight="1" x14ac:dyDescent="0.25">
      <c r="A200" s="380">
        <v>19551002</v>
      </c>
      <c r="B200" s="381" t="s">
        <v>321</v>
      </c>
      <c r="C200" s="381" t="s">
        <v>920</v>
      </c>
      <c r="D200" s="381" t="s">
        <v>315</v>
      </c>
      <c r="E200" s="381" t="s">
        <v>315</v>
      </c>
      <c r="F200" s="378">
        <v>2118152.11</v>
      </c>
      <c r="G200" s="378">
        <v>0</v>
      </c>
      <c r="H200" s="378">
        <v>2118152.11</v>
      </c>
      <c r="I200" s="378">
        <v>-4.65661287307739E-10</v>
      </c>
      <c r="J200" s="266">
        <f t="shared" si="3"/>
        <v>8</v>
      </c>
    </row>
    <row r="201" spans="1:10" ht="15.75" customHeight="1" x14ac:dyDescent="0.25">
      <c r="A201" s="380">
        <v>19551002</v>
      </c>
      <c r="B201" s="381" t="s">
        <v>321</v>
      </c>
      <c r="C201" s="381" t="s">
        <v>920</v>
      </c>
      <c r="D201" s="381" t="s">
        <v>329</v>
      </c>
      <c r="E201" s="381" t="s">
        <v>330</v>
      </c>
      <c r="F201" s="378">
        <v>2118152.11</v>
      </c>
      <c r="G201" s="378">
        <v>0</v>
      </c>
      <c r="H201" s="378">
        <v>2118152.11</v>
      </c>
      <c r="I201" s="378">
        <v>-4.65661287307739E-10</v>
      </c>
      <c r="J201" s="266">
        <f t="shared" si="3"/>
        <v>8</v>
      </c>
    </row>
    <row r="202" spans="1:10" ht="15.75" customHeight="1" x14ac:dyDescent="0.25">
      <c r="A202" s="380">
        <v>195515</v>
      </c>
      <c r="B202" s="381" t="s">
        <v>321</v>
      </c>
      <c r="C202" s="381" t="s">
        <v>418</v>
      </c>
      <c r="D202" s="381" t="s">
        <v>315</v>
      </c>
      <c r="E202" s="381" t="s">
        <v>315</v>
      </c>
      <c r="F202" s="378">
        <v>13453322.439999999</v>
      </c>
      <c r="G202" s="378">
        <v>2864695.57</v>
      </c>
      <c r="H202" s="378">
        <v>20402</v>
      </c>
      <c r="I202" s="378">
        <v>16297616.01</v>
      </c>
      <c r="J202" s="266">
        <f t="shared" si="3"/>
        <v>6</v>
      </c>
    </row>
    <row r="203" spans="1:10" ht="15.75" customHeight="1" x14ac:dyDescent="0.25">
      <c r="A203" s="380">
        <v>19551501</v>
      </c>
      <c r="B203" s="381" t="s">
        <v>321</v>
      </c>
      <c r="C203" s="381" t="s">
        <v>921</v>
      </c>
      <c r="D203" s="381" t="s">
        <v>315</v>
      </c>
      <c r="E203" s="381" t="s">
        <v>315</v>
      </c>
      <c r="F203" s="378">
        <v>20312</v>
      </c>
      <c r="G203" s="378">
        <v>0</v>
      </c>
      <c r="H203" s="378">
        <v>0</v>
      </c>
      <c r="I203" s="378">
        <v>20312</v>
      </c>
      <c r="J203" s="266">
        <f t="shared" si="3"/>
        <v>8</v>
      </c>
    </row>
    <row r="204" spans="1:10" ht="15.75" customHeight="1" x14ac:dyDescent="0.25">
      <c r="A204" s="380">
        <v>19551501</v>
      </c>
      <c r="B204" s="381" t="s">
        <v>321</v>
      </c>
      <c r="C204" s="381" t="s">
        <v>921</v>
      </c>
      <c r="D204" s="381" t="s">
        <v>631</v>
      </c>
      <c r="E204" s="381" t="s">
        <v>632</v>
      </c>
      <c r="F204" s="378">
        <v>20312</v>
      </c>
      <c r="G204" s="378">
        <v>0</v>
      </c>
      <c r="H204" s="378">
        <v>0</v>
      </c>
      <c r="I204" s="378">
        <v>20312</v>
      </c>
      <c r="J204" s="266">
        <f t="shared" ref="J204:J267" si="4">+LEN(A204)</f>
        <v>8</v>
      </c>
    </row>
    <row r="205" spans="1:10" ht="15.75" customHeight="1" x14ac:dyDescent="0.25">
      <c r="A205" s="380">
        <v>19551505</v>
      </c>
      <c r="B205" s="381" t="s">
        <v>321</v>
      </c>
      <c r="C205" s="381" t="s">
        <v>926</v>
      </c>
      <c r="D205" s="381" t="s">
        <v>315</v>
      </c>
      <c r="E205" s="381" t="s">
        <v>315</v>
      </c>
      <c r="F205" s="378">
        <v>107863</v>
      </c>
      <c r="G205" s="378">
        <v>0</v>
      </c>
      <c r="H205" s="378">
        <v>0</v>
      </c>
      <c r="I205" s="378">
        <v>107863</v>
      </c>
      <c r="J205" s="266">
        <f t="shared" si="4"/>
        <v>8</v>
      </c>
    </row>
    <row r="206" spans="1:10" ht="15.75" customHeight="1" x14ac:dyDescent="0.25">
      <c r="A206" s="380">
        <v>19551505</v>
      </c>
      <c r="B206" s="381" t="s">
        <v>321</v>
      </c>
      <c r="C206" s="381" t="s">
        <v>926</v>
      </c>
      <c r="D206" s="381" t="s">
        <v>927</v>
      </c>
      <c r="E206" s="381" t="s">
        <v>928</v>
      </c>
      <c r="F206" s="378">
        <v>107863</v>
      </c>
      <c r="G206" s="378">
        <v>0</v>
      </c>
      <c r="H206" s="378">
        <v>0</v>
      </c>
      <c r="I206" s="378">
        <v>107863</v>
      </c>
      <c r="J206" s="266">
        <f t="shared" si="4"/>
        <v>8</v>
      </c>
    </row>
    <row r="207" spans="1:10" ht="15.75" customHeight="1" x14ac:dyDescent="0.25">
      <c r="A207" s="380">
        <v>19551507</v>
      </c>
      <c r="B207" s="381" t="s">
        <v>321</v>
      </c>
      <c r="C207" s="381" t="s">
        <v>929</v>
      </c>
      <c r="D207" s="381" t="s">
        <v>315</v>
      </c>
      <c r="E207" s="381" t="s">
        <v>315</v>
      </c>
      <c r="F207" s="378">
        <v>13215598.93</v>
      </c>
      <c r="G207" s="378">
        <v>2864695.57</v>
      </c>
      <c r="H207" s="378">
        <v>20402</v>
      </c>
      <c r="I207" s="378">
        <v>16059892.5</v>
      </c>
      <c r="J207" s="266">
        <f t="shared" si="4"/>
        <v>8</v>
      </c>
    </row>
    <row r="208" spans="1:10" ht="15.75" customHeight="1" x14ac:dyDescent="0.25">
      <c r="A208" s="380">
        <v>19551507</v>
      </c>
      <c r="B208" s="381" t="s">
        <v>321</v>
      </c>
      <c r="C208" s="381" t="s">
        <v>929</v>
      </c>
      <c r="D208" s="381" t="s">
        <v>329</v>
      </c>
      <c r="E208" s="381" t="s">
        <v>330</v>
      </c>
      <c r="F208" s="378">
        <v>12530322.93</v>
      </c>
      <c r="G208" s="378">
        <v>2643329.5699999998</v>
      </c>
      <c r="H208" s="378">
        <v>0</v>
      </c>
      <c r="I208" s="378">
        <v>15173652.5</v>
      </c>
      <c r="J208" s="266">
        <f t="shared" si="4"/>
        <v>8</v>
      </c>
    </row>
    <row r="209" spans="1:10" ht="15.75" customHeight="1" x14ac:dyDescent="0.25">
      <c r="A209" s="380">
        <v>19551507</v>
      </c>
      <c r="B209" s="381" t="s">
        <v>321</v>
      </c>
      <c r="C209" s="381" t="s">
        <v>929</v>
      </c>
      <c r="D209" s="381" t="s">
        <v>717</v>
      </c>
      <c r="E209" s="381" t="s">
        <v>718</v>
      </c>
      <c r="F209" s="378">
        <v>685276</v>
      </c>
      <c r="G209" s="378">
        <v>221366</v>
      </c>
      <c r="H209" s="378">
        <v>20402</v>
      </c>
      <c r="I209" s="378">
        <v>886240</v>
      </c>
      <c r="J209" s="266">
        <f t="shared" si="4"/>
        <v>8</v>
      </c>
    </row>
    <row r="210" spans="1:10" ht="15.75" customHeight="1" x14ac:dyDescent="0.25">
      <c r="A210" s="380">
        <v>19551509</v>
      </c>
      <c r="B210" s="381" t="s">
        <v>321</v>
      </c>
      <c r="C210" s="381" t="s">
        <v>931</v>
      </c>
      <c r="D210" s="381" t="s">
        <v>315</v>
      </c>
      <c r="E210" s="381" t="s">
        <v>315</v>
      </c>
      <c r="F210" s="378">
        <v>109548.51</v>
      </c>
      <c r="G210" s="378">
        <v>0</v>
      </c>
      <c r="H210" s="378">
        <v>0</v>
      </c>
      <c r="I210" s="378">
        <v>109548.51</v>
      </c>
      <c r="J210" s="266">
        <f t="shared" si="4"/>
        <v>8</v>
      </c>
    </row>
    <row r="211" spans="1:10" ht="15.75" customHeight="1" x14ac:dyDescent="0.25">
      <c r="A211" s="380">
        <v>19551509</v>
      </c>
      <c r="B211" s="381" t="s">
        <v>321</v>
      </c>
      <c r="C211" s="381" t="s">
        <v>931</v>
      </c>
      <c r="D211" s="381" t="s">
        <v>328</v>
      </c>
      <c r="E211" s="381" t="s">
        <v>1521</v>
      </c>
      <c r="F211" s="378">
        <v>109548.51</v>
      </c>
      <c r="G211" s="378">
        <v>0</v>
      </c>
      <c r="H211" s="378">
        <v>0</v>
      </c>
      <c r="I211" s="378">
        <v>109548.51</v>
      </c>
      <c r="J211" s="266">
        <f t="shared" si="4"/>
        <v>8</v>
      </c>
    </row>
    <row r="212" spans="1:10" ht="15.75" customHeight="1" x14ac:dyDescent="0.25">
      <c r="A212" s="380">
        <v>195519</v>
      </c>
      <c r="B212" s="381" t="s">
        <v>321</v>
      </c>
      <c r="C212" s="381" t="s">
        <v>932</v>
      </c>
      <c r="D212" s="381" t="s">
        <v>315</v>
      </c>
      <c r="E212" s="381" t="s">
        <v>315</v>
      </c>
      <c r="F212" s="378">
        <v>36224000</v>
      </c>
      <c r="G212" s="378">
        <v>3802000</v>
      </c>
      <c r="H212" s="378">
        <v>0</v>
      </c>
      <c r="I212" s="378">
        <v>40026000</v>
      </c>
      <c r="J212" s="266">
        <f t="shared" si="4"/>
        <v>6</v>
      </c>
    </row>
    <row r="213" spans="1:10" ht="15.75" customHeight="1" x14ac:dyDescent="0.25">
      <c r="A213" s="380">
        <v>19551901</v>
      </c>
      <c r="B213" s="381" t="s">
        <v>321</v>
      </c>
      <c r="C213" s="381" t="s">
        <v>1067</v>
      </c>
      <c r="D213" s="381" t="s">
        <v>315</v>
      </c>
      <c r="E213" s="381" t="s">
        <v>315</v>
      </c>
      <c r="F213" s="378">
        <v>12010000</v>
      </c>
      <c r="G213" s="378">
        <v>3802000</v>
      </c>
      <c r="H213" s="378">
        <v>0</v>
      </c>
      <c r="I213" s="378">
        <v>15812000</v>
      </c>
      <c r="J213" s="266">
        <f t="shared" si="4"/>
        <v>8</v>
      </c>
    </row>
    <row r="214" spans="1:10" ht="15.75" customHeight="1" x14ac:dyDescent="0.25">
      <c r="A214" s="380">
        <v>19551901</v>
      </c>
      <c r="B214" s="381" t="s">
        <v>321</v>
      </c>
      <c r="C214" s="381" t="s">
        <v>1067</v>
      </c>
      <c r="D214" s="381" t="s">
        <v>725</v>
      </c>
      <c r="E214" s="381" t="s">
        <v>1540</v>
      </c>
      <c r="F214" s="378">
        <v>12010000</v>
      </c>
      <c r="G214" s="378">
        <v>3802000</v>
      </c>
      <c r="H214" s="378">
        <v>0</v>
      </c>
      <c r="I214" s="378">
        <v>15812000</v>
      </c>
      <c r="J214" s="266">
        <f t="shared" si="4"/>
        <v>8</v>
      </c>
    </row>
    <row r="215" spans="1:10" ht="15.75" customHeight="1" x14ac:dyDescent="0.25">
      <c r="A215" s="380">
        <v>19551903</v>
      </c>
      <c r="B215" s="381" t="s">
        <v>321</v>
      </c>
      <c r="C215" s="381" t="s">
        <v>1566</v>
      </c>
      <c r="D215" s="381" t="s">
        <v>315</v>
      </c>
      <c r="E215" s="381" t="s">
        <v>315</v>
      </c>
      <c r="F215" s="378">
        <v>24214000</v>
      </c>
      <c r="G215" s="378">
        <v>0</v>
      </c>
      <c r="H215" s="378">
        <v>0</v>
      </c>
      <c r="I215" s="378">
        <v>24214000</v>
      </c>
      <c r="J215" s="266">
        <f t="shared" si="4"/>
        <v>8</v>
      </c>
    </row>
    <row r="216" spans="1:10" ht="15.75" customHeight="1" x14ac:dyDescent="0.25">
      <c r="A216" s="380">
        <v>19551903</v>
      </c>
      <c r="B216" s="381" t="s">
        <v>321</v>
      </c>
      <c r="C216" s="381" t="s">
        <v>1566</v>
      </c>
      <c r="D216" s="381" t="s">
        <v>725</v>
      </c>
      <c r="E216" s="381" t="s">
        <v>1540</v>
      </c>
      <c r="F216" s="378">
        <v>24214000</v>
      </c>
      <c r="G216" s="378">
        <v>0</v>
      </c>
      <c r="H216" s="378">
        <v>0</v>
      </c>
      <c r="I216" s="378">
        <v>24214000</v>
      </c>
      <c r="J216" s="266">
        <f t="shared" si="4"/>
        <v>8</v>
      </c>
    </row>
    <row r="217" spans="1:10" ht="15.75" customHeight="1" x14ac:dyDescent="0.25">
      <c r="A217" s="380">
        <v>195520</v>
      </c>
      <c r="B217" s="381" t="s">
        <v>321</v>
      </c>
      <c r="C217" s="381" t="s">
        <v>935</v>
      </c>
      <c r="D217" s="381" t="s">
        <v>315</v>
      </c>
      <c r="E217" s="381" t="s">
        <v>315</v>
      </c>
      <c r="F217" s="378">
        <v>81157141.409999996</v>
      </c>
      <c r="G217" s="378">
        <v>0</v>
      </c>
      <c r="H217" s="378">
        <v>0</v>
      </c>
      <c r="I217" s="378">
        <v>81157141.409999996</v>
      </c>
      <c r="J217" s="266">
        <f t="shared" si="4"/>
        <v>6</v>
      </c>
    </row>
    <row r="218" spans="1:10" ht="15.75" customHeight="1" x14ac:dyDescent="0.25">
      <c r="A218" s="380">
        <v>19552002</v>
      </c>
      <c r="B218" s="381" t="s">
        <v>321</v>
      </c>
      <c r="C218" s="381" t="s">
        <v>1432</v>
      </c>
      <c r="D218" s="381" t="s">
        <v>315</v>
      </c>
      <c r="E218" s="381" t="s">
        <v>315</v>
      </c>
      <c r="F218" s="378">
        <v>78949000</v>
      </c>
      <c r="G218" s="378">
        <v>0</v>
      </c>
      <c r="H218" s="378">
        <v>0</v>
      </c>
      <c r="I218" s="378">
        <v>78949000</v>
      </c>
      <c r="J218" s="266">
        <f t="shared" si="4"/>
        <v>8</v>
      </c>
    </row>
    <row r="219" spans="1:10" ht="15.75" customHeight="1" x14ac:dyDescent="0.25">
      <c r="A219" s="380">
        <v>19552006</v>
      </c>
      <c r="B219" s="381" t="s">
        <v>321</v>
      </c>
      <c r="C219" s="381" t="s">
        <v>936</v>
      </c>
      <c r="D219" s="381" t="s">
        <v>315</v>
      </c>
      <c r="E219" s="381" t="s">
        <v>315</v>
      </c>
      <c r="F219" s="378">
        <v>1.16415321826935E-9</v>
      </c>
      <c r="G219" s="378">
        <v>0</v>
      </c>
      <c r="H219" s="378">
        <v>0</v>
      </c>
      <c r="I219" s="378">
        <v>1.16415321826935E-9</v>
      </c>
      <c r="J219" s="266">
        <f t="shared" si="4"/>
        <v>8</v>
      </c>
    </row>
    <row r="220" spans="1:10" ht="15.75" customHeight="1" x14ac:dyDescent="0.25">
      <c r="A220" s="380">
        <v>19552006</v>
      </c>
      <c r="B220" s="381" t="s">
        <v>321</v>
      </c>
      <c r="C220" s="381" t="s">
        <v>936</v>
      </c>
      <c r="D220" s="381" t="s">
        <v>356</v>
      </c>
      <c r="E220" s="381" t="s">
        <v>357</v>
      </c>
      <c r="F220" s="378">
        <v>1.16415321826935E-9</v>
      </c>
      <c r="G220" s="378">
        <v>0</v>
      </c>
      <c r="H220" s="378">
        <v>0</v>
      </c>
      <c r="I220" s="378">
        <v>1.16415321826935E-9</v>
      </c>
      <c r="J220" s="266">
        <f t="shared" si="4"/>
        <v>8</v>
      </c>
    </row>
    <row r="221" spans="1:10" ht="15.75" customHeight="1" x14ac:dyDescent="0.25">
      <c r="A221" s="380">
        <v>19552011</v>
      </c>
      <c r="B221" s="381" t="s">
        <v>321</v>
      </c>
      <c r="C221" s="381" t="s">
        <v>1567</v>
      </c>
      <c r="D221" s="381" t="s">
        <v>315</v>
      </c>
      <c r="E221" s="381" t="s">
        <v>315</v>
      </c>
      <c r="F221" s="378">
        <v>1686141.41</v>
      </c>
      <c r="G221" s="378">
        <v>0</v>
      </c>
      <c r="H221" s="378">
        <v>0</v>
      </c>
      <c r="I221" s="378">
        <v>1686141.41</v>
      </c>
      <c r="J221" s="266">
        <f t="shared" si="4"/>
        <v>8</v>
      </c>
    </row>
    <row r="222" spans="1:10" ht="15.75" customHeight="1" x14ac:dyDescent="0.25">
      <c r="A222" s="380">
        <v>19552011</v>
      </c>
      <c r="B222" s="381" t="s">
        <v>321</v>
      </c>
      <c r="C222" s="381" t="s">
        <v>1567</v>
      </c>
      <c r="D222" s="381" t="s">
        <v>356</v>
      </c>
      <c r="E222" s="381" t="s">
        <v>357</v>
      </c>
      <c r="F222" s="378">
        <v>1686141.41</v>
      </c>
      <c r="G222" s="378">
        <v>0</v>
      </c>
      <c r="H222" s="378">
        <v>0</v>
      </c>
      <c r="I222" s="378">
        <v>1686141.41</v>
      </c>
      <c r="J222" s="266">
        <f t="shared" si="4"/>
        <v>8</v>
      </c>
    </row>
    <row r="223" spans="1:10" ht="15.75" customHeight="1" x14ac:dyDescent="0.25">
      <c r="A223" s="380">
        <v>19552012</v>
      </c>
      <c r="B223" s="381" t="s">
        <v>321</v>
      </c>
      <c r="C223" s="381" t="s">
        <v>1568</v>
      </c>
      <c r="D223" s="381" t="s">
        <v>315</v>
      </c>
      <c r="E223" s="381" t="s">
        <v>315</v>
      </c>
      <c r="F223" s="378">
        <v>522000</v>
      </c>
      <c r="G223" s="378">
        <v>0</v>
      </c>
      <c r="H223" s="378">
        <v>0</v>
      </c>
      <c r="I223" s="378">
        <v>522000</v>
      </c>
      <c r="J223" s="266">
        <f t="shared" si="4"/>
        <v>8</v>
      </c>
    </row>
    <row r="224" spans="1:10" ht="15.75" customHeight="1" x14ac:dyDescent="0.25">
      <c r="A224" s="380">
        <v>19552012</v>
      </c>
      <c r="B224" s="381" t="s">
        <v>321</v>
      </c>
      <c r="C224" s="381" t="s">
        <v>1568</v>
      </c>
      <c r="D224" s="381" t="s">
        <v>1569</v>
      </c>
      <c r="E224" s="381" t="s">
        <v>1570</v>
      </c>
      <c r="F224" s="378">
        <v>522000</v>
      </c>
      <c r="G224" s="378">
        <v>0</v>
      </c>
      <c r="H224" s="378">
        <v>0</v>
      </c>
      <c r="I224" s="378">
        <v>522000</v>
      </c>
      <c r="J224" s="266">
        <f t="shared" si="4"/>
        <v>8</v>
      </c>
    </row>
    <row r="225" spans="1:10" ht="15.75" customHeight="1" x14ac:dyDescent="0.25">
      <c r="A225" s="380">
        <v>2</v>
      </c>
      <c r="B225" s="381" t="s">
        <v>315</v>
      </c>
      <c r="C225" s="381" t="s">
        <v>63</v>
      </c>
      <c r="D225" s="381" t="s">
        <v>315</v>
      </c>
      <c r="E225" s="381" t="s">
        <v>315</v>
      </c>
      <c r="F225" s="378">
        <v>-1168434579.79</v>
      </c>
      <c r="G225" s="378">
        <v>460162418.64999998</v>
      </c>
      <c r="H225" s="378">
        <v>472522533.62</v>
      </c>
      <c r="I225" s="378">
        <v>-1180794694.76</v>
      </c>
      <c r="J225" s="266">
        <f t="shared" si="4"/>
        <v>1</v>
      </c>
    </row>
    <row r="226" spans="1:10" ht="15.75" customHeight="1" x14ac:dyDescent="0.25">
      <c r="A226" s="380">
        <v>21</v>
      </c>
      <c r="B226" s="381" t="s">
        <v>315</v>
      </c>
      <c r="C226" s="381" t="s">
        <v>423</v>
      </c>
      <c r="D226" s="381" t="s">
        <v>315</v>
      </c>
      <c r="E226" s="381" t="s">
        <v>315</v>
      </c>
      <c r="F226" s="378">
        <v>-799574265</v>
      </c>
      <c r="G226" s="378">
        <v>6775473</v>
      </c>
      <c r="H226" s="378">
        <v>0</v>
      </c>
      <c r="I226" s="378">
        <v>-792798792</v>
      </c>
      <c r="J226" s="266">
        <f t="shared" si="4"/>
        <v>2</v>
      </c>
    </row>
    <row r="227" spans="1:10" ht="15.75" customHeight="1" x14ac:dyDescent="0.25">
      <c r="A227" s="380">
        <v>2105</v>
      </c>
      <c r="B227" s="381" t="s">
        <v>315</v>
      </c>
      <c r="C227" s="381" t="s">
        <v>68</v>
      </c>
      <c r="D227" s="381" t="s">
        <v>315</v>
      </c>
      <c r="E227" s="381" t="s">
        <v>315</v>
      </c>
      <c r="F227" s="378">
        <v>-60979260</v>
      </c>
      <c r="G227" s="378">
        <v>6775473</v>
      </c>
      <c r="H227" s="378">
        <v>0</v>
      </c>
      <c r="I227" s="378">
        <v>-54203787</v>
      </c>
      <c r="J227" s="266">
        <f t="shared" si="4"/>
        <v>4</v>
      </c>
    </row>
    <row r="228" spans="1:10" ht="15.75" customHeight="1" x14ac:dyDescent="0.25">
      <c r="A228" s="380">
        <v>210510</v>
      </c>
      <c r="B228" s="381" t="s">
        <v>315</v>
      </c>
      <c r="C228" s="381" t="s">
        <v>937</v>
      </c>
      <c r="D228" s="381" t="s">
        <v>315</v>
      </c>
      <c r="E228" s="381" t="s">
        <v>315</v>
      </c>
      <c r="F228" s="378">
        <v>-60979260</v>
      </c>
      <c r="G228" s="378">
        <v>6775473</v>
      </c>
      <c r="H228" s="378">
        <v>0</v>
      </c>
      <c r="I228" s="378">
        <v>-54203787</v>
      </c>
      <c r="J228" s="266">
        <f t="shared" si="4"/>
        <v>6</v>
      </c>
    </row>
    <row r="229" spans="1:10" ht="15.75" customHeight="1" x14ac:dyDescent="0.25">
      <c r="A229" s="380">
        <v>21051005</v>
      </c>
      <c r="B229" s="381" t="s">
        <v>321</v>
      </c>
      <c r="C229" s="381" t="s">
        <v>1571</v>
      </c>
      <c r="D229" s="381" t="s">
        <v>315</v>
      </c>
      <c r="E229" s="381" t="s">
        <v>315</v>
      </c>
      <c r="F229" s="378">
        <v>-60979260</v>
      </c>
      <c r="G229" s="378">
        <v>6775473</v>
      </c>
      <c r="H229" s="378">
        <v>0</v>
      </c>
      <c r="I229" s="378">
        <v>-54203787</v>
      </c>
      <c r="J229" s="266">
        <f t="shared" si="4"/>
        <v>8</v>
      </c>
    </row>
    <row r="230" spans="1:10" ht="15.75" customHeight="1" x14ac:dyDescent="0.25">
      <c r="A230" s="380">
        <v>21051005</v>
      </c>
      <c r="B230" s="381" t="s">
        <v>321</v>
      </c>
      <c r="C230" s="381" t="s">
        <v>1571</v>
      </c>
      <c r="D230" s="381" t="s">
        <v>329</v>
      </c>
      <c r="E230" s="381" t="s">
        <v>330</v>
      </c>
      <c r="F230" s="378">
        <v>-60979260</v>
      </c>
      <c r="G230" s="378">
        <v>6775473</v>
      </c>
      <c r="H230" s="378">
        <v>0</v>
      </c>
      <c r="I230" s="378">
        <v>-54203787</v>
      </c>
      <c r="J230" s="266">
        <f t="shared" si="4"/>
        <v>8</v>
      </c>
    </row>
    <row r="231" spans="1:10" ht="15.75" customHeight="1" x14ac:dyDescent="0.25">
      <c r="A231" s="380">
        <v>2120</v>
      </c>
      <c r="B231" s="381" t="s">
        <v>315</v>
      </c>
      <c r="C231" s="381" t="s">
        <v>948</v>
      </c>
      <c r="D231" s="381" t="s">
        <v>315</v>
      </c>
      <c r="E231" s="381" t="s">
        <v>315</v>
      </c>
      <c r="F231" s="378">
        <v>-738595005</v>
      </c>
      <c r="G231" s="378">
        <v>0</v>
      </c>
      <c r="H231" s="378">
        <v>0</v>
      </c>
      <c r="I231" s="378">
        <v>-738595005</v>
      </c>
      <c r="J231" s="266">
        <f t="shared" si="4"/>
        <v>4</v>
      </c>
    </row>
    <row r="232" spans="1:10" ht="15.75" customHeight="1" x14ac:dyDescent="0.25">
      <c r="A232" s="380">
        <v>212020</v>
      </c>
      <c r="B232" s="381" t="s">
        <v>315</v>
      </c>
      <c r="C232" s="381" t="s">
        <v>949</v>
      </c>
      <c r="D232" s="381" t="s">
        <v>315</v>
      </c>
      <c r="E232" s="381" t="s">
        <v>315</v>
      </c>
      <c r="F232" s="378">
        <v>-738595005</v>
      </c>
      <c r="G232" s="378">
        <v>0</v>
      </c>
      <c r="H232" s="378">
        <v>0</v>
      </c>
      <c r="I232" s="378">
        <v>-738595005</v>
      </c>
      <c r="J232" s="266">
        <f t="shared" si="4"/>
        <v>6</v>
      </c>
    </row>
    <row r="233" spans="1:10" ht="15.75" customHeight="1" x14ac:dyDescent="0.25">
      <c r="A233" s="380">
        <v>21202001</v>
      </c>
      <c r="B233" s="381" t="s">
        <v>315</v>
      </c>
      <c r="C233" s="381" t="s">
        <v>949</v>
      </c>
      <c r="D233" s="381" t="s">
        <v>315</v>
      </c>
      <c r="E233" s="381" t="s">
        <v>315</v>
      </c>
      <c r="F233" s="378">
        <v>-738595005</v>
      </c>
      <c r="G233" s="378">
        <v>0</v>
      </c>
      <c r="H233" s="378">
        <v>0</v>
      </c>
      <c r="I233" s="378">
        <v>-738595005</v>
      </c>
      <c r="J233" s="266">
        <f t="shared" si="4"/>
        <v>8</v>
      </c>
    </row>
    <row r="234" spans="1:10" ht="15.75" customHeight="1" x14ac:dyDescent="0.25">
      <c r="A234" s="380">
        <v>21202001</v>
      </c>
      <c r="B234" s="381" t="s">
        <v>315</v>
      </c>
      <c r="C234" s="381" t="s">
        <v>949</v>
      </c>
      <c r="D234" s="381" t="s">
        <v>440</v>
      </c>
      <c r="E234" s="381" t="s">
        <v>441</v>
      </c>
      <c r="F234" s="378">
        <v>-738595005</v>
      </c>
      <c r="G234" s="378">
        <v>0</v>
      </c>
      <c r="H234" s="378">
        <v>0</v>
      </c>
      <c r="I234" s="378">
        <v>-738595005</v>
      </c>
      <c r="J234" s="266">
        <f t="shared" si="4"/>
        <v>8</v>
      </c>
    </row>
    <row r="235" spans="1:10" ht="15.75" customHeight="1" x14ac:dyDescent="0.25">
      <c r="A235" s="380">
        <v>22</v>
      </c>
      <c r="B235" s="381" t="s">
        <v>315</v>
      </c>
      <c r="C235" s="381" t="s">
        <v>72</v>
      </c>
      <c r="D235" s="381" t="s">
        <v>315</v>
      </c>
      <c r="E235" s="381" t="s">
        <v>315</v>
      </c>
      <c r="F235" s="378">
        <v>-101798632</v>
      </c>
      <c r="G235" s="378">
        <v>247928033</v>
      </c>
      <c r="H235" s="378">
        <v>259783110</v>
      </c>
      <c r="I235" s="378">
        <v>-113653709</v>
      </c>
      <c r="J235" s="266">
        <f t="shared" si="4"/>
        <v>2</v>
      </c>
    </row>
    <row r="236" spans="1:10" ht="15.75" customHeight="1" x14ac:dyDescent="0.25">
      <c r="A236" s="380">
        <v>2205</v>
      </c>
      <c r="B236" s="381" t="s">
        <v>315</v>
      </c>
      <c r="C236" s="381" t="s">
        <v>332</v>
      </c>
      <c r="D236" s="381" t="s">
        <v>315</v>
      </c>
      <c r="E236" s="381" t="s">
        <v>315</v>
      </c>
      <c r="F236" s="378">
        <v>-101798632</v>
      </c>
      <c r="G236" s="378">
        <v>247928033</v>
      </c>
      <c r="H236" s="378">
        <v>259783110</v>
      </c>
      <c r="I236" s="378">
        <v>-113653709</v>
      </c>
      <c r="J236" s="266">
        <f t="shared" si="4"/>
        <v>4</v>
      </c>
    </row>
    <row r="237" spans="1:10" ht="15.75" customHeight="1" x14ac:dyDescent="0.25">
      <c r="A237" s="380">
        <v>220501</v>
      </c>
      <c r="B237" s="381" t="s">
        <v>315</v>
      </c>
      <c r="C237" s="381" t="s">
        <v>332</v>
      </c>
      <c r="D237" s="381" t="s">
        <v>315</v>
      </c>
      <c r="E237" s="381" t="s">
        <v>315</v>
      </c>
      <c r="F237" s="378">
        <v>-101798632</v>
      </c>
      <c r="G237" s="378">
        <v>247928033</v>
      </c>
      <c r="H237" s="378">
        <v>259783110</v>
      </c>
      <c r="I237" s="378">
        <v>-113653709</v>
      </c>
      <c r="J237" s="266">
        <f t="shared" si="4"/>
        <v>6</v>
      </c>
    </row>
    <row r="238" spans="1:10" ht="15.75" customHeight="1" x14ac:dyDescent="0.25">
      <c r="A238" s="380">
        <v>22050101</v>
      </c>
      <c r="B238" s="381" t="s">
        <v>321</v>
      </c>
      <c r="C238" s="381" t="s">
        <v>73</v>
      </c>
      <c r="D238" s="381" t="s">
        <v>315</v>
      </c>
      <c r="E238" s="381" t="s">
        <v>315</v>
      </c>
      <c r="F238" s="378">
        <v>-101798632</v>
      </c>
      <c r="G238" s="378">
        <v>247000523</v>
      </c>
      <c r="H238" s="378">
        <v>258855600</v>
      </c>
      <c r="I238" s="378">
        <v>-113653709</v>
      </c>
      <c r="J238" s="266">
        <f t="shared" si="4"/>
        <v>8</v>
      </c>
    </row>
    <row r="239" spans="1:10" ht="15.75" customHeight="1" x14ac:dyDescent="0.25">
      <c r="A239" s="380">
        <v>22050101</v>
      </c>
      <c r="B239" s="381" t="s">
        <v>321</v>
      </c>
      <c r="C239" s="381" t="s">
        <v>73</v>
      </c>
      <c r="D239" s="381" t="s">
        <v>1572</v>
      </c>
      <c r="E239" s="381" t="s">
        <v>1573</v>
      </c>
      <c r="F239" s="378">
        <v>0</v>
      </c>
      <c r="G239" s="378">
        <v>9628500</v>
      </c>
      <c r="H239" s="378">
        <v>9628500</v>
      </c>
      <c r="I239" s="378">
        <v>0</v>
      </c>
      <c r="J239" s="266">
        <f t="shared" si="4"/>
        <v>8</v>
      </c>
    </row>
    <row r="240" spans="1:10" ht="15.75" customHeight="1" x14ac:dyDescent="0.25">
      <c r="A240" s="380">
        <v>22050101</v>
      </c>
      <c r="B240" s="381" t="s">
        <v>321</v>
      </c>
      <c r="C240" s="381" t="s">
        <v>73</v>
      </c>
      <c r="D240" s="381" t="s">
        <v>1434</v>
      </c>
      <c r="E240" s="381" t="s">
        <v>1435</v>
      </c>
      <c r="F240" s="378">
        <v>0</v>
      </c>
      <c r="G240" s="378">
        <v>2914533</v>
      </c>
      <c r="H240" s="378">
        <v>2914533</v>
      </c>
      <c r="I240" s="378">
        <v>0</v>
      </c>
      <c r="J240" s="266">
        <f t="shared" si="4"/>
        <v>8</v>
      </c>
    </row>
    <row r="241" spans="1:10" ht="15.75" customHeight="1" x14ac:dyDescent="0.25">
      <c r="A241" s="380">
        <v>22050101</v>
      </c>
      <c r="B241" s="381" t="s">
        <v>321</v>
      </c>
      <c r="C241" s="381" t="s">
        <v>73</v>
      </c>
      <c r="D241" s="381" t="s">
        <v>496</v>
      </c>
      <c r="E241" s="381" t="s">
        <v>1545</v>
      </c>
      <c r="F241" s="378">
        <v>-544750</v>
      </c>
      <c r="G241" s="378">
        <v>545550</v>
      </c>
      <c r="H241" s="378">
        <v>1238200</v>
      </c>
      <c r="I241" s="378">
        <v>-1237400</v>
      </c>
      <c r="J241" s="266">
        <f t="shared" si="4"/>
        <v>8</v>
      </c>
    </row>
    <row r="242" spans="1:10" ht="15.75" customHeight="1" x14ac:dyDescent="0.25">
      <c r="A242" s="380">
        <v>22050101</v>
      </c>
      <c r="B242" s="381" t="s">
        <v>321</v>
      </c>
      <c r="C242" s="381" t="s">
        <v>73</v>
      </c>
      <c r="D242" s="381" t="s">
        <v>1038</v>
      </c>
      <c r="E242" s="381" t="s">
        <v>1039</v>
      </c>
      <c r="F242" s="378">
        <v>-5686953</v>
      </c>
      <c r="G242" s="378">
        <v>0</v>
      </c>
      <c r="H242" s="378">
        <v>0</v>
      </c>
      <c r="I242" s="378">
        <v>-5686953</v>
      </c>
      <c r="J242" s="266">
        <f t="shared" si="4"/>
        <v>8</v>
      </c>
    </row>
    <row r="243" spans="1:10" ht="15.75" customHeight="1" x14ac:dyDescent="0.25">
      <c r="A243" s="380">
        <v>22050101</v>
      </c>
      <c r="B243" s="381" t="s">
        <v>321</v>
      </c>
      <c r="C243" s="381" t="s">
        <v>73</v>
      </c>
      <c r="D243" s="381" t="s">
        <v>963</v>
      </c>
      <c r="E243" s="381" t="s">
        <v>1574</v>
      </c>
      <c r="F243" s="378">
        <v>0</v>
      </c>
      <c r="G243" s="378">
        <v>0</v>
      </c>
      <c r="H243" s="378">
        <v>90000</v>
      </c>
      <c r="I243" s="378">
        <v>-90000</v>
      </c>
      <c r="J243" s="266">
        <f t="shared" si="4"/>
        <v>8</v>
      </c>
    </row>
    <row r="244" spans="1:10" ht="15.75" customHeight="1" x14ac:dyDescent="0.25">
      <c r="A244" s="380">
        <v>22050101</v>
      </c>
      <c r="B244" s="381" t="s">
        <v>321</v>
      </c>
      <c r="C244" s="381" t="s">
        <v>73</v>
      </c>
      <c r="D244" s="381" t="s">
        <v>965</v>
      </c>
      <c r="E244" s="381" t="s">
        <v>966</v>
      </c>
      <c r="F244" s="378">
        <v>-225000</v>
      </c>
      <c r="G244" s="378">
        <v>225000</v>
      </c>
      <c r="H244" s="378">
        <v>680000</v>
      </c>
      <c r="I244" s="378">
        <v>-680000</v>
      </c>
      <c r="J244" s="266">
        <f t="shared" si="4"/>
        <v>8</v>
      </c>
    </row>
    <row r="245" spans="1:10" ht="15.75" customHeight="1" x14ac:dyDescent="0.25">
      <c r="A245" s="380">
        <v>22050101</v>
      </c>
      <c r="B245" s="381" t="s">
        <v>321</v>
      </c>
      <c r="C245" s="381" t="s">
        <v>73</v>
      </c>
      <c r="D245" s="381" t="s">
        <v>1436</v>
      </c>
      <c r="E245" s="381" t="s">
        <v>1437</v>
      </c>
      <c r="F245" s="378">
        <v>0</v>
      </c>
      <c r="G245" s="378">
        <v>2914533</v>
      </c>
      <c r="H245" s="378">
        <v>2914533</v>
      </c>
      <c r="I245" s="378">
        <v>0</v>
      </c>
      <c r="J245" s="266">
        <f t="shared" si="4"/>
        <v>8</v>
      </c>
    </row>
    <row r="246" spans="1:10" ht="15.75" customHeight="1" x14ac:dyDescent="0.25">
      <c r="A246" s="380">
        <v>22050101</v>
      </c>
      <c r="B246" s="381" t="s">
        <v>321</v>
      </c>
      <c r="C246" s="381" t="s">
        <v>73</v>
      </c>
      <c r="D246" s="381" t="s">
        <v>732</v>
      </c>
      <c r="E246" s="381" t="s">
        <v>1575</v>
      </c>
      <c r="F246" s="378">
        <v>-492400</v>
      </c>
      <c r="G246" s="378">
        <v>492400</v>
      </c>
      <c r="H246" s="378">
        <v>582800</v>
      </c>
      <c r="I246" s="378">
        <v>-582800</v>
      </c>
      <c r="J246" s="266">
        <f t="shared" si="4"/>
        <v>8</v>
      </c>
    </row>
    <row r="247" spans="1:10" ht="15.75" customHeight="1" x14ac:dyDescent="0.25">
      <c r="A247" s="380">
        <v>22050101</v>
      </c>
      <c r="B247" s="381" t="s">
        <v>321</v>
      </c>
      <c r="C247" s="381" t="s">
        <v>73</v>
      </c>
      <c r="D247" s="381" t="s">
        <v>757</v>
      </c>
      <c r="E247" s="381" t="s">
        <v>758</v>
      </c>
      <c r="F247" s="378">
        <v>-2</v>
      </c>
      <c r="G247" s="378">
        <v>0</v>
      </c>
      <c r="H247" s="378">
        <v>0</v>
      </c>
      <c r="I247" s="378">
        <v>-2</v>
      </c>
      <c r="J247" s="266">
        <f t="shared" si="4"/>
        <v>8</v>
      </c>
    </row>
    <row r="248" spans="1:10" ht="15.75" customHeight="1" x14ac:dyDescent="0.25">
      <c r="A248" s="380">
        <v>22050101</v>
      </c>
      <c r="B248" s="381" t="s">
        <v>321</v>
      </c>
      <c r="C248" s="381" t="s">
        <v>73</v>
      </c>
      <c r="D248" s="381" t="s">
        <v>493</v>
      </c>
      <c r="E248" s="381" t="s">
        <v>1522</v>
      </c>
      <c r="F248" s="378">
        <v>-1025865</v>
      </c>
      <c r="G248" s="378">
        <v>0</v>
      </c>
      <c r="H248" s="378">
        <v>0</v>
      </c>
      <c r="I248" s="378">
        <v>-1025865</v>
      </c>
      <c r="J248" s="266">
        <f t="shared" si="4"/>
        <v>8</v>
      </c>
    </row>
    <row r="249" spans="1:10" ht="15.75" customHeight="1" x14ac:dyDescent="0.25">
      <c r="A249" s="380">
        <v>22050101</v>
      </c>
      <c r="B249" s="381" t="s">
        <v>321</v>
      </c>
      <c r="C249" s="381" t="s">
        <v>73</v>
      </c>
      <c r="D249" s="381" t="s">
        <v>383</v>
      </c>
      <c r="E249" s="381" t="s">
        <v>384</v>
      </c>
      <c r="F249" s="378">
        <v>-4</v>
      </c>
      <c r="G249" s="378">
        <v>0</v>
      </c>
      <c r="H249" s="378">
        <v>0</v>
      </c>
      <c r="I249" s="378">
        <v>-4</v>
      </c>
      <c r="J249" s="266">
        <f t="shared" si="4"/>
        <v>8</v>
      </c>
    </row>
    <row r="250" spans="1:10" ht="15.75" customHeight="1" x14ac:dyDescent="0.25">
      <c r="A250" s="380">
        <v>22050101</v>
      </c>
      <c r="B250" s="381" t="s">
        <v>321</v>
      </c>
      <c r="C250" s="381" t="s">
        <v>73</v>
      </c>
      <c r="D250" s="381" t="s">
        <v>630</v>
      </c>
      <c r="E250" s="381" t="s">
        <v>1542</v>
      </c>
      <c r="F250" s="378">
        <v>-2739703</v>
      </c>
      <c r="G250" s="378">
        <v>2764703</v>
      </c>
      <c r="H250" s="378">
        <v>2609915</v>
      </c>
      <c r="I250" s="378">
        <v>-2584915</v>
      </c>
      <c r="J250" s="266">
        <f t="shared" si="4"/>
        <v>8</v>
      </c>
    </row>
    <row r="251" spans="1:10" ht="15.75" customHeight="1" x14ac:dyDescent="0.25">
      <c r="A251" s="380">
        <v>22050101</v>
      </c>
      <c r="B251" s="381" t="s">
        <v>321</v>
      </c>
      <c r="C251" s="381" t="s">
        <v>73</v>
      </c>
      <c r="D251" s="381" t="s">
        <v>978</v>
      </c>
      <c r="E251" s="381" t="s">
        <v>979</v>
      </c>
      <c r="F251" s="378">
        <v>-968510</v>
      </c>
      <c r="G251" s="378">
        <v>968511</v>
      </c>
      <c r="H251" s="378">
        <v>968511</v>
      </c>
      <c r="I251" s="378">
        <v>-968510</v>
      </c>
      <c r="J251" s="266">
        <f t="shared" si="4"/>
        <v>8</v>
      </c>
    </row>
    <row r="252" spans="1:10" ht="15.75" customHeight="1" x14ac:dyDescent="0.25">
      <c r="A252" s="380">
        <v>22050101</v>
      </c>
      <c r="B252" s="381" t="s">
        <v>321</v>
      </c>
      <c r="C252" s="381" t="s">
        <v>73</v>
      </c>
      <c r="D252" s="381" t="s">
        <v>399</v>
      </c>
      <c r="E252" s="381" t="s">
        <v>863</v>
      </c>
      <c r="F252" s="378">
        <v>0</v>
      </c>
      <c r="G252" s="378">
        <v>0</v>
      </c>
      <c r="H252" s="378">
        <v>541450</v>
      </c>
      <c r="I252" s="378">
        <v>-541450</v>
      </c>
      <c r="J252" s="266">
        <f t="shared" si="4"/>
        <v>8</v>
      </c>
    </row>
    <row r="253" spans="1:10" ht="15.75" customHeight="1" x14ac:dyDescent="0.25">
      <c r="A253" s="380">
        <v>22050101</v>
      </c>
      <c r="B253" s="381" t="s">
        <v>321</v>
      </c>
      <c r="C253" s="381" t="s">
        <v>73</v>
      </c>
      <c r="D253" s="381" t="s">
        <v>1474</v>
      </c>
      <c r="E253" s="381" t="s">
        <v>1475</v>
      </c>
      <c r="F253" s="378">
        <v>0</v>
      </c>
      <c r="G253" s="378">
        <v>0</v>
      </c>
      <c r="H253" s="378">
        <v>19318698</v>
      </c>
      <c r="I253" s="378">
        <v>-19318698</v>
      </c>
      <c r="J253" s="266">
        <f t="shared" si="4"/>
        <v>8</v>
      </c>
    </row>
    <row r="254" spans="1:10" ht="15.75" customHeight="1" x14ac:dyDescent="0.25">
      <c r="A254" s="380">
        <v>22050101</v>
      </c>
      <c r="B254" s="381" t="s">
        <v>321</v>
      </c>
      <c r="C254" s="381" t="s">
        <v>73</v>
      </c>
      <c r="D254" s="381" t="s">
        <v>982</v>
      </c>
      <c r="E254" s="381" t="s">
        <v>1576</v>
      </c>
      <c r="F254" s="378">
        <v>0</v>
      </c>
      <c r="G254" s="378">
        <v>473000</v>
      </c>
      <c r="H254" s="378">
        <v>473000</v>
      </c>
      <c r="I254" s="378">
        <v>0</v>
      </c>
      <c r="J254" s="266">
        <f t="shared" si="4"/>
        <v>8</v>
      </c>
    </row>
    <row r="255" spans="1:10" ht="15.75" customHeight="1" x14ac:dyDescent="0.25">
      <c r="A255" s="380">
        <v>22050101</v>
      </c>
      <c r="B255" s="381" t="s">
        <v>321</v>
      </c>
      <c r="C255" s="381" t="s">
        <v>73</v>
      </c>
      <c r="D255" s="381" t="s">
        <v>367</v>
      </c>
      <c r="E255" s="381" t="s">
        <v>1543</v>
      </c>
      <c r="F255" s="378">
        <v>-6199139</v>
      </c>
      <c r="G255" s="378">
        <v>7299312</v>
      </c>
      <c r="H255" s="378">
        <v>10093037</v>
      </c>
      <c r="I255" s="378">
        <v>-8992864</v>
      </c>
      <c r="J255" s="266">
        <f t="shared" si="4"/>
        <v>8</v>
      </c>
    </row>
    <row r="256" spans="1:10" ht="15.75" customHeight="1" x14ac:dyDescent="0.25">
      <c r="A256" s="380">
        <v>22050101</v>
      </c>
      <c r="B256" s="381" t="s">
        <v>321</v>
      </c>
      <c r="C256" s="381" t="s">
        <v>73</v>
      </c>
      <c r="D256" s="381" t="s">
        <v>369</v>
      </c>
      <c r="E256" s="381" t="s">
        <v>815</v>
      </c>
      <c r="F256" s="378">
        <v>-2184004</v>
      </c>
      <c r="G256" s="378">
        <v>2229532</v>
      </c>
      <c r="H256" s="378">
        <v>3169773</v>
      </c>
      <c r="I256" s="378">
        <v>-3124245</v>
      </c>
      <c r="J256" s="266">
        <f t="shared" si="4"/>
        <v>8</v>
      </c>
    </row>
    <row r="257" spans="1:10" ht="15.75" customHeight="1" x14ac:dyDescent="0.25">
      <c r="A257" s="380">
        <v>22050101</v>
      </c>
      <c r="B257" s="381" t="s">
        <v>321</v>
      </c>
      <c r="C257" s="381" t="s">
        <v>73</v>
      </c>
      <c r="D257" s="381" t="s">
        <v>340</v>
      </c>
      <c r="E257" s="381" t="s">
        <v>341</v>
      </c>
      <c r="F257" s="378">
        <v>-213932</v>
      </c>
      <c r="G257" s="378">
        <v>4290478</v>
      </c>
      <c r="H257" s="378">
        <v>4076547</v>
      </c>
      <c r="I257" s="378">
        <v>-1</v>
      </c>
      <c r="J257" s="266">
        <f t="shared" si="4"/>
        <v>8</v>
      </c>
    </row>
    <row r="258" spans="1:10" ht="15.75" customHeight="1" x14ac:dyDescent="0.25">
      <c r="A258" s="380">
        <v>22050101</v>
      </c>
      <c r="B258" s="381" t="s">
        <v>321</v>
      </c>
      <c r="C258" s="381" t="s">
        <v>73</v>
      </c>
      <c r="D258" s="381" t="s">
        <v>472</v>
      </c>
      <c r="E258" s="381" t="s">
        <v>473</v>
      </c>
      <c r="F258" s="378">
        <v>0</v>
      </c>
      <c r="G258" s="378">
        <v>12100</v>
      </c>
      <c r="H258" s="378">
        <v>12100</v>
      </c>
      <c r="I258" s="378">
        <v>0</v>
      </c>
      <c r="J258" s="266">
        <f t="shared" si="4"/>
        <v>8</v>
      </c>
    </row>
    <row r="259" spans="1:10" ht="15.75" customHeight="1" x14ac:dyDescent="0.25">
      <c r="A259" s="380">
        <v>22050101</v>
      </c>
      <c r="B259" s="381" t="s">
        <v>321</v>
      </c>
      <c r="C259" s="381" t="s">
        <v>73</v>
      </c>
      <c r="D259" s="381" t="s">
        <v>678</v>
      </c>
      <c r="E259" s="381" t="s">
        <v>679</v>
      </c>
      <c r="F259" s="378">
        <v>-33050051</v>
      </c>
      <c r="G259" s="378">
        <v>33049750</v>
      </c>
      <c r="H259" s="378">
        <v>0</v>
      </c>
      <c r="I259" s="378">
        <v>-301</v>
      </c>
      <c r="J259" s="266">
        <f t="shared" si="4"/>
        <v>8</v>
      </c>
    </row>
    <row r="260" spans="1:10" ht="15.75" customHeight="1" x14ac:dyDescent="0.25">
      <c r="A260" s="380">
        <v>22050101</v>
      </c>
      <c r="B260" s="381" t="s">
        <v>321</v>
      </c>
      <c r="C260" s="381" t="s">
        <v>73</v>
      </c>
      <c r="D260" s="381" t="s">
        <v>680</v>
      </c>
      <c r="E260" s="381" t="s">
        <v>681</v>
      </c>
      <c r="F260" s="378">
        <v>0</v>
      </c>
      <c r="G260" s="378">
        <v>1110300</v>
      </c>
      <c r="H260" s="378">
        <v>1110300</v>
      </c>
      <c r="I260" s="378">
        <v>0</v>
      </c>
      <c r="J260" s="266">
        <f t="shared" si="4"/>
        <v>8</v>
      </c>
    </row>
    <row r="261" spans="1:10" ht="15.75" customHeight="1" x14ac:dyDescent="0.25">
      <c r="A261" s="380">
        <v>22050101</v>
      </c>
      <c r="B261" s="381" t="s">
        <v>321</v>
      </c>
      <c r="C261" s="381" t="s">
        <v>73</v>
      </c>
      <c r="D261" s="381" t="s">
        <v>1569</v>
      </c>
      <c r="E261" s="381" t="s">
        <v>1570</v>
      </c>
      <c r="F261" s="378">
        <v>0</v>
      </c>
      <c r="G261" s="378">
        <v>582132</v>
      </c>
      <c r="H261" s="378">
        <v>582132</v>
      </c>
      <c r="I261" s="378">
        <v>0</v>
      </c>
      <c r="J261" s="266">
        <f t="shared" si="4"/>
        <v>8</v>
      </c>
    </row>
    <row r="262" spans="1:10" ht="15.75" customHeight="1" x14ac:dyDescent="0.25">
      <c r="A262" s="380">
        <v>22050101</v>
      </c>
      <c r="B262" s="381" t="s">
        <v>321</v>
      </c>
      <c r="C262" s="381" t="s">
        <v>73</v>
      </c>
      <c r="D262" s="381" t="s">
        <v>1438</v>
      </c>
      <c r="E262" s="381" t="s">
        <v>1577</v>
      </c>
      <c r="F262" s="378">
        <v>-4</v>
      </c>
      <c r="G262" s="378">
        <v>12967710</v>
      </c>
      <c r="H262" s="378">
        <v>12967711</v>
      </c>
      <c r="I262" s="378">
        <v>-5</v>
      </c>
      <c r="J262" s="266">
        <f t="shared" si="4"/>
        <v>8</v>
      </c>
    </row>
    <row r="263" spans="1:10" ht="15.75" customHeight="1" x14ac:dyDescent="0.25">
      <c r="A263" s="380">
        <v>22050101</v>
      </c>
      <c r="B263" s="381" t="s">
        <v>321</v>
      </c>
      <c r="C263" s="381" t="s">
        <v>73</v>
      </c>
      <c r="D263" s="381" t="s">
        <v>429</v>
      </c>
      <c r="E263" s="381" t="s">
        <v>430</v>
      </c>
      <c r="F263" s="378">
        <v>-4726403</v>
      </c>
      <c r="G263" s="378">
        <v>4726405</v>
      </c>
      <c r="H263" s="378">
        <v>403410</v>
      </c>
      <c r="I263" s="378">
        <v>-403408</v>
      </c>
      <c r="J263" s="266">
        <f t="shared" si="4"/>
        <v>8</v>
      </c>
    </row>
    <row r="264" spans="1:10" ht="15.75" customHeight="1" x14ac:dyDescent="0.25">
      <c r="A264" s="380">
        <v>22050101</v>
      </c>
      <c r="B264" s="381" t="s">
        <v>321</v>
      </c>
      <c r="C264" s="381" t="s">
        <v>73</v>
      </c>
      <c r="D264" s="381" t="s">
        <v>987</v>
      </c>
      <c r="E264" s="381" t="s">
        <v>988</v>
      </c>
      <c r="F264" s="378">
        <v>100</v>
      </c>
      <c r="G264" s="378">
        <v>0</v>
      </c>
      <c r="H264" s="378">
        <v>0</v>
      </c>
      <c r="I264" s="378">
        <v>100</v>
      </c>
      <c r="J264" s="266">
        <f t="shared" si="4"/>
        <v>8</v>
      </c>
    </row>
    <row r="265" spans="1:10" ht="15.75" customHeight="1" x14ac:dyDescent="0.25">
      <c r="A265" s="380">
        <v>22050101</v>
      </c>
      <c r="B265" s="381" t="s">
        <v>321</v>
      </c>
      <c r="C265" s="381" t="s">
        <v>73</v>
      </c>
      <c r="D265" s="381" t="s">
        <v>1470</v>
      </c>
      <c r="E265" s="381" t="s">
        <v>1471</v>
      </c>
      <c r="F265" s="378">
        <v>0</v>
      </c>
      <c r="G265" s="378">
        <v>105035</v>
      </c>
      <c r="H265" s="378">
        <v>415956</v>
      </c>
      <c r="I265" s="378">
        <v>-310921</v>
      </c>
      <c r="J265" s="266">
        <f t="shared" si="4"/>
        <v>8</v>
      </c>
    </row>
    <row r="266" spans="1:10" ht="15.75" customHeight="1" x14ac:dyDescent="0.25">
      <c r="A266" s="380">
        <v>22050101</v>
      </c>
      <c r="B266" s="381" t="s">
        <v>321</v>
      </c>
      <c r="C266" s="381" t="s">
        <v>73</v>
      </c>
      <c r="D266" s="381" t="s">
        <v>1578</v>
      </c>
      <c r="E266" s="381" t="s">
        <v>1579</v>
      </c>
      <c r="F266" s="378">
        <v>0</v>
      </c>
      <c r="G266" s="378">
        <v>1849270</v>
      </c>
      <c r="H266" s="378">
        <v>1849270</v>
      </c>
      <c r="I266" s="378">
        <v>0</v>
      </c>
      <c r="J266" s="266">
        <f t="shared" si="4"/>
        <v>8</v>
      </c>
    </row>
    <row r="267" spans="1:10" ht="15.75" customHeight="1" x14ac:dyDescent="0.25">
      <c r="A267" s="380">
        <v>22050101</v>
      </c>
      <c r="B267" s="381" t="s">
        <v>321</v>
      </c>
      <c r="C267" s="381" t="s">
        <v>73</v>
      </c>
      <c r="D267" s="381" t="s">
        <v>1580</v>
      </c>
      <c r="E267" s="381" t="s">
        <v>1581</v>
      </c>
      <c r="F267" s="378">
        <v>-243527</v>
      </c>
      <c r="G267" s="378">
        <v>243527</v>
      </c>
      <c r="H267" s="378">
        <v>243787</v>
      </c>
      <c r="I267" s="378">
        <v>-243787</v>
      </c>
      <c r="J267" s="266">
        <f t="shared" si="4"/>
        <v>8</v>
      </c>
    </row>
    <row r="268" spans="1:10" ht="15.75" customHeight="1" x14ac:dyDescent="0.25">
      <c r="A268" s="380">
        <v>22050101</v>
      </c>
      <c r="B268" s="381" t="s">
        <v>321</v>
      </c>
      <c r="C268" s="381" t="s">
        <v>73</v>
      </c>
      <c r="D268" s="381" t="s">
        <v>347</v>
      </c>
      <c r="E268" s="381" t="s">
        <v>348</v>
      </c>
      <c r="F268" s="378">
        <v>-20904422</v>
      </c>
      <c r="G268" s="378">
        <v>134180971</v>
      </c>
      <c r="H268" s="378">
        <v>125394445</v>
      </c>
      <c r="I268" s="378">
        <v>-12117896</v>
      </c>
      <c r="J268" s="266">
        <f t="shared" ref="J268:J331" si="5">+LEN(A268)</f>
        <v>8</v>
      </c>
    </row>
    <row r="269" spans="1:10" ht="15.75" customHeight="1" x14ac:dyDescent="0.25">
      <c r="A269" s="380">
        <v>22050101</v>
      </c>
      <c r="B269" s="381" t="s">
        <v>321</v>
      </c>
      <c r="C269" s="381" t="s">
        <v>73</v>
      </c>
      <c r="D269" s="381" t="s">
        <v>495</v>
      </c>
      <c r="E269" s="381" t="s">
        <v>925</v>
      </c>
      <c r="F269" s="378">
        <v>0</v>
      </c>
      <c r="G269" s="378">
        <v>0</v>
      </c>
      <c r="H269" s="378">
        <v>199899</v>
      </c>
      <c r="I269" s="378">
        <v>-199899</v>
      </c>
      <c r="J269" s="266">
        <f t="shared" si="5"/>
        <v>8</v>
      </c>
    </row>
    <row r="270" spans="1:10" ht="15.75" customHeight="1" x14ac:dyDescent="0.25">
      <c r="A270" s="380">
        <v>22050101</v>
      </c>
      <c r="B270" s="381" t="s">
        <v>321</v>
      </c>
      <c r="C270" s="381" t="s">
        <v>73</v>
      </c>
      <c r="D270" s="381" t="s">
        <v>377</v>
      </c>
      <c r="E270" s="381" t="s">
        <v>378</v>
      </c>
      <c r="F270" s="378">
        <v>-8248166</v>
      </c>
      <c r="G270" s="378">
        <v>8248572</v>
      </c>
      <c r="H270" s="378">
        <v>33370106</v>
      </c>
      <c r="I270" s="378">
        <v>-33369700</v>
      </c>
      <c r="J270" s="266">
        <f t="shared" si="5"/>
        <v>8</v>
      </c>
    </row>
    <row r="271" spans="1:10" ht="15.75" customHeight="1" x14ac:dyDescent="0.25">
      <c r="A271" s="380">
        <v>22050101</v>
      </c>
      <c r="B271" s="381" t="s">
        <v>321</v>
      </c>
      <c r="C271" s="381" t="s">
        <v>73</v>
      </c>
      <c r="D271" s="381" t="s">
        <v>431</v>
      </c>
      <c r="E271" s="381" t="s">
        <v>432</v>
      </c>
      <c r="F271" s="378">
        <v>-579471</v>
      </c>
      <c r="G271" s="378">
        <v>579472</v>
      </c>
      <c r="H271" s="378">
        <v>396620</v>
      </c>
      <c r="I271" s="378">
        <v>-396619</v>
      </c>
      <c r="J271" s="266">
        <f t="shared" si="5"/>
        <v>8</v>
      </c>
    </row>
    <row r="272" spans="1:10" ht="15.75" customHeight="1" x14ac:dyDescent="0.25">
      <c r="A272" s="380">
        <v>22050101</v>
      </c>
      <c r="B272" s="381" t="s">
        <v>321</v>
      </c>
      <c r="C272" s="381" t="s">
        <v>73</v>
      </c>
      <c r="D272" s="381" t="s">
        <v>650</v>
      </c>
      <c r="E272" s="381" t="s">
        <v>999</v>
      </c>
      <c r="F272" s="378">
        <v>-580845</v>
      </c>
      <c r="G272" s="378">
        <v>0</v>
      </c>
      <c r="H272" s="378">
        <v>580845</v>
      </c>
      <c r="I272" s="378">
        <v>-1161690</v>
      </c>
      <c r="J272" s="266">
        <f t="shared" si="5"/>
        <v>8</v>
      </c>
    </row>
    <row r="273" spans="1:10" ht="15.75" customHeight="1" x14ac:dyDescent="0.25">
      <c r="A273" s="380">
        <v>22050101</v>
      </c>
      <c r="B273" s="381" t="s">
        <v>321</v>
      </c>
      <c r="C273" s="381" t="s">
        <v>73</v>
      </c>
      <c r="D273" s="381" t="s">
        <v>1000</v>
      </c>
      <c r="E273" s="381" t="s">
        <v>1582</v>
      </c>
      <c r="F273" s="378">
        <v>0</v>
      </c>
      <c r="G273" s="378">
        <v>1414244</v>
      </c>
      <c r="H273" s="378">
        <v>1414244</v>
      </c>
      <c r="I273" s="378">
        <v>0</v>
      </c>
      <c r="J273" s="266">
        <f t="shared" si="5"/>
        <v>8</v>
      </c>
    </row>
    <row r="274" spans="1:10" ht="15.75" customHeight="1" x14ac:dyDescent="0.25">
      <c r="A274" s="380">
        <v>22050101</v>
      </c>
      <c r="B274" s="381" t="s">
        <v>321</v>
      </c>
      <c r="C274" s="381" t="s">
        <v>73</v>
      </c>
      <c r="D274" s="381" t="s">
        <v>1001</v>
      </c>
      <c r="E274" s="381" t="s">
        <v>1002</v>
      </c>
      <c r="F274" s="378">
        <v>-96095</v>
      </c>
      <c r="G274" s="378">
        <v>96087</v>
      </c>
      <c r="H274" s="378">
        <v>87072</v>
      </c>
      <c r="I274" s="378">
        <v>-87080</v>
      </c>
      <c r="J274" s="266">
        <f t="shared" si="5"/>
        <v>8</v>
      </c>
    </row>
    <row r="275" spans="1:10" ht="15.75" customHeight="1" x14ac:dyDescent="0.25">
      <c r="A275" s="380">
        <v>22050101</v>
      </c>
      <c r="B275" s="381" t="s">
        <v>321</v>
      </c>
      <c r="C275" s="381" t="s">
        <v>73</v>
      </c>
      <c r="D275" s="381" t="s">
        <v>412</v>
      </c>
      <c r="E275" s="381" t="s">
        <v>1003</v>
      </c>
      <c r="F275" s="378">
        <v>-1640635</v>
      </c>
      <c r="G275" s="378">
        <v>1640647</v>
      </c>
      <c r="H275" s="378">
        <v>1640648</v>
      </c>
      <c r="I275" s="378">
        <v>-1640636</v>
      </c>
      <c r="J275" s="266">
        <f t="shared" si="5"/>
        <v>8</v>
      </c>
    </row>
    <row r="276" spans="1:10" ht="15.75" customHeight="1" x14ac:dyDescent="0.25">
      <c r="A276" s="380">
        <v>22050101</v>
      </c>
      <c r="B276" s="381" t="s">
        <v>321</v>
      </c>
      <c r="C276" s="381" t="s">
        <v>73</v>
      </c>
      <c r="D276" s="381" t="s">
        <v>344</v>
      </c>
      <c r="E276" s="381" t="s">
        <v>820</v>
      </c>
      <c r="F276" s="378">
        <v>-788124</v>
      </c>
      <c r="G276" s="378">
        <v>788124</v>
      </c>
      <c r="H276" s="378">
        <v>1330159</v>
      </c>
      <c r="I276" s="378">
        <v>-1330159</v>
      </c>
      <c r="J276" s="266">
        <f t="shared" si="5"/>
        <v>8</v>
      </c>
    </row>
    <row r="277" spans="1:10" ht="15.75" customHeight="1" x14ac:dyDescent="0.25">
      <c r="A277" s="380">
        <v>22050101</v>
      </c>
      <c r="B277" s="381" t="s">
        <v>321</v>
      </c>
      <c r="C277" s="381" t="s">
        <v>73</v>
      </c>
      <c r="D277" s="381" t="s">
        <v>1004</v>
      </c>
      <c r="E277" s="381" t="s">
        <v>1005</v>
      </c>
      <c r="F277" s="378">
        <v>-148584</v>
      </c>
      <c r="G277" s="378">
        <v>148585</v>
      </c>
      <c r="H277" s="378">
        <v>232985</v>
      </c>
      <c r="I277" s="378">
        <v>-232984</v>
      </c>
      <c r="J277" s="266">
        <f t="shared" si="5"/>
        <v>8</v>
      </c>
    </row>
    <row r="278" spans="1:10" ht="15.75" customHeight="1" x14ac:dyDescent="0.25">
      <c r="A278" s="380">
        <v>22050101</v>
      </c>
      <c r="B278" s="381" t="s">
        <v>321</v>
      </c>
      <c r="C278" s="381" t="s">
        <v>73</v>
      </c>
      <c r="D278" s="381" t="s">
        <v>761</v>
      </c>
      <c r="E278" s="381" t="s">
        <v>762</v>
      </c>
      <c r="F278" s="378">
        <v>1244535</v>
      </c>
      <c r="G278" s="378">
        <v>3269880</v>
      </c>
      <c r="H278" s="378">
        <v>3269880</v>
      </c>
      <c r="I278" s="378">
        <v>1244535</v>
      </c>
      <c r="J278" s="266">
        <f t="shared" si="5"/>
        <v>8</v>
      </c>
    </row>
    <row r="279" spans="1:10" ht="15.75" customHeight="1" x14ac:dyDescent="0.25">
      <c r="A279" s="380">
        <v>22050101</v>
      </c>
      <c r="B279" s="381" t="s">
        <v>321</v>
      </c>
      <c r="C279" s="381" t="s">
        <v>73</v>
      </c>
      <c r="D279" s="381" t="s">
        <v>1448</v>
      </c>
      <c r="E279" s="381" t="s">
        <v>1449</v>
      </c>
      <c r="F279" s="378">
        <v>0</v>
      </c>
      <c r="G279" s="378">
        <v>241491</v>
      </c>
      <c r="H279" s="378">
        <v>241491</v>
      </c>
      <c r="I279" s="378">
        <v>0</v>
      </c>
      <c r="J279" s="266">
        <f t="shared" si="5"/>
        <v>8</v>
      </c>
    </row>
    <row r="280" spans="1:10" ht="15.75" customHeight="1" x14ac:dyDescent="0.25">
      <c r="A280" s="380">
        <v>22050101</v>
      </c>
      <c r="B280" s="381" t="s">
        <v>321</v>
      </c>
      <c r="C280" s="381" t="s">
        <v>73</v>
      </c>
      <c r="D280" s="381" t="s">
        <v>1008</v>
      </c>
      <c r="E280" s="381" t="s">
        <v>1583</v>
      </c>
      <c r="F280" s="378">
        <v>-10958400</v>
      </c>
      <c r="G280" s="378">
        <v>2710080</v>
      </c>
      <c r="H280" s="378">
        <v>8994240</v>
      </c>
      <c r="I280" s="378">
        <v>-17242560</v>
      </c>
      <c r="J280" s="266">
        <f t="shared" si="5"/>
        <v>8</v>
      </c>
    </row>
    <row r="281" spans="1:10" ht="15.75" customHeight="1" x14ac:dyDescent="0.25">
      <c r="A281" s="380">
        <v>22050101</v>
      </c>
      <c r="B281" s="381" t="s">
        <v>321</v>
      </c>
      <c r="C281" s="381" t="s">
        <v>73</v>
      </c>
      <c r="D281" s="381" t="s">
        <v>1009</v>
      </c>
      <c r="E281" s="381" t="s">
        <v>1010</v>
      </c>
      <c r="F281" s="378">
        <v>-21</v>
      </c>
      <c r="G281" s="378">
        <v>0</v>
      </c>
      <c r="H281" s="378">
        <v>0</v>
      </c>
      <c r="I281" s="378">
        <v>-21</v>
      </c>
      <c r="J281" s="266">
        <f t="shared" si="5"/>
        <v>8</v>
      </c>
    </row>
    <row r="282" spans="1:10" ht="15.75" customHeight="1" x14ac:dyDescent="0.25">
      <c r="A282" s="380">
        <v>22050101</v>
      </c>
      <c r="B282" s="381" t="s">
        <v>321</v>
      </c>
      <c r="C282" s="381" t="s">
        <v>73</v>
      </c>
      <c r="D282" s="381" t="s">
        <v>1015</v>
      </c>
      <c r="E282" s="381" t="s">
        <v>1556</v>
      </c>
      <c r="F282" s="378">
        <v>-107100</v>
      </c>
      <c r="G282" s="378">
        <v>0</v>
      </c>
      <c r="H282" s="378">
        <v>0</v>
      </c>
      <c r="I282" s="378">
        <v>-107100</v>
      </c>
      <c r="J282" s="266">
        <f t="shared" si="5"/>
        <v>8</v>
      </c>
    </row>
    <row r="283" spans="1:10" ht="15.75" customHeight="1" x14ac:dyDescent="0.25">
      <c r="A283" s="380">
        <v>22050101</v>
      </c>
      <c r="B283" s="381" t="s">
        <v>321</v>
      </c>
      <c r="C283" s="381" t="s">
        <v>73</v>
      </c>
      <c r="D283" s="381" t="s">
        <v>723</v>
      </c>
      <c r="E283" s="381" t="s">
        <v>724</v>
      </c>
      <c r="F283" s="378">
        <v>0</v>
      </c>
      <c r="G283" s="378">
        <v>0</v>
      </c>
      <c r="H283" s="378">
        <v>90200</v>
      </c>
      <c r="I283" s="378">
        <v>-90200</v>
      </c>
      <c r="J283" s="266">
        <f t="shared" si="5"/>
        <v>8</v>
      </c>
    </row>
    <row r="284" spans="1:10" ht="15.75" customHeight="1" x14ac:dyDescent="0.25">
      <c r="A284" s="380">
        <v>22050101</v>
      </c>
      <c r="B284" s="381" t="s">
        <v>321</v>
      </c>
      <c r="C284" s="381" t="s">
        <v>73</v>
      </c>
      <c r="D284" s="381" t="s">
        <v>1584</v>
      </c>
      <c r="E284" s="381" t="s">
        <v>1585</v>
      </c>
      <c r="F284" s="378">
        <v>0</v>
      </c>
      <c r="G284" s="378">
        <v>3132511</v>
      </c>
      <c r="H284" s="378">
        <v>3132511</v>
      </c>
      <c r="I284" s="378">
        <v>0</v>
      </c>
      <c r="J284" s="266">
        <f t="shared" si="5"/>
        <v>8</v>
      </c>
    </row>
    <row r="285" spans="1:10" ht="15.75" customHeight="1" x14ac:dyDescent="0.25">
      <c r="A285" s="380">
        <v>22050101</v>
      </c>
      <c r="B285" s="381" t="s">
        <v>321</v>
      </c>
      <c r="C285" s="381" t="s">
        <v>73</v>
      </c>
      <c r="D285" s="381" t="s">
        <v>1019</v>
      </c>
      <c r="E285" s="381" t="s">
        <v>1020</v>
      </c>
      <c r="F285" s="378">
        <v>-132000</v>
      </c>
      <c r="G285" s="378">
        <v>192000</v>
      </c>
      <c r="H285" s="378">
        <v>59999</v>
      </c>
      <c r="I285" s="378">
        <v>1</v>
      </c>
      <c r="J285" s="266">
        <f t="shared" si="5"/>
        <v>8</v>
      </c>
    </row>
    <row r="286" spans="1:10" ht="15.75" customHeight="1" x14ac:dyDescent="0.25">
      <c r="A286" s="380">
        <v>22050101</v>
      </c>
      <c r="B286" s="381" t="s">
        <v>321</v>
      </c>
      <c r="C286" s="381" t="s">
        <v>73</v>
      </c>
      <c r="D286" s="381" t="s">
        <v>665</v>
      </c>
      <c r="E286" s="381" t="s">
        <v>824</v>
      </c>
      <c r="F286" s="378">
        <v>-359158</v>
      </c>
      <c r="G286" s="378">
        <v>359158</v>
      </c>
      <c r="H286" s="378">
        <v>759673</v>
      </c>
      <c r="I286" s="378">
        <v>-759673</v>
      </c>
      <c r="J286" s="266">
        <f t="shared" si="5"/>
        <v>8</v>
      </c>
    </row>
    <row r="287" spans="1:10" ht="15.75" customHeight="1" x14ac:dyDescent="0.25">
      <c r="A287" s="380">
        <v>22050101</v>
      </c>
      <c r="B287" s="381" t="s">
        <v>321</v>
      </c>
      <c r="C287" s="381" t="s">
        <v>73</v>
      </c>
      <c r="D287" s="381" t="s">
        <v>1586</v>
      </c>
      <c r="E287" s="381" t="s">
        <v>1587</v>
      </c>
      <c r="F287" s="378">
        <v>0</v>
      </c>
      <c r="G287" s="378">
        <v>16660</v>
      </c>
      <c r="H287" s="378">
        <v>16660</v>
      </c>
      <c r="I287" s="378">
        <v>0</v>
      </c>
      <c r="J287" s="266">
        <f t="shared" si="5"/>
        <v>8</v>
      </c>
    </row>
    <row r="288" spans="1:10" ht="15.75" customHeight="1" x14ac:dyDescent="0.25">
      <c r="A288" s="380">
        <v>22050101</v>
      </c>
      <c r="B288" s="381" t="s">
        <v>321</v>
      </c>
      <c r="C288" s="381" t="s">
        <v>73</v>
      </c>
      <c r="D288" s="381" t="s">
        <v>1021</v>
      </c>
      <c r="E288" s="381" t="s">
        <v>1022</v>
      </c>
      <c r="F288" s="378">
        <v>-200000</v>
      </c>
      <c r="G288" s="378">
        <v>200000</v>
      </c>
      <c r="H288" s="378">
        <v>370000</v>
      </c>
      <c r="I288" s="378">
        <v>-370000</v>
      </c>
      <c r="J288" s="266">
        <f t="shared" si="5"/>
        <v>8</v>
      </c>
    </row>
    <row r="289" spans="1:10" ht="15.75" customHeight="1" x14ac:dyDescent="0.25">
      <c r="A289" s="380">
        <v>22050101</v>
      </c>
      <c r="B289" s="381" t="s">
        <v>321</v>
      </c>
      <c r="C289" s="381" t="s">
        <v>73</v>
      </c>
      <c r="D289" s="381" t="s">
        <v>1023</v>
      </c>
      <c r="E289" s="381" t="s">
        <v>1024</v>
      </c>
      <c r="F289" s="378">
        <v>1</v>
      </c>
      <c r="G289" s="378">
        <v>389760</v>
      </c>
      <c r="H289" s="378">
        <v>389760</v>
      </c>
      <c r="I289" s="378">
        <v>1</v>
      </c>
      <c r="J289" s="266">
        <f t="shared" si="5"/>
        <v>8</v>
      </c>
    </row>
    <row r="290" spans="1:10" ht="15.75" customHeight="1" x14ac:dyDescent="0.25">
      <c r="A290" s="380">
        <v>22050102</v>
      </c>
      <c r="B290" s="381" t="s">
        <v>321</v>
      </c>
      <c r="C290" s="381" t="s">
        <v>737</v>
      </c>
      <c r="D290" s="381" t="s">
        <v>315</v>
      </c>
      <c r="E290" s="381" t="s">
        <v>315</v>
      </c>
      <c r="F290" s="378">
        <v>0</v>
      </c>
      <c r="G290" s="378">
        <v>927510</v>
      </c>
      <c r="H290" s="378">
        <v>927510</v>
      </c>
      <c r="I290" s="378">
        <v>0</v>
      </c>
      <c r="J290" s="266">
        <f t="shared" si="5"/>
        <v>8</v>
      </c>
    </row>
    <row r="291" spans="1:10" ht="15.75" customHeight="1" x14ac:dyDescent="0.25">
      <c r="A291" s="380">
        <v>22050102</v>
      </c>
      <c r="B291" s="381" t="s">
        <v>321</v>
      </c>
      <c r="C291" s="381" t="s">
        <v>737</v>
      </c>
      <c r="D291" s="381" t="s">
        <v>740</v>
      </c>
      <c r="E291" s="381" t="s">
        <v>741</v>
      </c>
      <c r="F291" s="378">
        <v>0</v>
      </c>
      <c r="G291" s="378">
        <v>385500</v>
      </c>
      <c r="H291" s="378">
        <v>385500</v>
      </c>
      <c r="I291" s="378">
        <v>0</v>
      </c>
      <c r="J291" s="266">
        <f t="shared" si="5"/>
        <v>8</v>
      </c>
    </row>
    <row r="292" spans="1:10" ht="15.75" customHeight="1" x14ac:dyDescent="0.25">
      <c r="A292" s="380">
        <v>22050102</v>
      </c>
      <c r="B292" s="381" t="s">
        <v>321</v>
      </c>
      <c r="C292" s="381" t="s">
        <v>737</v>
      </c>
      <c r="D292" s="381" t="s">
        <v>742</v>
      </c>
      <c r="E292" s="381" t="s">
        <v>1529</v>
      </c>
      <c r="F292" s="378">
        <v>0</v>
      </c>
      <c r="G292" s="378">
        <v>199560</v>
      </c>
      <c r="H292" s="378">
        <v>199560</v>
      </c>
      <c r="I292" s="378">
        <v>0</v>
      </c>
      <c r="J292" s="266">
        <f t="shared" si="5"/>
        <v>8</v>
      </c>
    </row>
    <row r="293" spans="1:10" ht="15.75" customHeight="1" x14ac:dyDescent="0.25">
      <c r="A293" s="380">
        <v>22050102</v>
      </c>
      <c r="B293" s="381" t="s">
        <v>321</v>
      </c>
      <c r="C293" s="381" t="s">
        <v>737</v>
      </c>
      <c r="D293" s="381" t="s">
        <v>1588</v>
      </c>
      <c r="E293" s="381" t="s">
        <v>1589</v>
      </c>
      <c r="F293" s="378">
        <v>0</v>
      </c>
      <c r="G293" s="378">
        <v>45650</v>
      </c>
      <c r="H293" s="378">
        <v>45650</v>
      </c>
      <c r="I293" s="378">
        <v>0</v>
      </c>
      <c r="J293" s="266">
        <f t="shared" si="5"/>
        <v>8</v>
      </c>
    </row>
    <row r="294" spans="1:10" ht="15.75" customHeight="1" x14ac:dyDescent="0.25">
      <c r="A294" s="380">
        <v>22050102</v>
      </c>
      <c r="B294" s="381" t="s">
        <v>321</v>
      </c>
      <c r="C294" s="381" t="s">
        <v>737</v>
      </c>
      <c r="D294" s="381" t="s">
        <v>1590</v>
      </c>
      <c r="E294" s="381" t="s">
        <v>1591</v>
      </c>
      <c r="F294" s="378">
        <v>0</v>
      </c>
      <c r="G294" s="378">
        <v>174000</v>
      </c>
      <c r="H294" s="378">
        <v>174000</v>
      </c>
      <c r="I294" s="378">
        <v>0</v>
      </c>
      <c r="J294" s="266">
        <f t="shared" si="5"/>
        <v>8</v>
      </c>
    </row>
    <row r="295" spans="1:10" ht="15.75" customHeight="1" x14ac:dyDescent="0.25">
      <c r="A295" s="380">
        <v>22050102</v>
      </c>
      <c r="B295" s="381" t="s">
        <v>321</v>
      </c>
      <c r="C295" s="381" t="s">
        <v>737</v>
      </c>
      <c r="D295" s="381" t="s">
        <v>746</v>
      </c>
      <c r="E295" s="381" t="s">
        <v>1592</v>
      </c>
      <c r="F295" s="378">
        <v>0</v>
      </c>
      <c r="G295" s="378">
        <v>59800</v>
      </c>
      <c r="H295" s="378">
        <v>59800</v>
      </c>
      <c r="I295" s="378">
        <v>0</v>
      </c>
      <c r="J295" s="266">
        <f t="shared" si="5"/>
        <v>8</v>
      </c>
    </row>
    <row r="296" spans="1:10" ht="15.75" customHeight="1" x14ac:dyDescent="0.25">
      <c r="A296" s="380">
        <v>22050102</v>
      </c>
      <c r="B296" s="381" t="s">
        <v>321</v>
      </c>
      <c r="C296" s="381" t="s">
        <v>737</v>
      </c>
      <c r="D296" s="381" t="s">
        <v>747</v>
      </c>
      <c r="E296" s="381" t="s">
        <v>748</v>
      </c>
      <c r="F296" s="378">
        <v>0</v>
      </c>
      <c r="G296" s="378">
        <v>24000</v>
      </c>
      <c r="H296" s="378">
        <v>24000</v>
      </c>
      <c r="I296" s="378">
        <v>0</v>
      </c>
      <c r="J296" s="266">
        <f t="shared" si="5"/>
        <v>8</v>
      </c>
    </row>
    <row r="297" spans="1:10" ht="15.75" customHeight="1" x14ac:dyDescent="0.25">
      <c r="A297" s="380">
        <v>22050102</v>
      </c>
      <c r="B297" s="381" t="s">
        <v>321</v>
      </c>
      <c r="C297" s="381" t="s">
        <v>737</v>
      </c>
      <c r="D297" s="381" t="s">
        <v>1593</v>
      </c>
      <c r="E297" s="381" t="s">
        <v>1594</v>
      </c>
      <c r="F297" s="378">
        <v>0</v>
      </c>
      <c r="G297" s="378">
        <v>39000</v>
      </c>
      <c r="H297" s="378">
        <v>39000</v>
      </c>
      <c r="I297" s="378">
        <v>0</v>
      </c>
      <c r="J297" s="266">
        <f t="shared" si="5"/>
        <v>8</v>
      </c>
    </row>
    <row r="298" spans="1:10" ht="15.75" customHeight="1" x14ac:dyDescent="0.25">
      <c r="A298" s="380">
        <v>23</v>
      </c>
      <c r="B298" s="381" t="s">
        <v>315</v>
      </c>
      <c r="C298" s="381" t="s">
        <v>76</v>
      </c>
      <c r="D298" s="381" t="s">
        <v>315</v>
      </c>
      <c r="E298" s="381" t="s">
        <v>315</v>
      </c>
      <c r="F298" s="378">
        <v>-21785491.739999998</v>
      </c>
      <c r="G298" s="378">
        <v>10826196</v>
      </c>
      <c r="H298" s="378">
        <v>10266886</v>
      </c>
      <c r="I298" s="378">
        <v>-21226181.739999998</v>
      </c>
      <c r="J298" s="266">
        <f t="shared" si="5"/>
        <v>2</v>
      </c>
    </row>
    <row r="299" spans="1:10" ht="15.75" customHeight="1" x14ac:dyDescent="0.25">
      <c r="A299" s="380">
        <v>2335</v>
      </c>
      <c r="B299" s="381" t="s">
        <v>315</v>
      </c>
      <c r="C299" s="381" t="s">
        <v>1595</v>
      </c>
      <c r="D299" s="381" t="s">
        <v>315</v>
      </c>
      <c r="E299" s="381" t="s">
        <v>315</v>
      </c>
      <c r="F299" s="378">
        <v>-18015122</v>
      </c>
      <c r="G299" s="378">
        <v>0</v>
      </c>
      <c r="H299" s="378">
        <v>0</v>
      </c>
      <c r="I299" s="378">
        <v>-18015122</v>
      </c>
      <c r="J299" s="266">
        <f t="shared" si="5"/>
        <v>4</v>
      </c>
    </row>
    <row r="300" spans="1:10" ht="15.75" customHeight="1" x14ac:dyDescent="0.25">
      <c r="A300" s="380">
        <v>233596</v>
      </c>
      <c r="B300" s="381" t="s">
        <v>321</v>
      </c>
      <c r="C300" s="381" t="s">
        <v>1596</v>
      </c>
      <c r="D300" s="381" t="s">
        <v>315</v>
      </c>
      <c r="E300" s="381" t="s">
        <v>315</v>
      </c>
      <c r="F300" s="378">
        <v>-18015122</v>
      </c>
      <c r="G300" s="378">
        <v>0</v>
      </c>
      <c r="H300" s="378">
        <v>0</v>
      </c>
      <c r="I300" s="378">
        <v>-18015122</v>
      </c>
      <c r="J300" s="266">
        <f t="shared" si="5"/>
        <v>6</v>
      </c>
    </row>
    <row r="301" spans="1:10" ht="15.75" customHeight="1" x14ac:dyDescent="0.25">
      <c r="A301" s="380">
        <v>23359601</v>
      </c>
      <c r="B301" s="381" t="s">
        <v>321</v>
      </c>
      <c r="C301" s="381" t="s">
        <v>1597</v>
      </c>
      <c r="D301" s="381" t="s">
        <v>315</v>
      </c>
      <c r="E301" s="381" t="s">
        <v>315</v>
      </c>
      <c r="F301" s="378">
        <v>-18015122</v>
      </c>
      <c r="G301" s="378">
        <v>0</v>
      </c>
      <c r="H301" s="378">
        <v>0</v>
      </c>
      <c r="I301" s="378">
        <v>-18015122</v>
      </c>
      <c r="J301" s="266">
        <f t="shared" si="5"/>
        <v>8</v>
      </c>
    </row>
    <row r="302" spans="1:10" ht="15.75" customHeight="1" x14ac:dyDescent="0.25">
      <c r="A302" s="380">
        <v>23359601</v>
      </c>
      <c r="B302" s="381" t="s">
        <v>321</v>
      </c>
      <c r="C302" s="381" t="s">
        <v>1597</v>
      </c>
      <c r="D302" s="381" t="s">
        <v>1040</v>
      </c>
      <c r="E302" s="381" t="s">
        <v>750</v>
      </c>
      <c r="F302" s="378">
        <v>-18015122</v>
      </c>
      <c r="G302" s="378">
        <v>0</v>
      </c>
      <c r="H302" s="378">
        <v>0</v>
      </c>
      <c r="I302" s="378">
        <v>-18015122</v>
      </c>
      <c r="J302" s="266">
        <f t="shared" si="5"/>
        <v>8</v>
      </c>
    </row>
    <row r="303" spans="1:10" ht="15.75" customHeight="1" x14ac:dyDescent="0.25">
      <c r="A303" s="380">
        <v>2365</v>
      </c>
      <c r="B303" s="381" t="s">
        <v>315</v>
      </c>
      <c r="C303" s="381" t="s">
        <v>418</v>
      </c>
      <c r="D303" s="381" t="s">
        <v>315</v>
      </c>
      <c r="E303" s="381" t="s">
        <v>315</v>
      </c>
      <c r="F303" s="378">
        <v>0</v>
      </c>
      <c r="G303" s="378">
        <v>5497362</v>
      </c>
      <c r="H303" s="378">
        <v>5497362</v>
      </c>
      <c r="I303" s="378">
        <v>0</v>
      </c>
      <c r="J303" s="266">
        <f t="shared" si="5"/>
        <v>4</v>
      </c>
    </row>
    <row r="304" spans="1:10" ht="15.75" customHeight="1" x14ac:dyDescent="0.25">
      <c r="A304" s="380">
        <v>236515</v>
      </c>
      <c r="B304" s="381" t="s">
        <v>315</v>
      </c>
      <c r="C304" s="381" t="s">
        <v>188</v>
      </c>
      <c r="D304" s="381" t="s">
        <v>315</v>
      </c>
      <c r="E304" s="381" t="s">
        <v>315</v>
      </c>
      <c r="F304" s="378">
        <v>-3041415</v>
      </c>
      <c r="G304" s="378">
        <v>0</v>
      </c>
      <c r="H304" s="378">
        <v>1014725</v>
      </c>
      <c r="I304" s="378">
        <v>-4056140</v>
      </c>
      <c r="J304" s="266">
        <f t="shared" si="5"/>
        <v>6</v>
      </c>
    </row>
    <row r="305" spans="1:10" ht="15.75" customHeight="1" x14ac:dyDescent="0.25">
      <c r="A305" s="380">
        <v>23651502</v>
      </c>
      <c r="B305" s="381" t="s">
        <v>321</v>
      </c>
      <c r="C305" s="381" t="s">
        <v>1027</v>
      </c>
      <c r="D305" s="381" t="s">
        <v>315</v>
      </c>
      <c r="E305" s="381" t="s">
        <v>315</v>
      </c>
      <c r="F305" s="378">
        <v>-3041415</v>
      </c>
      <c r="G305" s="378">
        <v>0</v>
      </c>
      <c r="H305" s="378">
        <v>1014725</v>
      </c>
      <c r="I305" s="378">
        <v>-4056140</v>
      </c>
      <c r="J305" s="266">
        <f t="shared" si="5"/>
        <v>8</v>
      </c>
    </row>
    <row r="306" spans="1:10" ht="15.75" customHeight="1" x14ac:dyDescent="0.25">
      <c r="A306" s="380">
        <v>23651502</v>
      </c>
      <c r="B306" s="381" t="s">
        <v>321</v>
      </c>
      <c r="C306" s="381" t="s">
        <v>1027</v>
      </c>
      <c r="D306" s="381" t="s">
        <v>978</v>
      </c>
      <c r="E306" s="381" t="s">
        <v>979</v>
      </c>
      <c r="F306" s="378">
        <v>-433095</v>
      </c>
      <c r="G306" s="378">
        <v>0</v>
      </c>
      <c r="H306" s="378">
        <v>98645</v>
      </c>
      <c r="I306" s="378">
        <v>-531740</v>
      </c>
      <c r="J306" s="266">
        <f t="shared" si="5"/>
        <v>8</v>
      </c>
    </row>
    <row r="307" spans="1:10" ht="15.75" customHeight="1" x14ac:dyDescent="0.25">
      <c r="A307" s="380">
        <v>23651502</v>
      </c>
      <c r="B307" s="381" t="s">
        <v>321</v>
      </c>
      <c r="C307" s="381" t="s">
        <v>1027</v>
      </c>
      <c r="D307" s="381" t="s">
        <v>1008</v>
      </c>
      <c r="E307" s="381" t="s">
        <v>1583</v>
      </c>
      <c r="F307" s="378">
        <v>-2608320</v>
      </c>
      <c r="G307" s="378">
        <v>0</v>
      </c>
      <c r="H307" s="378">
        <v>916080</v>
      </c>
      <c r="I307" s="378">
        <v>-3524400</v>
      </c>
      <c r="J307" s="266">
        <f t="shared" si="5"/>
        <v>8</v>
      </c>
    </row>
    <row r="308" spans="1:10" ht="15.75" customHeight="1" x14ac:dyDescent="0.25">
      <c r="A308" s="380">
        <v>236525</v>
      </c>
      <c r="B308" s="381" t="s">
        <v>321</v>
      </c>
      <c r="C308" s="381" t="s">
        <v>193</v>
      </c>
      <c r="D308" s="381" t="s">
        <v>315</v>
      </c>
      <c r="E308" s="381" t="s">
        <v>315</v>
      </c>
      <c r="F308" s="378">
        <v>-3937078</v>
      </c>
      <c r="G308" s="378">
        <v>0</v>
      </c>
      <c r="H308" s="378">
        <v>532630</v>
      </c>
      <c r="I308" s="378">
        <v>-4469708</v>
      </c>
      <c r="J308" s="266">
        <f t="shared" si="5"/>
        <v>6</v>
      </c>
    </row>
    <row r="309" spans="1:10" ht="15.75" customHeight="1" x14ac:dyDescent="0.25">
      <c r="A309" s="380">
        <v>23652501</v>
      </c>
      <c r="B309" s="381" t="s">
        <v>315</v>
      </c>
      <c r="C309" s="381" t="s">
        <v>674</v>
      </c>
      <c r="D309" s="381" t="s">
        <v>315</v>
      </c>
      <c r="E309" s="381" t="s">
        <v>315</v>
      </c>
      <c r="F309" s="378">
        <v>-135300</v>
      </c>
      <c r="G309" s="378">
        <v>0</v>
      </c>
      <c r="H309" s="378">
        <v>37200</v>
      </c>
      <c r="I309" s="378">
        <v>-172500</v>
      </c>
      <c r="J309" s="266">
        <f t="shared" si="5"/>
        <v>8</v>
      </c>
    </row>
    <row r="310" spans="1:10" ht="15.75" customHeight="1" x14ac:dyDescent="0.25">
      <c r="A310" s="380">
        <v>23652501</v>
      </c>
      <c r="B310" s="381" t="s">
        <v>315</v>
      </c>
      <c r="C310" s="381" t="s">
        <v>674</v>
      </c>
      <c r="D310" s="381" t="s">
        <v>965</v>
      </c>
      <c r="E310" s="381" t="s">
        <v>966</v>
      </c>
      <c r="F310" s="378">
        <v>-36600</v>
      </c>
      <c r="G310" s="378">
        <v>0</v>
      </c>
      <c r="H310" s="378">
        <v>0</v>
      </c>
      <c r="I310" s="378">
        <v>-36600</v>
      </c>
      <c r="J310" s="266">
        <f t="shared" si="5"/>
        <v>8</v>
      </c>
    </row>
    <row r="311" spans="1:10" ht="15.75" customHeight="1" x14ac:dyDescent="0.25">
      <c r="A311" s="380">
        <v>23652501</v>
      </c>
      <c r="B311" s="381" t="s">
        <v>315</v>
      </c>
      <c r="C311" s="381" t="s">
        <v>674</v>
      </c>
      <c r="D311" s="381" t="s">
        <v>732</v>
      </c>
      <c r="E311" s="381" t="s">
        <v>1575</v>
      </c>
      <c r="F311" s="378">
        <v>-44700</v>
      </c>
      <c r="G311" s="378">
        <v>0</v>
      </c>
      <c r="H311" s="378">
        <v>37200</v>
      </c>
      <c r="I311" s="378">
        <v>-81900</v>
      </c>
      <c r="J311" s="266">
        <f t="shared" si="5"/>
        <v>8</v>
      </c>
    </row>
    <row r="312" spans="1:10" ht="15.75" customHeight="1" x14ac:dyDescent="0.25">
      <c r="A312" s="380">
        <v>23652501</v>
      </c>
      <c r="B312" s="381" t="s">
        <v>315</v>
      </c>
      <c r="C312" s="381" t="s">
        <v>674</v>
      </c>
      <c r="D312" s="381" t="s">
        <v>1021</v>
      </c>
      <c r="E312" s="381" t="s">
        <v>1022</v>
      </c>
      <c r="F312" s="378">
        <v>-25200</v>
      </c>
      <c r="G312" s="378">
        <v>0</v>
      </c>
      <c r="H312" s="378">
        <v>0</v>
      </c>
      <c r="I312" s="378">
        <v>-25200</v>
      </c>
      <c r="J312" s="266">
        <f t="shared" si="5"/>
        <v>8</v>
      </c>
    </row>
    <row r="313" spans="1:10" ht="15.75" customHeight="1" x14ac:dyDescent="0.25">
      <c r="A313" s="380">
        <v>23652501</v>
      </c>
      <c r="B313" s="381" t="s">
        <v>315</v>
      </c>
      <c r="C313" s="381" t="s">
        <v>674</v>
      </c>
      <c r="D313" s="381" t="s">
        <v>1480</v>
      </c>
      <c r="E313" s="381" t="s">
        <v>1481</v>
      </c>
      <c r="F313" s="378">
        <v>-28800</v>
      </c>
      <c r="G313" s="378">
        <v>0</v>
      </c>
      <c r="H313" s="378">
        <v>0</v>
      </c>
      <c r="I313" s="378">
        <v>-28800</v>
      </c>
      <c r="J313" s="266">
        <f t="shared" si="5"/>
        <v>8</v>
      </c>
    </row>
    <row r="314" spans="1:10" ht="15.75" customHeight="1" x14ac:dyDescent="0.25">
      <c r="A314" s="380">
        <v>23652502</v>
      </c>
      <c r="B314" s="381" t="s">
        <v>315</v>
      </c>
      <c r="C314" s="381" t="s">
        <v>433</v>
      </c>
      <c r="D314" s="381" t="s">
        <v>315</v>
      </c>
      <c r="E314" s="381" t="s">
        <v>315</v>
      </c>
      <c r="F314" s="378">
        <v>-3327816</v>
      </c>
      <c r="G314" s="378">
        <v>0</v>
      </c>
      <c r="H314" s="378">
        <v>397186</v>
      </c>
      <c r="I314" s="378">
        <v>-3725002</v>
      </c>
      <c r="J314" s="266">
        <f t="shared" si="5"/>
        <v>8</v>
      </c>
    </row>
    <row r="315" spans="1:10" ht="15.75" customHeight="1" x14ac:dyDescent="0.25">
      <c r="A315" s="380">
        <v>23652502</v>
      </c>
      <c r="B315" s="381" t="s">
        <v>315</v>
      </c>
      <c r="C315" s="381" t="s">
        <v>433</v>
      </c>
      <c r="D315" s="381" t="s">
        <v>1038</v>
      </c>
      <c r="E315" s="381" t="s">
        <v>1039</v>
      </c>
      <c r="F315" s="378">
        <v>-1017572</v>
      </c>
      <c r="G315" s="378">
        <v>0</v>
      </c>
      <c r="H315" s="378">
        <v>0</v>
      </c>
      <c r="I315" s="378">
        <v>-1017572</v>
      </c>
      <c r="J315" s="266">
        <f t="shared" si="5"/>
        <v>8</v>
      </c>
    </row>
    <row r="316" spans="1:10" ht="15.75" customHeight="1" x14ac:dyDescent="0.25">
      <c r="A316" s="380">
        <v>23652502</v>
      </c>
      <c r="B316" s="381" t="s">
        <v>315</v>
      </c>
      <c r="C316" s="381" t="s">
        <v>433</v>
      </c>
      <c r="D316" s="381" t="s">
        <v>1040</v>
      </c>
      <c r="E316" s="381" t="s">
        <v>750</v>
      </c>
      <c r="F316" s="378">
        <v>-307519</v>
      </c>
      <c r="G316" s="378">
        <v>0</v>
      </c>
      <c r="H316" s="378">
        <v>0</v>
      </c>
      <c r="I316" s="378">
        <v>-307519</v>
      </c>
      <c r="J316" s="266">
        <f t="shared" si="5"/>
        <v>8</v>
      </c>
    </row>
    <row r="317" spans="1:10" ht="15.75" customHeight="1" x14ac:dyDescent="0.25">
      <c r="A317" s="380">
        <v>23652502</v>
      </c>
      <c r="B317" s="381" t="s">
        <v>315</v>
      </c>
      <c r="C317" s="381" t="s">
        <v>433</v>
      </c>
      <c r="D317" s="381" t="s">
        <v>347</v>
      </c>
      <c r="E317" s="381" t="s">
        <v>348</v>
      </c>
      <c r="F317" s="378">
        <v>-413409</v>
      </c>
      <c r="G317" s="378">
        <v>0</v>
      </c>
      <c r="H317" s="378">
        <v>73008</v>
      </c>
      <c r="I317" s="378">
        <v>-486417</v>
      </c>
      <c r="J317" s="266">
        <f t="shared" si="5"/>
        <v>8</v>
      </c>
    </row>
    <row r="318" spans="1:10" ht="15.75" customHeight="1" x14ac:dyDescent="0.25">
      <c r="A318" s="380">
        <v>23652502</v>
      </c>
      <c r="B318" s="381" t="s">
        <v>315</v>
      </c>
      <c r="C318" s="381" t="s">
        <v>433</v>
      </c>
      <c r="D318" s="381" t="s">
        <v>650</v>
      </c>
      <c r="E318" s="381" t="s">
        <v>999</v>
      </c>
      <c r="F318" s="378">
        <v>-119382</v>
      </c>
      <c r="G318" s="378">
        <v>0</v>
      </c>
      <c r="H318" s="378">
        <v>20203</v>
      </c>
      <c r="I318" s="378">
        <v>-139585</v>
      </c>
      <c r="J318" s="266">
        <f t="shared" si="5"/>
        <v>8</v>
      </c>
    </row>
    <row r="319" spans="1:10" ht="15.75" customHeight="1" x14ac:dyDescent="0.25">
      <c r="A319" s="380">
        <v>23652502</v>
      </c>
      <c r="B319" s="381" t="s">
        <v>315</v>
      </c>
      <c r="C319" s="381" t="s">
        <v>433</v>
      </c>
      <c r="D319" s="381" t="s">
        <v>717</v>
      </c>
      <c r="E319" s="381" t="s">
        <v>718</v>
      </c>
      <c r="F319" s="378">
        <v>-492025</v>
      </c>
      <c r="G319" s="378">
        <v>0</v>
      </c>
      <c r="H319" s="378">
        <v>190240</v>
      </c>
      <c r="I319" s="378">
        <v>-682265</v>
      </c>
      <c r="J319" s="266">
        <f t="shared" si="5"/>
        <v>8</v>
      </c>
    </row>
    <row r="320" spans="1:10" ht="15.75" customHeight="1" x14ac:dyDescent="0.25">
      <c r="A320" s="380">
        <v>23652502</v>
      </c>
      <c r="B320" s="381" t="s">
        <v>315</v>
      </c>
      <c r="C320" s="381" t="s">
        <v>433</v>
      </c>
      <c r="D320" s="381" t="s">
        <v>1598</v>
      </c>
      <c r="E320" s="381" t="s">
        <v>1599</v>
      </c>
      <c r="F320" s="378">
        <v>-10000</v>
      </c>
      <c r="G320" s="378">
        <v>0</v>
      </c>
      <c r="H320" s="378">
        <v>0</v>
      </c>
      <c r="I320" s="378">
        <v>-10000</v>
      </c>
      <c r="J320" s="266">
        <f t="shared" si="5"/>
        <v>8</v>
      </c>
    </row>
    <row r="321" spans="1:10" ht="15.75" customHeight="1" x14ac:dyDescent="0.25">
      <c r="A321" s="380">
        <v>23652502</v>
      </c>
      <c r="B321" s="381" t="s">
        <v>315</v>
      </c>
      <c r="C321" s="381" t="s">
        <v>433</v>
      </c>
      <c r="D321" s="381" t="s">
        <v>761</v>
      </c>
      <c r="E321" s="381" t="s">
        <v>762</v>
      </c>
      <c r="F321" s="378">
        <v>-922556</v>
      </c>
      <c r="G321" s="378">
        <v>0</v>
      </c>
      <c r="H321" s="378">
        <v>113735</v>
      </c>
      <c r="I321" s="378">
        <v>-1036291</v>
      </c>
      <c r="J321" s="266">
        <f t="shared" si="5"/>
        <v>8</v>
      </c>
    </row>
    <row r="322" spans="1:10" ht="15.75" customHeight="1" x14ac:dyDescent="0.25">
      <c r="A322" s="380">
        <v>23652502</v>
      </c>
      <c r="B322" s="381" t="s">
        <v>315</v>
      </c>
      <c r="C322" s="381" t="s">
        <v>433</v>
      </c>
      <c r="D322" s="381" t="s">
        <v>1011</v>
      </c>
      <c r="E322" s="381" t="s">
        <v>1012</v>
      </c>
      <c r="F322" s="378">
        <v>-24000</v>
      </c>
      <c r="G322" s="378">
        <v>0</v>
      </c>
      <c r="H322" s="378">
        <v>0</v>
      </c>
      <c r="I322" s="378">
        <v>-24000</v>
      </c>
      <c r="J322" s="266">
        <f t="shared" si="5"/>
        <v>8</v>
      </c>
    </row>
    <row r="323" spans="1:10" ht="15.75" customHeight="1" x14ac:dyDescent="0.25">
      <c r="A323" s="380">
        <v>23652502</v>
      </c>
      <c r="B323" s="381" t="s">
        <v>315</v>
      </c>
      <c r="C323" s="381" t="s">
        <v>433</v>
      </c>
      <c r="D323" s="381" t="s">
        <v>723</v>
      </c>
      <c r="E323" s="381" t="s">
        <v>724</v>
      </c>
      <c r="F323" s="378">
        <v>-21353</v>
      </c>
      <c r="G323" s="378">
        <v>0</v>
      </c>
      <c r="H323" s="378">
        <v>0</v>
      </c>
      <c r="I323" s="378">
        <v>-21353</v>
      </c>
      <c r="J323" s="266">
        <f t="shared" si="5"/>
        <v>8</v>
      </c>
    </row>
    <row r="324" spans="1:10" ht="15.75" customHeight="1" x14ac:dyDescent="0.25">
      <c r="A324" s="380">
        <v>23652503</v>
      </c>
      <c r="B324" s="381" t="s">
        <v>315</v>
      </c>
      <c r="C324" s="381" t="s">
        <v>1045</v>
      </c>
      <c r="D324" s="381" t="s">
        <v>315</v>
      </c>
      <c r="E324" s="381" t="s">
        <v>315</v>
      </c>
      <c r="F324" s="378">
        <v>-136785</v>
      </c>
      <c r="G324" s="378">
        <v>0</v>
      </c>
      <c r="H324" s="378">
        <v>30830</v>
      </c>
      <c r="I324" s="378">
        <v>-167615</v>
      </c>
      <c r="J324" s="266">
        <f t="shared" si="5"/>
        <v>8</v>
      </c>
    </row>
    <row r="325" spans="1:10" ht="15.75" customHeight="1" x14ac:dyDescent="0.25">
      <c r="A325" s="380">
        <v>23652503</v>
      </c>
      <c r="B325" s="381" t="s">
        <v>315</v>
      </c>
      <c r="C325" s="381" t="s">
        <v>1045</v>
      </c>
      <c r="D325" s="381" t="s">
        <v>1580</v>
      </c>
      <c r="E325" s="381" t="s">
        <v>1581</v>
      </c>
      <c r="F325" s="378">
        <v>-9679</v>
      </c>
      <c r="G325" s="378">
        <v>0</v>
      </c>
      <c r="H325" s="378">
        <v>2406</v>
      </c>
      <c r="I325" s="378">
        <v>-12085</v>
      </c>
      <c r="J325" s="266">
        <f t="shared" si="5"/>
        <v>8</v>
      </c>
    </row>
    <row r="326" spans="1:10" ht="15.75" customHeight="1" x14ac:dyDescent="0.25">
      <c r="A326" s="380">
        <v>23652503</v>
      </c>
      <c r="B326" s="381" t="s">
        <v>315</v>
      </c>
      <c r="C326" s="381" t="s">
        <v>1045</v>
      </c>
      <c r="D326" s="381" t="s">
        <v>347</v>
      </c>
      <c r="E326" s="381" t="s">
        <v>348</v>
      </c>
      <c r="F326" s="378">
        <v>-127106</v>
      </c>
      <c r="G326" s="378">
        <v>0</v>
      </c>
      <c r="H326" s="378">
        <v>28424</v>
      </c>
      <c r="I326" s="378">
        <v>-155530</v>
      </c>
      <c r="J326" s="266">
        <f t="shared" si="5"/>
        <v>8</v>
      </c>
    </row>
    <row r="327" spans="1:10" ht="15.75" customHeight="1" x14ac:dyDescent="0.25">
      <c r="A327" s="380">
        <v>23652506</v>
      </c>
      <c r="B327" s="381" t="s">
        <v>315</v>
      </c>
      <c r="C327" s="381" t="s">
        <v>1048</v>
      </c>
      <c r="D327" s="381" t="s">
        <v>315</v>
      </c>
      <c r="E327" s="381" t="s">
        <v>315</v>
      </c>
      <c r="F327" s="378">
        <v>-314296</v>
      </c>
      <c r="G327" s="378">
        <v>0</v>
      </c>
      <c r="H327" s="378">
        <v>62660</v>
      </c>
      <c r="I327" s="378">
        <v>-376956</v>
      </c>
      <c r="J327" s="266">
        <f t="shared" si="5"/>
        <v>8</v>
      </c>
    </row>
    <row r="328" spans="1:10" ht="15.75" customHeight="1" x14ac:dyDescent="0.25">
      <c r="A328" s="380">
        <v>23652506</v>
      </c>
      <c r="B328" s="381" t="s">
        <v>315</v>
      </c>
      <c r="C328" s="381" t="s">
        <v>1048</v>
      </c>
      <c r="D328" s="381" t="s">
        <v>1001</v>
      </c>
      <c r="E328" s="381" t="s">
        <v>1002</v>
      </c>
      <c r="F328" s="378">
        <v>-16776</v>
      </c>
      <c r="G328" s="378">
        <v>0</v>
      </c>
      <c r="H328" s="378">
        <v>3156</v>
      </c>
      <c r="I328" s="378">
        <v>-19932</v>
      </c>
      <c r="J328" s="266">
        <f t="shared" si="5"/>
        <v>8</v>
      </c>
    </row>
    <row r="329" spans="1:10" ht="15.75" customHeight="1" x14ac:dyDescent="0.25">
      <c r="A329" s="380">
        <v>23652506</v>
      </c>
      <c r="B329" s="381" t="s">
        <v>315</v>
      </c>
      <c r="C329" s="381" t="s">
        <v>1048</v>
      </c>
      <c r="D329" s="381" t="s">
        <v>412</v>
      </c>
      <c r="E329" s="381" t="s">
        <v>1003</v>
      </c>
      <c r="F329" s="378">
        <v>-297520</v>
      </c>
      <c r="G329" s="378">
        <v>0</v>
      </c>
      <c r="H329" s="378">
        <v>59504</v>
      </c>
      <c r="I329" s="378">
        <v>-357024</v>
      </c>
      <c r="J329" s="266">
        <f t="shared" si="5"/>
        <v>8</v>
      </c>
    </row>
    <row r="330" spans="1:10" ht="15.75" customHeight="1" x14ac:dyDescent="0.25">
      <c r="A330" s="380">
        <v>23652510</v>
      </c>
      <c r="B330" s="381" t="s">
        <v>321</v>
      </c>
      <c r="C330" s="381" t="s">
        <v>1052</v>
      </c>
      <c r="D330" s="381" t="s">
        <v>315</v>
      </c>
      <c r="E330" s="381" t="s">
        <v>315</v>
      </c>
      <c r="F330" s="378">
        <v>-22881</v>
      </c>
      <c r="G330" s="378">
        <v>0</v>
      </c>
      <c r="H330" s="378">
        <v>4754</v>
      </c>
      <c r="I330" s="378">
        <v>-27635</v>
      </c>
      <c r="J330" s="266">
        <f t="shared" si="5"/>
        <v>8</v>
      </c>
    </row>
    <row r="331" spans="1:10" ht="15.75" customHeight="1" x14ac:dyDescent="0.25">
      <c r="A331" s="380">
        <v>23652510</v>
      </c>
      <c r="B331" s="381" t="s">
        <v>321</v>
      </c>
      <c r="C331" s="381" t="s">
        <v>1052</v>
      </c>
      <c r="D331" s="381" t="s">
        <v>1004</v>
      </c>
      <c r="E331" s="381" t="s">
        <v>1005</v>
      </c>
      <c r="F331" s="378">
        <v>-22881</v>
      </c>
      <c r="G331" s="378">
        <v>0</v>
      </c>
      <c r="H331" s="378">
        <v>4754</v>
      </c>
      <c r="I331" s="378">
        <v>-27635</v>
      </c>
      <c r="J331" s="266">
        <f t="shared" si="5"/>
        <v>8</v>
      </c>
    </row>
    <row r="332" spans="1:10" ht="15.75" customHeight="1" x14ac:dyDescent="0.25">
      <c r="A332" s="380">
        <v>236530</v>
      </c>
      <c r="B332" s="381" t="s">
        <v>315</v>
      </c>
      <c r="C332" s="381" t="s">
        <v>1053</v>
      </c>
      <c r="D332" s="381" t="s">
        <v>315</v>
      </c>
      <c r="E332" s="381" t="s">
        <v>315</v>
      </c>
      <c r="F332" s="378">
        <v>-3398484</v>
      </c>
      <c r="G332" s="378">
        <v>0</v>
      </c>
      <c r="H332" s="378">
        <v>672120</v>
      </c>
      <c r="I332" s="378">
        <v>-4070604</v>
      </c>
      <c r="J332" s="266">
        <f t="shared" ref="J332:J395" si="6">+LEN(A332)</f>
        <v>6</v>
      </c>
    </row>
    <row r="333" spans="1:10" ht="15.75" customHeight="1" x14ac:dyDescent="0.25">
      <c r="A333" s="380">
        <v>23653001</v>
      </c>
      <c r="B333" s="381" t="s">
        <v>315</v>
      </c>
      <c r="C333" s="381" t="s">
        <v>1053</v>
      </c>
      <c r="D333" s="381" t="s">
        <v>315</v>
      </c>
      <c r="E333" s="381" t="s">
        <v>315</v>
      </c>
      <c r="F333" s="378">
        <v>-3398484</v>
      </c>
      <c r="G333" s="378">
        <v>0</v>
      </c>
      <c r="H333" s="378">
        <v>672120</v>
      </c>
      <c r="I333" s="378">
        <v>-4070604</v>
      </c>
      <c r="J333" s="266">
        <f t="shared" si="6"/>
        <v>8</v>
      </c>
    </row>
    <row r="334" spans="1:10" ht="15.75" customHeight="1" x14ac:dyDescent="0.25">
      <c r="A334" s="380">
        <v>23653001</v>
      </c>
      <c r="B334" s="381" t="s">
        <v>315</v>
      </c>
      <c r="C334" s="381" t="s">
        <v>1053</v>
      </c>
      <c r="D334" s="381" t="s">
        <v>1572</v>
      </c>
      <c r="E334" s="381" t="s">
        <v>1573</v>
      </c>
      <c r="F334" s="378">
        <v>-808500</v>
      </c>
      <c r="G334" s="378">
        <v>0</v>
      </c>
      <c r="H334" s="378">
        <v>171500</v>
      </c>
      <c r="I334" s="378">
        <v>-980000</v>
      </c>
      <c r="J334" s="266">
        <f t="shared" si="6"/>
        <v>8</v>
      </c>
    </row>
    <row r="335" spans="1:10" ht="15.75" customHeight="1" x14ac:dyDescent="0.25">
      <c r="A335" s="380">
        <v>23653001</v>
      </c>
      <c r="B335" s="381" t="s">
        <v>315</v>
      </c>
      <c r="C335" s="381" t="s">
        <v>1053</v>
      </c>
      <c r="D335" s="381" t="s">
        <v>1434</v>
      </c>
      <c r="E335" s="381" t="s">
        <v>1435</v>
      </c>
      <c r="F335" s="378">
        <v>-441595</v>
      </c>
      <c r="G335" s="378">
        <v>0</v>
      </c>
      <c r="H335" s="378">
        <v>88319</v>
      </c>
      <c r="I335" s="378">
        <v>-529914</v>
      </c>
      <c r="J335" s="266">
        <f t="shared" si="6"/>
        <v>8</v>
      </c>
    </row>
    <row r="336" spans="1:10" ht="15.75" customHeight="1" x14ac:dyDescent="0.25">
      <c r="A336" s="380">
        <v>23653001</v>
      </c>
      <c r="B336" s="381" t="s">
        <v>315</v>
      </c>
      <c r="C336" s="381" t="s">
        <v>1053</v>
      </c>
      <c r="D336" s="381" t="s">
        <v>1038</v>
      </c>
      <c r="E336" s="381" t="s">
        <v>1039</v>
      </c>
      <c r="F336" s="378">
        <v>-62935</v>
      </c>
      <c r="G336" s="378">
        <v>0</v>
      </c>
      <c r="H336" s="378">
        <v>0</v>
      </c>
      <c r="I336" s="378">
        <v>-62935</v>
      </c>
      <c r="J336" s="266">
        <f t="shared" si="6"/>
        <v>8</v>
      </c>
    </row>
    <row r="337" spans="1:10" ht="15.75" customHeight="1" x14ac:dyDescent="0.25">
      <c r="A337" s="380">
        <v>23653001</v>
      </c>
      <c r="B337" s="381" t="s">
        <v>315</v>
      </c>
      <c r="C337" s="381" t="s">
        <v>1053</v>
      </c>
      <c r="D337" s="381" t="s">
        <v>1436</v>
      </c>
      <c r="E337" s="381" t="s">
        <v>1437</v>
      </c>
      <c r="F337" s="378">
        <v>-441595</v>
      </c>
      <c r="G337" s="378">
        <v>0</v>
      </c>
      <c r="H337" s="378">
        <v>88319</v>
      </c>
      <c r="I337" s="378">
        <v>-529914</v>
      </c>
      <c r="J337" s="266">
        <f t="shared" si="6"/>
        <v>8</v>
      </c>
    </row>
    <row r="338" spans="1:10" ht="15.75" customHeight="1" x14ac:dyDescent="0.25">
      <c r="A338" s="380">
        <v>23653001</v>
      </c>
      <c r="B338" s="381" t="s">
        <v>315</v>
      </c>
      <c r="C338" s="381" t="s">
        <v>1053</v>
      </c>
      <c r="D338" s="381" t="s">
        <v>1438</v>
      </c>
      <c r="E338" s="381" t="s">
        <v>1577</v>
      </c>
      <c r="F338" s="378">
        <v>-1580924</v>
      </c>
      <c r="G338" s="378">
        <v>0</v>
      </c>
      <c r="H338" s="378">
        <v>323982</v>
      </c>
      <c r="I338" s="378">
        <v>-1904906</v>
      </c>
      <c r="J338" s="266">
        <f t="shared" si="6"/>
        <v>8</v>
      </c>
    </row>
    <row r="339" spans="1:10" ht="15.75" customHeight="1" x14ac:dyDescent="0.25">
      <c r="A339" s="380">
        <v>23653001</v>
      </c>
      <c r="B339" s="381" t="s">
        <v>315</v>
      </c>
      <c r="C339" s="381" t="s">
        <v>1053</v>
      </c>
      <c r="D339" s="381" t="s">
        <v>761</v>
      </c>
      <c r="E339" s="381" t="s">
        <v>762</v>
      </c>
      <c r="F339" s="378">
        <v>-62935</v>
      </c>
      <c r="G339" s="378">
        <v>0</v>
      </c>
      <c r="H339" s="378">
        <v>0</v>
      </c>
      <c r="I339" s="378">
        <v>-62935</v>
      </c>
      <c r="J339" s="266">
        <f t="shared" si="6"/>
        <v>8</v>
      </c>
    </row>
    <row r="340" spans="1:10" ht="15.75" customHeight="1" x14ac:dyDescent="0.25">
      <c r="A340" s="380">
        <v>236540</v>
      </c>
      <c r="B340" s="381" t="s">
        <v>315</v>
      </c>
      <c r="C340" s="381" t="s">
        <v>359</v>
      </c>
      <c r="D340" s="381" t="s">
        <v>315</v>
      </c>
      <c r="E340" s="381" t="s">
        <v>315</v>
      </c>
      <c r="F340" s="378">
        <v>-16451150</v>
      </c>
      <c r="G340" s="378">
        <v>0</v>
      </c>
      <c r="H340" s="378">
        <v>3277887</v>
      </c>
      <c r="I340" s="378">
        <v>-19729037</v>
      </c>
      <c r="J340" s="266">
        <f t="shared" si="6"/>
        <v>6</v>
      </c>
    </row>
    <row r="341" spans="1:10" ht="15.75" customHeight="1" x14ac:dyDescent="0.25">
      <c r="A341" s="380">
        <v>23654004</v>
      </c>
      <c r="B341" s="381" t="s">
        <v>315</v>
      </c>
      <c r="C341" s="381" t="s">
        <v>1063</v>
      </c>
      <c r="D341" s="381" t="s">
        <v>315</v>
      </c>
      <c r="E341" s="381" t="s">
        <v>315</v>
      </c>
      <c r="F341" s="378">
        <v>-16451150</v>
      </c>
      <c r="G341" s="378">
        <v>0</v>
      </c>
      <c r="H341" s="378">
        <v>3277887</v>
      </c>
      <c r="I341" s="378">
        <v>-19729037</v>
      </c>
      <c r="J341" s="266">
        <f t="shared" si="6"/>
        <v>8</v>
      </c>
    </row>
    <row r="342" spans="1:10" ht="15.75" customHeight="1" x14ac:dyDescent="0.25">
      <c r="A342" s="380">
        <v>23654004</v>
      </c>
      <c r="B342" s="381" t="s">
        <v>315</v>
      </c>
      <c r="C342" s="381" t="s">
        <v>1063</v>
      </c>
      <c r="D342" s="381" t="s">
        <v>429</v>
      </c>
      <c r="E342" s="381" t="s">
        <v>430</v>
      </c>
      <c r="F342" s="378">
        <v>-101426</v>
      </c>
      <c r="G342" s="378">
        <v>0</v>
      </c>
      <c r="H342" s="378">
        <v>0</v>
      </c>
      <c r="I342" s="378">
        <v>-101426</v>
      </c>
      <c r="J342" s="266">
        <f t="shared" si="6"/>
        <v>8</v>
      </c>
    </row>
    <row r="343" spans="1:10" ht="15.75" customHeight="1" x14ac:dyDescent="0.25">
      <c r="A343" s="380">
        <v>23654004</v>
      </c>
      <c r="B343" s="381" t="s">
        <v>315</v>
      </c>
      <c r="C343" s="381" t="s">
        <v>1063</v>
      </c>
      <c r="D343" s="381" t="s">
        <v>347</v>
      </c>
      <c r="E343" s="381" t="s">
        <v>348</v>
      </c>
      <c r="F343" s="378">
        <v>-12786455</v>
      </c>
      <c r="G343" s="378">
        <v>0</v>
      </c>
      <c r="H343" s="378">
        <v>2565134</v>
      </c>
      <c r="I343" s="378">
        <v>-15351589</v>
      </c>
      <c r="J343" s="266">
        <f t="shared" si="6"/>
        <v>8</v>
      </c>
    </row>
    <row r="344" spans="1:10" ht="15.75" customHeight="1" x14ac:dyDescent="0.25">
      <c r="A344" s="380">
        <v>23654004</v>
      </c>
      <c r="B344" s="381" t="s">
        <v>315</v>
      </c>
      <c r="C344" s="381" t="s">
        <v>1063</v>
      </c>
      <c r="D344" s="381" t="s">
        <v>377</v>
      </c>
      <c r="E344" s="381" t="s">
        <v>378</v>
      </c>
      <c r="F344" s="378">
        <v>-3563269</v>
      </c>
      <c r="G344" s="378">
        <v>0</v>
      </c>
      <c r="H344" s="378">
        <v>712753</v>
      </c>
      <c r="I344" s="378">
        <v>-4276022</v>
      </c>
      <c r="J344" s="266">
        <f t="shared" si="6"/>
        <v>8</v>
      </c>
    </row>
    <row r="345" spans="1:10" ht="15.75" customHeight="1" x14ac:dyDescent="0.25">
      <c r="A345" s="380">
        <v>236599</v>
      </c>
      <c r="B345" s="381" t="s">
        <v>315</v>
      </c>
      <c r="C345" s="381" t="s">
        <v>1064</v>
      </c>
      <c r="D345" s="381" t="s">
        <v>315</v>
      </c>
      <c r="E345" s="381" t="s">
        <v>315</v>
      </c>
      <c r="F345" s="378">
        <v>26828127</v>
      </c>
      <c r="G345" s="378">
        <v>5497362</v>
      </c>
      <c r="H345" s="378">
        <v>0</v>
      </c>
      <c r="I345" s="378">
        <v>32325489</v>
      </c>
      <c r="J345" s="266">
        <f t="shared" si="6"/>
        <v>6</v>
      </c>
    </row>
    <row r="346" spans="1:10" ht="15.75" customHeight="1" x14ac:dyDescent="0.25">
      <c r="A346" s="380">
        <v>23659901</v>
      </c>
      <c r="B346" s="381" t="s">
        <v>315</v>
      </c>
      <c r="C346" s="381" t="s">
        <v>1064</v>
      </c>
      <c r="D346" s="381" t="s">
        <v>315</v>
      </c>
      <c r="E346" s="381" t="s">
        <v>315</v>
      </c>
      <c r="F346" s="378">
        <v>26828127</v>
      </c>
      <c r="G346" s="378">
        <v>5497362</v>
      </c>
      <c r="H346" s="378">
        <v>0</v>
      </c>
      <c r="I346" s="378">
        <v>32325489</v>
      </c>
      <c r="J346" s="266">
        <f t="shared" si="6"/>
        <v>8</v>
      </c>
    </row>
    <row r="347" spans="1:10" ht="15.75" customHeight="1" x14ac:dyDescent="0.25">
      <c r="A347" s="380">
        <v>2367</v>
      </c>
      <c r="B347" s="381" t="s">
        <v>315</v>
      </c>
      <c r="C347" s="381" t="s">
        <v>1065</v>
      </c>
      <c r="D347" s="381" t="s">
        <v>315</v>
      </c>
      <c r="E347" s="381" t="s">
        <v>315</v>
      </c>
      <c r="F347" s="378">
        <v>0</v>
      </c>
      <c r="G347" s="378">
        <v>0</v>
      </c>
      <c r="H347" s="378">
        <v>0</v>
      </c>
      <c r="I347" s="378">
        <v>0</v>
      </c>
      <c r="J347" s="266">
        <f t="shared" si="6"/>
        <v>4</v>
      </c>
    </row>
    <row r="348" spans="1:10" ht="15.75" customHeight="1" x14ac:dyDescent="0.25">
      <c r="A348" s="380">
        <v>236710</v>
      </c>
      <c r="B348" s="381" t="s">
        <v>315</v>
      </c>
      <c r="C348" s="381" t="s">
        <v>1066</v>
      </c>
      <c r="D348" s="381" t="s">
        <v>315</v>
      </c>
      <c r="E348" s="381" t="s">
        <v>315</v>
      </c>
      <c r="F348" s="378">
        <v>-288593</v>
      </c>
      <c r="G348" s="378">
        <v>0</v>
      </c>
      <c r="H348" s="378">
        <v>0</v>
      </c>
      <c r="I348" s="378">
        <v>-288593</v>
      </c>
      <c r="J348" s="266">
        <f t="shared" si="6"/>
        <v>6</v>
      </c>
    </row>
    <row r="349" spans="1:10" ht="15.75" customHeight="1" x14ac:dyDescent="0.25">
      <c r="A349" s="380">
        <v>23671001</v>
      </c>
      <c r="B349" s="381" t="s">
        <v>321</v>
      </c>
      <c r="C349" s="381" t="s">
        <v>1066</v>
      </c>
      <c r="D349" s="381" t="s">
        <v>315</v>
      </c>
      <c r="E349" s="381" t="s">
        <v>315</v>
      </c>
      <c r="F349" s="378">
        <v>-288593</v>
      </c>
      <c r="G349" s="378">
        <v>0</v>
      </c>
      <c r="H349" s="378">
        <v>0</v>
      </c>
      <c r="I349" s="378">
        <v>-288593</v>
      </c>
      <c r="J349" s="266">
        <f t="shared" si="6"/>
        <v>8</v>
      </c>
    </row>
    <row r="350" spans="1:10" ht="15.75" customHeight="1" x14ac:dyDescent="0.25">
      <c r="A350" s="380">
        <v>23671001</v>
      </c>
      <c r="B350" s="381" t="s">
        <v>321</v>
      </c>
      <c r="C350" s="381" t="s">
        <v>1066</v>
      </c>
      <c r="D350" s="381" t="s">
        <v>757</v>
      </c>
      <c r="E350" s="381" t="s">
        <v>758</v>
      </c>
      <c r="F350" s="378">
        <v>-288593</v>
      </c>
      <c r="G350" s="378">
        <v>0</v>
      </c>
      <c r="H350" s="378">
        <v>0</v>
      </c>
      <c r="I350" s="378">
        <v>-288593</v>
      </c>
      <c r="J350" s="266">
        <f t="shared" si="6"/>
        <v>8</v>
      </c>
    </row>
    <row r="351" spans="1:10" ht="15.75" customHeight="1" x14ac:dyDescent="0.25">
      <c r="A351" s="380">
        <v>236799</v>
      </c>
      <c r="B351" s="381" t="s">
        <v>315</v>
      </c>
      <c r="C351" s="381" t="s">
        <v>435</v>
      </c>
      <c r="D351" s="381" t="s">
        <v>315</v>
      </c>
      <c r="E351" s="381" t="s">
        <v>315</v>
      </c>
      <c r="F351" s="378">
        <v>288593</v>
      </c>
      <c r="G351" s="378">
        <v>0</v>
      </c>
      <c r="H351" s="378">
        <v>0</v>
      </c>
      <c r="I351" s="378">
        <v>288593</v>
      </c>
      <c r="J351" s="266">
        <f t="shared" si="6"/>
        <v>6</v>
      </c>
    </row>
    <row r="352" spans="1:10" ht="15.75" customHeight="1" x14ac:dyDescent="0.25">
      <c r="A352" s="380">
        <v>23679901</v>
      </c>
      <c r="B352" s="381" t="s">
        <v>315</v>
      </c>
      <c r="C352" s="381" t="s">
        <v>435</v>
      </c>
      <c r="D352" s="381" t="s">
        <v>315</v>
      </c>
      <c r="E352" s="381" t="s">
        <v>315</v>
      </c>
      <c r="F352" s="378">
        <v>288593</v>
      </c>
      <c r="G352" s="378">
        <v>0</v>
      </c>
      <c r="H352" s="378">
        <v>0</v>
      </c>
      <c r="I352" s="378">
        <v>288593</v>
      </c>
      <c r="J352" s="266">
        <f t="shared" si="6"/>
        <v>8</v>
      </c>
    </row>
    <row r="353" spans="1:10" ht="15.75" customHeight="1" x14ac:dyDescent="0.25">
      <c r="A353" s="380">
        <v>2369</v>
      </c>
      <c r="B353" s="381" t="s">
        <v>321</v>
      </c>
      <c r="C353" s="381" t="s">
        <v>932</v>
      </c>
      <c r="D353" s="381" t="s">
        <v>315</v>
      </c>
      <c r="E353" s="381" t="s">
        <v>315</v>
      </c>
      <c r="F353" s="378">
        <v>0</v>
      </c>
      <c r="G353" s="378">
        <v>3802000</v>
      </c>
      <c r="H353" s="378">
        <v>3802000</v>
      </c>
      <c r="I353" s="378">
        <v>0</v>
      </c>
      <c r="J353" s="266">
        <f t="shared" si="6"/>
        <v>4</v>
      </c>
    </row>
    <row r="354" spans="1:10" ht="15.75" customHeight="1" x14ac:dyDescent="0.25">
      <c r="A354" s="380">
        <v>236901</v>
      </c>
      <c r="B354" s="381" t="s">
        <v>321</v>
      </c>
      <c r="C354" s="381" t="s">
        <v>932</v>
      </c>
      <c r="D354" s="381" t="s">
        <v>315</v>
      </c>
      <c r="E354" s="381" t="s">
        <v>315</v>
      </c>
      <c r="F354" s="378">
        <v>-36224000</v>
      </c>
      <c r="G354" s="378">
        <v>0</v>
      </c>
      <c r="H354" s="378">
        <v>3802000</v>
      </c>
      <c r="I354" s="378">
        <v>-40026000</v>
      </c>
      <c r="J354" s="266">
        <f t="shared" si="6"/>
        <v>6</v>
      </c>
    </row>
    <row r="355" spans="1:10" ht="15.75" customHeight="1" x14ac:dyDescent="0.25">
      <c r="A355" s="380">
        <v>23690101</v>
      </c>
      <c r="B355" s="381" t="s">
        <v>321</v>
      </c>
      <c r="C355" s="381" t="s">
        <v>1067</v>
      </c>
      <c r="D355" s="381" t="s">
        <v>315</v>
      </c>
      <c r="E355" s="381" t="s">
        <v>315</v>
      </c>
      <c r="F355" s="378">
        <v>-12010000</v>
      </c>
      <c r="G355" s="378">
        <v>0</v>
      </c>
      <c r="H355" s="378">
        <v>3802000</v>
      </c>
      <c r="I355" s="378">
        <v>-15812000</v>
      </c>
      <c r="J355" s="266">
        <f t="shared" si="6"/>
        <v>8</v>
      </c>
    </row>
    <row r="356" spans="1:10" ht="15.75" customHeight="1" x14ac:dyDescent="0.25">
      <c r="A356" s="380">
        <v>23690101</v>
      </c>
      <c r="B356" s="381" t="s">
        <v>321</v>
      </c>
      <c r="C356" s="381" t="s">
        <v>1067</v>
      </c>
      <c r="D356" s="381" t="s">
        <v>725</v>
      </c>
      <c r="E356" s="381" t="s">
        <v>1540</v>
      </c>
      <c r="F356" s="378">
        <v>-12010000</v>
      </c>
      <c r="G356" s="378">
        <v>0</v>
      </c>
      <c r="H356" s="378">
        <v>3802000</v>
      </c>
      <c r="I356" s="378">
        <v>-15812000</v>
      </c>
      <c r="J356" s="266">
        <f t="shared" si="6"/>
        <v>8</v>
      </c>
    </row>
    <row r="357" spans="1:10" ht="15.75" customHeight="1" x14ac:dyDescent="0.25">
      <c r="A357" s="380">
        <v>23690107</v>
      </c>
      <c r="B357" s="381" t="s">
        <v>321</v>
      </c>
      <c r="C357" s="381" t="s">
        <v>1566</v>
      </c>
      <c r="D357" s="381" t="s">
        <v>315</v>
      </c>
      <c r="E357" s="381" t="s">
        <v>315</v>
      </c>
      <c r="F357" s="378">
        <v>-24214000</v>
      </c>
      <c r="G357" s="378">
        <v>0</v>
      </c>
      <c r="H357" s="378">
        <v>0</v>
      </c>
      <c r="I357" s="378">
        <v>-24214000</v>
      </c>
      <c r="J357" s="266">
        <f t="shared" si="6"/>
        <v>8</v>
      </c>
    </row>
    <row r="358" spans="1:10" ht="15.75" customHeight="1" x14ac:dyDescent="0.25">
      <c r="A358" s="380">
        <v>23690107</v>
      </c>
      <c r="B358" s="381" t="s">
        <v>321</v>
      </c>
      <c r="C358" s="381" t="s">
        <v>1566</v>
      </c>
      <c r="D358" s="381" t="s">
        <v>725</v>
      </c>
      <c r="E358" s="381" t="s">
        <v>1540</v>
      </c>
      <c r="F358" s="378">
        <v>-24214000</v>
      </c>
      <c r="G358" s="378">
        <v>0</v>
      </c>
      <c r="H358" s="378">
        <v>0</v>
      </c>
      <c r="I358" s="378">
        <v>-24214000</v>
      </c>
      <c r="J358" s="266">
        <f t="shared" si="6"/>
        <v>8</v>
      </c>
    </row>
    <row r="359" spans="1:10" ht="15.75" customHeight="1" x14ac:dyDescent="0.25">
      <c r="A359" s="380">
        <v>236999</v>
      </c>
      <c r="B359" s="381" t="s">
        <v>321</v>
      </c>
      <c r="C359" s="381" t="s">
        <v>1600</v>
      </c>
      <c r="D359" s="381" t="s">
        <v>315</v>
      </c>
      <c r="E359" s="381" t="s">
        <v>315</v>
      </c>
      <c r="F359" s="378">
        <v>36224000</v>
      </c>
      <c r="G359" s="378">
        <v>3802000</v>
      </c>
      <c r="H359" s="378">
        <v>0</v>
      </c>
      <c r="I359" s="378">
        <v>40026000</v>
      </c>
      <c r="J359" s="266">
        <f t="shared" si="6"/>
        <v>6</v>
      </c>
    </row>
    <row r="360" spans="1:10" ht="15.75" customHeight="1" x14ac:dyDescent="0.25">
      <c r="A360" s="380">
        <v>2370</v>
      </c>
      <c r="B360" s="381" t="s">
        <v>315</v>
      </c>
      <c r="C360" s="381" t="s">
        <v>1259</v>
      </c>
      <c r="D360" s="381" t="s">
        <v>315</v>
      </c>
      <c r="E360" s="381" t="s">
        <v>315</v>
      </c>
      <c r="F360" s="378">
        <v>-2238760</v>
      </c>
      <c r="G360" s="378">
        <v>1244554</v>
      </c>
      <c r="H360" s="378">
        <v>967522</v>
      </c>
      <c r="I360" s="378">
        <v>-1961728</v>
      </c>
      <c r="J360" s="266">
        <f t="shared" si="6"/>
        <v>4</v>
      </c>
    </row>
    <row r="361" spans="1:10" ht="15.75" customHeight="1" x14ac:dyDescent="0.25">
      <c r="A361" s="380">
        <v>237040</v>
      </c>
      <c r="B361" s="381" t="s">
        <v>315</v>
      </c>
      <c r="C361" s="381" t="s">
        <v>1279</v>
      </c>
      <c r="D361" s="381" t="s">
        <v>315</v>
      </c>
      <c r="E361" s="381" t="s">
        <v>315</v>
      </c>
      <c r="F361" s="378">
        <v>-353019</v>
      </c>
      <c r="G361" s="378">
        <v>324184</v>
      </c>
      <c r="H361" s="378">
        <v>334184</v>
      </c>
      <c r="I361" s="378">
        <v>-363019</v>
      </c>
      <c r="J361" s="266">
        <f t="shared" si="6"/>
        <v>6</v>
      </c>
    </row>
    <row r="362" spans="1:10" ht="15.75" customHeight="1" x14ac:dyDescent="0.25">
      <c r="A362" s="380">
        <v>23704001</v>
      </c>
      <c r="B362" s="381" t="s">
        <v>321</v>
      </c>
      <c r="C362" s="381" t="s">
        <v>1601</v>
      </c>
      <c r="D362" s="381" t="s">
        <v>315</v>
      </c>
      <c r="E362" s="381" t="s">
        <v>315</v>
      </c>
      <c r="F362" s="378">
        <v>-269104</v>
      </c>
      <c r="G362" s="378">
        <v>296644</v>
      </c>
      <c r="H362" s="378">
        <v>296644</v>
      </c>
      <c r="I362" s="378">
        <v>-269104</v>
      </c>
      <c r="J362" s="266">
        <f t="shared" si="6"/>
        <v>8</v>
      </c>
    </row>
    <row r="363" spans="1:10" ht="15.75" customHeight="1" x14ac:dyDescent="0.25">
      <c r="A363" s="380">
        <v>23704001</v>
      </c>
      <c r="B363" s="381" t="s">
        <v>321</v>
      </c>
      <c r="C363" s="381" t="s">
        <v>1601</v>
      </c>
      <c r="D363" s="381" t="s">
        <v>1443</v>
      </c>
      <c r="E363" s="381" t="s">
        <v>1530</v>
      </c>
      <c r="F363" s="378">
        <v>-269104</v>
      </c>
      <c r="G363" s="378">
        <v>296644</v>
      </c>
      <c r="H363" s="378">
        <v>296644</v>
      </c>
      <c r="I363" s="378">
        <v>-269104</v>
      </c>
      <c r="J363" s="266">
        <f t="shared" si="6"/>
        <v>8</v>
      </c>
    </row>
    <row r="364" spans="1:10" ht="15.75" customHeight="1" x14ac:dyDescent="0.25">
      <c r="A364" s="380">
        <v>23704002</v>
      </c>
      <c r="B364" s="381" t="s">
        <v>321</v>
      </c>
      <c r="C364" s="381" t="s">
        <v>1602</v>
      </c>
      <c r="D364" s="381" t="s">
        <v>315</v>
      </c>
      <c r="E364" s="381" t="s">
        <v>315</v>
      </c>
      <c r="F364" s="378">
        <v>-19400</v>
      </c>
      <c r="G364" s="378">
        <v>9700</v>
      </c>
      <c r="H364" s="378">
        <v>9700</v>
      </c>
      <c r="I364" s="378">
        <v>-19400</v>
      </c>
      <c r="J364" s="266">
        <f t="shared" si="6"/>
        <v>8</v>
      </c>
    </row>
    <row r="365" spans="1:10" ht="15.75" customHeight="1" x14ac:dyDescent="0.25">
      <c r="A365" s="380">
        <v>23704002</v>
      </c>
      <c r="B365" s="381" t="s">
        <v>321</v>
      </c>
      <c r="C365" s="381" t="s">
        <v>1602</v>
      </c>
      <c r="D365" s="381" t="s">
        <v>1443</v>
      </c>
      <c r="E365" s="381" t="s">
        <v>1530</v>
      </c>
      <c r="F365" s="378">
        <v>-19400</v>
      </c>
      <c r="G365" s="378">
        <v>9700</v>
      </c>
      <c r="H365" s="378">
        <v>9700</v>
      </c>
      <c r="I365" s="378">
        <v>-19400</v>
      </c>
      <c r="J365" s="266">
        <f t="shared" si="6"/>
        <v>8</v>
      </c>
    </row>
    <row r="366" spans="1:10" ht="15.75" customHeight="1" x14ac:dyDescent="0.25">
      <c r="A366" s="380">
        <v>23704003</v>
      </c>
      <c r="B366" s="381" t="s">
        <v>321</v>
      </c>
      <c r="C366" s="381" t="s">
        <v>1603</v>
      </c>
      <c r="D366" s="381" t="s">
        <v>315</v>
      </c>
      <c r="E366" s="381" t="s">
        <v>315</v>
      </c>
      <c r="F366" s="378">
        <v>-64515</v>
      </c>
      <c r="G366" s="378">
        <v>17840</v>
      </c>
      <c r="H366" s="378">
        <v>27840</v>
      </c>
      <c r="I366" s="378">
        <v>-74515</v>
      </c>
      <c r="J366" s="266">
        <f t="shared" si="6"/>
        <v>8</v>
      </c>
    </row>
    <row r="367" spans="1:10" ht="15.75" customHeight="1" x14ac:dyDescent="0.25">
      <c r="A367" s="380">
        <v>23704003</v>
      </c>
      <c r="B367" s="381" t="s">
        <v>321</v>
      </c>
      <c r="C367" s="381" t="s">
        <v>1603</v>
      </c>
      <c r="D367" s="381" t="s">
        <v>1443</v>
      </c>
      <c r="E367" s="381" t="s">
        <v>1530</v>
      </c>
      <c r="F367" s="378">
        <v>-64515</v>
      </c>
      <c r="G367" s="378">
        <v>17840</v>
      </c>
      <c r="H367" s="378">
        <v>27840</v>
      </c>
      <c r="I367" s="378">
        <v>-74515</v>
      </c>
      <c r="J367" s="266">
        <f t="shared" si="6"/>
        <v>8</v>
      </c>
    </row>
    <row r="368" spans="1:10" ht="15.75" customHeight="1" x14ac:dyDescent="0.25">
      <c r="A368" s="380">
        <v>237095</v>
      </c>
      <c r="B368" s="381" t="s">
        <v>315</v>
      </c>
      <c r="C368" s="381" t="s">
        <v>238</v>
      </c>
      <c r="D368" s="381" t="s">
        <v>315</v>
      </c>
      <c r="E368" s="381" t="s">
        <v>315</v>
      </c>
      <c r="F368" s="378">
        <v>-1885741</v>
      </c>
      <c r="G368" s="378">
        <v>920370</v>
      </c>
      <c r="H368" s="378">
        <v>633338</v>
      </c>
      <c r="I368" s="378">
        <v>-1598709</v>
      </c>
      <c r="J368" s="266">
        <f t="shared" si="6"/>
        <v>6</v>
      </c>
    </row>
    <row r="369" spans="1:10" ht="15.75" customHeight="1" x14ac:dyDescent="0.25">
      <c r="A369" s="380">
        <v>23709501</v>
      </c>
      <c r="B369" s="381" t="s">
        <v>315</v>
      </c>
      <c r="C369" s="381" t="s">
        <v>1281</v>
      </c>
      <c r="D369" s="381" t="s">
        <v>315</v>
      </c>
      <c r="E369" s="381" t="s">
        <v>315</v>
      </c>
      <c r="F369" s="378">
        <v>-852756</v>
      </c>
      <c r="G369" s="378">
        <v>920370</v>
      </c>
      <c r="H369" s="378">
        <v>574338</v>
      </c>
      <c r="I369" s="378">
        <v>-506724</v>
      </c>
      <c r="J369" s="266">
        <f t="shared" si="6"/>
        <v>8</v>
      </c>
    </row>
    <row r="370" spans="1:10" ht="15.75" customHeight="1" x14ac:dyDescent="0.25">
      <c r="A370" s="380">
        <v>23709501</v>
      </c>
      <c r="B370" s="381" t="s">
        <v>315</v>
      </c>
      <c r="C370" s="381" t="s">
        <v>1281</v>
      </c>
      <c r="D370" s="381" t="s">
        <v>1604</v>
      </c>
      <c r="E370" s="381" t="s">
        <v>1605</v>
      </c>
      <c r="F370" s="378">
        <v>-44488</v>
      </c>
      <c r="G370" s="378">
        <v>44486</v>
      </c>
      <c r="H370" s="378">
        <v>44486</v>
      </c>
      <c r="I370" s="378">
        <v>-44488</v>
      </c>
      <c r="J370" s="266">
        <f t="shared" si="6"/>
        <v>8</v>
      </c>
    </row>
    <row r="371" spans="1:10" ht="15.75" customHeight="1" x14ac:dyDescent="0.25">
      <c r="A371" s="380">
        <v>23709501</v>
      </c>
      <c r="B371" s="381" t="s">
        <v>315</v>
      </c>
      <c r="C371" s="381" t="s">
        <v>1281</v>
      </c>
      <c r="D371" s="381" t="s">
        <v>1606</v>
      </c>
      <c r="E371" s="381" t="s">
        <v>1607</v>
      </c>
      <c r="F371" s="378">
        <v>-144536</v>
      </c>
      <c r="G371" s="378">
        <v>144536</v>
      </c>
      <c r="H371" s="378">
        <v>144536</v>
      </c>
      <c r="I371" s="378">
        <v>-144536</v>
      </c>
      <c r="J371" s="266">
        <f t="shared" si="6"/>
        <v>8</v>
      </c>
    </row>
    <row r="372" spans="1:10" ht="15.75" customHeight="1" x14ac:dyDescent="0.25">
      <c r="A372" s="380">
        <v>23709501</v>
      </c>
      <c r="B372" s="381" t="s">
        <v>315</v>
      </c>
      <c r="C372" s="381" t="s">
        <v>1281</v>
      </c>
      <c r="D372" s="381" t="s">
        <v>1444</v>
      </c>
      <c r="E372" s="381" t="s">
        <v>1533</v>
      </c>
      <c r="F372" s="378">
        <v>-212300</v>
      </c>
      <c r="G372" s="378">
        <v>212300</v>
      </c>
      <c r="H372" s="378">
        <v>212300</v>
      </c>
      <c r="I372" s="378">
        <v>-212300</v>
      </c>
      <c r="J372" s="266">
        <f t="shared" si="6"/>
        <v>8</v>
      </c>
    </row>
    <row r="373" spans="1:10" ht="15.75" customHeight="1" x14ac:dyDescent="0.25">
      <c r="A373" s="380">
        <v>23709501</v>
      </c>
      <c r="B373" s="381" t="s">
        <v>315</v>
      </c>
      <c r="C373" s="381" t="s">
        <v>1281</v>
      </c>
      <c r="D373" s="381" t="s">
        <v>1523</v>
      </c>
      <c r="E373" s="381" t="s">
        <v>1524</v>
      </c>
      <c r="F373" s="378">
        <v>-451432</v>
      </c>
      <c r="G373" s="378">
        <v>519048</v>
      </c>
      <c r="H373" s="378">
        <v>173016</v>
      </c>
      <c r="I373" s="378">
        <v>-105400</v>
      </c>
      <c r="J373" s="266">
        <f t="shared" si="6"/>
        <v>8</v>
      </c>
    </row>
    <row r="374" spans="1:10" ht="15.75" customHeight="1" x14ac:dyDescent="0.25">
      <c r="A374" s="380">
        <v>23709504</v>
      </c>
      <c r="B374" s="381" t="s">
        <v>321</v>
      </c>
      <c r="C374" s="381" t="s">
        <v>1608</v>
      </c>
      <c r="D374" s="381" t="s">
        <v>315</v>
      </c>
      <c r="E374" s="381" t="s">
        <v>315</v>
      </c>
      <c r="F374" s="378">
        <v>0</v>
      </c>
      <c r="G374" s="378">
        <v>0</v>
      </c>
      <c r="H374" s="378">
        <v>0</v>
      </c>
      <c r="I374" s="378">
        <v>0</v>
      </c>
      <c r="J374" s="266">
        <f t="shared" si="6"/>
        <v>8</v>
      </c>
    </row>
    <row r="375" spans="1:10" ht="15.75" customHeight="1" x14ac:dyDescent="0.25">
      <c r="A375" s="380">
        <v>23709507</v>
      </c>
      <c r="B375" s="381" t="s">
        <v>321</v>
      </c>
      <c r="C375" s="381" t="s">
        <v>1504</v>
      </c>
      <c r="D375" s="381" t="s">
        <v>315</v>
      </c>
      <c r="E375" s="381" t="s">
        <v>315</v>
      </c>
      <c r="F375" s="378">
        <v>-1032985</v>
      </c>
      <c r="G375" s="378">
        <v>0</v>
      </c>
      <c r="H375" s="378">
        <v>59000</v>
      </c>
      <c r="I375" s="378">
        <v>-1091985</v>
      </c>
      <c r="J375" s="266">
        <f t="shared" si="6"/>
        <v>8</v>
      </c>
    </row>
    <row r="376" spans="1:10" ht="15.75" customHeight="1" x14ac:dyDescent="0.25">
      <c r="A376" s="380">
        <v>23709507</v>
      </c>
      <c r="B376" s="381" t="s">
        <v>321</v>
      </c>
      <c r="C376" s="381" t="s">
        <v>1504</v>
      </c>
      <c r="D376" s="381" t="s">
        <v>1535</v>
      </c>
      <c r="E376" s="381" t="s">
        <v>1536</v>
      </c>
      <c r="F376" s="378">
        <v>-531000</v>
      </c>
      <c r="G376" s="378">
        <v>0</v>
      </c>
      <c r="H376" s="378">
        <v>59000</v>
      </c>
      <c r="I376" s="378">
        <v>-590000</v>
      </c>
      <c r="J376" s="266">
        <f t="shared" si="6"/>
        <v>8</v>
      </c>
    </row>
    <row r="377" spans="1:10" ht="15.75" customHeight="1" x14ac:dyDescent="0.25">
      <c r="A377" s="380">
        <v>23709507</v>
      </c>
      <c r="B377" s="381" t="s">
        <v>321</v>
      </c>
      <c r="C377" s="381" t="s">
        <v>1504</v>
      </c>
      <c r="D377" s="381" t="s">
        <v>1609</v>
      </c>
      <c r="E377" s="381" t="s">
        <v>1610</v>
      </c>
      <c r="F377" s="378">
        <v>-74685</v>
      </c>
      <c r="G377" s="378">
        <v>0</v>
      </c>
      <c r="H377" s="378">
        <v>0</v>
      </c>
      <c r="I377" s="378">
        <v>-74685</v>
      </c>
      <c r="J377" s="266">
        <f t="shared" si="6"/>
        <v>8</v>
      </c>
    </row>
    <row r="378" spans="1:10" ht="15.75" customHeight="1" x14ac:dyDescent="0.25">
      <c r="A378" s="380">
        <v>23709507</v>
      </c>
      <c r="B378" s="381" t="s">
        <v>321</v>
      </c>
      <c r="C378" s="381" t="s">
        <v>1504</v>
      </c>
      <c r="D378" s="381" t="s">
        <v>1210</v>
      </c>
      <c r="E378" s="381" t="s">
        <v>1611</v>
      </c>
      <c r="F378" s="378">
        <v>-370000</v>
      </c>
      <c r="G378" s="378">
        <v>0</v>
      </c>
      <c r="H378" s="378">
        <v>0</v>
      </c>
      <c r="I378" s="378">
        <v>-370000</v>
      </c>
      <c r="J378" s="266">
        <f t="shared" si="6"/>
        <v>8</v>
      </c>
    </row>
    <row r="379" spans="1:10" ht="15.75" customHeight="1" x14ac:dyDescent="0.25">
      <c r="A379" s="380">
        <v>23709507</v>
      </c>
      <c r="B379" s="381" t="s">
        <v>321</v>
      </c>
      <c r="C379" s="381" t="s">
        <v>1504</v>
      </c>
      <c r="D379" s="381" t="s">
        <v>1523</v>
      </c>
      <c r="E379" s="381" t="s">
        <v>1524</v>
      </c>
      <c r="F379" s="378">
        <v>-57300</v>
      </c>
      <c r="G379" s="378">
        <v>0</v>
      </c>
      <c r="H379" s="378">
        <v>0</v>
      </c>
      <c r="I379" s="378">
        <v>-57300</v>
      </c>
      <c r="J379" s="266">
        <f t="shared" si="6"/>
        <v>8</v>
      </c>
    </row>
    <row r="380" spans="1:10" ht="15.75" customHeight="1" x14ac:dyDescent="0.25">
      <c r="A380" s="380">
        <v>2380</v>
      </c>
      <c r="B380" s="381" t="s">
        <v>315</v>
      </c>
      <c r="C380" s="381" t="s">
        <v>1068</v>
      </c>
      <c r="D380" s="381" t="s">
        <v>315</v>
      </c>
      <c r="E380" s="381" t="s">
        <v>315</v>
      </c>
      <c r="F380" s="378">
        <v>-1531609.74</v>
      </c>
      <c r="G380" s="378">
        <v>282280</v>
      </c>
      <c r="H380" s="378">
        <v>2</v>
      </c>
      <c r="I380" s="378">
        <v>-1249331.74</v>
      </c>
      <c r="J380" s="266">
        <f t="shared" si="6"/>
        <v>4</v>
      </c>
    </row>
    <row r="381" spans="1:10" ht="15.75" customHeight="1" x14ac:dyDescent="0.25">
      <c r="A381" s="380">
        <v>238095</v>
      </c>
      <c r="B381" s="381" t="s">
        <v>315</v>
      </c>
      <c r="C381" s="381" t="s">
        <v>238</v>
      </c>
      <c r="D381" s="381" t="s">
        <v>315</v>
      </c>
      <c r="E381" s="381" t="s">
        <v>315</v>
      </c>
      <c r="F381" s="378">
        <v>-1531609.74</v>
      </c>
      <c r="G381" s="378">
        <v>282280</v>
      </c>
      <c r="H381" s="378">
        <v>2</v>
      </c>
      <c r="I381" s="378">
        <v>-1249331.74</v>
      </c>
      <c r="J381" s="266">
        <f t="shared" si="6"/>
        <v>6</v>
      </c>
    </row>
    <row r="382" spans="1:10" ht="15.75" customHeight="1" x14ac:dyDescent="0.25">
      <c r="A382" s="380">
        <v>23809501</v>
      </c>
      <c r="B382" s="381" t="s">
        <v>315</v>
      </c>
      <c r="C382" s="381" t="s">
        <v>238</v>
      </c>
      <c r="D382" s="381" t="s">
        <v>315</v>
      </c>
      <c r="E382" s="381" t="s">
        <v>315</v>
      </c>
      <c r="F382" s="378">
        <v>-753173</v>
      </c>
      <c r="G382" s="378">
        <v>282280</v>
      </c>
      <c r="H382" s="378">
        <v>0</v>
      </c>
      <c r="I382" s="378">
        <v>-470893</v>
      </c>
      <c r="J382" s="266">
        <f t="shared" si="6"/>
        <v>8</v>
      </c>
    </row>
    <row r="383" spans="1:10" ht="15.75" customHeight="1" x14ac:dyDescent="0.25">
      <c r="A383" s="380">
        <v>23809501</v>
      </c>
      <c r="B383" s="381" t="s">
        <v>315</v>
      </c>
      <c r="C383" s="381" t="s">
        <v>238</v>
      </c>
      <c r="D383" s="381" t="s">
        <v>347</v>
      </c>
      <c r="E383" s="381" t="s">
        <v>348</v>
      </c>
      <c r="F383" s="378">
        <v>-157480</v>
      </c>
      <c r="G383" s="378">
        <v>157480</v>
      </c>
      <c r="H383" s="378">
        <v>0</v>
      </c>
      <c r="I383" s="378">
        <v>0</v>
      </c>
      <c r="J383" s="266">
        <f t="shared" si="6"/>
        <v>8</v>
      </c>
    </row>
    <row r="384" spans="1:10" ht="15.75" customHeight="1" x14ac:dyDescent="0.25">
      <c r="A384" s="380">
        <v>23809501</v>
      </c>
      <c r="B384" s="381" t="s">
        <v>315</v>
      </c>
      <c r="C384" s="381" t="s">
        <v>238</v>
      </c>
      <c r="D384" s="381" t="s">
        <v>837</v>
      </c>
      <c r="E384" s="381" t="s">
        <v>838</v>
      </c>
      <c r="F384" s="378">
        <v>-124800</v>
      </c>
      <c r="G384" s="378">
        <v>124800</v>
      </c>
      <c r="H384" s="378">
        <v>0</v>
      </c>
      <c r="I384" s="378">
        <v>0</v>
      </c>
      <c r="J384" s="266">
        <f t="shared" si="6"/>
        <v>8</v>
      </c>
    </row>
    <row r="385" spans="1:10" ht="15.75" customHeight="1" x14ac:dyDescent="0.25">
      <c r="A385" s="380">
        <v>23809501</v>
      </c>
      <c r="B385" s="381" t="s">
        <v>315</v>
      </c>
      <c r="C385" s="381" t="s">
        <v>238</v>
      </c>
      <c r="D385" s="381" t="s">
        <v>377</v>
      </c>
      <c r="E385" s="381" t="s">
        <v>378</v>
      </c>
      <c r="F385" s="378">
        <v>-415553</v>
      </c>
      <c r="G385" s="378">
        <v>0</v>
      </c>
      <c r="H385" s="378">
        <v>0</v>
      </c>
      <c r="I385" s="378">
        <v>-415553</v>
      </c>
      <c r="J385" s="266">
        <f t="shared" si="6"/>
        <v>8</v>
      </c>
    </row>
    <row r="386" spans="1:10" ht="15.75" customHeight="1" x14ac:dyDescent="0.25">
      <c r="A386" s="380">
        <v>23809501</v>
      </c>
      <c r="B386" s="381" t="s">
        <v>315</v>
      </c>
      <c r="C386" s="381" t="s">
        <v>238</v>
      </c>
      <c r="D386" s="381" t="s">
        <v>804</v>
      </c>
      <c r="E386" s="381" t="s">
        <v>1554</v>
      </c>
      <c r="F386" s="378">
        <v>-55340</v>
      </c>
      <c r="G386" s="378">
        <v>0</v>
      </c>
      <c r="H386" s="378">
        <v>0</v>
      </c>
      <c r="I386" s="378">
        <v>-55340</v>
      </c>
      <c r="J386" s="266">
        <f t="shared" si="6"/>
        <v>8</v>
      </c>
    </row>
    <row r="387" spans="1:10" ht="15.75" customHeight="1" x14ac:dyDescent="0.25">
      <c r="A387" s="380">
        <v>23809503</v>
      </c>
      <c r="B387" s="381" t="s">
        <v>321</v>
      </c>
      <c r="C387" s="381" t="s">
        <v>1612</v>
      </c>
      <c r="D387" s="381" t="s">
        <v>315</v>
      </c>
      <c r="E387" s="381" t="s">
        <v>315</v>
      </c>
      <c r="F387" s="378">
        <v>-778436.74</v>
      </c>
      <c r="G387" s="378">
        <v>0</v>
      </c>
      <c r="H387" s="378">
        <v>2</v>
      </c>
      <c r="I387" s="378">
        <v>-778438.74</v>
      </c>
      <c r="J387" s="266">
        <f t="shared" si="6"/>
        <v>8</v>
      </c>
    </row>
    <row r="388" spans="1:10" ht="15.75" customHeight="1" x14ac:dyDescent="0.25">
      <c r="A388" s="380">
        <v>23809503</v>
      </c>
      <c r="B388" s="381" t="s">
        <v>321</v>
      </c>
      <c r="C388" s="381" t="s">
        <v>1612</v>
      </c>
      <c r="D388" s="381" t="s">
        <v>328</v>
      </c>
      <c r="E388" s="381" t="s">
        <v>1521</v>
      </c>
      <c r="F388" s="378">
        <v>-774892.07</v>
      </c>
      <c r="G388" s="378">
        <v>0</v>
      </c>
      <c r="H388" s="378">
        <v>0</v>
      </c>
      <c r="I388" s="378">
        <v>-774892.07</v>
      </c>
      <c r="J388" s="266">
        <f t="shared" si="6"/>
        <v>8</v>
      </c>
    </row>
    <row r="389" spans="1:10" ht="15.75" customHeight="1" x14ac:dyDescent="0.25">
      <c r="A389" s="380">
        <v>23809503</v>
      </c>
      <c r="B389" s="381" t="s">
        <v>321</v>
      </c>
      <c r="C389" s="381" t="s">
        <v>1612</v>
      </c>
      <c r="D389" s="381" t="s">
        <v>641</v>
      </c>
      <c r="E389" s="381" t="s">
        <v>1519</v>
      </c>
      <c r="F389" s="378">
        <v>-3546.67</v>
      </c>
      <c r="G389" s="378">
        <v>0</v>
      </c>
      <c r="H389" s="378">
        <v>0</v>
      </c>
      <c r="I389" s="378">
        <v>-3546.67</v>
      </c>
      <c r="J389" s="266">
        <f t="shared" si="6"/>
        <v>8</v>
      </c>
    </row>
    <row r="390" spans="1:10" ht="15.75" customHeight="1" x14ac:dyDescent="0.25">
      <c r="A390" s="380">
        <v>23809503</v>
      </c>
      <c r="B390" s="381" t="s">
        <v>321</v>
      </c>
      <c r="C390" s="381" t="s">
        <v>1612</v>
      </c>
      <c r="D390" s="381" t="s">
        <v>419</v>
      </c>
      <c r="E390" s="381" t="s">
        <v>420</v>
      </c>
      <c r="F390" s="378">
        <v>-1.3642420526593899E-11</v>
      </c>
      <c r="G390" s="378">
        <v>0</v>
      </c>
      <c r="H390" s="378">
        <v>0</v>
      </c>
      <c r="I390" s="378">
        <v>-1.3642420526593899E-11</v>
      </c>
      <c r="J390" s="266">
        <f t="shared" si="6"/>
        <v>8</v>
      </c>
    </row>
    <row r="391" spans="1:10" ht="15.75" customHeight="1" x14ac:dyDescent="0.25">
      <c r="A391" s="380">
        <v>23809503</v>
      </c>
      <c r="B391" s="381" t="s">
        <v>321</v>
      </c>
      <c r="C391" s="381" t="s">
        <v>1612</v>
      </c>
      <c r="D391" s="381" t="s">
        <v>638</v>
      </c>
      <c r="E391" s="381" t="s">
        <v>1317</v>
      </c>
      <c r="F391" s="378">
        <v>2</v>
      </c>
      <c r="G391" s="378">
        <v>0</v>
      </c>
      <c r="H391" s="378">
        <v>2</v>
      </c>
      <c r="I391" s="378">
        <v>0</v>
      </c>
      <c r="J391" s="266">
        <f t="shared" si="6"/>
        <v>8</v>
      </c>
    </row>
    <row r="392" spans="1:10" ht="15.75" customHeight="1" x14ac:dyDescent="0.25">
      <c r="A392" s="380">
        <v>24</v>
      </c>
      <c r="B392" s="381" t="s">
        <v>315</v>
      </c>
      <c r="C392" s="381" t="s">
        <v>1613</v>
      </c>
      <c r="D392" s="381" t="s">
        <v>315</v>
      </c>
      <c r="E392" s="381" t="s">
        <v>315</v>
      </c>
      <c r="F392" s="378">
        <v>-146820529.97999999</v>
      </c>
      <c r="G392" s="378">
        <v>47965787.649999999</v>
      </c>
      <c r="H392" s="378">
        <v>78579009.620000005</v>
      </c>
      <c r="I392" s="378">
        <v>-177433751.94999999</v>
      </c>
      <c r="J392" s="266">
        <f t="shared" si="6"/>
        <v>2</v>
      </c>
    </row>
    <row r="393" spans="1:10" ht="15.75" customHeight="1" x14ac:dyDescent="0.25">
      <c r="A393" s="380">
        <v>2404</v>
      </c>
      <c r="B393" s="381" t="s">
        <v>315</v>
      </c>
      <c r="C393" s="381" t="s">
        <v>1074</v>
      </c>
      <c r="D393" s="381" t="s">
        <v>315</v>
      </c>
      <c r="E393" s="381" t="s">
        <v>315</v>
      </c>
      <c r="F393" s="378">
        <v>-30537000</v>
      </c>
      <c r="G393" s="378">
        <v>0</v>
      </c>
      <c r="H393" s="378">
        <v>3799000</v>
      </c>
      <c r="I393" s="378">
        <v>-34336000</v>
      </c>
      <c r="J393" s="266">
        <f t="shared" si="6"/>
        <v>4</v>
      </c>
    </row>
    <row r="394" spans="1:10" ht="15.75" customHeight="1" x14ac:dyDescent="0.25">
      <c r="A394" s="380">
        <v>240405</v>
      </c>
      <c r="B394" s="381" t="s">
        <v>315</v>
      </c>
      <c r="C394" s="381" t="s">
        <v>1075</v>
      </c>
      <c r="D394" s="381" t="s">
        <v>315</v>
      </c>
      <c r="E394" s="381" t="s">
        <v>315</v>
      </c>
      <c r="F394" s="378">
        <v>-30537000</v>
      </c>
      <c r="G394" s="378">
        <v>0</v>
      </c>
      <c r="H394" s="378">
        <v>3799000</v>
      </c>
      <c r="I394" s="378">
        <v>-34336000</v>
      </c>
      <c r="J394" s="266">
        <f t="shared" si="6"/>
        <v>6</v>
      </c>
    </row>
    <row r="395" spans="1:10" ht="15.75" customHeight="1" x14ac:dyDescent="0.25">
      <c r="A395" s="380">
        <v>24040501</v>
      </c>
      <c r="B395" s="381" t="s">
        <v>321</v>
      </c>
      <c r="C395" s="381" t="s">
        <v>1614</v>
      </c>
      <c r="D395" s="381" t="s">
        <v>315</v>
      </c>
      <c r="E395" s="381" t="s">
        <v>315</v>
      </c>
      <c r="F395" s="378">
        <v>-30537000</v>
      </c>
      <c r="G395" s="378">
        <v>0</v>
      </c>
      <c r="H395" s="378">
        <v>3799000</v>
      </c>
      <c r="I395" s="378">
        <v>-34336000</v>
      </c>
      <c r="J395" s="266">
        <f t="shared" si="6"/>
        <v>8</v>
      </c>
    </row>
    <row r="396" spans="1:10" ht="15.75" customHeight="1" x14ac:dyDescent="0.25">
      <c r="A396" s="380">
        <v>2406</v>
      </c>
      <c r="B396" s="381" t="s">
        <v>321</v>
      </c>
      <c r="C396" s="381" t="s">
        <v>1615</v>
      </c>
      <c r="D396" s="381" t="s">
        <v>315</v>
      </c>
      <c r="E396" s="381" t="s">
        <v>315</v>
      </c>
      <c r="F396" s="378">
        <v>-89411000</v>
      </c>
      <c r="G396" s="378">
        <v>10462000</v>
      </c>
      <c r="H396" s="378">
        <v>9299000</v>
      </c>
      <c r="I396" s="378">
        <v>-88248000</v>
      </c>
      <c r="J396" s="266">
        <f t="shared" ref="J396:J459" si="7">+LEN(A396)</f>
        <v>4</v>
      </c>
    </row>
    <row r="397" spans="1:10" ht="15.75" customHeight="1" x14ac:dyDescent="0.25">
      <c r="A397" s="380">
        <v>240605</v>
      </c>
      <c r="B397" s="381" t="s">
        <v>321</v>
      </c>
      <c r="C397" s="381" t="s">
        <v>1615</v>
      </c>
      <c r="D397" s="381" t="s">
        <v>315</v>
      </c>
      <c r="E397" s="381" t="s">
        <v>315</v>
      </c>
      <c r="F397" s="378">
        <v>-10462000</v>
      </c>
      <c r="G397" s="378">
        <v>10462000</v>
      </c>
      <c r="H397" s="378">
        <v>9299000</v>
      </c>
      <c r="I397" s="378">
        <v>-9299000</v>
      </c>
      <c r="J397" s="266">
        <f t="shared" si="7"/>
        <v>6</v>
      </c>
    </row>
    <row r="398" spans="1:10" ht="15.75" customHeight="1" x14ac:dyDescent="0.25">
      <c r="A398" s="380">
        <v>240605</v>
      </c>
      <c r="B398" s="381" t="s">
        <v>321</v>
      </c>
      <c r="C398" s="381" t="s">
        <v>1615</v>
      </c>
      <c r="D398" s="381" t="s">
        <v>422</v>
      </c>
      <c r="E398" s="381" t="s">
        <v>1073</v>
      </c>
      <c r="F398" s="378">
        <v>-10462000</v>
      </c>
      <c r="G398" s="378">
        <v>10462000</v>
      </c>
      <c r="H398" s="378">
        <v>9299000</v>
      </c>
      <c r="I398" s="378">
        <v>-9299000</v>
      </c>
      <c r="J398" s="266">
        <f t="shared" si="7"/>
        <v>6</v>
      </c>
    </row>
    <row r="399" spans="1:10" ht="15.75" customHeight="1" x14ac:dyDescent="0.25">
      <c r="A399" s="380">
        <v>240610</v>
      </c>
      <c r="B399" s="381" t="s">
        <v>321</v>
      </c>
      <c r="C399" s="381" t="s">
        <v>629</v>
      </c>
      <c r="D399" s="381" t="s">
        <v>315</v>
      </c>
      <c r="E399" s="381" t="s">
        <v>315</v>
      </c>
      <c r="F399" s="378">
        <v>-78949000</v>
      </c>
      <c r="G399" s="378">
        <v>0</v>
      </c>
      <c r="H399" s="378">
        <v>0</v>
      </c>
      <c r="I399" s="378">
        <v>-78949000</v>
      </c>
      <c r="J399" s="266">
        <f t="shared" si="7"/>
        <v>6</v>
      </c>
    </row>
    <row r="400" spans="1:10" ht="15.75" customHeight="1" x14ac:dyDescent="0.25">
      <c r="A400" s="380">
        <v>240610</v>
      </c>
      <c r="B400" s="381" t="s">
        <v>321</v>
      </c>
      <c r="C400" s="381" t="s">
        <v>629</v>
      </c>
      <c r="D400" s="381" t="s">
        <v>422</v>
      </c>
      <c r="E400" s="381" t="s">
        <v>1073</v>
      </c>
      <c r="F400" s="378">
        <v>-78949000</v>
      </c>
      <c r="G400" s="378">
        <v>0</v>
      </c>
      <c r="H400" s="378">
        <v>0</v>
      </c>
      <c r="I400" s="378">
        <v>-78949000</v>
      </c>
      <c r="J400" s="266">
        <f t="shared" si="7"/>
        <v>6</v>
      </c>
    </row>
    <row r="401" spans="1:10" ht="15.75" customHeight="1" x14ac:dyDescent="0.25">
      <c r="A401" s="380">
        <v>2408</v>
      </c>
      <c r="B401" s="381" t="s">
        <v>315</v>
      </c>
      <c r="C401" s="381" t="s">
        <v>437</v>
      </c>
      <c r="D401" s="381" t="s">
        <v>315</v>
      </c>
      <c r="E401" s="381" t="s">
        <v>315</v>
      </c>
      <c r="F401" s="378">
        <v>-26872529.980000101</v>
      </c>
      <c r="G401" s="378">
        <v>37503787.649999999</v>
      </c>
      <c r="H401" s="378">
        <v>65481009.619999997</v>
      </c>
      <c r="I401" s="378">
        <v>-54849751.9500001</v>
      </c>
      <c r="J401" s="266">
        <f t="shared" si="7"/>
        <v>4</v>
      </c>
    </row>
    <row r="402" spans="1:10" ht="15.75" customHeight="1" x14ac:dyDescent="0.25">
      <c r="A402" s="380">
        <v>240805</v>
      </c>
      <c r="B402" s="381" t="s">
        <v>315</v>
      </c>
      <c r="C402" s="381" t="s">
        <v>438</v>
      </c>
      <c r="D402" s="381" t="s">
        <v>315</v>
      </c>
      <c r="E402" s="381" t="s">
        <v>315</v>
      </c>
      <c r="F402" s="378">
        <v>-337847187.44</v>
      </c>
      <c r="G402" s="378">
        <v>35758</v>
      </c>
      <c r="H402" s="378">
        <v>65467811.619999997</v>
      </c>
      <c r="I402" s="378">
        <v>-403279241.06</v>
      </c>
      <c r="J402" s="266">
        <f t="shared" si="7"/>
        <v>6</v>
      </c>
    </row>
    <row r="403" spans="1:10" ht="15.75" customHeight="1" x14ac:dyDescent="0.25">
      <c r="A403" s="380">
        <v>24080506</v>
      </c>
      <c r="B403" s="381" t="s">
        <v>321</v>
      </c>
      <c r="C403" s="381" t="s">
        <v>1077</v>
      </c>
      <c r="D403" s="381" t="s">
        <v>315</v>
      </c>
      <c r="E403" s="381" t="s">
        <v>315</v>
      </c>
      <c r="F403" s="378">
        <v>-337607863.44</v>
      </c>
      <c r="G403" s="378">
        <v>0</v>
      </c>
      <c r="H403" s="378">
        <v>65423691.619999997</v>
      </c>
      <c r="I403" s="378">
        <v>-403031555.06</v>
      </c>
      <c r="J403" s="266">
        <f t="shared" si="7"/>
        <v>8</v>
      </c>
    </row>
    <row r="404" spans="1:10" ht="15.75" customHeight="1" x14ac:dyDescent="0.25">
      <c r="A404" s="380">
        <v>24080506</v>
      </c>
      <c r="B404" s="381" t="s">
        <v>321</v>
      </c>
      <c r="C404" s="381" t="s">
        <v>1077</v>
      </c>
      <c r="D404" s="381" t="s">
        <v>403</v>
      </c>
      <c r="E404" s="381" t="s">
        <v>1616</v>
      </c>
      <c r="F404" s="378">
        <v>-336496395</v>
      </c>
      <c r="G404" s="378">
        <v>0</v>
      </c>
      <c r="H404" s="378">
        <v>65373621</v>
      </c>
      <c r="I404" s="378">
        <v>-401870016</v>
      </c>
      <c r="J404" s="266">
        <f t="shared" si="7"/>
        <v>8</v>
      </c>
    </row>
    <row r="405" spans="1:10" ht="15.75" customHeight="1" x14ac:dyDescent="0.25">
      <c r="A405" s="380">
        <v>24080506</v>
      </c>
      <c r="B405" s="381" t="s">
        <v>321</v>
      </c>
      <c r="C405" s="381" t="s">
        <v>1077</v>
      </c>
      <c r="D405" s="381" t="s">
        <v>1617</v>
      </c>
      <c r="E405" s="381" t="s">
        <v>1618</v>
      </c>
      <c r="F405" s="378">
        <v>-2634.45</v>
      </c>
      <c r="G405" s="378">
        <v>0</v>
      </c>
      <c r="H405" s="378">
        <v>0</v>
      </c>
      <c r="I405" s="378">
        <v>-2634.45</v>
      </c>
      <c r="J405" s="266">
        <f t="shared" si="7"/>
        <v>8</v>
      </c>
    </row>
    <row r="406" spans="1:10" ht="15.75" customHeight="1" x14ac:dyDescent="0.25">
      <c r="A406" s="380">
        <v>24080506</v>
      </c>
      <c r="B406" s="381" t="s">
        <v>321</v>
      </c>
      <c r="C406" s="381" t="s">
        <v>1077</v>
      </c>
      <c r="D406" s="381" t="s">
        <v>1619</v>
      </c>
      <c r="E406" s="381" t="s">
        <v>1620</v>
      </c>
      <c r="F406" s="378">
        <v>-12357.98</v>
      </c>
      <c r="G406" s="378">
        <v>0</v>
      </c>
      <c r="H406" s="378">
        <v>0</v>
      </c>
      <c r="I406" s="378">
        <v>-12357.98</v>
      </c>
      <c r="J406" s="266">
        <f t="shared" si="7"/>
        <v>8</v>
      </c>
    </row>
    <row r="407" spans="1:10" ht="15.75" customHeight="1" x14ac:dyDescent="0.25">
      <c r="A407" s="380">
        <v>24080506</v>
      </c>
      <c r="B407" s="381" t="s">
        <v>321</v>
      </c>
      <c r="C407" s="381" t="s">
        <v>1077</v>
      </c>
      <c r="D407" s="381" t="s">
        <v>1621</v>
      </c>
      <c r="E407" s="381" t="s">
        <v>1622</v>
      </c>
      <c r="F407" s="378">
        <v>-8893.2900000000009</v>
      </c>
      <c r="G407" s="378">
        <v>0</v>
      </c>
      <c r="H407" s="378">
        <v>0</v>
      </c>
      <c r="I407" s="378">
        <v>-8893.2900000000009</v>
      </c>
      <c r="J407" s="266">
        <f t="shared" si="7"/>
        <v>8</v>
      </c>
    </row>
    <row r="408" spans="1:10" ht="15.75" customHeight="1" x14ac:dyDescent="0.25">
      <c r="A408" s="380">
        <v>24080506</v>
      </c>
      <c r="B408" s="381" t="s">
        <v>321</v>
      </c>
      <c r="C408" s="381" t="s">
        <v>1077</v>
      </c>
      <c r="D408" s="381" t="s">
        <v>439</v>
      </c>
      <c r="E408" s="381" t="s">
        <v>1082</v>
      </c>
      <c r="F408" s="378">
        <v>-18648.740000000002</v>
      </c>
      <c r="G408" s="378">
        <v>0</v>
      </c>
      <c r="H408" s="378">
        <v>0</v>
      </c>
      <c r="I408" s="378">
        <v>-18648.740000000002</v>
      </c>
      <c r="J408" s="266">
        <f t="shared" si="7"/>
        <v>8</v>
      </c>
    </row>
    <row r="409" spans="1:10" ht="15.75" customHeight="1" x14ac:dyDescent="0.25">
      <c r="A409" s="380">
        <v>24080506</v>
      </c>
      <c r="B409" s="381" t="s">
        <v>321</v>
      </c>
      <c r="C409" s="381" t="s">
        <v>1077</v>
      </c>
      <c r="D409" s="381" t="s">
        <v>1623</v>
      </c>
      <c r="E409" s="381" t="s">
        <v>1624</v>
      </c>
      <c r="F409" s="378">
        <v>-7312.6</v>
      </c>
      <c r="G409" s="378">
        <v>0</v>
      </c>
      <c r="H409" s="378">
        <v>0</v>
      </c>
      <c r="I409" s="378">
        <v>-7312.6</v>
      </c>
      <c r="J409" s="266">
        <f t="shared" si="7"/>
        <v>8</v>
      </c>
    </row>
    <row r="410" spans="1:10" ht="15.75" customHeight="1" x14ac:dyDescent="0.25">
      <c r="A410" s="380">
        <v>24080506</v>
      </c>
      <c r="B410" s="381" t="s">
        <v>321</v>
      </c>
      <c r="C410" s="381" t="s">
        <v>1077</v>
      </c>
      <c r="D410" s="381" t="s">
        <v>1625</v>
      </c>
      <c r="E410" s="381" t="s">
        <v>1626</v>
      </c>
      <c r="F410" s="378">
        <v>-3384.87</v>
      </c>
      <c r="G410" s="378">
        <v>0</v>
      </c>
      <c r="H410" s="378">
        <v>0</v>
      </c>
      <c r="I410" s="378">
        <v>-3384.87</v>
      </c>
      <c r="J410" s="266">
        <f t="shared" si="7"/>
        <v>8</v>
      </c>
    </row>
    <row r="411" spans="1:10" ht="15.75" customHeight="1" x14ac:dyDescent="0.25">
      <c r="A411" s="380">
        <v>24080506</v>
      </c>
      <c r="B411" s="381" t="s">
        <v>321</v>
      </c>
      <c r="C411" s="381" t="s">
        <v>1077</v>
      </c>
      <c r="D411" s="381" t="s">
        <v>1627</v>
      </c>
      <c r="E411" s="381" t="s">
        <v>1628</v>
      </c>
      <c r="F411" s="378">
        <v>0</v>
      </c>
      <c r="G411" s="378">
        <v>0</v>
      </c>
      <c r="H411" s="378">
        <v>18441.189999999999</v>
      </c>
      <c r="I411" s="378">
        <v>-18441.189999999999</v>
      </c>
      <c r="J411" s="266">
        <f t="shared" si="7"/>
        <v>8</v>
      </c>
    </row>
    <row r="412" spans="1:10" ht="15.75" customHeight="1" x14ac:dyDescent="0.25">
      <c r="A412" s="380">
        <v>24080506</v>
      </c>
      <c r="B412" s="381" t="s">
        <v>321</v>
      </c>
      <c r="C412" s="381" t="s">
        <v>1077</v>
      </c>
      <c r="D412" s="381" t="s">
        <v>927</v>
      </c>
      <c r="E412" s="381" t="s">
        <v>928</v>
      </c>
      <c r="F412" s="378">
        <v>-512348.11</v>
      </c>
      <c r="G412" s="378">
        <v>0</v>
      </c>
      <c r="H412" s="378">
        <v>0</v>
      </c>
      <c r="I412" s="378">
        <v>-512348.11</v>
      </c>
      <c r="J412" s="266">
        <f t="shared" si="7"/>
        <v>8</v>
      </c>
    </row>
    <row r="413" spans="1:10" ht="15.75" customHeight="1" x14ac:dyDescent="0.25">
      <c r="A413" s="380">
        <v>24080506</v>
      </c>
      <c r="B413" s="381" t="s">
        <v>321</v>
      </c>
      <c r="C413" s="381" t="s">
        <v>1077</v>
      </c>
      <c r="D413" s="381" t="s">
        <v>723</v>
      </c>
      <c r="E413" s="381" t="s">
        <v>724</v>
      </c>
      <c r="F413" s="378">
        <v>-535510.25</v>
      </c>
      <c r="G413" s="378">
        <v>0</v>
      </c>
      <c r="H413" s="378">
        <v>0</v>
      </c>
      <c r="I413" s="378">
        <v>-535510.25</v>
      </c>
      <c r="J413" s="266">
        <f t="shared" si="7"/>
        <v>8</v>
      </c>
    </row>
    <row r="414" spans="1:10" ht="15.75" customHeight="1" x14ac:dyDescent="0.25">
      <c r="A414" s="380">
        <v>24080506</v>
      </c>
      <c r="B414" s="381" t="s">
        <v>321</v>
      </c>
      <c r="C414" s="381" t="s">
        <v>1077</v>
      </c>
      <c r="D414" s="381" t="s">
        <v>1629</v>
      </c>
      <c r="E414" s="381" t="s">
        <v>1630</v>
      </c>
      <c r="F414" s="378">
        <v>0</v>
      </c>
      <c r="G414" s="378">
        <v>0</v>
      </c>
      <c r="H414" s="378">
        <v>17227.740000000002</v>
      </c>
      <c r="I414" s="378">
        <v>-17227.740000000002</v>
      </c>
      <c r="J414" s="266">
        <f t="shared" si="7"/>
        <v>8</v>
      </c>
    </row>
    <row r="415" spans="1:10" ht="15.75" customHeight="1" x14ac:dyDescent="0.25">
      <c r="A415" s="380">
        <v>24080506</v>
      </c>
      <c r="B415" s="381" t="s">
        <v>321</v>
      </c>
      <c r="C415" s="381" t="s">
        <v>1077</v>
      </c>
      <c r="D415" s="381" t="s">
        <v>1523</v>
      </c>
      <c r="E415" s="381" t="s">
        <v>1524</v>
      </c>
      <c r="F415" s="378">
        <v>-10378.15</v>
      </c>
      <c r="G415" s="378">
        <v>0</v>
      </c>
      <c r="H415" s="378">
        <v>14401.69</v>
      </c>
      <c r="I415" s="378">
        <v>-24779.84</v>
      </c>
      <c r="J415" s="266">
        <f t="shared" si="7"/>
        <v>8</v>
      </c>
    </row>
    <row r="416" spans="1:10" ht="15.75" customHeight="1" x14ac:dyDescent="0.25">
      <c r="A416" s="380">
        <v>24080506</v>
      </c>
      <c r="B416" s="381" t="s">
        <v>321</v>
      </c>
      <c r="C416" s="381" t="s">
        <v>1077</v>
      </c>
      <c r="D416" s="381" t="s">
        <v>1631</v>
      </c>
      <c r="E416" s="381" t="s">
        <v>1632</v>
      </c>
      <c r="F416" s="378">
        <v>-3.6379788070917101E-12</v>
      </c>
      <c r="G416" s="378">
        <v>0</v>
      </c>
      <c r="H416" s="378">
        <v>0</v>
      </c>
      <c r="I416" s="378">
        <v>-3.6379788070917101E-12</v>
      </c>
      <c r="J416" s="266">
        <f t="shared" si="7"/>
        <v>8</v>
      </c>
    </row>
    <row r="417" spans="1:10" ht="15.75" customHeight="1" x14ac:dyDescent="0.25">
      <c r="A417" s="380">
        <v>24080515</v>
      </c>
      <c r="B417" s="381" t="s">
        <v>321</v>
      </c>
      <c r="C417" s="381" t="s">
        <v>1096</v>
      </c>
      <c r="D417" s="381" t="s">
        <v>315</v>
      </c>
      <c r="E417" s="381" t="s">
        <v>315</v>
      </c>
      <c r="F417" s="378">
        <v>-252780</v>
      </c>
      <c r="G417" s="378">
        <v>0</v>
      </c>
      <c r="H417" s="378">
        <v>38101</v>
      </c>
      <c r="I417" s="378">
        <v>-290881</v>
      </c>
      <c r="J417" s="266">
        <f t="shared" si="7"/>
        <v>8</v>
      </c>
    </row>
    <row r="418" spans="1:10" ht="15.75" customHeight="1" x14ac:dyDescent="0.25">
      <c r="A418" s="380">
        <v>24080515</v>
      </c>
      <c r="B418" s="381" t="s">
        <v>321</v>
      </c>
      <c r="C418" s="381" t="s">
        <v>1096</v>
      </c>
      <c r="D418" s="381" t="s">
        <v>367</v>
      </c>
      <c r="E418" s="381" t="s">
        <v>1543</v>
      </c>
      <c r="F418" s="378">
        <v>-60505</v>
      </c>
      <c r="G418" s="378">
        <v>0</v>
      </c>
      <c r="H418" s="378">
        <v>25775</v>
      </c>
      <c r="I418" s="378">
        <v>-86280</v>
      </c>
      <c r="J418" s="266">
        <f t="shared" si="7"/>
        <v>8</v>
      </c>
    </row>
    <row r="419" spans="1:10" ht="15.75" customHeight="1" x14ac:dyDescent="0.25">
      <c r="A419" s="380">
        <v>24080515</v>
      </c>
      <c r="B419" s="381" t="s">
        <v>321</v>
      </c>
      <c r="C419" s="381" t="s">
        <v>1096</v>
      </c>
      <c r="D419" s="381" t="s">
        <v>369</v>
      </c>
      <c r="E419" s="381" t="s">
        <v>815</v>
      </c>
      <c r="F419" s="378">
        <v>-11857</v>
      </c>
      <c r="G419" s="378">
        <v>0</v>
      </c>
      <c r="H419" s="378">
        <v>0</v>
      </c>
      <c r="I419" s="378">
        <v>-11857</v>
      </c>
      <c r="J419" s="266">
        <f t="shared" si="7"/>
        <v>8</v>
      </c>
    </row>
    <row r="420" spans="1:10" ht="15.75" customHeight="1" x14ac:dyDescent="0.25">
      <c r="A420" s="380">
        <v>24080515</v>
      </c>
      <c r="B420" s="381" t="s">
        <v>321</v>
      </c>
      <c r="C420" s="381" t="s">
        <v>1096</v>
      </c>
      <c r="D420" s="381" t="s">
        <v>1470</v>
      </c>
      <c r="E420" s="381" t="s">
        <v>1471</v>
      </c>
      <c r="F420" s="378">
        <v>-93576</v>
      </c>
      <c r="G420" s="378">
        <v>0</v>
      </c>
      <c r="H420" s="378">
        <v>1268</v>
      </c>
      <c r="I420" s="378">
        <v>-94844</v>
      </c>
      <c r="J420" s="266">
        <f t="shared" si="7"/>
        <v>8</v>
      </c>
    </row>
    <row r="421" spans="1:10" ht="15.75" customHeight="1" x14ac:dyDescent="0.25">
      <c r="A421" s="380">
        <v>24080515</v>
      </c>
      <c r="B421" s="381" t="s">
        <v>321</v>
      </c>
      <c r="C421" s="381" t="s">
        <v>1096</v>
      </c>
      <c r="D421" s="381" t="s">
        <v>347</v>
      </c>
      <c r="E421" s="381" t="s">
        <v>348</v>
      </c>
      <c r="F421" s="378">
        <v>-37972</v>
      </c>
      <c r="G421" s="378">
        <v>0</v>
      </c>
      <c r="H421" s="378">
        <v>0</v>
      </c>
      <c r="I421" s="378">
        <v>-37972</v>
      </c>
      <c r="J421" s="266">
        <f t="shared" si="7"/>
        <v>8</v>
      </c>
    </row>
    <row r="422" spans="1:10" ht="15.75" customHeight="1" x14ac:dyDescent="0.25">
      <c r="A422" s="380">
        <v>24080515</v>
      </c>
      <c r="B422" s="381" t="s">
        <v>321</v>
      </c>
      <c r="C422" s="381" t="s">
        <v>1096</v>
      </c>
      <c r="D422" s="381" t="s">
        <v>723</v>
      </c>
      <c r="E422" s="381" t="s">
        <v>724</v>
      </c>
      <c r="F422" s="378">
        <v>-32891</v>
      </c>
      <c r="G422" s="378">
        <v>0</v>
      </c>
      <c r="H422" s="378">
        <v>0</v>
      </c>
      <c r="I422" s="378">
        <v>-32891</v>
      </c>
      <c r="J422" s="266">
        <f t="shared" si="7"/>
        <v>8</v>
      </c>
    </row>
    <row r="423" spans="1:10" ht="15.75" customHeight="1" x14ac:dyDescent="0.25">
      <c r="A423" s="380">
        <v>24080515</v>
      </c>
      <c r="B423" s="381" t="s">
        <v>321</v>
      </c>
      <c r="C423" s="381" t="s">
        <v>1096</v>
      </c>
      <c r="D423" s="381" t="s">
        <v>665</v>
      </c>
      <c r="E423" s="381" t="s">
        <v>824</v>
      </c>
      <c r="F423" s="378">
        <v>-15979</v>
      </c>
      <c r="G423" s="378">
        <v>0</v>
      </c>
      <c r="H423" s="378">
        <v>11058</v>
      </c>
      <c r="I423" s="378">
        <v>-27037</v>
      </c>
      <c r="J423" s="266">
        <f t="shared" si="7"/>
        <v>8</v>
      </c>
    </row>
    <row r="424" spans="1:10" ht="15.75" customHeight="1" x14ac:dyDescent="0.25">
      <c r="A424" s="380">
        <v>24080599</v>
      </c>
      <c r="B424" s="381" t="s">
        <v>321</v>
      </c>
      <c r="C424" s="381" t="s">
        <v>1099</v>
      </c>
      <c r="D424" s="381" t="s">
        <v>315</v>
      </c>
      <c r="E424" s="381" t="s">
        <v>315</v>
      </c>
      <c r="F424" s="378">
        <v>13456</v>
      </c>
      <c r="G424" s="378">
        <v>35758</v>
      </c>
      <c r="H424" s="378">
        <v>6019</v>
      </c>
      <c r="I424" s="378">
        <v>43195</v>
      </c>
      <c r="J424" s="266">
        <f t="shared" si="7"/>
        <v>8</v>
      </c>
    </row>
    <row r="425" spans="1:10" ht="15.75" customHeight="1" x14ac:dyDescent="0.25">
      <c r="A425" s="380">
        <v>24080599</v>
      </c>
      <c r="B425" s="381" t="s">
        <v>321</v>
      </c>
      <c r="C425" s="381" t="s">
        <v>1099</v>
      </c>
      <c r="D425" s="381" t="s">
        <v>403</v>
      </c>
      <c r="E425" s="381" t="s">
        <v>1616</v>
      </c>
      <c r="F425" s="378">
        <v>13456</v>
      </c>
      <c r="G425" s="378">
        <v>35758</v>
      </c>
      <c r="H425" s="378">
        <v>6019</v>
      </c>
      <c r="I425" s="378">
        <v>43195</v>
      </c>
      <c r="J425" s="266">
        <f t="shared" si="7"/>
        <v>8</v>
      </c>
    </row>
    <row r="426" spans="1:10" ht="15.75" customHeight="1" x14ac:dyDescent="0.25">
      <c r="A426" s="380">
        <v>240810</v>
      </c>
      <c r="B426" s="381" t="s">
        <v>315</v>
      </c>
      <c r="C426" s="381" t="s">
        <v>442</v>
      </c>
      <c r="D426" s="381" t="s">
        <v>315</v>
      </c>
      <c r="E426" s="381" t="s">
        <v>315</v>
      </c>
      <c r="F426" s="378">
        <v>152876513</v>
      </c>
      <c r="G426" s="378">
        <v>32445164.899999999</v>
      </c>
      <c r="H426" s="378">
        <v>2660</v>
      </c>
      <c r="I426" s="378">
        <v>185319017.90000001</v>
      </c>
      <c r="J426" s="266">
        <f t="shared" si="7"/>
        <v>6</v>
      </c>
    </row>
    <row r="427" spans="1:10" ht="15.75" customHeight="1" x14ac:dyDescent="0.25">
      <c r="A427" s="380">
        <v>24081004</v>
      </c>
      <c r="B427" s="381" t="s">
        <v>321</v>
      </c>
      <c r="C427" s="381" t="s">
        <v>1100</v>
      </c>
      <c r="D427" s="381" t="s">
        <v>315</v>
      </c>
      <c r="E427" s="381" t="s">
        <v>315</v>
      </c>
      <c r="F427" s="378">
        <v>38437678</v>
      </c>
      <c r="G427" s="378">
        <v>9714267.9000000004</v>
      </c>
      <c r="H427" s="378">
        <v>2660</v>
      </c>
      <c r="I427" s="378">
        <v>48149285.899999999</v>
      </c>
      <c r="J427" s="266">
        <f t="shared" si="7"/>
        <v>8</v>
      </c>
    </row>
    <row r="428" spans="1:10" ht="15.75" customHeight="1" x14ac:dyDescent="0.25">
      <c r="A428" s="380">
        <v>24081004</v>
      </c>
      <c r="B428" s="381" t="s">
        <v>321</v>
      </c>
      <c r="C428" s="381" t="s">
        <v>1100</v>
      </c>
      <c r="D428" s="381" t="s">
        <v>1434</v>
      </c>
      <c r="E428" s="381" t="s">
        <v>1435</v>
      </c>
      <c r="F428" s="378">
        <v>2397235</v>
      </c>
      <c r="G428" s="378">
        <v>479447</v>
      </c>
      <c r="H428" s="378">
        <v>0</v>
      </c>
      <c r="I428" s="378">
        <v>2876682</v>
      </c>
      <c r="J428" s="266">
        <f t="shared" si="7"/>
        <v>8</v>
      </c>
    </row>
    <row r="429" spans="1:10" ht="15.75" customHeight="1" x14ac:dyDescent="0.25">
      <c r="A429" s="380">
        <v>24081004</v>
      </c>
      <c r="B429" s="381" t="s">
        <v>321</v>
      </c>
      <c r="C429" s="381" t="s">
        <v>1100</v>
      </c>
      <c r="D429" s="381" t="s">
        <v>1038</v>
      </c>
      <c r="E429" s="381" t="s">
        <v>1039</v>
      </c>
      <c r="F429" s="378">
        <v>5250180</v>
      </c>
      <c r="G429" s="378">
        <v>0</v>
      </c>
      <c r="H429" s="378">
        <v>0</v>
      </c>
      <c r="I429" s="378">
        <v>5250180</v>
      </c>
      <c r="J429" s="266">
        <f t="shared" si="7"/>
        <v>8</v>
      </c>
    </row>
    <row r="430" spans="1:10" ht="15.75" customHeight="1" x14ac:dyDescent="0.25">
      <c r="A430" s="380">
        <v>24081004</v>
      </c>
      <c r="B430" s="381" t="s">
        <v>321</v>
      </c>
      <c r="C430" s="381" t="s">
        <v>1100</v>
      </c>
      <c r="D430" s="381" t="s">
        <v>1436</v>
      </c>
      <c r="E430" s="381" t="s">
        <v>1437</v>
      </c>
      <c r="F430" s="378">
        <v>2397235</v>
      </c>
      <c r="G430" s="378">
        <v>479447</v>
      </c>
      <c r="H430" s="378">
        <v>0</v>
      </c>
      <c r="I430" s="378">
        <v>2876682</v>
      </c>
      <c r="J430" s="266">
        <f t="shared" si="7"/>
        <v>8</v>
      </c>
    </row>
    <row r="431" spans="1:10" ht="15.75" customHeight="1" x14ac:dyDescent="0.25">
      <c r="A431" s="380">
        <v>24081004</v>
      </c>
      <c r="B431" s="381" t="s">
        <v>321</v>
      </c>
      <c r="C431" s="381" t="s">
        <v>1100</v>
      </c>
      <c r="D431" s="381" t="s">
        <v>757</v>
      </c>
      <c r="E431" s="381" t="s">
        <v>758</v>
      </c>
      <c r="F431" s="378">
        <v>1923953</v>
      </c>
      <c r="G431" s="378">
        <v>0</v>
      </c>
      <c r="H431" s="378">
        <v>0</v>
      </c>
      <c r="I431" s="378">
        <v>1923953</v>
      </c>
      <c r="J431" s="266">
        <f t="shared" si="7"/>
        <v>8</v>
      </c>
    </row>
    <row r="432" spans="1:10" ht="15.75" customHeight="1" x14ac:dyDescent="0.25">
      <c r="A432" s="380">
        <v>24081004</v>
      </c>
      <c r="B432" s="381" t="s">
        <v>321</v>
      </c>
      <c r="C432" s="381" t="s">
        <v>1100</v>
      </c>
      <c r="D432" s="381" t="s">
        <v>1040</v>
      </c>
      <c r="E432" s="381" t="s">
        <v>750</v>
      </c>
      <c r="F432" s="378">
        <v>1460714</v>
      </c>
      <c r="G432" s="378">
        <v>0</v>
      </c>
      <c r="H432" s="378">
        <v>0</v>
      </c>
      <c r="I432" s="378">
        <v>1460714</v>
      </c>
      <c r="J432" s="266">
        <f t="shared" si="7"/>
        <v>8</v>
      </c>
    </row>
    <row r="433" spans="1:10" ht="15.75" customHeight="1" x14ac:dyDescent="0.25">
      <c r="A433" s="380">
        <v>24081004</v>
      </c>
      <c r="B433" s="381" t="s">
        <v>321</v>
      </c>
      <c r="C433" s="381" t="s">
        <v>1100</v>
      </c>
      <c r="D433" s="381" t="s">
        <v>493</v>
      </c>
      <c r="E433" s="381" t="s">
        <v>1522</v>
      </c>
      <c r="F433" s="378">
        <v>1136</v>
      </c>
      <c r="G433" s="378">
        <v>0</v>
      </c>
      <c r="H433" s="378">
        <v>0</v>
      </c>
      <c r="I433" s="378">
        <v>1136</v>
      </c>
      <c r="J433" s="266">
        <f t="shared" si="7"/>
        <v>8</v>
      </c>
    </row>
    <row r="434" spans="1:10" ht="15.75" customHeight="1" x14ac:dyDescent="0.25">
      <c r="A434" s="380">
        <v>24081004</v>
      </c>
      <c r="B434" s="381" t="s">
        <v>321</v>
      </c>
      <c r="C434" s="381" t="s">
        <v>1100</v>
      </c>
      <c r="D434" s="381" t="s">
        <v>978</v>
      </c>
      <c r="E434" s="381" t="s">
        <v>979</v>
      </c>
      <c r="F434" s="378">
        <v>748074</v>
      </c>
      <c r="G434" s="378">
        <v>170386</v>
      </c>
      <c r="H434" s="378">
        <v>0</v>
      </c>
      <c r="I434" s="378">
        <v>918460</v>
      </c>
      <c r="J434" s="266">
        <f t="shared" si="7"/>
        <v>8</v>
      </c>
    </row>
    <row r="435" spans="1:10" ht="15.75" customHeight="1" x14ac:dyDescent="0.25">
      <c r="A435" s="380">
        <v>24081004</v>
      </c>
      <c r="B435" s="381" t="s">
        <v>321</v>
      </c>
      <c r="C435" s="381" t="s">
        <v>1100</v>
      </c>
      <c r="D435" s="381" t="s">
        <v>419</v>
      </c>
      <c r="E435" s="381" t="s">
        <v>420</v>
      </c>
      <c r="F435" s="378">
        <v>12359</v>
      </c>
      <c r="G435" s="378">
        <v>10826</v>
      </c>
      <c r="H435" s="378">
        <v>0</v>
      </c>
      <c r="I435" s="378">
        <v>23185</v>
      </c>
      <c r="J435" s="266">
        <f t="shared" si="7"/>
        <v>8</v>
      </c>
    </row>
    <row r="436" spans="1:10" ht="15.75" customHeight="1" x14ac:dyDescent="0.25">
      <c r="A436" s="380">
        <v>24081004</v>
      </c>
      <c r="B436" s="381" t="s">
        <v>321</v>
      </c>
      <c r="C436" s="381" t="s">
        <v>1100</v>
      </c>
      <c r="D436" s="381" t="s">
        <v>1474</v>
      </c>
      <c r="E436" s="381" t="s">
        <v>1475</v>
      </c>
      <c r="F436" s="378">
        <v>0</v>
      </c>
      <c r="G436" s="378">
        <v>3084498</v>
      </c>
      <c r="H436" s="378">
        <v>0</v>
      </c>
      <c r="I436" s="378">
        <v>3084498</v>
      </c>
      <c r="J436" s="266">
        <f t="shared" si="7"/>
        <v>8</v>
      </c>
    </row>
    <row r="437" spans="1:10" ht="15.75" customHeight="1" x14ac:dyDescent="0.25">
      <c r="A437" s="380">
        <v>24081004</v>
      </c>
      <c r="B437" s="381" t="s">
        <v>321</v>
      </c>
      <c r="C437" s="381" t="s">
        <v>1100</v>
      </c>
      <c r="D437" s="381" t="s">
        <v>329</v>
      </c>
      <c r="E437" s="381" t="s">
        <v>330</v>
      </c>
      <c r="F437" s="378">
        <v>1197</v>
      </c>
      <c r="G437" s="378">
        <v>9216.9</v>
      </c>
      <c r="H437" s="378">
        <v>0</v>
      </c>
      <c r="I437" s="378">
        <v>10413.9</v>
      </c>
      <c r="J437" s="266">
        <f t="shared" si="7"/>
        <v>8</v>
      </c>
    </row>
    <row r="438" spans="1:10" ht="15.75" customHeight="1" x14ac:dyDescent="0.25">
      <c r="A438" s="380">
        <v>24081004</v>
      </c>
      <c r="B438" s="381" t="s">
        <v>321</v>
      </c>
      <c r="C438" s="381" t="s">
        <v>1100</v>
      </c>
      <c r="D438" s="381" t="s">
        <v>1438</v>
      </c>
      <c r="E438" s="381" t="s">
        <v>1577</v>
      </c>
      <c r="F438" s="378">
        <v>8582169</v>
      </c>
      <c r="G438" s="378">
        <v>1758761</v>
      </c>
      <c r="H438" s="378">
        <v>0</v>
      </c>
      <c r="I438" s="378">
        <v>10340930</v>
      </c>
      <c r="J438" s="266">
        <f t="shared" si="7"/>
        <v>8</v>
      </c>
    </row>
    <row r="439" spans="1:10" ht="15.75" customHeight="1" x14ac:dyDescent="0.25">
      <c r="A439" s="380">
        <v>24081004</v>
      </c>
      <c r="B439" s="381" t="s">
        <v>321</v>
      </c>
      <c r="C439" s="381" t="s">
        <v>1100</v>
      </c>
      <c r="D439" s="381" t="s">
        <v>1580</v>
      </c>
      <c r="E439" s="381" t="s">
        <v>1581</v>
      </c>
      <c r="F439" s="378">
        <v>2530</v>
      </c>
      <c r="G439" s="378">
        <v>890</v>
      </c>
      <c r="H439" s="378">
        <v>0</v>
      </c>
      <c r="I439" s="378">
        <v>3420</v>
      </c>
      <c r="J439" s="266">
        <f t="shared" si="7"/>
        <v>8</v>
      </c>
    </row>
    <row r="440" spans="1:10" ht="15.75" customHeight="1" x14ac:dyDescent="0.25">
      <c r="A440" s="380">
        <v>24081004</v>
      </c>
      <c r="B440" s="381" t="s">
        <v>321</v>
      </c>
      <c r="C440" s="381" t="s">
        <v>1100</v>
      </c>
      <c r="D440" s="381" t="s">
        <v>347</v>
      </c>
      <c r="E440" s="381" t="s">
        <v>348</v>
      </c>
      <c r="F440" s="378">
        <v>1902811</v>
      </c>
      <c r="G440" s="378">
        <v>346788</v>
      </c>
      <c r="H440" s="378">
        <v>0</v>
      </c>
      <c r="I440" s="378">
        <v>2249599</v>
      </c>
      <c r="J440" s="266">
        <f t="shared" si="7"/>
        <v>8</v>
      </c>
    </row>
    <row r="441" spans="1:10" ht="15.75" customHeight="1" x14ac:dyDescent="0.25">
      <c r="A441" s="380">
        <v>24081004</v>
      </c>
      <c r="B441" s="381" t="s">
        <v>321</v>
      </c>
      <c r="C441" s="381" t="s">
        <v>1100</v>
      </c>
      <c r="D441" s="381" t="s">
        <v>650</v>
      </c>
      <c r="E441" s="381" t="s">
        <v>999</v>
      </c>
      <c r="F441" s="378">
        <v>567072</v>
      </c>
      <c r="G441" s="378">
        <v>95966</v>
      </c>
      <c r="H441" s="378">
        <v>0</v>
      </c>
      <c r="I441" s="378">
        <v>663038</v>
      </c>
      <c r="J441" s="266">
        <f t="shared" si="7"/>
        <v>8</v>
      </c>
    </row>
    <row r="442" spans="1:10" ht="15.75" customHeight="1" x14ac:dyDescent="0.25">
      <c r="A442" s="380">
        <v>24081004</v>
      </c>
      <c r="B442" s="381" t="s">
        <v>321</v>
      </c>
      <c r="C442" s="381" t="s">
        <v>1100</v>
      </c>
      <c r="D442" s="381" t="s">
        <v>1000</v>
      </c>
      <c r="E442" s="381" t="s">
        <v>1582</v>
      </c>
      <c r="F442" s="378">
        <v>1129020</v>
      </c>
      <c r="G442" s="378">
        <v>225804</v>
      </c>
      <c r="H442" s="378">
        <v>0</v>
      </c>
      <c r="I442" s="378">
        <v>1354824</v>
      </c>
      <c r="J442" s="266">
        <f t="shared" si="7"/>
        <v>8</v>
      </c>
    </row>
    <row r="443" spans="1:10" ht="15.75" customHeight="1" x14ac:dyDescent="0.25">
      <c r="A443" s="380">
        <v>24081004</v>
      </c>
      <c r="B443" s="381" t="s">
        <v>321</v>
      </c>
      <c r="C443" s="381" t="s">
        <v>1100</v>
      </c>
      <c r="D443" s="381" t="s">
        <v>717</v>
      </c>
      <c r="E443" s="381" t="s">
        <v>718</v>
      </c>
      <c r="F443" s="378">
        <v>2337134</v>
      </c>
      <c r="G443" s="378">
        <v>903648</v>
      </c>
      <c r="H443" s="378">
        <v>0</v>
      </c>
      <c r="I443" s="378">
        <v>3240782</v>
      </c>
      <c r="J443" s="266">
        <f t="shared" si="7"/>
        <v>8</v>
      </c>
    </row>
    <row r="444" spans="1:10" ht="15.75" customHeight="1" x14ac:dyDescent="0.25">
      <c r="A444" s="380">
        <v>24081004</v>
      </c>
      <c r="B444" s="381" t="s">
        <v>321</v>
      </c>
      <c r="C444" s="381" t="s">
        <v>1100</v>
      </c>
      <c r="D444" s="381" t="s">
        <v>761</v>
      </c>
      <c r="E444" s="381" t="s">
        <v>762</v>
      </c>
      <c r="F444" s="378">
        <v>4798861</v>
      </c>
      <c r="G444" s="378">
        <v>540241</v>
      </c>
      <c r="H444" s="378">
        <v>0</v>
      </c>
      <c r="I444" s="378">
        <v>5339102</v>
      </c>
      <c r="J444" s="266">
        <f t="shared" si="7"/>
        <v>8</v>
      </c>
    </row>
    <row r="445" spans="1:10" ht="15.75" customHeight="1" x14ac:dyDescent="0.25">
      <c r="A445" s="380">
        <v>24081004</v>
      </c>
      <c r="B445" s="381" t="s">
        <v>321</v>
      </c>
      <c r="C445" s="381" t="s">
        <v>1100</v>
      </c>
      <c r="D445" s="381" t="s">
        <v>1008</v>
      </c>
      <c r="E445" s="381" t="s">
        <v>1583</v>
      </c>
      <c r="F445" s="378">
        <v>4505280</v>
      </c>
      <c r="G445" s="378">
        <v>1582320</v>
      </c>
      <c r="H445" s="378">
        <v>0</v>
      </c>
      <c r="I445" s="378">
        <v>6087600</v>
      </c>
      <c r="J445" s="266">
        <f t="shared" si="7"/>
        <v>8</v>
      </c>
    </row>
    <row r="446" spans="1:10" ht="15.75" customHeight="1" x14ac:dyDescent="0.25">
      <c r="A446" s="380">
        <v>24081004</v>
      </c>
      <c r="B446" s="381" t="s">
        <v>321</v>
      </c>
      <c r="C446" s="381" t="s">
        <v>1100</v>
      </c>
      <c r="D446" s="381" t="s">
        <v>1011</v>
      </c>
      <c r="E446" s="381" t="s">
        <v>1012</v>
      </c>
      <c r="F446" s="378">
        <v>114000</v>
      </c>
      <c r="G446" s="378">
        <v>0</v>
      </c>
      <c r="H446" s="378">
        <v>0</v>
      </c>
      <c r="I446" s="378">
        <v>114000</v>
      </c>
      <c r="J446" s="266">
        <f t="shared" si="7"/>
        <v>8</v>
      </c>
    </row>
    <row r="447" spans="1:10" ht="15.75" customHeight="1" x14ac:dyDescent="0.25">
      <c r="A447" s="380">
        <v>24081004</v>
      </c>
      <c r="B447" s="381" t="s">
        <v>321</v>
      </c>
      <c r="C447" s="381" t="s">
        <v>1100</v>
      </c>
      <c r="D447" s="381" t="s">
        <v>721</v>
      </c>
      <c r="E447" s="381" t="s">
        <v>722</v>
      </c>
      <c r="F447" s="378">
        <v>132774</v>
      </c>
      <c r="G447" s="378">
        <v>22739</v>
      </c>
      <c r="H447" s="378">
        <v>0</v>
      </c>
      <c r="I447" s="378">
        <v>155513</v>
      </c>
      <c r="J447" s="266">
        <f t="shared" si="7"/>
        <v>8</v>
      </c>
    </row>
    <row r="448" spans="1:10" ht="15.75" customHeight="1" x14ac:dyDescent="0.25">
      <c r="A448" s="380">
        <v>24081004</v>
      </c>
      <c r="B448" s="381" t="s">
        <v>321</v>
      </c>
      <c r="C448" s="381" t="s">
        <v>1100</v>
      </c>
      <c r="D448" s="381" t="s">
        <v>1015</v>
      </c>
      <c r="E448" s="381" t="s">
        <v>1556</v>
      </c>
      <c r="F448" s="378">
        <v>30943</v>
      </c>
      <c r="G448" s="378">
        <v>0</v>
      </c>
      <c r="H448" s="378">
        <v>0</v>
      </c>
      <c r="I448" s="378">
        <v>30943</v>
      </c>
      <c r="J448" s="266">
        <f t="shared" si="7"/>
        <v>8</v>
      </c>
    </row>
    <row r="449" spans="1:10" ht="15.75" customHeight="1" x14ac:dyDescent="0.25">
      <c r="A449" s="380">
        <v>24081004</v>
      </c>
      <c r="B449" s="381" t="s">
        <v>321</v>
      </c>
      <c r="C449" s="381" t="s">
        <v>1100</v>
      </c>
      <c r="D449" s="381" t="s">
        <v>723</v>
      </c>
      <c r="E449" s="381" t="s">
        <v>724</v>
      </c>
      <c r="F449" s="378">
        <v>101429</v>
      </c>
      <c r="G449" s="378">
        <v>0</v>
      </c>
      <c r="H449" s="378">
        <v>0</v>
      </c>
      <c r="I449" s="378">
        <v>101429</v>
      </c>
      <c r="J449" s="266">
        <f t="shared" si="7"/>
        <v>8</v>
      </c>
    </row>
    <row r="450" spans="1:10" ht="15.75" customHeight="1" x14ac:dyDescent="0.25">
      <c r="A450" s="380">
        <v>24081004</v>
      </c>
      <c r="B450" s="381" t="s">
        <v>321</v>
      </c>
      <c r="C450" s="381" t="s">
        <v>1100</v>
      </c>
      <c r="D450" s="381" t="s">
        <v>1584</v>
      </c>
      <c r="E450" s="381" t="s">
        <v>1585</v>
      </c>
      <c r="F450" s="378">
        <v>630</v>
      </c>
      <c r="G450" s="378">
        <v>630</v>
      </c>
      <c r="H450" s="378">
        <v>0</v>
      </c>
      <c r="I450" s="378">
        <v>1260</v>
      </c>
      <c r="J450" s="266">
        <f t="shared" si="7"/>
        <v>8</v>
      </c>
    </row>
    <row r="451" spans="1:10" ht="15.75" customHeight="1" x14ac:dyDescent="0.25">
      <c r="A451" s="380">
        <v>24081004</v>
      </c>
      <c r="B451" s="381" t="s">
        <v>321</v>
      </c>
      <c r="C451" s="381" t="s">
        <v>1100</v>
      </c>
      <c r="D451" s="381" t="s">
        <v>675</v>
      </c>
      <c r="E451" s="381" t="s">
        <v>1633</v>
      </c>
      <c r="F451" s="378">
        <v>40942</v>
      </c>
      <c r="G451" s="378">
        <v>0</v>
      </c>
      <c r="H451" s="378">
        <v>0</v>
      </c>
      <c r="I451" s="378">
        <v>40942</v>
      </c>
      <c r="J451" s="266">
        <f t="shared" si="7"/>
        <v>8</v>
      </c>
    </row>
    <row r="452" spans="1:10" ht="15.75" customHeight="1" x14ac:dyDescent="0.25">
      <c r="A452" s="380">
        <v>24081004</v>
      </c>
      <c r="B452" s="381" t="s">
        <v>321</v>
      </c>
      <c r="C452" s="381" t="s">
        <v>1100</v>
      </c>
      <c r="D452" s="381" t="s">
        <v>1586</v>
      </c>
      <c r="E452" s="381" t="s">
        <v>1587</v>
      </c>
      <c r="F452" s="378">
        <v>0</v>
      </c>
      <c r="G452" s="378">
        <v>2660</v>
      </c>
      <c r="H452" s="378">
        <v>2660</v>
      </c>
      <c r="I452" s="378">
        <v>0</v>
      </c>
      <c r="J452" s="266">
        <f t="shared" si="7"/>
        <v>8</v>
      </c>
    </row>
    <row r="453" spans="1:10" ht="15.75" customHeight="1" x14ac:dyDescent="0.25">
      <c r="A453" s="380">
        <v>24081009</v>
      </c>
      <c r="B453" s="381" t="s">
        <v>321</v>
      </c>
      <c r="C453" s="381" t="s">
        <v>1111</v>
      </c>
      <c r="D453" s="381" t="s">
        <v>315</v>
      </c>
      <c r="E453" s="381" t="s">
        <v>315</v>
      </c>
      <c r="F453" s="378">
        <v>3116256</v>
      </c>
      <c r="G453" s="378">
        <v>477170</v>
      </c>
      <c r="H453" s="378">
        <v>0</v>
      </c>
      <c r="I453" s="378">
        <v>3593426</v>
      </c>
      <c r="J453" s="266">
        <f t="shared" si="7"/>
        <v>8</v>
      </c>
    </row>
    <row r="454" spans="1:10" ht="15.75" customHeight="1" x14ac:dyDescent="0.25">
      <c r="A454" s="380">
        <v>24081009</v>
      </c>
      <c r="B454" s="381" t="s">
        <v>321</v>
      </c>
      <c r="C454" s="381" t="s">
        <v>1111</v>
      </c>
      <c r="D454" s="381" t="s">
        <v>1113</v>
      </c>
      <c r="E454" s="381" t="s">
        <v>1114</v>
      </c>
      <c r="F454" s="378">
        <v>53154</v>
      </c>
      <c r="G454" s="378">
        <v>0</v>
      </c>
      <c r="H454" s="378">
        <v>0</v>
      </c>
      <c r="I454" s="378">
        <v>53154</v>
      </c>
      <c r="J454" s="266">
        <f t="shared" si="7"/>
        <v>8</v>
      </c>
    </row>
    <row r="455" spans="1:10" ht="15.75" customHeight="1" x14ac:dyDescent="0.25">
      <c r="A455" s="380">
        <v>24081009</v>
      </c>
      <c r="B455" s="381" t="s">
        <v>321</v>
      </c>
      <c r="C455" s="381" t="s">
        <v>1111</v>
      </c>
      <c r="D455" s="381" t="s">
        <v>1634</v>
      </c>
      <c r="E455" s="381" t="s">
        <v>1635</v>
      </c>
      <c r="F455" s="378">
        <v>2714</v>
      </c>
      <c r="G455" s="378">
        <v>0</v>
      </c>
      <c r="H455" s="378">
        <v>0</v>
      </c>
      <c r="I455" s="378">
        <v>2714</v>
      </c>
      <c r="J455" s="266">
        <f t="shared" si="7"/>
        <v>8</v>
      </c>
    </row>
    <row r="456" spans="1:10" ht="15.75" customHeight="1" x14ac:dyDescent="0.25">
      <c r="A456" s="380">
        <v>24081009</v>
      </c>
      <c r="B456" s="381" t="s">
        <v>321</v>
      </c>
      <c r="C456" s="381" t="s">
        <v>1111</v>
      </c>
      <c r="D456" s="381" t="s">
        <v>1636</v>
      </c>
      <c r="E456" s="381" t="s">
        <v>1637</v>
      </c>
      <c r="F456" s="378">
        <v>4471</v>
      </c>
      <c r="G456" s="378">
        <v>0</v>
      </c>
      <c r="H456" s="378">
        <v>0</v>
      </c>
      <c r="I456" s="378">
        <v>4471</v>
      </c>
      <c r="J456" s="266">
        <f t="shared" si="7"/>
        <v>8</v>
      </c>
    </row>
    <row r="457" spans="1:10" ht="15.75" customHeight="1" x14ac:dyDescent="0.25">
      <c r="A457" s="380">
        <v>24081009</v>
      </c>
      <c r="B457" s="381" t="s">
        <v>321</v>
      </c>
      <c r="C457" s="381" t="s">
        <v>1111</v>
      </c>
      <c r="D457" s="381" t="s">
        <v>651</v>
      </c>
      <c r="E457" s="381" t="s">
        <v>1638</v>
      </c>
      <c r="F457" s="378">
        <v>68463</v>
      </c>
      <c r="G457" s="378">
        <v>15008</v>
      </c>
      <c r="H457" s="378">
        <v>0</v>
      </c>
      <c r="I457" s="378">
        <v>83471</v>
      </c>
      <c r="J457" s="266">
        <f t="shared" si="7"/>
        <v>8</v>
      </c>
    </row>
    <row r="458" spans="1:10" ht="15.75" customHeight="1" x14ac:dyDescent="0.25">
      <c r="A458" s="380">
        <v>24081009</v>
      </c>
      <c r="B458" s="381" t="s">
        <v>321</v>
      </c>
      <c r="C458" s="381" t="s">
        <v>1111</v>
      </c>
      <c r="D458" s="381" t="s">
        <v>1639</v>
      </c>
      <c r="E458" s="381" t="s">
        <v>1640</v>
      </c>
      <c r="F458" s="378">
        <v>495</v>
      </c>
      <c r="G458" s="378">
        <v>0</v>
      </c>
      <c r="H458" s="378">
        <v>0</v>
      </c>
      <c r="I458" s="378">
        <v>495</v>
      </c>
      <c r="J458" s="266">
        <f t="shared" si="7"/>
        <v>8</v>
      </c>
    </row>
    <row r="459" spans="1:10" ht="15.75" customHeight="1" x14ac:dyDescent="0.25">
      <c r="A459" s="380">
        <v>24081009</v>
      </c>
      <c r="B459" s="381" t="s">
        <v>321</v>
      </c>
      <c r="C459" s="381" t="s">
        <v>1111</v>
      </c>
      <c r="D459" s="381" t="s">
        <v>972</v>
      </c>
      <c r="E459" s="381" t="s">
        <v>1641</v>
      </c>
      <c r="F459" s="378">
        <v>6659</v>
      </c>
      <c r="G459" s="378">
        <v>0</v>
      </c>
      <c r="H459" s="378">
        <v>0</v>
      </c>
      <c r="I459" s="378">
        <v>6659</v>
      </c>
      <c r="J459" s="266">
        <f t="shared" si="7"/>
        <v>8</v>
      </c>
    </row>
    <row r="460" spans="1:10" ht="15.75" customHeight="1" x14ac:dyDescent="0.25">
      <c r="A460" s="380">
        <v>24081009</v>
      </c>
      <c r="B460" s="381" t="s">
        <v>321</v>
      </c>
      <c r="C460" s="381" t="s">
        <v>1111</v>
      </c>
      <c r="D460" s="381" t="s">
        <v>361</v>
      </c>
      <c r="E460" s="381" t="s">
        <v>1123</v>
      </c>
      <c r="F460" s="378">
        <v>79035</v>
      </c>
      <c r="G460" s="378">
        <v>0</v>
      </c>
      <c r="H460" s="378">
        <v>0</v>
      </c>
      <c r="I460" s="378">
        <v>79035</v>
      </c>
      <c r="J460" s="266">
        <f t="shared" ref="J460:J523" si="8">+LEN(A460)</f>
        <v>8</v>
      </c>
    </row>
    <row r="461" spans="1:10" ht="15.75" customHeight="1" x14ac:dyDescent="0.25">
      <c r="A461" s="380">
        <v>24081009</v>
      </c>
      <c r="B461" s="381" t="s">
        <v>321</v>
      </c>
      <c r="C461" s="381" t="s">
        <v>1111</v>
      </c>
      <c r="D461" s="381" t="s">
        <v>383</v>
      </c>
      <c r="E461" s="381" t="s">
        <v>384</v>
      </c>
      <c r="F461" s="378">
        <v>142816</v>
      </c>
      <c r="G461" s="378">
        <v>0</v>
      </c>
      <c r="H461" s="378">
        <v>0</v>
      </c>
      <c r="I461" s="378">
        <v>142816</v>
      </c>
      <c r="J461" s="266">
        <f t="shared" si="8"/>
        <v>8</v>
      </c>
    </row>
    <row r="462" spans="1:10" ht="15.75" customHeight="1" x14ac:dyDescent="0.25">
      <c r="A462" s="380">
        <v>24081009</v>
      </c>
      <c r="B462" s="381" t="s">
        <v>321</v>
      </c>
      <c r="C462" s="381" t="s">
        <v>1111</v>
      </c>
      <c r="D462" s="381" t="s">
        <v>399</v>
      </c>
      <c r="E462" s="381" t="s">
        <v>863</v>
      </c>
      <c r="F462" s="378">
        <v>268128</v>
      </c>
      <c r="G462" s="378">
        <v>86450</v>
      </c>
      <c r="H462" s="378">
        <v>0</v>
      </c>
      <c r="I462" s="378">
        <v>354578</v>
      </c>
      <c r="J462" s="266">
        <f t="shared" si="8"/>
        <v>8</v>
      </c>
    </row>
    <row r="463" spans="1:10" ht="15.75" customHeight="1" x14ac:dyDescent="0.25">
      <c r="A463" s="380">
        <v>24081009</v>
      </c>
      <c r="B463" s="381" t="s">
        <v>321</v>
      </c>
      <c r="C463" s="381" t="s">
        <v>1111</v>
      </c>
      <c r="D463" s="381" t="s">
        <v>444</v>
      </c>
      <c r="E463" s="381" t="s">
        <v>1642</v>
      </c>
      <c r="F463" s="378">
        <v>16006</v>
      </c>
      <c r="G463" s="378">
        <v>0</v>
      </c>
      <c r="H463" s="378">
        <v>0</v>
      </c>
      <c r="I463" s="378">
        <v>16006</v>
      </c>
      <c r="J463" s="266">
        <f t="shared" si="8"/>
        <v>8</v>
      </c>
    </row>
    <row r="464" spans="1:10" ht="15.75" customHeight="1" x14ac:dyDescent="0.25">
      <c r="A464" s="380">
        <v>24081009</v>
      </c>
      <c r="B464" s="381" t="s">
        <v>321</v>
      </c>
      <c r="C464" s="381" t="s">
        <v>1111</v>
      </c>
      <c r="D464" s="381" t="s">
        <v>365</v>
      </c>
      <c r="E464" s="381" t="s">
        <v>366</v>
      </c>
      <c r="F464" s="378">
        <v>96</v>
      </c>
      <c r="G464" s="378">
        <v>8932</v>
      </c>
      <c r="H464" s="378">
        <v>0</v>
      </c>
      <c r="I464" s="378">
        <v>9028</v>
      </c>
      <c r="J464" s="266">
        <f t="shared" si="8"/>
        <v>8</v>
      </c>
    </row>
    <row r="465" spans="1:10" ht="15.75" customHeight="1" x14ac:dyDescent="0.25">
      <c r="A465" s="380">
        <v>24081009</v>
      </c>
      <c r="B465" s="381" t="s">
        <v>321</v>
      </c>
      <c r="C465" s="381" t="s">
        <v>1111</v>
      </c>
      <c r="D465" s="381" t="s">
        <v>1141</v>
      </c>
      <c r="E465" s="381" t="s">
        <v>1142</v>
      </c>
      <c r="F465" s="378">
        <v>479</v>
      </c>
      <c r="G465" s="378">
        <v>1277</v>
      </c>
      <c r="H465" s="378">
        <v>0</v>
      </c>
      <c r="I465" s="378">
        <v>1756</v>
      </c>
      <c r="J465" s="266">
        <f t="shared" si="8"/>
        <v>8</v>
      </c>
    </row>
    <row r="466" spans="1:10" ht="15.75" customHeight="1" x14ac:dyDescent="0.25">
      <c r="A466" s="380">
        <v>24081009</v>
      </c>
      <c r="B466" s="381" t="s">
        <v>321</v>
      </c>
      <c r="C466" s="381" t="s">
        <v>1111</v>
      </c>
      <c r="D466" s="381" t="s">
        <v>429</v>
      </c>
      <c r="E466" s="381" t="s">
        <v>430</v>
      </c>
      <c r="F466" s="378">
        <v>1624120</v>
      </c>
      <c r="G466" s="378">
        <v>64410</v>
      </c>
      <c r="H466" s="378">
        <v>0</v>
      </c>
      <c r="I466" s="378">
        <v>1688530</v>
      </c>
      <c r="J466" s="266">
        <f t="shared" si="8"/>
        <v>8</v>
      </c>
    </row>
    <row r="467" spans="1:10" ht="15.75" customHeight="1" x14ac:dyDescent="0.25">
      <c r="A467" s="380">
        <v>24081009</v>
      </c>
      <c r="B467" s="381" t="s">
        <v>321</v>
      </c>
      <c r="C467" s="381" t="s">
        <v>1111</v>
      </c>
      <c r="D467" s="381" t="s">
        <v>445</v>
      </c>
      <c r="E467" s="381" t="s">
        <v>1643</v>
      </c>
      <c r="F467" s="378">
        <v>2794</v>
      </c>
      <c r="G467" s="378">
        <v>0</v>
      </c>
      <c r="H467" s="378">
        <v>0</v>
      </c>
      <c r="I467" s="378">
        <v>2794</v>
      </c>
      <c r="J467" s="266">
        <f t="shared" si="8"/>
        <v>8</v>
      </c>
    </row>
    <row r="468" spans="1:10" ht="15.75" customHeight="1" x14ac:dyDescent="0.25">
      <c r="A468" s="380">
        <v>24081009</v>
      </c>
      <c r="B468" s="381" t="s">
        <v>321</v>
      </c>
      <c r="C468" s="381" t="s">
        <v>1111</v>
      </c>
      <c r="D468" s="381" t="s">
        <v>685</v>
      </c>
      <c r="E468" s="381" t="s">
        <v>1144</v>
      </c>
      <c r="F468" s="378">
        <v>66533</v>
      </c>
      <c r="G468" s="378">
        <v>0</v>
      </c>
      <c r="H468" s="378">
        <v>0</v>
      </c>
      <c r="I468" s="378">
        <v>66533</v>
      </c>
      <c r="J468" s="266">
        <f t="shared" si="8"/>
        <v>8</v>
      </c>
    </row>
    <row r="469" spans="1:10" ht="15.75" customHeight="1" x14ac:dyDescent="0.25">
      <c r="A469" s="380">
        <v>24081009</v>
      </c>
      <c r="B469" s="381" t="s">
        <v>321</v>
      </c>
      <c r="C469" s="381" t="s">
        <v>1111</v>
      </c>
      <c r="D469" s="381" t="s">
        <v>1146</v>
      </c>
      <c r="E469" s="381" t="s">
        <v>1147</v>
      </c>
      <c r="F469" s="378">
        <v>1054</v>
      </c>
      <c r="G469" s="378">
        <v>4710</v>
      </c>
      <c r="H469" s="378">
        <v>0</v>
      </c>
      <c r="I469" s="378">
        <v>5764</v>
      </c>
      <c r="J469" s="266">
        <f t="shared" si="8"/>
        <v>8</v>
      </c>
    </row>
    <row r="470" spans="1:10" ht="15.75" customHeight="1" x14ac:dyDescent="0.25">
      <c r="A470" s="380">
        <v>24081009</v>
      </c>
      <c r="B470" s="381" t="s">
        <v>321</v>
      </c>
      <c r="C470" s="381" t="s">
        <v>1111</v>
      </c>
      <c r="D470" s="381" t="s">
        <v>375</v>
      </c>
      <c r="E470" s="381" t="s">
        <v>817</v>
      </c>
      <c r="F470" s="378">
        <v>7660</v>
      </c>
      <c r="G470" s="378">
        <v>1421</v>
      </c>
      <c r="H470" s="378">
        <v>0</v>
      </c>
      <c r="I470" s="378">
        <v>9081</v>
      </c>
      <c r="J470" s="266">
        <f t="shared" si="8"/>
        <v>8</v>
      </c>
    </row>
    <row r="471" spans="1:10" ht="15.75" customHeight="1" x14ac:dyDescent="0.25">
      <c r="A471" s="380">
        <v>24081009</v>
      </c>
      <c r="B471" s="381" t="s">
        <v>321</v>
      </c>
      <c r="C471" s="381" t="s">
        <v>1111</v>
      </c>
      <c r="D471" s="381" t="s">
        <v>997</v>
      </c>
      <c r="E471" s="381" t="s">
        <v>998</v>
      </c>
      <c r="F471" s="378">
        <v>5700</v>
      </c>
      <c r="G471" s="378">
        <v>0</v>
      </c>
      <c r="H471" s="378">
        <v>0</v>
      </c>
      <c r="I471" s="378">
        <v>5700</v>
      </c>
      <c r="J471" s="266">
        <f t="shared" si="8"/>
        <v>8</v>
      </c>
    </row>
    <row r="472" spans="1:10" ht="15.75" customHeight="1" x14ac:dyDescent="0.25">
      <c r="A472" s="380">
        <v>24081009</v>
      </c>
      <c r="B472" s="381" t="s">
        <v>321</v>
      </c>
      <c r="C472" s="381" t="s">
        <v>1111</v>
      </c>
      <c r="D472" s="381" t="s">
        <v>495</v>
      </c>
      <c r="E472" s="381" t="s">
        <v>925</v>
      </c>
      <c r="F472" s="378">
        <v>35110</v>
      </c>
      <c r="G472" s="378">
        <v>31917</v>
      </c>
      <c r="H472" s="378">
        <v>0</v>
      </c>
      <c r="I472" s="378">
        <v>67027</v>
      </c>
      <c r="J472" s="266">
        <f t="shared" si="8"/>
        <v>8</v>
      </c>
    </row>
    <row r="473" spans="1:10" ht="15.75" customHeight="1" x14ac:dyDescent="0.25">
      <c r="A473" s="380">
        <v>24081009</v>
      </c>
      <c r="B473" s="381" t="s">
        <v>321</v>
      </c>
      <c r="C473" s="381" t="s">
        <v>1111</v>
      </c>
      <c r="D473" s="381" t="s">
        <v>431</v>
      </c>
      <c r="E473" s="381" t="s">
        <v>432</v>
      </c>
      <c r="F473" s="378">
        <v>395602</v>
      </c>
      <c r="G473" s="378">
        <v>0</v>
      </c>
      <c r="H473" s="378">
        <v>0</v>
      </c>
      <c r="I473" s="378">
        <v>395602</v>
      </c>
      <c r="J473" s="266">
        <f t="shared" si="8"/>
        <v>8</v>
      </c>
    </row>
    <row r="474" spans="1:10" ht="15.75" customHeight="1" x14ac:dyDescent="0.25">
      <c r="A474" s="380">
        <v>24081009</v>
      </c>
      <c r="B474" s="381" t="s">
        <v>321</v>
      </c>
      <c r="C474" s="381" t="s">
        <v>1111</v>
      </c>
      <c r="D474" s="381" t="s">
        <v>1154</v>
      </c>
      <c r="E474" s="381" t="s">
        <v>1155</v>
      </c>
      <c r="F474" s="378">
        <v>15008</v>
      </c>
      <c r="G474" s="378">
        <v>0</v>
      </c>
      <c r="H474" s="378">
        <v>0</v>
      </c>
      <c r="I474" s="378">
        <v>15008</v>
      </c>
      <c r="J474" s="266">
        <f t="shared" si="8"/>
        <v>8</v>
      </c>
    </row>
    <row r="475" spans="1:10" ht="15.75" customHeight="1" x14ac:dyDescent="0.25">
      <c r="A475" s="380">
        <v>24081009</v>
      </c>
      <c r="B475" s="381" t="s">
        <v>321</v>
      </c>
      <c r="C475" s="381" t="s">
        <v>1111</v>
      </c>
      <c r="D475" s="381" t="s">
        <v>1156</v>
      </c>
      <c r="E475" s="381" t="s">
        <v>1644</v>
      </c>
      <c r="F475" s="378">
        <v>3194</v>
      </c>
      <c r="G475" s="378">
        <v>0</v>
      </c>
      <c r="H475" s="378">
        <v>0</v>
      </c>
      <c r="I475" s="378">
        <v>3194</v>
      </c>
      <c r="J475" s="266">
        <f t="shared" si="8"/>
        <v>8</v>
      </c>
    </row>
    <row r="476" spans="1:10" ht="15.75" customHeight="1" x14ac:dyDescent="0.25">
      <c r="A476" s="380">
        <v>24081009</v>
      </c>
      <c r="B476" s="381" t="s">
        <v>321</v>
      </c>
      <c r="C476" s="381" t="s">
        <v>1111</v>
      </c>
      <c r="D476" s="381" t="s">
        <v>1484</v>
      </c>
      <c r="E476" s="381" t="s">
        <v>1485</v>
      </c>
      <c r="F476" s="378">
        <v>17536</v>
      </c>
      <c r="G476" s="378">
        <v>0</v>
      </c>
      <c r="H476" s="378">
        <v>0</v>
      </c>
      <c r="I476" s="378">
        <v>17536</v>
      </c>
      <c r="J476" s="266">
        <f t="shared" si="8"/>
        <v>8</v>
      </c>
    </row>
    <row r="477" spans="1:10" ht="15.75" customHeight="1" x14ac:dyDescent="0.25">
      <c r="A477" s="380">
        <v>24081009</v>
      </c>
      <c r="B477" s="381" t="s">
        <v>321</v>
      </c>
      <c r="C477" s="381" t="s">
        <v>1111</v>
      </c>
      <c r="D477" s="381" t="s">
        <v>344</v>
      </c>
      <c r="E477" s="381" t="s">
        <v>820</v>
      </c>
      <c r="F477" s="378">
        <v>126211</v>
      </c>
      <c r="G477" s="378">
        <v>212379</v>
      </c>
      <c r="H477" s="378">
        <v>0</v>
      </c>
      <c r="I477" s="378">
        <v>338590</v>
      </c>
      <c r="J477" s="266">
        <f t="shared" si="8"/>
        <v>8</v>
      </c>
    </row>
    <row r="478" spans="1:10" ht="15.75" customHeight="1" x14ac:dyDescent="0.25">
      <c r="A478" s="380">
        <v>24081009</v>
      </c>
      <c r="B478" s="381" t="s">
        <v>321</v>
      </c>
      <c r="C478" s="381" t="s">
        <v>1111</v>
      </c>
      <c r="D478" s="381" t="s">
        <v>389</v>
      </c>
      <c r="E478" s="381" t="s">
        <v>821</v>
      </c>
      <c r="F478" s="378">
        <v>23869</v>
      </c>
      <c r="G478" s="378">
        <v>2555</v>
      </c>
      <c r="H478" s="378">
        <v>0</v>
      </c>
      <c r="I478" s="378">
        <v>26424</v>
      </c>
      <c r="J478" s="266">
        <f t="shared" si="8"/>
        <v>8</v>
      </c>
    </row>
    <row r="479" spans="1:10" ht="15.75" customHeight="1" x14ac:dyDescent="0.25">
      <c r="A479" s="380">
        <v>24081009</v>
      </c>
      <c r="B479" s="381" t="s">
        <v>321</v>
      </c>
      <c r="C479" s="381" t="s">
        <v>1111</v>
      </c>
      <c r="D479" s="381" t="s">
        <v>1162</v>
      </c>
      <c r="E479" s="381" t="s">
        <v>1163</v>
      </c>
      <c r="F479" s="378">
        <v>35910</v>
      </c>
      <c r="G479" s="378">
        <v>0</v>
      </c>
      <c r="H479" s="378">
        <v>0</v>
      </c>
      <c r="I479" s="378">
        <v>35910</v>
      </c>
      <c r="J479" s="266">
        <f t="shared" si="8"/>
        <v>8</v>
      </c>
    </row>
    <row r="480" spans="1:10" ht="15.75" customHeight="1" x14ac:dyDescent="0.25">
      <c r="A480" s="380">
        <v>24081009</v>
      </c>
      <c r="B480" s="381" t="s">
        <v>321</v>
      </c>
      <c r="C480" s="381" t="s">
        <v>1111</v>
      </c>
      <c r="D480" s="381" t="s">
        <v>1006</v>
      </c>
      <c r="E480" s="381" t="s">
        <v>1007</v>
      </c>
      <c r="F480" s="378">
        <v>13680</v>
      </c>
      <c r="G480" s="378">
        <v>0</v>
      </c>
      <c r="H480" s="378">
        <v>0</v>
      </c>
      <c r="I480" s="378">
        <v>13680</v>
      </c>
      <c r="J480" s="266">
        <f t="shared" si="8"/>
        <v>8</v>
      </c>
    </row>
    <row r="481" spans="1:10" ht="15.75" customHeight="1" x14ac:dyDescent="0.25">
      <c r="A481" s="380">
        <v>24081009</v>
      </c>
      <c r="B481" s="381" t="s">
        <v>321</v>
      </c>
      <c r="C481" s="381" t="s">
        <v>1111</v>
      </c>
      <c r="D481" s="381" t="s">
        <v>1486</v>
      </c>
      <c r="E481" s="381" t="s">
        <v>1487</v>
      </c>
      <c r="F481" s="378">
        <v>3896</v>
      </c>
      <c r="G481" s="378">
        <v>0</v>
      </c>
      <c r="H481" s="378">
        <v>0</v>
      </c>
      <c r="I481" s="378">
        <v>3896</v>
      </c>
      <c r="J481" s="266">
        <f t="shared" si="8"/>
        <v>8</v>
      </c>
    </row>
    <row r="482" spans="1:10" ht="15.75" customHeight="1" x14ac:dyDescent="0.25">
      <c r="A482" s="380">
        <v>24081009</v>
      </c>
      <c r="B482" s="381" t="s">
        <v>321</v>
      </c>
      <c r="C482" s="381" t="s">
        <v>1111</v>
      </c>
      <c r="D482" s="381" t="s">
        <v>1168</v>
      </c>
      <c r="E482" s="381" t="s">
        <v>1169</v>
      </c>
      <c r="F482" s="378">
        <v>12384</v>
      </c>
      <c r="G482" s="378">
        <v>0</v>
      </c>
      <c r="H482" s="378">
        <v>0</v>
      </c>
      <c r="I482" s="378">
        <v>12384</v>
      </c>
      <c r="J482" s="266">
        <f t="shared" si="8"/>
        <v>8</v>
      </c>
    </row>
    <row r="483" spans="1:10" ht="15.75" customHeight="1" x14ac:dyDescent="0.25">
      <c r="A483" s="380">
        <v>24081009</v>
      </c>
      <c r="B483" s="381" t="s">
        <v>321</v>
      </c>
      <c r="C483" s="381" t="s">
        <v>1111</v>
      </c>
      <c r="D483" s="381" t="s">
        <v>1019</v>
      </c>
      <c r="E483" s="381" t="s">
        <v>1020</v>
      </c>
      <c r="F483" s="378">
        <v>35446</v>
      </c>
      <c r="G483" s="378">
        <v>27781</v>
      </c>
      <c r="H483" s="378">
        <v>0</v>
      </c>
      <c r="I483" s="378">
        <v>63227</v>
      </c>
      <c r="J483" s="266">
        <f t="shared" si="8"/>
        <v>8</v>
      </c>
    </row>
    <row r="484" spans="1:10" ht="15.75" customHeight="1" x14ac:dyDescent="0.25">
      <c r="A484" s="380">
        <v>24081009</v>
      </c>
      <c r="B484" s="381" t="s">
        <v>321</v>
      </c>
      <c r="C484" s="381" t="s">
        <v>1111</v>
      </c>
      <c r="D484" s="381" t="s">
        <v>1645</v>
      </c>
      <c r="E484" s="381" t="s">
        <v>1646</v>
      </c>
      <c r="F484" s="378">
        <v>3193</v>
      </c>
      <c r="G484" s="378">
        <v>0</v>
      </c>
      <c r="H484" s="378">
        <v>0</v>
      </c>
      <c r="I484" s="378">
        <v>3193</v>
      </c>
      <c r="J484" s="266">
        <f t="shared" si="8"/>
        <v>8</v>
      </c>
    </row>
    <row r="485" spans="1:10" ht="15.75" customHeight="1" x14ac:dyDescent="0.25">
      <c r="A485" s="380">
        <v>24081009</v>
      </c>
      <c r="B485" s="381" t="s">
        <v>321</v>
      </c>
      <c r="C485" s="381" t="s">
        <v>1111</v>
      </c>
      <c r="D485" s="381" t="s">
        <v>665</v>
      </c>
      <c r="E485" s="381" t="s">
        <v>824</v>
      </c>
      <c r="F485" s="378">
        <v>13300</v>
      </c>
      <c r="G485" s="378">
        <v>0</v>
      </c>
      <c r="H485" s="378">
        <v>0</v>
      </c>
      <c r="I485" s="378">
        <v>13300</v>
      </c>
      <c r="J485" s="266">
        <f t="shared" si="8"/>
        <v>8</v>
      </c>
    </row>
    <row r="486" spans="1:10" ht="15.75" customHeight="1" x14ac:dyDescent="0.25">
      <c r="A486" s="380">
        <v>24081009</v>
      </c>
      <c r="B486" s="381" t="s">
        <v>321</v>
      </c>
      <c r="C486" s="381" t="s">
        <v>1111</v>
      </c>
      <c r="D486" s="381" t="s">
        <v>1586</v>
      </c>
      <c r="E486" s="381" t="s">
        <v>1587</v>
      </c>
      <c r="F486" s="378">
        <v>31540</v>
      </c>
      <c r="G486" s="378">
        <v>20330</v>
      </c>
      <c r="H486" s="378">
        <v>0</v>
      </c>
      <c r="I486" s="378">
        <v>51870</v>
      </c>
      <c r="J486" s="266">
        <f t="shared" si="8"/>
        <v>8</v>
      </c>
    </row>
    <row r="487" spans="1:10" ht="15.75" customHeight="1" x14ac:dyDescent="0.25">
      <c r="A487" s="380">
        <v>24081011</v>
      </c>
      <c r="B487" s="381" t="s">
        <v>315</v>
      </c>
      <c r="C487" s="381" t="s">
        <v>1189</v>
      </c>
      <c r="D487" s="381" t="s">
        <v>315</v>
      </c>
      <c r="E487" s="381" t="s">
        <v>315</v>
      </c>
      <c r="F487" s="378">
        <v>3929655</v>
      </c>
      <c r="G487" s="378">
        <v>838433</v>
      </c>
      <c r="H487" s="378">
        <v>0</v>
      </c>
      <c r="I487" s="378">
        <v>4768088</v>
      </c>
      <c r="J487" s="266">
        <f t="shared" si="8"/>
        <v>8</v>
      </c>
    </row>
    <row r="488" spans="1:10" ht="15.75" customHeight="1" x14ac:dyDescent="0.25">
      <c r="A488" s="380">
        <v>24081011</v>
      </c>
      <c r="B488" s="381" t="s">
        <v>315</v>
      </c>
      <c r="C488" s="381" t="s">
        <v>1189</v>
      </c>
      <c r="D488" s="381" t="s">
        <v>347</v>
      </c>
      <c r="E488" s="381" t="s">
        <v>348</v>
      </c>
      <c r="F488" s="378">
        <v>3929465</v>
      </c>
      <c r="G488" s="378">
        <v>838433</v>
      </c>
      <c r="H488" s="378">
        <v>0</v>
      </c>
      <c r="I488" s="378">
        <v>4767898</v>
      </c>
      <c r="J488" s="266">
        <f t="shared" si="8"/>
        <v>8</v>
      </c>
    </row>
    <row r="489" spans="1:10" ht="15.75" customHeight="1" x14ac:dyDescent="0.25">
      <c r="A489" s="380">
        <v>24081011</v>
      </c>
      <c r="B489" s="381" t="s">
        <v>315</v>
      </c>
      <c r="C489" s="381" t="s">
        <v>1189</v>
      </c>
      <c r="D489" s="381" t="s">
        <v>375</v>
      </c>
      <c r="E489" s="381" t="s">
        <v>817</v>
      </c>
      <c r="F489" s="378">
        <v>190</v>
      </c>
      <c r="G489" s="378">
        <v>0</v>
      </c>
      <c r="H489" s="378">
        <v>0</v>
      </c>
      <c r="I489" s="378">
        <v>190</v>
      </c>
      <c r="J489" s="266">
        <f t="shared" si="8"/>
        <v>8</v>
      </c>
    </row>
    <row r="490" spans="1:10" ht="15.75" customHeight="1" x14ac:dyDescent="0.25">
      <c r="A490" s="380">
        <v>24081012</v>
      </c>
      <c r="B490" s="381" t="s">
        <v>321</v>
      </c>
      <c r="C490" s="381" t="s">
        <v>1190</v>
      </c>
      <c r="D490" s="381" t="s">
        <v>315</v>
      </c>
      <c r="E490" s="381" t="s">
        <v>315</v>
      </c>
      <c r="F490" s="378">
        <v>106740861</v>
      </c>
      <c r="G490" s="378">
        <v>21241691</v>
      </c>
      <c r="H490" s="378">
        <v>0</v>
      </c>
      <c r="I490" s="378">
        <v>127982552</v>
      </c>
      <c r="J490" s="266">
        <f t="shared" si="8"/>
        <v>8</v>
      </c>
    </row>
    <row r="491" spans="1:10" ht="15.75" customHeight="1" x14ac:dyDescent="0.25">
      <c r="A491" s="380">
        <v>24081012</v>
      </c>
      <c r="B491" s="381" t="s">
        <v>321</v>
      </c>
      <c r="C491" s="381" t="s">
        <v>1190</v>
      </c>
      <c r="D491" s="381" t="s">
        <v>365</v>
      </c>
      <c r="E491" s="381" t="s">
        <v>366</v>
      </c>
      <c r="F491" s="378">
        <v>43901</v>
      </c>
      <c r="G491" s="378">
        <v>0</v>
      </c>
      <c r="H491" s="378">
        <v>0</v>
      </c>
      <c r="I491" s="378">
        <v>43901</v>
      </c>
      <c r="J491" s="266">
        <f t="shared" si="8"/>
        <v>8</v>
      </c>
    </row>
    <row r="492" spans="1:10" ht="15.75" customHeight="1" x14ac:dyDescent="0.25">
      <c r="A492" s="380">
        <v>24081012</v>
      </c>
      <c r="B492" s="381" t="s">
        <v>321</v>
      </c>
      <c r="C492" s="381" t="s">
        <v>1190</v>
      </c>
      <c r="D492" s="381" t="s">
        <v>367</v>
      </c>
      <c r="E492" s="381" t="s">
        <v>1543</v>
      </c>
      <c r="F492" s="378">
        <v>4290022</v>
      </c>
      <c r="G492" s="378">
        <v>948376</v>
      </c>
      <c r="H492" s="378">
        <v>0</v>
      </c>
      <c r="I492" s="378">
        <v>5238398</v>
      </c>
      <c r="J492" s="266">
        <f t="shared" si="8"/>
        <v>8</v>
      </c>
    </row>
    <row r="493" spans="1:10" ht="15.75" customHeight="1" x14ac:dyDescent="0.25">
      <c r="A493" s="380">
        <v>24081012</v>
      </c>
      <c r="B493" s="381" t="s">
        <v>321</v>
      </c>
      <c r="C493" s="381" t="s">
        <v>1190</v>
      </c>
      <c r="D493" s="381" t="s">
        <v>369</v>
      </c>
      <c r="E493" s="381" t="s">
        <v>815</v>
      </c>
      <c r="F493" s="378">
        <v>603004</v>
      </c>
      <c r="G493" s="378">
        <v>108471</v>
      </c>
      <c r="H493" s="378">
        <v>0</v>
      </c>
      <c r="I493" s="378">
        <v>711475</v>
      </c>
      <c r="J493" s="266">
        <f t="shared" si="8"/>
        <v>8</v>
      </c>
    </row>
    <row r="494" spans="1:10" ht="15.75" customHeight="1" x14ac:dyDescent="0.25">
      <c r="A494" s="380">
        <v>24081012</v>
      </c>
      <c r="B494" s="381" t="s">
        <v>321</v>
      </c>
      <c r="C494" s="381" t="s">
        <v>1190</v>
      </c>
      <c r="D494" s="381" t="s">
        <v>1470</v>
      </c>
      <c r="E494" s="381" t="s">
        <v>1471</v>
      </c>
      <c r="F494" s="378">
        <v>1763641</v>
      </c>
      <c r="G494" s="378">
        <v>339423</v>
      </c>
      <c r="H494" s="378">
        <v>0</v>
      </c>
      <c r="I494" s="378">
        <v>2103064</v>
      </c>
      <c r="J494" s="266">
        <f t="shared" si="8"/>
        <v>8</v>
      </c>
    </row>
    <row r="495" spans="1:10" ht="15.75" customHeight="1" x14ac:dyDescent="0.25">
      <c r="A495" s="380">
        <v>24081012</v>
      </c>
      <c r="B495" s="381" t="s">
        <v>321</v>
      </c>
      <c r="C495" s="381" t="s">
        <v>1190</v>
      </c>
      <c r="D495" s="381" t="s">
        <v>347</v>
      </c>
      <c r="E495" s="381" t="s">
        <v>348</v>
      </c>
      <c r="F495" s="378">
        <v>72403007</v>
      </c>
      <c r="G495" s="378">
        <v>14459302</v>
      </c>
      <c r="H495" s="378">
        <v>0</v>
      </c>
      <c r="I495" s="378">
        <v>86862309</v>
      </c>
      <c r="J495" s="266">
        <f t="shared" si="8"/>
        <v>8</v>
      </c>
    </row>
    <row r="496" spans="1:10" ht="15.75" customHeight="1" x14ac:dyDescent="0.25">
      <c r="A496" s="380">
        <v>24081012</v>
      </c>
      <c r="B496" s="381" t="s">
        <v>321</v>
      </c>
      <c r="C496" s="381" t="s">
        <v>1190</v>
      </c>
      <c r="D496" s="381" t="s">
        <v>636</v>
      </c>
      <c r="E496" s="381" t="s">
        <v>1145</v>
      </c>
      <c r="F496" s="378">
        <v>0</v>
      </c>
      <c r="G496" s="378">
        <v>6897</v>
      </c>
      <c r="H496" s="378">
        <v>0</v>
      </c>
      <c r="I496" s="378">
        <v>6897</v>
      </c>
      <c r="J496" s="266">
        <f t="shared" si="8"/>
        <v>8</v>
      </c>
    </row>
    <row r="497" spans="1:10" ht="15.75" customHeight="1" x14ac:dyDescent="0.25">
      <c r="A497" s="380">
        <v>24081012</v>
      </c>
      <c r="B497" s="381" t="s">
        <v>321</v>
      </c>
      <c r="C497" s="381" t="s">
        <v>1190</v>
      </c>
      <c r="D497" s="381" t="s">
        <v>373</v>
      </c>
      <c r="E497" s="381" t="s">
        <v>1544</v>
      </c>
      <c r="F497" s="378">
        <v>547350</v>
      </c>
      <c r="G497" s="378">
        <v>0</v>
      </c>
      <c r="H497" s="378">
        <v>0</v>
      </c>
      <c r="I497" s="378">
        <v>547350</v>
      </c>
      <c r="J497" s="266">
        <f t="shared" si="8"/>
        <v>8</v>
      </c>
    </row>
    <row r="498" spans="1:10" ht="15.75" customHeight="1" x14ac:dyDescent="0.25">
      <c r="A498" s="380">
        <v>24081012</v>
      </c>
      <c r="B498" s="381" t="s">
        <v>321</v>
      </c>
      <c r="C498" s="381" t="s">
        <v>1190</v>
      </c>
      <c r="D498" s="381" t="s">
        <v>375</v>
      </c>
      <c r="E498" s="381" t="s">
        <v>817</v>
      </c>
      <c r="F498" s="378">
        <v>2288</v>
      </c>
      <c r="G498" s="378">
        <v>1653</v>
      </c>
      <c r="H498" s="378">
        <v>0</v>
      </c>
      <c r="I498" s="378">
        <v>3941</v>
      </c>
      <c r="J498" s="266">
        <f t="shared" si="8"/>
        <v>8</v>
      </c>
    </row>
    <row r="499" spans="1:10" ht="15.75" customHeight="1" x14ac:dyDescent="0.25">
      <c r="A499" s="380">
        <v>24081012</v>
      </c>
      <c r="B499" s="381" t="s">
        <v>321</v>
      </c>
      <c r="C499" s="381" t="s">
        <v>1190</v>
      </c>
      <c r="D499" s="381" t="s">
        <v>377</v>
      </c>
      <c r="E499" s="381" t="s">
        <v>378</v>
      </c>
      <c r="F499" s="378">
        <v>25930527</v>
      </c>
      <c r="G499" s="378">
        <v>5230640</v>
      </c>
      <c r="H499" s="378">
        <v>0</v>
      </c>
      <c r="I499" s="378">
        <v>31161167</v>
      </c>
      <c r="J499" s="266">
        <f t="shared" si="8"/>
        <v>8</v>
      </c>
    </row>
    <row r="500" spans="1:10" ht="15.75" customHeight="1" x14ac:dyDescent="0.25">
      <c r="A500" s="380">
        <v>24081012</v>
      </c>
      <c r="B500" s="381" t="s">
        <v>321</v>
      </c>
      <c r="C500" s="381" t="s">
        <v>1190</v>
      </c>
      <c r="D500" s="381" t="s">
        <v>431</v>
      </c>
      <c r="E500" s="381" t="s">
        <v>432</v>
      </c>
      <c r="F500" s="378">
        <v>72844</v>
      </c>
      <c r="G500" s="378">
        <v>25604</v>
      </c>
      <c r="H500" s="378">
        <v>0</v>
      </c>
      <c r="I500" s="378">
        <v>98448</v>
      </c>
      <c r="J500" s="266">
        <f t="shared" si="8"/>
        <v>8</v>
      </c>
    </row>
    <row r="501" spans="1:10" ht="15.75" customHeight="1" x14ac:dyDescent="0.25">
      <c r="A501" s="380">
        <v>24081012</v>
      </c>
      <c r="B501" s="381" t="s">
        <v>321</v>
      </c>
      <c r="C501" s="381" t="s">
        <v>1190</v>
      </c>
      <c r="D501" s="381" t="s">
        <v>344</v>
      </c>
      <c r="E501" s="381" t="s">
        <v>820</v>
      </c>
      <c r="F501" s="378">
        <v>628117</v>
      </c>
      <c r="G501" s="378">
        <v>0</v>
      </c>
      <c r="H501" s="378">
        <v>0</v>
      </c>
      <c r="I501" s="378">
        <v>628117</v>
      </c>
      <c r="J501" s="266">
        <f t="shared" si="8"/>
        <v>8</v>
      </c>
    </row>
    <row r="502" spans="1:10" ht="15.75" customHeight="1" x14ac:dyDescent="0.25">
      <c r="A502" s="380">
        <v>24081012</v>
      </c>
      <c r="B502" s="381" t="s">
        <v>321</v>
      </c>
      <c r="C502" s="381" t="s">
        <v>1190</v>
      </c>
      <c r="D502" s="381" t="s">
        <v>723</v>
      </c>
      <c r="E502" s="381" t="s">
        <v>724</v>
      </c>
      <c r="F502" s="378">
        <v>72967</v>
      </c>
      <c r="G502" s="378">
        <v>14402</v>
      </c>
      <c r="H502" s="378">
        <v>0</v>
      </c>
      <c r="I502" s="378">
        <v>87369</v>
      </c>
      <c r="J502" s="266">
        <f t="shared" si="8"/>
        <v>8</v>
      </c>
    </row>
    <row r="503" spans="1:10" ht="15.75" customHeight="1" x14ac:dyDescent="0.25">
      <c r="A503" s="380">
        <v>24081012</v>
      </c>
      <c r="B503" s="381" t="s">
        <v>321</v>
      </c>
      <c r="C503" s="381" t="s">
        <v>1190</v>
      </c>
      <c r="D503" s="381" t="s">
        <v>665</v>
      </c>
      <c r="E503" s="381" t="s">
        <v>824</v>
      </c>
      <c r="F503" s="378">
        <v>383193</v>
      </c>
      <c r="G503" s="378">
        <v>106923</v>
      </c>
      <c r="H503" s="378">
        <v>0</v>
      </c>
      <c r="I503" s="378">
        <v>490116</v>
      </c>
      <c r="J503" s="266">
        <f t="shared" si="8"/>
        <v>8</v>
      </c>
    </row>
    <row r="504" spans="1:10" ht="15.75" customHeight="1" x14ac:dyDescent="0.25">
      <c r="A504" s="380">
        <v>24081099</v>
      </c>
      <c r="B504" s="381" t="s">
        <v>321</v>
      </c>
      <c r="C504" s="381" t="s">
        <v>1647</v>
      </c>
      <c r="D504" s="381" t="s">
        <v>315</v>
      </c>
      <c r="E504" s="381" t="s">
        <v>315</v>
      </c>
      <c r="F504" s="378">
        <v>652063</v>
      </c>
      <c r="G504" s="378">
        <v>173603</v>
      </c>
      <c r="H504" s="378">
        <v>0</v>
      </c>
      <c r="I504" s="378">
        <v>825666</v>
      </c>
      <c r="J504" s="266">
        <f t="shared" si="8"/>
        <v>8</v>
      </c>
    </row>
    <row r="505" spans="1:10" ht="15.75" customHeight="1" x14ac:dyDescent="0.25">
      <c r="A505" s="380">
        <v>24081099</v>
      </c>
      <c r="B505" s="381" t="s">
        <v>321</v>
      </c>
      <c r="C505" s="381" t="s">
        <v>1647</v>
      </c>
      <c r="D505" s="381" t="s">
        <v>403</v>
      </c>
      <c r="E505" s="381" t="s">
        <v>1616</v>
      </c>
      <c r="F505" s="378">
        <v>652063</v>
      </c>
      <c r="G505" s="378">
        <v>173603</v>
      </c>
      <c r="H505" s="378">
        <v>0</v>
      </c>
      <c r="I505" s="378">
        <v>825666</v>
      </c>
      <c r="J505" s="266">
        <f t="shared" si="8"/>
        <v>8</v>
      </c>
    </row>
    <row r="506" spans="1:10" ht="15.75" customHeight="1" x14ac:dyDescent="0.25">
      <c r="A506" s="380">
        <v>240811</v>
      </c>
      <c r="B506" s="381" t="s">
        <v>315</v>
      </c>
      <c r="C506" s="381" t="s">
        <v>1192</v>
      </c>
      <c r="D506" s="381" t="s">
        <v>315</v>
      </c>
      <c r="E506" s="381" t="s">
        <v>315</v>
      </c>
      <c r="F506" s="378">
        <v>-795659</v>
      </c>
      <c r="G506" s="378">
        <v>0</v>
      </c>
      <c r="H506" s="378">
        <v>10538</v>
      </c>
      <c r="I506" s="378">
        <v>-806197</v>
      </c>
      <c r="J506" s="266">
        <f t="shared" si="8"/>
        <v>6</v>
      </c>
    </row>
    <row r="507" spans="1:10" ht="15.75" customHeight="1" x14ac:dyDescent="0.25">
      <c r="A507" s="380">
        <v>24081106</v>
      </c>
      <c r="B507" s="381" t="s">
        <v>321</v>
      </c>
      <c r="C507" s="381" t="s">
        <v>1648</v>
      </c>
      <c r="D507" s="381" t="s">
        <v>315</v>
      </c>
      <c r="E507" s="381" t="s">
        <v>315</v>
      </c>
      <c r="F507" s="378">
        <v>-795659</v>
      </c>
      <c r="G507" s="378">
        <v>0</v>
      </c>
      <c r="H507" s="378">
        <v>10538</v>
      </c>
      <c r="I507" s="378">
        <v>-806197</v>
      </c>
      <c r="J507" s="266">
        <f t="shared" si="8"/>
        <v>8</v>
      </c>
    </row>
    <row r="508" spans="1:10" ht="15.75" customHeight="1" x14ac:dyDescent="0.25">
      <c r="A508" s="380">
        <v>24081106</v>
      </c>
      <c r="B508" s="381" t="s">
        <v>321</v>
      </c>
      <c r="C508" s="381" t="s">
        <v>1648</v>
      </c>
      <c r="D508" s="381" t="s">
        <v>1113</v>
      </c>
      <c r="E508" s="381" t="s">
        <v>1114</v>
      </c>
      <c r="F508" s="378">
        <v>-3564</v>
      </c>
      <c r="G508" s="378">
        <v>0</v>
      </c>
      <c r="H508" s="378">
        <v>0</v>
      </c>
      <c r="I508" s="378">
        <v>-3564</v>
      </c>
      <c r="J508" s="266">
        <f t="shared" si="8"/>
        <v>8</v>
      </c>
    </row>
    <row r="509" spans="1:10" ht="15.75" customHeight="1" x14ac:dyDescent="0.25">
      <c r="A509" s="380">
        <v>24081106</v>
      </c>
      <c r="B509" s="381" t="s">
        <v>321</v>
      </c>
      <c r="C509" s="381" t="s">
        <v>1648</v>
      </c>
      <c r="D509" s="381" t="s">
        <v>429</v>
      </c>
      <c r="E509" s="381" t="s">
        <v>430</v>
      </c>
      <c r="F509" s="378">
        <v>-759240</v>
      </c>
      <c r="G509" s="378">
        <v>0</v>
      </c>
      <c r="H509" s="378">
        <v>0</v>
      </c>
      <c r="I509" s="378">
        <v>-759240</v>
      </c>
      <c r="J509" s="266">
        <f t="shared" si="8"/>
        <v>8</v>
      </c>
    </row>
    <row r="510" spans="1:10" ht="15.75" customHeight="1" x14ac:dyDescent="0.25">
      <c r="A510" s="380">
        <v>24081106</v>
      </c>
      <c r="B510" s="381" t="s">
        <v>321</v>
      </c>
      <c r="C510" s="381" t="s">
        <v>1648</v>
      </c>
      <c r="D510" s="381" t="s">
        <v>431</v>
      </c>
      <c r="E510" s="381" t="s">
        <v>432</v>
      </c>
      <c r="F510" s="378">
        <v>-29981</v>
      </c>
      <c r="G510" s="378">
        <v>0</v>
      </c>
      <c r="H510" s="378">
        <v>0</v>
      </c>
      <c r="I510" s="378">
        <v>-29981</v>
      </c>
      <c r="J510" s="266">
        <f t="shared" si="8"/>
        <v>8</v>
      </c>
    </row>
    <row r="511" spans="1:10" ht="15.75" customHeight="1" x14ac:dyDescent="0.25">
      <c r="A511" s="380">
        <v>24081106</v>
      </c>
      <c r="B511" s="381" t="s">
        <v>321</v>
      </c>
      <c r="C511" s="381" t="s">
        <v>1648</v>
      </c>
      <c r="D511" s="381" t="s">
        <v>389</v>
      </c>
      <c r="E511" s="381" t="s">
        <v>821</v>
      </c>
      <c r="F511" s="378">
        <v>-2874</v>
      </c>
      <c r="G511" s="378">
        <v>0</v>
      </c>
      <c r="H511" s="378">
        <v>0</v>
      </c>
      <c r="I511" s="378">
        <v>-2874</v>
      </c>
      <c r="J511" s="266">
        <f t="shared" si="8"/>
        <v>8</v>
      </c>
    </row>
    <row r="512" spans="1:10" ht="15.75" customHeight="1" x14ac:dyDescent="0.25">
      <c r="A512" s="380">
        <v>24081106</v>
      </c>
      <c r="B512" s="381" t="s">
        <v>321</v>
      </c>
      <c r="C512" s="381" t="s">
        <v>1648</v>
      </c>
      <c r="D512" s="381" t="s">
        <v>1019</v>
      </c>
      <c r="E512" s="381" t="s">
        <v>1020</v>
      </c>
      <c r="F512" s="378">
        <v>0</v>
      </c>
      <c r="G512" s="378">
        <v>0</v>
      </c>
      <c r="H512" s="378">
        <v>10538</v>
      </c>
      <c r="I512" s="378">
        <v>-10538</v>
      </c>
      <c r="J512" s="266">
        <f t="shared" si="8"/>
        <v>8</v>
      </c>
    </row>
    <row r="513" spans="1:10" ht="15.75" customHeight="1" x14ac:dyDescent="0.25">
      <c r="A513" s="380">
        <v>240825</v>
      </c>
      <c r="B513" s="381" t="s">
        <v>315</v>
      </c>
      <c r="C513" s="381" t="s">
        <v>449</v>
      </c>
      <c r="D513" s="381" t="s">
        <v>315</v>
      </c>
      <c r="E513" s="381" t="s">
        <v>315</v>
      </c>
      <c r="F513" s="378">
        <v>23810067.449999999</v>
      </c>
      <c r="G513" s="378">
        <v>5022864.75</v>
      </c>
      <c r="H513" s="378">
        <v>0</v>
      </c>
      <c r="I513" s="378">
        <v>28832932.199999999</v>
      </c>
      <c r="J513" s="266">
        <f t="shared" si="8"/>
        <v>6</v>
      </c>
    </row>
    <row r="514" spans="1:10" ht="15.75" customHeight="1" x14ac:dyDescent="0.25">
      <c r="A514" s="380">
        <v>24082505</v>
      </c>
      <c r="B514" s="381" t="s">
        <v>321</v>
      </c>
      <c r="C514" s="381" t="s">
        <v>449</v>
      </c>
      <c r="D514" s="381" t="s">
        <v>315</v>
      </c>
      <c r="E514" s="381" t="s">
        <v>315</v>
      </c>
      <c r="F514" s="378">
        <v>23810067.449999999</v>
      </c>
      <c r="G514" s="378">
        <v>5022864.75</v>
      </c>
      <c r="H514" s="378">
        <v>0</v>
      </c>
      <c r="I514" s="378">
        <v>28832932.199999999</v>
      </c>
      <c r="J514" s="266">
        <f t="shared" si="8"/>
        <v>8</v>
      </c>
    </row>
    <row r="515" spans="1:10" ht="15.75" customHeight="1" x14ac:dyDescent="0.25">
      <c r="A515" s="380">
        <v>24082505</v>
      </c>
      <c r="B515" s="381" t="s">
        <v>321</v>
      </c>
      <c r="C515" s="381" t="s">
        <v>449</v>
      </c>
      <c r="D515" s="381" t="s">
        <v>329</v>
      </c>
      <c r="E515" s="381" t="s">
        <v>330</v>
      </c>
      <c r="F515" s="378">
        <v>23810067.449999999</v>
      </c>
      <c r="G515" s="378">
        <v>5022864.75</v>
      </c>
      <c r="H515" s="378">
        <v>0</v>
      </c>
      <c r="I515" s="378">
        <v>28832932.199999999</v>
      </c>
      <c r="J515" s="266">
        <f t="shared" si="8"/>
        <v>8</v>
      </c>
    </row>
    <row r="516" spans="1:10" ht="15.75" customHeight="1" x14ac:dyDescent="0.25">
      <c r="A516" s="380">
        <v>240899</v>
      </c>
      <c r="B516" s="381" t="s">
        <v>315</v>
      </c>
      <c r="C516" s="381" t="s">
        <v>1064</v>
      </c>
      <c r="D516" s="381" t="s">
        <v>315</v>
      </c>
      <c r="E516" s="381" t="s">
        <v>315</v>
      </c>
      <c r="F516" s="378">
        <v>135083736.00999999</v>
      </c>
      <c r="G516" s="378">
        <v>0</v>
      </c>
      <c r="H516" s="378">
        <v>0</v>
      </c>
      <c r="I516" s="378">
        <v>135083736.00999999</v>
      </c>
      <c r="J516" s="266">
        <f t="shared" si="8"/>
        <v>6</v>
      </c>
    </row>
    <row r="517" spans="1:10" ht="15.75" customHeight="1" x14ac:dyDescent="0.25">
      <c r="A517" s="380">
        <v>24089901</v>
      </c>
      <c r="B517" s="381" t="s">
        <v>315</v>
      </c>
      <c r="C517" s="381" t="s">
        <v>1064</v>
      </c>
      <c r="D517" s="381" t="s">
        <v>315</v>
      </c>
      <c r="E517" s="381" t="s">
        <v>315</v>
      </c>
      <c r="F517" s="378">
        <v>135083736.00999999</v>
      </c>
      <c r="G517" s="378">
        <v>0</v>
      </c>
      <c r="H517" s="378">
        <v>0</v>
      </c>
      <c r="I517" s="378">
        <v>135083736.00999999</v>
      </c>
      <c r="J517" s="266">
        <f t="shared" si="8"/>
        <v>8</v>
      </c>
    </row>
    <row r="518" spans="1:10" ht="15.75" customHeight="1" x14ac:dyDescent="0.25">
      <c r="A518" s="380">
        <v>25</v>
      </c>
      <c r="B518" s="381" t="s">
        <v>315</v>
      </c>
      <c r="C518" s="381" t="s">
        <v>446</v>
      </c>
      <c r="D518" s="381" t="s">
        <v>315</v>
      </c>
      <c r="E518" s="381" t="s">
        <v>315</v>
      </c>
      <c r="F518" s="378">
        <v>-86884514</v>
      </c>
      <c r="G518" s="378">
        <v>140080844</v>
      </c>
      <c r="H518" s="378">
        <v>117870727</v>
      </c>
      <c r="I518" s="378">
        <v>-64674397</v>
      </c>
      <c r="J518" s="266">
        <f t="shared" si="8"/>
        <v>2</v>
      </c>
    </row>
    <row r="519" spans="1:10" ht="15.75" customHeight="1" x14ac:dyDescent="0.25">
      <c r="A519" s="380">
        <v>2505</v>
      </c>
      <c r="B519" s="381" t="s">
        <v>315</v>
      </c>
      <c r="C519" s="381" t="s">
        <v>95</v>
      </c>
      <c r="D519" s="381" t="s">
        <v>315</v>
      </c>
      <c r="E519" s="381" t="s">
        <v>315</v>
      </c>
      <c r="F519" s="378">
        <v>0</v>
      </c>
      <c r="G519" s="378">
        <v>90319588</v>
      </c>
      <c r="H519" s="378">
        <v>90319588</v>
      </c>
      <c r="I519" s="378">
        <v>0</v>
      </c>
      <c r="J519" s="266">
        <f t="shared" si="8"/>
        <v>4</v>
      </c>
    </row>
    <row r="520" spans="1:10" ht="15.75" customHeight="1" x14ac:dyDescent="0.25">
      <c r="A520" s="380">
        <v>250505</v>
      </c>
      <c r="B520" s="381" t="s">
        <v>315</v>
      </c>
      <c r="C520" s="381" t="s">
        <v>95</v>
      </c>
      <c r="D520" s="381" t="s">
        <v>315</v>
      </c>
      <c r="E520" s="381" t="s">
        <v>315</v>
      </c>
      <c r="F520" s="378">
        <v>0</v>
      </c>
      <c r="G520" s="378">
        <v>90319588</v>
      </c>
      <c r="H520" s="378">
        <v>90319588</v>
      </c>
      <c r="I520" s="378">
        <v>0</v>
      </c>
      <c r="J520" s="266">
        <f t="shared" si="8"/>
        <v>6</v>
      </c>
    </row>
    <row r="521" spans="1:10" ht="15.75" customHeight="1" x14ac:dyDescent="0.25">
      <c r="A521" s="380">
        <v>25050501</v>
      </c>
      <c r="B521" s="381" t="s">
        <v>315</v>
      </c>
      <c r="C521" s="381" t="s">
        <v>95</v>
      </c>
      <c r="D521" s="381" t="s">
        <v>315</v>
      </c>
      <c r="E521" s="381" t="s">
        <v>315</v>
      </c>
      <c r="F521" s="378">
        <v>0</v>
      </c>
      <c r="G521" s="378">
        <v>90319588</v>
      </c>
      <c r="H521" s="378">
        <v>90319588</v>
      </c>
      <c r="I521" s="378">
        <v>0</v>
      </c>
      <c r="J521" s="266">
        <f t="shared" si="8"/>
        <v>8</v>
      </c>
    </row>
    <row r="522" spans="1:10" ht="15.75" customHeight="1" x14ac:dyDescent="0.25">
      <c r="A522" s="380">
        <v>25050501</v>
      </c>
      <c r="B522" s="381" t="s">
        <v>315</v>
      </c>
      <c r="C522" s="381" t="s">
        <v>95</v>
      </c>
      <c r="D522" s="381" t="s">
        <v>1535</v>
      </c>
      <c r="E522" s="381" t="s">
        <v>1536</v>
      </c>
      <c r="F522" s="378">
        <v>0</v>
      </c>
      <c r="G522" s="378">
        <v>3545158</v>
      </c>
      <c r="H522" s="378">
        <v>3545158</v>
      </c>
      <c r="I522" s="378">
        <v>0</v>
      </c>
      <c r="J522" s="266">
        <f t="shared" si="8"/>
        <v>8</v>
      </c>
    </row>
    <row r="523" spans="1:10" ht="15.75" customHeight="1" x14ac:dyDescent="0.25">
      <c r="A523" s="380">
        <v>25050501</v>
      </c>
      <c r="B523" s="381" t="s">
        <v>315</v>
      </c>
      <c r="C523" s="381" t="s">
        <v>95</v>
      </c>
      <c r="D523" s="381" t="s">
        <v>1604</v>
      </c>
      <c r="E523" s="381" t="s">
        <v>1605</v>
      </c>
      <c r="F523" s="378">
        <v>0</v>
      </c>
      <c r="G523" s="378">
        <v>4347966</v>
      </c>
      <c r="H523" s="378">
        <v>4347966</v>
      </c>
      <c r="I523" s="378">
        <v>0</v>
      </c>
      <c r="J523" s="266">
        <f t="shared" si="8"/>
        <v>8</v>
      </c>
    </row>
    <row r="524" spans="1:10" ht="15.75" customHeight="1" x14ac:dyDescent="0.25">
      <c r="A524" s="380">
        <v>25050501</v>
      </c>
      <c r="B524" s="381" t="s">
        <v>315</v>
      </c>
      <c r="C524" s="381" t="s">
        <v>95</v>
      </c>
      <c r="D524" s="381" t="s">
        <v>1649</v>
      </c>
      <c r="E524" s="381" t="s">
        <v>1650</v>
      </c>
      <c r="F524" s="378">
        <v>0</v>
      </c>
      <c r="G524" s="378">
        <v>3709426</v>
      </c>
      <c r="H524" s="378">
        <v>3709426</v>
      </c>
      <c r="I524" s="378">
        <v>0</v>
      </c>
      <c r="J524" s="266">
        <f t="shared" ref="J524:J587" si="9">+LEN(A524)</f>
        <v>8</v>
      </c>
    </row>
    <row r="525" spans="1:10" ht="15.75" customHeight="1" x14ac:dyDescent="0.25">
      <c r="A525" s="380">
        <v>25050501</v>
      </c>
      <c r="B525" s="381" t="s">
        <v>315</v>
      </c>
      <c r="C525" s="381" t="s">
        <v>95</v>
      </c>
      <c r="D525" s="381" t="s">
        <v>1651</v>
      </c>
      <c r="E525" s="381" t="s">
        <v>1652</v>
      </c>
      <c r="F525" s="378">
        <v>0</v>
      </c>
      <c r="G525" s="378">
        <v>3616260</v>
      </c>
      <c r="H525" s="378">
        <v>3616260</v>
      </c>
      <c r="I525" s="378">
        <v>0</v>
      </c>
      <c r="J525" s="266">
        <f t="shared" si="9"/>
        <v>8</v>
      </c>
    </row>
    <row r="526" spans="1:10" ht="15.75" customHeight="1" x14ac:dyDescent="0.25">
      <c r="A526" s="380">
        <v>25050501</v>
      </c>
      <c r="B526" s="381" t="s">
        <v>315</v>
      </c>
      <c r="C526" s="381" t="s">
        <v>95</v>
      </c>
      <c r="D526" s="381" t="s">
        <v>1443</v>
      </c>
      <c r="E526" s="381" t="s">
        <v>1530</v>
      </c>
      <c r="F526" s="378">
        <v>0</v>
      </c>
      <c r="G526" s="378">
        <v>3739911</v>
      </c>
      <c r="H526" s="378">
        <v>3739911</v>
      </c>
      <c r="I526" s="378">
        <v>0</v>
      </c>
      <c r="J526" s="266">
        <f t="shared" si="9"/>
        <v>8</v>
      </c>
    </row>
    <row r="527" spans="1:10" ht="15.75" customHeight="1" x14ac:dyDescent="0.25">
      <c r="A527" s="380">
        <v>25050501</v>
      </c>
      <c r="B527" s="381" t="s">
        <v>315</v>
      </c>
      <c r="C527" s="381" t="s">
        <v>95</v>
      </c>
      <c r="D527" s="381" t="s">
        <v>1653</v>
      </c>
      <c r="E527" s="381" t="s">
        <v>1654</v>
      </c>
      <c r="F527" s="378">
        <v>0</v>
      </c>
      <c r="G527" s="378">
        <v>4123251</v>
      </c>
      <c r="H527" s="378">
        <v>4123251</v>
      </c>
      <c r="I527" s="378">
        <v>0</v>
      </c>
      <c r="J527" s="266">
        <f t="shared" si="9"/>
        <v>8</v>
      </c>
    </row>
    <row r="528" spans="1:10" ht="15.75" customHeight="1" x14ac:dyDescent="0.25">
      <c r="A528" s="380">
        <v>25050501</v>
      </c>
      <c r="B528" s="381" t="s">
        <v>315</v>
      </c>
      <c r="C528" s="381" t="s">
        <v>95</v>
      </c>
      <c r="D528" s="381" t="s">
        <v>1606</v>
      </c>
      <c r="E528" s="381" t="s">
        <v>1607</v>
      </c>
      <c r="F528" s="378">
        <v>0</v>
      </c>
      <c r="G528" s="378">
        <v>3756216</v>
      </c>
      <c r="H528" s="378">
        <v>3756216</v>
      </c>
      <c r="I528" s="378">
        <v>0</v>
      </c>
      <c r="J528" s="266">
        <f t="shared" si="9"/>
        <v>8</v>
      </c>
    </row>
    <row r="529" spans="1:10" ht="15.75" customHeight="1" x14ac:dyDescent="0.25">
      <c r="A529" s="380">
        <v>25050501</v>
      </c>
      <c r="B529" s="381" t="s">
        <v>315</v>
      </c>
      <c r="C529" s="381" t="s">
        <v>95</v>
      </c>
      <c r="D529" s="381" t="s">
        <v>1655</v>
      </c>
      <c r="E529" s="381" t="s">
        <v>1656</v>
      </c>
      <c r="F529" s="378">
        <v>0</v>
      </c>
      <c r="G529" s="378">
        <v>2567481</v>
      </c>
      <c r="H529" s="378">
        <v>2567481</v>
      </c>
      <c r="I529" s="378">
        <v>0</v>
      </c>
      <c r="J529" s="266">
        <f t="shared" si="9"/>
        <v>8</v>
      </c>
    </row>
    <row r="530" spans="1:10" ht="15.75" customHeight="1" x14ac:dyDescent="0.25">
      <c r="A530" s="380">
        <v>25050501</v>
      </c>
      <c r="B530" s="381" t="s">
        <v>315</v>
      </c>
      <c r="C530" s="381" t="s">
        <v>95</v>
      </c>
      <c r="D530" s="381" t="s">
        <v>1657</v>
      </c>
      <c r="E530" s="381" t="s">
        <v>1658</v>
      </c>
      <c r="F530" s="378">
        <v>0</v>
      </c>
      <c r="G530" s="378">
        <v>3557624</v>
      </c>
      <c r="H530" s="378">
        <v>3557624</v>
      </c>
      <c r="I530" s="378">
        <v>0</v>
      </c>
      <c r="J530" s="266">
        <f t="shared" si="9"/>
        <v>8</v>
      </c>
    </row>
    <row r="531" spans="1:10" ht="15.75" customHeight="1" x14ac:dyDescent="0.25">
      <c r="A531" s="380">
        <v>25050501</v>
      </c>
      <c r="B531" s="381" t="s">
        <v>315</v>
      </c>
      <c r="C531" s="381" t="s">
        <v>95</v>
      </c>
      <c r="D531" s="381" t="s">
        <v>1659</v>
      </c>
      <c r="E531" s="381" t="s">
        <v>1660</v>
      </c>
      <c r="F531" s="378">
        <v>0</v>
      </c>
      <c r="G531" s="378">
        <v>3442059</v>
      </c>
      <c r="H531" s="378">
        <v>3442059</v>
      </c>
      <c r="I531" s="378">
        <v>0</v>
      </c>
      <c r="J531" s="266">
        <f t="shared" si="9"/>
        <v>8</v>
      </c>
    </row>
    <row r="532" spans="1:10" ht="15.75" customHeight="1" x14ac:dyDescent="0.25">
      <c r="A532" s="380">
        <v>25050501</v>
      </c>
      <c r="B532" s="381" t="s">
        <v>315</v>
      </c>
      <c r="C532" s="381" t="s">
        <v>95</v>
      </c>
      <c r="D532" s="381" t="s">
        <v>1527</v>
      </c>
      <c r="E532" s="381" t="s">
        <v>1528</v>
      </c>
      <c r="F532" s="378">
        <v>0</v>
      </c>
      <c r="G532" s="378">
        <v>4840324</v>
      </c>
      <c r="H532" s="378">
        <v>4840324</v>
      </c>
      <c r="I532" s="378">
        <v>0</v>
      </c>
      <c r="J532" s="266">
        <f t="shared" si="9"/>
        <v>8</v>
      </c>
    </row>
    <row r="533" spans="1:10" ht="15.75" customHeight="1" x14ac:dyDescent="0.25">
      <c r="A533" s="380">
        <v>25050501</v>
      </c>
      <c r="B533" s="381" t="s">
        <v>315</v>
      </c>
      <c r="C533" s="381" t="s">
        <v>95</v>
      </c>
      <c r="D533" s="381" t="s">
        <v>1444</v>
      </c>
      <c r="E533" s="381" t="s">
        <v>1533</v>
      </c>
      <c r="F533" s="378">
        <v>0</v>
      </c>
      <c r="G533" s="378">
        <v>4230095</v>
      </c>
      <c r="H533" s="378">
        <v>4230095</v>
      </c>
      <c r="I533" s="378">
        <v>0</v>
      </c>
      <c r="J533" s="266">
        <f t="shared" si="9"/>
        <v>8</v>
      </c>
    </row>
    <row r="534" spans="1:10" ht="15.75" customHeight="1" x14ac:dyDescent="0.25">
      <c r="A534" s="380">
        <v>25050501</v>
      </c>
      <c r="B534" s="381" t="s">
        <v>315</v>
      </c>
      <c r="C534" s="381" t="s">
        <v>95</v>
      </c>
      <c r="D534" s="381" t="s">
        <v>1661</v>
      </c>
      <c r="E534" s="381" t="s">
        <v>1662</v>
      </c>
      <c r="F534" s="378">
        <v>0</v>
      </c>
      <c r="G534" s="378">
        <v>3520232</v>
      </c>
      <c r="H534" s="378">
        <v>3520232</v>
      </c>
      <c r="I534" s="378">
        <v>0</v>
      </c>
      <c r="J534" s="266">
        <f t="shared" si="9"/>
        <v>8</v>
      </c>
    </row>
    <row r="535" spans="1:10" ht="15.75" customHeight="1" x14ac:dyDescent="0.25">
      <c r="A535" s="380">
        <v>25050501</v>
      </c>
      <c r="B535" s="381" t="s">
        <v>315</v>
      </c>
      <c r="C535" s="381" t="s">
        <v>95</v>
      </c>
      <c r="D535" s="381" t="s">
        <v>1663</v>
      </c>
      <c r="E535" s="381" t="s">
        <v>1664</v>
      </c>
      <c r="F535" s="378">
        <v>0</v>
      </c>
      <c r="G535" s="378">
        <v>3749190</v>
      </c>
      <c r="H535" s="378">
        <v>3749190</v>
      </c>
      <c r="I535" s="378">
        <v>0</v>
      </c>
      <c r="J535" s="266">
        <f t="shared" si="9"/>
        <v>8</v>
      </c>
    </row>
    <row r="536" spans="1:10" ht="15.75" customHeight="1" x14ac:dyDescent="0.25">
      <c r="A536" s="380">
        <v>25050501</v>
      </c>
      <c r="B536" s="381" t="s">
        <v>315</v>
      </c>
      <c r="C536" s="381" t="s">
        <v>95</v>
      </c>
      <c r="D536" s="381" t="s">
        <v>1609</v>
      </c>
      <c r="E536" s="381" t="s">
        <v>1610</v>
      </c>
      <c r="F536" s="378">
        <v>0</v>
      </c>
      <c r="G536" s="378">
        <v>3708971</v>
      </c>
      <c r="H536" s="378">
        <v>3708971</v>
      </c>
      <c r="I536" s="378">
        <v>0</v>
      </c>
      <c r="J536" s="266">
        <f t="shared" si="9"/>
        <v>8</v>
      </c>
    </row>
    <row r="537" spans="1:10" ht="15.75" customHeight="1" x14ac:dyDescent="0.25">
      <c r="A537" s="380">
        <v>25050501</v>
      </c>
      <c r="B537" s="381" t="s">
        <v>315</v>
      </c>
      <c r="C537" s="381" t="s">
        <v>95</v>
      </c>
      <c r="D537" s="381" t="s">
        <v>1210</v>
      </c>
      <c r="E537" s="381" t="s">
        <v>1611</v>
      </c>
      <c r="F537" s="378">
        <v>0</v>
      </c>
      <c r="G537" s="378">
        <v>3312907</v>
      </c>
      <c r="H537" s="378">
        <v>3312907</v>
      </c>
      <c r="I537" s="378">
        <v>0</v>
      </c>
      <c r="J537" s="266">
        <f t="shared" si="9"/>
        <v>8</v>
      </c>
    </row>
    <row r="538" spans="1:10" ht="15.75" customHeight="1" x14ac:dyDescent="0.25">
      <c r="A538" s="380">
        <v>25050501</v>
      </c>
      <c r="B538" s="381" t="s">
        <v>315</v>
      </c>
      <c r="C538" s="381" t="s">
        <v>95</v>
      </c>
      <c r="D538" s="381" t="s">
        <v>1523</v>
      </c>
      <c r="E538" s="381" t="s">
        <v>1524</v>
      </c>
      <c r="F538" s="378">
        <v>0</v>
      </c>
      <c r="G538" s="378">
        <v>8643302</v>
      </c>
      <c r="H538" s="378">
        <v>8643302</v>
      </c>
      <c r="I538" s="378">
        <v>0</v>
      </c>
      <c r="J538" s="266">
        <f t="shared" si="9"/>
        <v>8</v>
      </c>
    </row>
    <row r="539" spans="1:10" ht="15.75" customHeight="1" x14ac:dyDescent="0.25">
      <c r="A539" s="380">
        <v>25050501</v>
      </c>
      <c r="B539" s="381" t="s">
        <v>315</v>
      </c>
      <c r="C539" s="381" t="s">
        <v>95</v>
      </c>
      <c r="D539" s="381" t="s">
        <v>1665</v>
      </c>
      <c r="E539" s="381" t="s">
        <v>1666</v>
      </c>
      <c r="F539" s="378">
        <v>0</v>
      </c>
      <c r="G539" s="378">
        <v>2268407</v>
      </c>
      <c r="H539" s="378">
        <v>2268407</v>
      </c>
      <c r="I539" s="378">
        <v>0</v>
      </c>
      <c r="J539" s="266">
        <f t="shared" si="9"/>
        <v>8</v>
      </c>
    </row>
    <row r="540" spans="1:10" ht="15.75" customHeight="1" x14ac:dyDescent="0.25">
      <c r="A540" s="380">
        <v>25050501</v>
      </c>
      <c r="B540" s="381" t="s">
        <v>315</v>
      </c>
      <c r="C540" s="381" t="s">
        <v>95</v>
      </c>
      <c r="D540" s="381" t="s">
        <v>792</v>
      </c>
      <c r="E540" s="381" t="s">
        <v>1534</v>
      </c>
      <c r="F540" s="378">
        <v>0</v>
      </c>
      <c r="G540" s="378">
        <v>3856750</v>
      </c>
      <c r="H540" s="378">
        <v>3856750</v>
      </c>
      <c r="I540" s="378">
        <v>0</v>
      </c>
      <c r="J540" s="266">
        <f t="shared" si="9"/>
        <v>8</v>
      </c>
    </row>
    <row r="541" spans="1:10" ht="15.75" customHeight="1" x14ac:dyDescent="0.25">
      <c r="A541" s="380">
        <v>25050501</v>
      </c>
      <c r="B541" s="381" t="s">
        <v>315</v>
      </c>
      <c r="C541" s="381" t="s">
        <v>95</v>
      </c>
      <c r="D541" s="381" t="s">
        <v>1667</v>
      </c>
      <c r="E541" s="381" t="s">
        <v>1668</v>
      </c>
      <c r="F541" s="378">
        <v>0</v>
      </c>
      <c r="G541" s="378">
        <v>3221697</v>
      </c>
      <c r="H541" s="378">
        <v>3221697</v>
      </c>
      <c r="I541" s="378">
        <v>0</v>
      </c>
      <c r="J541" s="266">
        <f t="shared" si="9"/>
        <v>8</v>
      </c>
    </row>
    <row r="542" spans="1:10" ht="15.75" customHeight="1" x14ac:dyDescent="0.25">
      <c r="A542" s="380">
        <v>25050501</v>
      </c>
      <c r="B542" s="381" t="s">
        <v>315</v>
      </c>
      <c r="C542" s="381" t="s">
        <v>95</v>
      </c>
      <c r="D542" s="381" t="s">
        <v>1669</v>
      </c>
      <c r="E542" s="381" t="s">
        <v>1670</v>
      </c>
      <c r="F542" s="378">
        <v>0</v>
      </c>
      <c r="G542" s="378">
        <v>3108801</v>
      </c>
      <c r="H542" s="378">
        <v>3108801</v>
      </c>
      <c r="I542" s="378">
        <v>0</v>
      </c>
      <c r="J542" s="266">
        <f t="shared" si="9"/>
        <v>8</v>
      </c>
    </row>
    <row r="543" spans="1:10" ht="15.75" customHeight="1" x14ac:dyDescent="0.25">
      <c r="A543" s="380">
        <v>25050501</v>
      </c>
      <c r="B543" s="381" t="s">
        <v>315</v>
      </c>
      <c r="C543" s="381" t="s">
        <v>95</v>
      </c>
      <c r="D543" s="381" t="s">
        <v>1671</v>
      </c>
      <c r="E543" s="381" t="s">
        <v>1672</v>
      </c>
      <c r="F543" s="378">
        <v>0</v>
      </c>
      <c r="G543" s="378">
        <v>3101920</v>
      </c>
      <c r="H543" s="378">
        <v>3101920</v>
      </c>
      <c r="I543" s="378">
        <v>0</v>
      </c>
      <c r="J543" s="266">
        <f t="shared" si="9"/>
        <v>8</v>
      </c>
    </row>
    <row r="544" spans="1:10" ht="15.75" customHeight="1" x14ac:dyDescent="0.25">
      <c r="A544" s="380">
        <v>25050501</v>
      </c>
      <c r="B544" s="381" t="s">
        <v>315</v>
      </c>
      <c r="C544" s="381" t="s">
        <v>95</v>
      </c>
      <c r="D544" s="381" t="s">
        <v>1673</v>
      </c>
      <c r="E544" s="381" t="s">
        <v>1674</v>
      </c>
      <c r="F544" s="378">
        <v>0</v>
      </c>
      <c r="G544" s="378">
        <v>3957712</v>
      </c>
      <c r="H544" s="378">
        <v>3957712</v>
      </c>
      <c r="I544" s="378">
        <v>0</v>
      </c>
      <c r="J544" s="266">
        <f t="shared" si="9"/>
        <v>8</v>
      </c>
    </row>
    <row r="545" spans="1:12" ht="15.75" customHeight="1" x14ac:dyDescent="0.25">
      <c r="A545" s="380">
        <v>25050501</v>
      </c>
      <c r="B545" s="381" t="s">
        <v>315</v>
      </c>
      <c r="C545" s="381" t="s">
        <v>95</v>
      </c>
      <c r="D545" s="381" t="s">
        <v>1675</v>
      </c>
      <c r="E545" s="381" t="s">
        <v>1676</v>
      </c>
      <c r="F545" s="378">
        <v>0</v>
      </c>
      <c r="G545" s="378">
        <v>540375</v>
      </c>
      <c r="H545" s="378">
        <v>540375</v>
      </c>
      <c r="I545" s="378">
        <v>0</v>
      </c>
      <c r="J545" s="266">
        <f t="shared" si="9"/>
        <v>8</v>
      </c>
    </row>
    <row r="546" spans="1:12" ht="15.75" customHeight="1" x14ac:dyDescent="0.25">
      <c r="A546" s="380">
        <v>25050501</v>
      </c>
      <c r="B546" s="381" t="s">
        <v>315</v>
      </c>
      <c r="C546" s="381" t="s">
        <v>95</v>
      </c>
      <c r="D546" s="381" t="s">
        <v>1677</v>
      </c>
      <c r="E546" s="381" t="s">
        <v>1678</v>
      </c>
      <c r="F546" s="378">
        <v>0</v>
      </c>
      <c r="G546" s="378">
        <v>540375</v>
      </c>
      <c r="H546" s="378">
        <v>540375</v>
      </c>
      <c r="I546" s="378">
        <v>0</v>
      </c>
      <c r="J546" s="266">
        <f t="shared" si="9"/>
        <v>8</v>
      </c>
    </row>
    <row r="547" spans="1:12" ht="15.75" customHeight="1" x14ac:dyDescent="0.25">
      <c r="A547" s="380">
        <v>25050501</v>
      </c>
      <c r="B547" s="381" t="s">
        <v>315</v>
      </c>
      <c r="C547" s="381" t="s">
        <v>95</v>
      </c>
      <c r="D547" s="381" t="s">
        <v>1679</v>
      </c>
      <c r="E547" s="381" t="s">
        <v>1680</v>
      </c>
      <c r="F547" s="378">
        <v>0</v>
      </c>
      <c r="G547" s="378">
        <v>1313178</v>
      </c>
      <c r="H547" s="378">
        <v>1313178</v>
      </c>
      <c r="I547" s="378">
        <v>0</v>
      </c>
      <c r="J547" s="266">
        <f t="shared" si="9"/>
        <v>8</v>
      </c>
    </row>
    <row r="548" spans="1:12" ht="15.75" customHeight="1" x14ac:dyDescent="0.25">
      <c r="A548" s="380">
        <v>2510</v>
      </c>
      <c r="B548" s="381" t="s">
        <v>315</v>
      </c>
      <c r="C548" s="381" t="s">
        <v>447</v>
      </c>
      <c r="D548" s="381" t="s">
        <v>315</v>
      </c>
      <c r="E548" s="381" t="s">
        <v>315</v>
      </c>
      <c r="F548" s="378">
        <v>0</v>
      </c>
      <c r="G548" s="378">
        <v>0</v>
      </c>
      <c r="H548" s="378">
        <v>0</v>
      </c>
      <c r="I548" s="378">
        <v>0</v>
      </c>
      <c r="J548" s="266">
        <f t="shared" si="9"/>
        <v>4</v>
      </c>
    </row>
    <row r="549" spans="1:12" ht="15.75" customHeight="1" x14ac:dyDescent="0.25">
      <c r="A549" s="380">
        <v>251010</v>
      </c>
      <c r="B549" s="381" t="s">
        <v>315</v>
      </c>
      <c r="C549" s="381" t="s">
        <v>1215</v>
      </c>
      <c r="D549" s="381" t="s">
        <v>315</v>
      </c>
      <c r="E549" s="381" t="s">
        <v>315</v>
      </c>
      <c r="F549" s="378">
        <v>0</v>
      </c>
      <c r="G549" s="378">
        <v>0</v>
      </c>
      <c r="H549" s="378">
        <v>0</v>
      </c>
      <c r="I549" s="378">
        <v>0</v>
      </c>
      <c r="J549" s="266">
        <f t="shared" si="9"/>
        <v>6</v>
      </c>
    </row>
    <row r="550" spans="1:12" ht="15.75" customHeight="1" x14ac:dyDescent="0.25">
      <c r="A550" s="380">
        <v>25101001</v>
      </c>
      <c r="B550" s="381" t="s">
        <v>321</v>
      </c>
      <c r="C550" s="381" t="s">
        <v>1681</v>
      </c>
      <c r="D550" s="381" t="s">
        <v>315</v>
      </c>
      <c r="E550" s="381" t="s">
        <v>315</v>
      </c>
      <c r="F550" s="378">
        <v>0</v>
      </c>
      <c r="G550" s="378">
        <v>0</v>
      </c>
      <c r="H550" s="378">
        <v>0</v>
      </c>
      <c r="I550" s="378">
        <v>0</v>
      </c>
      <c r="J550" s="266">
        <f t="shared" si="9"/>
        <v>8</v>
      </c>
    </row>
    <row r="551" spans="1:12" ht="15.75" customHeight="1" x14ac:dyDescent="0.25">
      <c r="A551" s="380">
        <v>25101002</v>
      </c>
      <c r="B551" s="381" t="s">
        <v>321</v>
      </c>
      <c r="C551" s="381" t="s">
        <v>1442</v>
      </c>
      <c r="D551" s="381" t="s">
        <v>315</v>
      </c>
      <c r="E551" s="381" t="s">
        <v>315</v>
      </c>
      <c r="F551" s="378">
        <v>0</v>
      </c>
      <c r="G551" s="378">
        <v>0</v>
      </c>
      <c r="H551" s="378">
        <v>0</v>
      </c>
      <c r="I551" s="378">
        <v>0</v>
      </c>
      <c r="J551" s="266">
        <f t="shared" si="9"/>
        <v>8</v>
      </c>
    </row>
    <row r="552" spans="1:12" ht="15.75" customHeight="1" x14ac:dyDescent="0.25">
      <c r="A552" s="380">
        <v>2515</v>
      </c>
      <c r="B552" s="381" t="s">
        <v>315</v>
      </c>
      <c r="C552" s="381" t="s">
        <v>451</v>
      </c>
      <c r="D552" s="381" t="s">
        <v>315</v>
      </c>
      <c r="E552" s="381" t="s">
        <v>315</v>
      </c>
      <c r="F552" s="378">
        <v>0</v>
      </c>
      <c r="G552" s="378">
        <v>0</v>
      </c>
      <c r="H552" s="378">
        <v>0</v>
      </c>
      <c r="I552" s="378">
        <v>0</v>
      </c>
      <c r="J552" s="266">
        <f t="shared" si="9"/>
        <v>4</v>
      </c>
    </row>
    <row r="553" spans="1:12" ht="15.75" customHeight="1" x14ac:dyDescent="0.25">
      <c r="A553" s="380">
        <v>251505</v>
      </c>
      <c r="B553" s="381" t="s">
        <v>315</v>
      </c>
      <c r="C553" s="381" t="s">
        <v>451</v>
      </c>
      <c r="D553" s="381" t="s">
        <v>315</v>
      </c>
      <c r="E553" s="381" t="s">
        <v>315</v>
      </c>
      <c r="F553" s="378">
        <v>0</v>
      </c>
      <c r="G553" s="378">
        <v>0</v>
      </c>
      <c r="H553" s="378">
        <v>0</v>
      </c>
      <c r="I553" s="378">
        <v>0</v>
      </c>
      <c r="J553" s="266">
        <f t="shared" si="9"/>
        <v>6</v>
      </c>
    </row>
    <row r="554" spans="1:12" ht="15.75" customHeight="1" x14ac:dyDescent="0.25">
      <c r="A554" s="380">
        <v>25150501</v>
      </c>
      <c r="B554" s="381" t="s">
        <v>315</v>
      </c>
      <c r="C554" s="381" t="s">
        <v>451</v>
      </c>
      <c r="D554" s="381" t="s">
        <v>315</v>
      </c>
      <c r="E554" s="381" t="s">
        <v>315</v>
      </c>
      <c r="F554" s="378">
        <v>0</v>
      </c>
      <c r="G554" s="378">
        <v>0</v>
      </c>
      <c r="H554" s="378">
        <v>0</v>
      </c>
      <c r="I554" s="378">
        <v>0</v>
      </c>
      <c r="J554" s="266">
        <f t="shared" si="9"/>
        <v>8</v>
      </c>
      <c r="L554" s="382">
        <v>599700</v>
      </c>
    </row>
    <row r="555" spans="1:12" ht="15.75" customHeight="1" x14ac:dyDescent="0.25">
      <c r="A555" s="380">
        <v>2525</v>
      </c>
      <c r="B555" s="381" t="s">
        <v>315</v>
      </c>
      <c r="C555" s="381" t="s">
        <v>448</v>
      </c>
      <c r="D555" s="381" t="s">
        <v>315</v>
      </c>
      <c r="E555" s="381" t="s">
        <v>315</v>
      </c>
      <c r="F555" s="378">
        <v>-7942807</v>
      </c>
      <c r="G555" s="378">
        <v>1980159</v>
      </c>
      <c r="H555" s="378">
        <v>0</v>
      </c>
      <c r="I555" s="378">
        <v>-5962648</v>
      </c>
      <c r="J555" s="266">
        <f t="shared" si="9"/>
        <v>4</v>
      </c>
      <c r="L555" s="267">
        <f>+L554*0.35</f>
        <v>209895</v>
      </c>
    </row>
    <row r="556" spans="1:12" ht="15.75" customHeight="1" x14ac:dyDescent="0.25">
      <c r="A556" s="380">
        <v>252505</v>
      </c>
      <c r="B556" s="381" t="s">
        <v>315</v>
      </c>
      <c r="C556" s="381" t="s">
        <v>448</v>
      </c>
      <c r="D556" s="381" t="s">
        <v>315</v>
      </c>
      <c r="E556" s="381" t="s">
        <v>315</v>
      </c>
      <c r="F556" s="378">
        <v>-7942807</v>
      </c>
      <c r="G556" s="378">
        <v>1980159</v>
      </c>
      <c r="H556" s="378">
        <v>0</v>
      </c>
      <c r="I556" s="378">
        <v>-5962648</v>
      </c>
      <c r="J556" s="266">
        <f t="shared" si="9"/>
        <v>6</v>
      </c>
    </row>
    <row r="557" spans="1:12" ht="15.75" customHeight="1" x14ac:dyDescent="0.25">
      <c r="A557" s="380">
        <v>25250501</v>
      </c>
      <c r="B557" s="381" t="s">
        <v>315</v>
      </c>
      <c r="C557" s="381" t="s">
        <v>448</v>
      </c>
      <c r="D557" s="381" t="s">
        <v>315</v>
      </c>
      <c r="E557" s="381" t="s">
        <v>315</v>
      </c>
      <c r="F557" s="378">
        <v>-7942807</v>
      </c>
      <c r="G557" s="378">
        <v>1980159</v>
      </c>
      <c r="H557" s="378">
        <v>0</v>
      </c>
      <c r="I557" s="378">
        <v>-5962648</v>
      </c>
      <c r="J557" s="266">
        <f t="shared" si="9"/>
        <v>8</v>
      </c>
    </row>
    <row r="558" spans="1:12" ht="15.75" customHeight="1" x14ac:dyDescent="0.25">
      <c r="A558" s="380">
        <v>25250501</v>
      </c>
      <c r="B558" s="381" t="s">
        <v>315</v>
      </c>
      <c r="C558" s="381" t="s">
        <v>448</v>
      </c>
      <c r="D558" s="381" t="s">
        <v>1488</v>
      </c>
      <c r="E558" s="381" t="s">
        <v>1682</v>
      </c>
      <c r="F558" s="378">
        <v>-229184</v>
      </c>
      <c r="G558" s="378">
        <v>0</v>
      </c>
      <c r="H558" s="378">
        <v>0</v>
      </c>
      <c r="I558" s="378">
        <v>-229184</v>
      </c>
      <c r="J558" s="266">
        <f t="shared" si="9"/>
        <v>8</v>
      </c>
    </row>
    <row r="559" spans="1:12" ht="15.75" customHeight="1" x14ac:dyDescent="0.25">
      <c r="A559" s="380">
        <v>25250501</v>
      </c>
      <c r="B559" s="381" t="s">
        <v>315</v>
      </c>
      <c r="C559" s="381" t="s">
        <v>448</v>
      </c>
      <c r="D559" s="381" t="s">
        <v>1535</v>
      </c>
      <c r="E559" s="381" t="s">
        <v>1536</v>
      </c>
      <c r="F559" s="378">
        <v>-186185</v>
      </c>
      <c r="G559" s="378">
        <v>0</v>
      </c>
      <c r="H559" s="378">
        <v>0</v>
      </c>
      <c r="I559" s="378">
        <v>-186185</v>
      </c>
      <c r="J559" s="266">
        <f t="shared" si="9"/>
        <v>8</v>
      </c>
    </row>
    <row r="560" spans="1:12" ht="15.75" customHeight="1" x14ac:dyDescent="0.25">
      <c r="A560" s="380">
        <v>25250501</v>
      </c>
      <c r="B560" s="381" t="s">
        <v>315</v>
      </c>
      <c r="C560" s="381" t="s">
        <v>448</v>
      </c>
      <c r="D560" s="381" t="s">
        <v>1604</v>
      </c>
      <c r="E560" s="381" t="s">
        <v>1605</v>
      </c>
      <c r="F560" s="378">
        <v>-258151</v>
      </c>
      <c r="G560" s="378">
        <v>0</v>
      </c>
      <c r="H560" s="378">
        <v>0</v>
      </c>
      <c r="I560" s="378">
        <v>-258151</v>
      </c>
      <c r="J560" s="266">
        <f t="shared" si="9"/>
        <v>8</v>
      </c>
    </row>
    <row r="561" spans="1:10" ht="15.75" customHeight="1" x14ac:dyDescent="0.25">
      <c r="A561" s="380">
        <v>25250501</v>
      </c>
      <c r="B561" s="381" t="s">
        <v>315</v>
      </c>
      <c r="C561" s="381" t="s">
        <v>448</v>
      </c>
      <c r="D561" s="381" t="s">
        <v>1649</v>
      </c>
      <c r="E561" s="381" t="s">
        <v>1650</v>
      </c>
      <c r="F561" s="378">
        <v>-454635</v>
      </c>
      <c r="G561" s="378">
        <v>0</v>
      </c>
      <c r="H561" s="378">
        <v>0</v>
      </c>
      <c r="I561" s="378">
        <v>-454635</v>
      </c>
      <c r="J561" s="266">
        <f t="shared" si="9"/>
        <v>8</v>
      </c>
    </row>
    <row r="562" spans="1:10" ht="15.75" customHeight="1" x14ac:dyDescent="0.25">
      <c r="A562" s="380">
        <v>25250501</v>
      </c>
      <c r="B562" s="381" t="s">
        <v>315</v>
      </c>
      <c r="C562" s="381" t="s">
        <v>448</v>
      </c>
      <c r="D562" s="381" t="s">
        <v>1443</v>
      </c>
      <c r="E562" s="381" t="s">
        <v>1530</v>
      </c>
      <c r="F562" s="378">
        <v>-410079</v>
      </c>
      <c r="G562" s="378">
        <v>0</v>
      </c>
      <c r="H562" s="378">
        <v>0</v>
      </c>
      <c r="I562" s="378">
        <v>-410079</v>
      </c>
      <c r="J562" s="266">
        <f t="shared" si="9"/>
        <v>8</v>
      </c>
    </row>
    <row r="563" spans="1:10" ht="15.75" customHeight="1" x14ac:dyDescent="0.25">
      <c r="A563" s="380">
        <v>25250501</v>
      </c>
      <c r="B563" s="381" t="s">
        <v>315</v>
      </c>
      <c r="C563" s="381" t="s">
        <v>448</v>
      </c>
      <c r="D563" s="381" t="s">
        <v>1653</v>
      </c>
      <c r="E563" s="381" t="s">
        <v>1654</v>
      </c>
      <c r="F563" s="378">
        <v>-92990</v>
      </c>
      <c r="G563" s="378">
        <v>0</v>
      </c>
      <c r="H563" s="378">
        <v>0</v>
      </c>
      <c r="I563" s="378">
        <v>-92990</v>
      </c>
      <c r="J563" s="266">
        <f t="shared" si="9"/>
        <v>8</v>
      </c>
    </row>
    <row r="564" spans="1:10" ht="15.75" customHeight="1" x14ac:dyDescent="0.25">
      <c r="A564" s="380">
        <v>25250501</v>
      </c>
      <c r="B564" s="381" t="s">
        <v>315</v>
      </c>
      <c r="C564" s="381" t="s">
        <v>448</v>
      </c>
      <c r="D564" s="381" t="s">
        <v>1683</v>
      </c>
      <c r="E564" s="381" t="s">
        <v>1684</v>
      </c>
      <c r="F564" s="378">
        <v>-385531</v>
      </c>
      <c r="G564" s="378">
        <v>0</v>
      </c>
      <c r="H564" s="378">
        <v>0</v>
      </c>
      <c r="I564" s="378">
        <v>-385531</v>
      </c>
      <c r="J564" s="266">
        <f t="shared" si="9"/>
        <v>8</v>
      </c>
    </row>
    <row r="565" spans="1:10" ht="15.75" customHeight="1" x14ac:dyDescent="0.25">
      <c r="A565" s="380">
        <v>25250501</v>
      </c>
      <c r="B565" s="381" t="s">
        <v>315</v>
      </c>
      <c r="C565" s="381" t="s">
        <v>448</v>
      </c>
      <c r="D565" s="381" t="s">
        <v>1606</v>
      </c>
      <c r="E565" s="381" t="s">
        <v>1607</v>
      </c>
      <c r="F565" s="378">
        <v>-424827</v>
      </c>
      <c r="G565" s="378">
        <v>0</v>
      </c>
      <c r="H565" s="378">
        <v>0</v>
      </c>
      <c r="I565" s="378">
        <v>-424827</v>
      </c>
      <c r="J565" s="266">
        <f t="shared" si="9"/>
        <v>8</v>
      </c>
    </row>
    <row r="566" spans="1:10" ht="15.75" customHeight="1" x14ac:dyDescent="0.25">
      <c r="A566" s="380">
        <v>25250501</v>
      </c>
      <c r="B566" s="381" t="s">
        <v>315</v>
      </c>
      <c r="C566" s="381" t="s">
        <v>448</v>
      </c>
      <c r="D566" s="381" t="s">
        <v>1657</v>
      </c>
      <c r="E566" s="381" t="s">
        <v>1658</v>
      </c>
      <c r="F566" s="378">
        <v>-130199</v>
      </c>
      <c r="G566" s="378">
        <v>0</v>
      </c>
      <c r="H566" s="378">
        <v>0</v>
      </c>
      <c r="I566" s="378">
        <v>-130199</v>
      </c>
      <c r="J566" s="266">
        <f t="shared" si="9"/>
        <v>8</v>
      </c>
    </row>
    <row r="567" spans="1:10" ht="15.75" customHeight="1" x14ac:dyDescent="0.25">
      <c r="A567" s="380">
        <v>25250501</v>
      </c>
      <c r="B567" s="381" t="s">
        <v>315</v>
      </c>
      <c r="C567" s="381" t="s">
        <v>448</v>
      </c>
      <c r="D567" s="381" t="s">
        <v>1659</v>
      </c>
      <c r="E567" s="381" t="s">
        <v>1660</v>
      </c>
      <c r="F567" s="378">
        <v>-268130</v>
      </c>
      <c r="G567" s="378">
        <v>268130</v>
      </c>
      <c r="H567" s="378">
        <v>0</v>
      </c>
      <c r="I567" s="378">
        <v>0</v>
      </c>
      <c r="J567" s="266">
        <f t="shared" si="9"/>
        <v>8</v>
      </c>
    </row>
    <row r="568" spans="1:10" ht="15.75" customHeight="1" x14ac:dyDescent="0.25">
      <c r="A568" s="380">
        <v>25250501</v>
      </c>
      <c r="B568" s="381" t="s">
        <v>315</v>
      </c>
      <c r="C568" s="381" t="s">
        <v>448</v>
      </c>
      <c r="D568" s="381" t="s">
        <v>1527</v>
      </c>
      <c r="E568" s="381" t="s">
        <v>1528</v>
      </c>
      <c r="F568" s="378">
        <v>-801613</v>
      </c>
      <c r="G568" s="378">
        <v>801613</v>
      </c>
      <c r="H568" s="378">
        <v>0</v>
      </c>
      <c r="I568" s="378">
        <v>0</v>
      </c>
      <c r="J568" s="266">
        <f t="shared" si="9"/>
        <v>8</v>
      </c>
    </row>
    <row r="569" spans="1:10" ht="15.75" customHeight="1" x14ac:dyDescent="0.25">
      <c r="A569" s="380">
        <v>25250501</v>
      </c>
      <c r="B569" s="381" t="s">
        <v>315</v>
      </c>
      <c r="C569" s="381" t="s">
        <v>448</v>
      </c>
      <c r="D569" s="381" t="s">
        <v>1444</v>
      </c>
      <c r="E569" s="381" t="s">
        <v>1533</v>
      </c>
      <c r="F569" s="378">
        <v>-539277</v>
      </c>
      <c r="G569" s="378">
        <v>0</v>
      </c>
      <c r="H569" s="378">
        <v>0</v>
      </c>
      <c r="I569" s="378">
        <v>-539277</v>
      </c>
      <c r="J569" s="266">
        <f t="shared" si="9"/>
        <v>8</v>
      </c>
    </row>
    <row r="570" spans="1:10" ht="15.75" customHeight="1" x14ac:dyDescent="0.25">
      <c r="A570" s="380">
        <v>25250501</v>
      </c>
      <c r="B570" s="381" t="s">
        <v>315</v>
      </c>
      <c r="C570" s="381" t="s">
        <v>448</v>
      </c>
      <c r="D570" s="381" t="s">
        <v>1661</v>
      </c>
      <c r="E570" s="381" t="s">
        <v>1662</v>
      </c>
      <c r="F570" s="378">
        <v>-461282</v>
      </c>
      <c r="G570" s="378">
        <v>0</v>
      </c>
      <c r="H570" s="378">
        <v>0</v>
      </c>
      <c r="I570" s="378">
        <v>-461282</v>
      </c>
      <c r="J570" s="266">
        <f t="shared" si="9"/>
        <v>8</v>
      </c>
    </row>
    <row r="571" spans="1:10" ht="15.75" customHeight="1" x14ac:dyDescent="0.25">
      <c r="A571" s="380">
        <v>25250501</v>
      </c>
      <c r="B571" s="381" t="s">
        <v>315</v>
      </c>
      <c r="C571" s="381" t="s">
        <v>448</v>
      </c>
      <c r="D571" s="381" t="s">
        <v>1609</v>
      </c>
      <c r="E571" s="381" t="s">
        <v>1610</v>
      </c>
      <c r="F571" s="378">
        <v>-281093</v>
      </c>
      <c r="G571" s="378">
        <v>0</v>
      </c>
      <c r="H571" s="378">
        <v>0</v>
      </c>
      <c r="I571" s="378">
        <v>-281093</v>
      </c>
      <c r="J571" s="266">
        <f t="shared" si="9"/>
        <v>8</v>
      </c>
    </row>
    <row r="572" spans="1:10" ht="15.75" customHeight="1" x14ac:dyDescent="0.25">
      <c r="A572" s="380">
        <v>25250501</v>
      </c>
      <c r="B572" s="381" t="s">
        <v>315</v>
      </c>
      <c r="C572" s="381" t="s">
        <v>448</v>
      </c>
      <c r="D572" s="381" t="s">
        <v>1490</v>
      </c>
      <c r="E572" s="381" t="s">
        <v>1491</v>
      </c>
      <c r="F572" s="378">
        <v>-29656</v>
      </c>
      <c r="G572" s="378">
        <v>0</v>
      </c>
      <c r="H572" s="378">
        <v>0</v>
      </c>
      <c r="I572" s="378">
        <v>-29656</v>
      </c>
      <c r="J572" s="266">
        <f t="shared" si="9"/>
        <v>8</v>
      </c>
    </row>
    <row r="573" spans="1:10" ht="15.75" customHeight="1" x14ac:dyDescent="0.25">
      <c r="A573" s="380">
        <v>25250501</v>
      </c>
      <c r="B573" s="381" t="s">
        <v>315</v>
      </c>
      <c r="C573" s="381" t="s">
        <v>448</v>
      </c>
      <c r="D573" s="381" t="s">
        <v>1523</v>
      </c>
      <c r="E573" s="381" t="s">
        <v>1524</v>
      </c>
      <c r="F573" s="378">
        <v>-1213190</v>
      </c>
      <c r="G573" s="378">
        <v>910416</v>
      </c>
      <c r="H573" s="378">
        <v>0</v>
      </c>
      <c r="I573" s="378">
        <v>-302774</v>
      </c>
      <c r="J573" s="266">
        <f t="shared" si="9"/>
        <v>8</v>
      </c>
    </row>
    <row r="574" spans="1:10" ht="15.75" customHeight="1" x14ac:dyDescent="0.25">
      <c r="A574" s="380">
        <v>25250501</v>
      </c>
      <c r="B574" s="381" t="s">
        <v>315</v>
      </c>
      <c r="C574" s="381" t="s">
        <v>448</v>
      </c>
      <c r="D574" s="381" t="s">
        <v>792</v>
      </c>
      <c r="E574" s="381" t="s">
        <v>1534</v>
      </c>
      <c r="F574" s="378">
        <v>-1168046</v>
      </c>
      <c r="G574" s="378">
        <v>0</v>
      </c>
      <c r="H574" s="378">
        <v>0</v>
      </c>
      <c r="I574" s="378">
        <v>-1168046</v>
      </c>
      <c r="J574" s="266">
        <f t="shared" si="9"/>
        <v>8</v>
      </c>
    </row>
    <row r="575" spans="1:10" ht="15.75" customHeight="1" x14ac:dyDescent="0.25">
      <c r="A575" s="380">
        <v>25250501</v>
      </c>
      <c r="B575" s="381" t="s">
        <v>315</v>
      </c>
      <c r="C575" s="381" t="s">
        <v>448</v>
      </c>
      <c r="D575" s="381" t="s">
        <v>1492</v>
      </c>
      <c r="E575" s="381" t="s">
        <v>1493</v>
      </c>
      <c r="F575" s="378">
        <v>-519973</v>
      </c>
      <c r="G575" s="378">
        <v>0</v>
      </c>
      <c r="H575" s="378">
        <v>0</v>
      </c>
      <c r="I575" s="378">
        <v>-519973</v>
      </c>
      <c r="J575" s="266">
        <f t="shared" si="9"/>
        <v>8</v>
      </c>
    </row>
    <row r="576" spans="1:10" ht="15.75" customHeight="1" x14ac:dyDescent="0.25">
      <c r="A576" s="380">
        <v>25250501</v>
      </c>
      <c r="B576" s="381" t="s">
        <v>315</v>
      </c>
      <c r="C576" s="381" t="s">
        <v>448</v>
      </c>
      <c r="D576" s="381" t="s">
        <v>1667</v>
      </c>
      <c r="E576" s="381" t="s">
        <v>1668</v>
      </c>
      <c r="F576" s="378">
        <v>-7598</v>
      </c>
      <c r="G576" s="378">
        <v>0</v>
      </c>
      <c r="H576" s="378">
        <v>0</v>
      </c>
      <c r="I576" s="378">
        <v>-7598</v>
      </c>
      <c r="J576" s="266">
        <f t="shared" si="9"/>
        <v>8</v>
      </c>
    </row>
    <row r="577" spans="1:10" ht="15.75" customHeight="1" x14ac:dyDescent="0.25">
      <c r="A577" s="380">
        <v>25250501</v>
      </c>
      <c r="B577" s="381" t="s">
        <v>315</v>
      </c>
      <c r="C577" s="381" t="s">
        <v>448</v>
      </c>
      <c r="D577" s="381" t="s">
        <v>1669</v>
      </c>
      <c r="E577" s="381" t="s">
        <v>1670</v>
      </c>
      <c r="F577" s="378">
        <v>116856</v>
      </c>
      <c r="G577" s="378">
        <v>0</v>
      </c>
      <c r="H577" s="378">
        <v>0</v>
      </c>
      <c r="I577" s="378">
        <v>116856</v>
      </c>
      <c r="J577" s="266">
        <f t="shared" si="9"/>
        <v>8</v>
      </c>
    </row>
    <row r="578" spans="1:10" ht="15.75" customHeight="1" x14ac:dyDescent="0.25">
      <c r="A578" s="380">
        <v>25250501</v>
      </c>
      <c r="B578" s="381" t="s">
        <v>315</v>
      </c>
      <c r="C578" s="381" t="s">
        <v>448</v>
      </c>
      <c r="D578" s="381" t="s">
        <v>1673</v>
      </c>
      <c r="E578" s="381" t="s">
        <v>1674</v>
      </c>
      <c r="F578" s="378">
        <v>-198024</v>
      </c>
      <c r="G578" s="378">
        <v>0</v>
      </c>
      <c r="H578" s="378">
        <v>0</v>
      </c>
      <c r="I578" s="378">
        <v>-198024</v>
      </c>
      <c r="J578" s="266">
        <f t="shared" si="9"/>
        <v>8</v>
      </c>
    </row>
    <row r="579" spans="1:10" ht="15.75" customHeight="1" x14ac:dyDescent="0.25">
      <c r="A579" s="380">
        <v>2530</v>
      </c>
      <c r="B579" s="381" t="s">
        <v>321</v>
      </c>
      <c r="C579" s="381" t="s">
        <v>1685</v>
      </c>
      <c r="D579" s="381" t="s">
        <v>315</v>
      </c>
      <c r="E579" s="381" t="s">
        <v>315</v>
      </c>
      <c r="F579" s="378">
        <v>-63975653</v>
      </c>
      <c r="G579" s="378">
        <v>32828697</v>
      </c>
      <c r="H579" s="378">
        <v>12388739</v>
      </c>
      <c r="I579" s="378">
        <v>-43535695</v>
      </c>
      <c r="J579" s="266">
        <f t="shared" si="9"/>
        <v>4</v>
      </c>
    </row>
    <row r="580" spans="1:10" ht="15.75" customHeight="1" x14ac:dyDescent="0.25">
      <c r="A580" s="380">
        <v>253005</v>
      </c>
      <c r="B580" s="381" t="s">
        <v>321</v>
      </c>
      <c r="C580" s="381" t="s">
        <v>99</v>
      </c>
      <c r="D580" s="381" t="s">
        <v>315</v>
      </c>
      <c r="E580" s="381" t="s">
        <v>315</v>
      </c>
      <c r="F580" s="378">
        <v>-24659457</v>
      </c>
      <c r="G580" s="378">
        <v>2260282</v>
      </c>
      <c r="H580" s="378">
        <v>4989939</v>
      </c>
      <c r="I580" s="378">
        <v>-27389114</v>
      </c>
      <c r="J580" s="266">
        <f t="shared" si="9"/>
        <v>6</v>
      </c>
    </row>
    <row r="581" spans="1:10" ht="15.75" customHeight="1" x14ac:dyDescent="0.25">
      <c r="A581" s="380">
        <v>25300505</v>
      </c>
      <c r="B581" s="381" t="s">
        <v>321</v>
      </c>
      <c r="C581" s="381" t="s">
        <v>1218</v>
      </c>
      <c r="D581" s="381" t="s">
        <v>315</v>
      </c>
      <c r="E581" s="381" t="s">
        <v>315</v>
      </c>
      <c r="F581" s="378">
        <v>-25661096</v>
      </c>
      <c r="G581" s="378">
        <v>0</v>
      </c>
      <c r="H581" s="378">
        <v>4989939</v>
      </c>
      <c r="I581" s="378">
        <v>-30651035</v>
      </c>
      <c r="J581" s="266">
        <f t="shared" si="9"/>
        <v>8</v>
      </c>
    </row>
    <row r="582" spans="1:10" ht="15.75" customHeight="1" x14ac:dyDescent="0.25">
      <c r="A582" s="380">
        <v>25300505</v>
      </c>
      <c r="B582" s="381" t="s">
        <v>321</v>
      </c>
      <c r="C582" s="381" t="s">
        <v>1218</v>
      </c>
      <c r="D582" s="381" t="s">
        <v>1488</v>
      </c>
      <c r="E582" s="381" t="s">
        <v>1682</v>
      </c>
      <c r="F582" s="378">
        <v>-207080</v>
      </c>
      <c r="G582" s="378">
        <v>0</v>
      </c>
      <c r="H582" s="378">
        <v>0</v>
      </c>
      <c r="I582" s="378">
        <v>-207080</v>
      </c>
      <c r="J582" s="266">
        <f t="shared" si="9"/>
        <v>8</v>
      </c>
    </row>
    <row r="583" spans="1:10" ht="15.75" customHeight="1" x14ac:dyDescent="0.25">
      <c r="A583" s="380">
        <v>25300505</v>
      </c>
      <c r="B583" s="381" t="s">
        <v>321</v>
      </c>
      <c r="C583" s="381" t="s">
        <v>1218</v>
      </c>
      <c r="D583" s="381" t="s">
        <v>1535</v>
      </c>
      <c r="E583" s="381" t="s">
        <v>1536</v>
      </c>
      <c r="F583" s="378">
        <v>-1064261</v>
      </c>
      <c r="G583" s="378">
        <v>0</v>
      </c>
      <c r="H583" s="378">
        <v>213516</v>
      </c>
      <c r="I583" s="378">
        <v>-1277777</v>
      </c>
      <c r="J583" s="266">
        <f t="shared" si="9"/>
        <v>8</v>
      </c>
    </row>
    <row r="584" spans="1:10" ht="15.75" customHeight="1" x14ac:dyDescent="0.25">
      <c r="A584" s="380">
        <v>25300505</v>
      </c>
      <c r="B584" s="381" t="s">
        <v>321</v>
      </c>
      <c r="C584" s="381" t="s">
        <v>1218</v>
      </c>
      <c r="D584" s="381" t="s">
        <v>1604</v>
      </c>
      <c r="E584" s="381" t="s">
        <v>1605</v>
      </c>
      <c r="F584" s="378">
        <v>-1151012</v>
      </c>
      <c r="G584" s="378">
        <v>0</v>
      </c>
      <c r="H584" s="378">
        <v>261430</v>
      </c>
      <c r="I584" s="378">
        <v>-1412442</v>
      </c>
      <c r="J584" s="266">
        <f t="shared" si="9"/>
        <v>8</v>
      </c>
    </row>
    <row r="585" spans="1:10" ht="15.75" customHeight="1" x14ac:dyDescent="0.25">
      <c r="A585" s="380">
        <v>25300505</v>
      </c>
      <c r="B585" s="381" t="s">
        <v>321</v>
      </c>
      <c r="C585" s="381" t="s">
        <v>1218</v>
      </c>
      <c r="D585" s="381" t="s">
        <v>1649</v>
      </c>
      <c r="E585" s="381" t="s">
        <v>1650</v>
      </c>
      <c r="F585" s="378">
        <v>-1101447</v>
      </c>
      <c r="G585" s="378">
        <v>0</v>
      </c>
      <c r="H585" s="378">
        <v>218171</v>
      </c>
      <c r="I585" s="378">
        <v>-1319618</v>
      </c>
      <c r="J585" s="266">
        <f t="shared" si="9"/>
        <v>8</v>
      </c>
    </row>
    <row r="586" spans="1:10" ht="15.75" customHeight="1" x14ac:dyDescent="0.25">
      <c r="A586" s="380">
        <v>25300505</v>
      </c>
      <c r="B586" s="381" t="s">
        <v>321</v>
      </c>
      <c r="C586" s="381" t="s">
        <v>1218</v>
      </c>
      <c r="D586" s="381" t="s">
        <v>1651</v>
      </c>
      <c r="E586" s="381" t="s">
        <v>1652</v>
      </c>
      <c r="F586" s="378">
        <v>-1032112</v>
      </c>
      <c r="G586" s="378">
        <v>0</v>
      </c>
      <c r="H586" s="378">
        <v>216096</v>
      </c>
      <c r="I586" s="378">
        <v>-1248208</v>
      </c>
      <c r="J586" s="266">
        <f t="shared" si="9"/>
        <v>8</v>
      </c>
    </row>
    <row r="587" spans="1:10" ht="15.75" customHeight="1" x14ac:dyDescent="0.25">
      <c r="A587" s="380">
        <v>25300505</v>
      </c>
      <c r="B587" s="381" t="s">
        <v>321</v>
      </c>
      <c r="C587" s="381" t="s">
        <v>1218</v>
      </c>
      <c r="D587" s="381" t="s">
        <v>1443</v>
      </c>
      <c r="E587" s="381" t="s">
        <v>1530</v>
      </c>
      <c r="F587" s="378">
        <v>-1267834</v>
      </c>
      <c r="G587" s="378">
        <v>0</v>
      </c>
      <c r="H587" s="378">
        <v>262451</v>
      </c>
      <c r="I587" s="378">
        <v>-1530285</v>
      </c>
      <c r="J587" s="266">
        <f t="shared" si="9"/>
        <v>8</v>
      </c>
    </row>
    <row r="588" spans="1:10" ht="15.75" customHeight="1" x14ac:dyDescent="0.25">
      <c r="A588" s="380">
        <v>25300505</v>
      </c>
      <c r="B588" s="381" t="s">
        <v>321</v>
      </c>
      <c r="C588" s="381" t="s">
        <v>1218</v>
      </c>
      <c r="D588" s="381" t="s">
        <v>1653</v>
      </c>
      <c r="E588" s="381" t="s">
        <v>1654</v>
      </c>
      <c r="F588" s="378">
        <v>-1110638</v>
      </c>
      <c r="G588" s="378">
        <v>0</v>
      </c>
      <c r="H588" s="378">
        <v>244005</v>
      </c>
      <c r="I588" s="378">
        <v>-1354643</v>
      </c>
      <c r="J588" s="266">
        <f t="shared" ref="J588:J651" si="10">+LEN(A588)</f>
        <v>8</v>
      </c>
    </row>
    <row r="589" spans="1:10" ht="15.75" customHeight="1" x14ac:dyDescent="0.25">
      <c r="A589" s="380">
        <v>25300505</v>
      </c>
      <c r="B589" s="381" t="s">
        <v>321</v>
      </c>
      <c r="C589" s="381" t="s">
        <v>1218</v>
      </c>
      <c r="D589" s="381" t="s">
        <v>1683</v>
      </c>
      <c r="E589" s="381" t="s">
        <v>1684</v>
      </c>
      <c r="F589" s="378">
        <v>-460635</v>
      </c>
      <c r="G589" s="378">
        <v>0</v>
      </c>
      <c r="H589" s="378">
        <v>0</v>
      </c>
      <c r="I589" s="378">
        <v>-460635</v>
      </c>
      <c r="J589" s="266">
        <f t="shared" si="10"/>
        <v>8</v>
      </c>
    </row>
    <row r="590" spans="1:10" ht="15.75" customHeight="1" x14ac:dyDescent="0.25">
      <c r="A590" s="380">
        <v>25300505</v>
      </c>
      <c r="B590" s="381" t="s">
        <v>321</v>
      </c>
      <c r="C590" s="381" t="s">
        <v>1218</v>
      </c>
      <c r="D590" s="381" t="s">
        <v>1606</v>
      </c>
      <c r="E590" s="381" t="s">
        <v>1607</v>
      </c>
      <c r="F590" s="378">
        <v>-1162572</v>
      </c>
      <c r="G590" s="378">
        <v>0</v>
      </c>
      <c r="H590" s="378">
        <v>230113</v>
      </c>
      <c r="I590" s="378">
        <v>-1392685</v>
      </c>
      <c r="J590" s="266">
        <f t="shared" si="10"/>
        <v>8</v>
      </c>
    </row>
    <row r="591" spans="1:10" ht="15.75" customHeight="1" x14ac:dyDescent="0.25">
      <c r="A591" s="380">
        <v>25300505</v>
      </c>
      <c r="B591" s="381" t="s">
        <v>321</v>
      </c>
      <c r="C591" s="381" t="s">
        <v>1218</v>
      </c>
      <c r="D591" s="381" t="s">
        <v>1686</v>
      </c>
      <c r="E591" s="381" t="s">
        <v>1687</v>
      </c>
      <c r="F591" s="378">
        <v>-538766</v>
      </c>
      <c r="G591" s="378">
        <v>0</v>
      </c>
      <c r="H591" s="378">
        <v>0</v>
      </c>
      <c r="I591" s="378">
        <v>-538766</v>
      </c>
      <c r="J591" s="266">
        <f t="shared" si="10"/>
        <v>8</v>
      </c>
    </row>
    <row r="592" spans="1:10" ht="15.75" customHeight="1" x14ac:dyDescent="0.25">
      <c r="A592" s="380">
        <v>25300505</v>
      </c>
      <c r="B592" s="381" t="s">
        <v>321</v>
      </c>
      <c r="C592" s="381" t="s">
        <v>1218</v>
      </c>
      <c r="D592" s="381" t="s">
        <v>1655</v>
      </c>
      <c r="E592" s="381" t="s">
        <v>1656</v>
      </c>
      <c r="F592" s="378">
        <v>-315807</v>
      </c>
      <c r="G592" s="378">
        <v>0</v>
      </c>
      <c r="H592" s="378">
        <v>186005</v>
      </c>
      <c r="I592" s="378">
        <v>-501812</v>
      </c>
      <c r="J592" s="266">
        <f t="shared" si="10"/>
        <v>8</v>
      </c>
    </row>
    <row r="593" spans="1:13" ht="15.75" customHeight="1" x14ac:dyDescent="0.25">
      <c r="A593" s="380">
        <v>25300505</v>
      </c>
      <c r="B593" s="381" t="s">
        <v>321</v>
      </c>
      <c r="C593" s="381" t="s">
        <v>1218</v>
      </c>
      <c r="D593" s="381" t="s">
        <v>1657</v>
      </c>
      <c r="E593" s="381" t="s">
        <v>1658</v>
      </c>
      <c r="F593" s="378">
        <v>-1043885</v>
      </c>
      <c r="G593" s="378">
        <v>0</v>
      </c>
      <c r="H593" s="378">
        <v>209224</v>
      </c>
      <c r="I593" s="378">
        <v>-1253109</v>
      </c>
      <c r="J593" s="266">
        <f t="shared" si="10"/>
        <v>8</v>
      </c>
    </row>
    <row r="594" spans="1:13" ht="15.75" customHeight="1" x14ac:dyDescent="0.25">
      <c r="A594" s="380">
        <v>25300505</v>
      </c>
      <c r="B594" s="381" t="s">
        <v>321</v>
      </c>
      <c r="C594" s="381" t="s">
        <v>1218</v>
      </c>
      <c r="D594" s="381" t="s">
        <v>1659</v>
      </c>
      <c r="E594" s="381" t="s">
        <v>1660</v>
      </c>
      <c r="F594" s="378">
        <v>-1111314</v>
      </c>
      <c r="G594" s="378">
        <v>0</v>
      </c>
      <c r="H594" s="378">
        <v>16813</v>
      </c>
      <c r="I594" s="378">
        <v>-1128127</v>
      </c>
      <c r="J594" s="383">
        <f t="shared" si="10"/>
        <v>8</v>
      </c>
      <c r="K594" s="267" t="s">
        <v>658</v>
      </c>
      <c r="M594" s="267" t="s">
        <v>660</v>
      </c>
    </row>
    <row r="595" spans="1:13" ht="15.75" customHeight="1" x14ac:dyDescent="0.25">
      <c r="A595" s="380">
        <v>25300505</v>
      </c>
      <c r="B595" s="381" t="s">
        <v>321</v>
      </c>
      <c r="C595" s="381" t="s">
        <v>1218</v>
      </c>
      <c r="D595" s="381" t="s">
        <v>1527</v>
      </c>
      <c r="E595" s="381" t="s">
        <v>1528</v>
      </c>
      <c r="F595" s="378">
        <v>-1025116</v>
      </c>
      <c r="G595" s="378">
        <v>0</v>
      </c>
      <c r="H595" s="378">
        <v>107039</v>
      </c>
      <c r="I595" s="378">
        <v>-1132155</v>
      </c>
      <c r="J595" s="266">
        <f t="shared" si="10"/>
        <v>8</v>
      </c>
    </row>
    <row r="596" spans="1:13" ht="15.75" customHeight="1" x14ac:dyDescent="0.25">
      <c r="A596" s="380">
        <v>25300505</v>
      </c>
      <c r="B596" s="381" t="s">
        <v>321</v>
      </c>
      <c r="C596" s="381" t="s">
        <v>1218</v>
      </c>
      <c r="D596" s="381" t="s">
        <v>1444</v>
      </c>
      <c r="E596" s="381" t="s">
        <v>1533</v>
      </c>
      <c r="F596" s="378">
        <v>-1303893</v>
      </c>
      <c r="G596" s="378">
        <v>0</v>
      </c>
      <c r="H596" s="378">
        <v>261680</v>
      </c>
      <c r="I596" s="378">
        <v>-1565573</v>
      </c>
      <c r="J596" s="266">
        <f t="shared" si="10"/>
        <v>8</v>
      </c>
    </row>
    <row r="597" spans="1:13" ht="15.75" customHeight="1" x14ac:dyDescent="0.25">
      <c r="A597" s="380">
        <v>25300505</v>
      </c>
      <c r="B597" s="381" t="s">
        <v>321</v>
      </c>
      <c r="C597" s="381" t="s">
        <v>1218</v>
      </c>
      <c r="D597" s="381" t="s">
        <v>1661</v>
      </c>
      <c r="E597" s="381" t="s">
        <v>1662</v>
      </c>
      <c r="F597" s="378">
        <v>-1125943</v>
      </c>
      <c r="G597" s="378">
        <v>0</v>
      </c>
      <c r="H597" s="378">
        <v>198133</v>
      </c>
      <c r="I597" s="378">
        <v>-1324076</v>
      </c>
      <c r="J597" s="266">
        <f t="shared" si="10"/>
        <v>8</v>
      </c>
    </row>
    <row r="598" spans="1:13" ht="15.75" customHeight="1" x14ac:dyDescent="0.25">
      <c r="A598" s="380">
        <v>25300505</v>
      </c>
      <c r="B598" s="381" t="s">
        <v>321</v>
      </c>
      <c r="C598" s="381" t="s">
        <v>1218</v>
      </c>
      <c r="D598" s="381" t="s">
        <v>1663</v>
      </c>
      <c r="E598" s="381" t="s">
        <v>1664</v>
      </c>
      <c r="F598" s="378">
        <v>-1057393</v>
      </c>
      <c r="G598" s="378">
        <v>0</v>
      </c>
      <c r="H598" s="378">
        <v>225410</v>
      </c>
      <c r="I598" s="378">
        <v>-1282803</v>
      </c>
      <c r="J598" s="266">
        <f t="shared" si="10"/>
        <v>8</v>
      </c>
    </row>
    <row r="599" spans="1:13" ht="15.75" customHeight="1" x14ac:dyDescent="0.25">
      <c r="A599" s="380">
        <v>25300505</v>
      </c>
      <c r="B599" s="381" t="s">
        <v>321</v>
      </c>
      <c r="C599" s="381" t="s">
        <v>1218</v>
      </c>
      <c r="D599" s="381" t="s">
        <v>1609</v>
      </c>
      <c r="E599" s="381" t="s">
        <v>1610</v>
      </c>
      <c r="F599" s="378">
        <v>-1069540</v>
      </c>
      <c r="G599" s="378">
        <v>0</v>
      </c>
      <c r="H599" s="378">
        <v>223030</v>
      </c>
      <c r="I599" s="378">
        <v>-1292570</v>
      </c>
      <c r="J599" s="266">
        <f t="shared" si="10"/>
        <v>8</v>
      </c>
    </row>
    <row r="600" spans="1:13" ht="15.75" customHeight="1" x14ac:dyDescent="0.25">
      <c r="A600" s="380">
        <v>25300505</v>
      </c>
      <c r="B600" s="381" t="s">
        <v>321</v>
      </c>
      <c r="C600" s="381" t="s">
        <v>1218</v>
      </c>
      <c r="D600" s="381" t="s">
        <v>1490</v>
      </c>
      <c r="E600" s="381" t="s">
        <v>1491</v>
      </c>
      <c r="F600" s="378">
        <v>-409156</v>
      </c>
      <c r="G600" s="378">
        <v>0</v>
      </c>
      <c r="H600" s="378">
        <v>0</v>
      </c>
      <c r="I600" s="378">
        <v>-409156</v>
      </c>
      <c r="J600" s="266">
        <f t="shared" si="10"/>
        <v>8</v>
      </c>
    </row>
    <row r="601" spans="1:13" ht="15.75" customHeight="1" x14ac:dyDescent="0.25">
      <c r="A601" s="380">
        <v>25300505</v>
      </c>
      <c r="B601" s="381" t="s">
        <v>321</v>
      </c>
      <c r="C601" s="381" t="s">
        <v>1218</v>
      </c>
      <c r="D601" s="381" t="s">
        <v>1210</v>
      </c>
      <c r="E601" s="381" t="s">
        <v>1611</v>
      </c>
      <c r="F601" s="378">
        <v>-480770</v>
      </c>
      <c r="G601" s="378">
        <v>0</v>
      </c>
      <c r="H601" s="378">
        <v>166667</v>
      </c>
      <c r="I601" s="378">
        <v>-647437</v>
      </c>
      <c r="J601" s="266">
        <f t="shared" si="10"/>
        <v>8</v>
      </c>
    </row>
    <row r="602" spans="1:13" ht="15.75" customHeight="1" x14ac:dyDescent="0.25">
      <c r="A602" s="380">
        <v>25300505</v>
      </c>
      <c r="B602" s="381" t="s">
        <v>321</v>
      </c>
      <c r="C602" s="381" t="s">
        <v>1218</v>
      </c>
      <c r="D602" s="381" t="s">
        <v>1523</v>
      </c>
      <c r="E602" s="381" t="s">
        <v>1524</v>
      </c>
      <c r="F602" s="378">
        <v>-2276852</v>
      </c>
      <c r="G602" s="378">
        <v>0</v>
      </c>
      <c r="H602" s="378">
        <v>455209</v>
      </c>
      <c r="I602" s="378">
        <v>-2732061</v>
      </c>
      <c r="J602" s="266">
        <f t="shared" si="10"/>
        <v>8</v>
      </c>
    </row>
    <row r="603" spans="1:13" ht="15.75" customHeight="1" x14ac:dyDescent="0.25">
      <c r="A603" s="380">
        <v>25300505</v>
      </c>
      <c r="B603" s="381" t="s">
        <v>321</v>
      </c>
      <c r="C603" s="381" t="s">
        <v>1218</v>
      </c>
      <c r="D603" s="381" t="s">
        <v>1665</v>
      </c>
      <c r="E603" s="381" t="s">
        <v>1666</v>
      </c>
      <c r="F603" s="378">
        <v>-100000</v>
      </c>
      <c r="G603" s="378">
        <v>0</v>
      </c>
      <c r="H603" s="378">
        <v>179641</v>
      </c>
      <c r="I603" s="378">
        <v>-279641</v>
      </c>
      <c r="J603" s="266">
        <f t="shared" si="10"/>
        <v>8</v>
      </c>
    </row>
    <row r="604" spans="1:13" ht="15.75" customHeight="1" x14ac:dyDescent="0.25">
      <c r="A604" s="380">
        <v>25300505</v>
      </c>
      <c r="B604" s="381" t="s">
        <v>321</v>
      </c>
      <c r="C604" s="381" t="s">
        <v>1218</v>
      </c>
      <c r="D604" s="381" t="s">
        <v>792</v>
      </c>
      <c r="E604" s="381" t="s">
        <v>1534</v>
      </c>
      <c r="F604" s="378">
        <v>-1030249</v>
      </c>
      <c r="G604" s="378">
        <v>0</v>
      </c>
      <c r="H604" s="378">
        <v>236033</v>
      </c>
      <c r="I604" s="378">
        <v>-1266282</v>
      </c>
      <c r="J604" s="266">
        <f t="shared" si="10"/>
        <v>8</v>
      </c>
      <c r="K604" s="267" t="s">
        <v>659</v>
      </c>
    </row>
    <row r="605" spans="1:13" ht="15.75" customHeight="1" x14ac:dyDescent="0.25">
      <c r="A605" s="380">
        <v>25300505</v>
      </c>
      <c r="B605" s="381" t="s">
        <v>321</v>
      </c>
      <c r="C605" s="381" t="s">
        <v>1218</v>
      </c>
      <c r="D605" s="381" t="s">
        <v>1688</v>
      </c>
      <c r="E605" s="381" t="s">
        <v>1689</v>
      </c>
      <c r="F605" s="378">
        <v>-339953</v>
      </c>
      <c r="G605" s="378">
        <v>0</v>
      </c>
      <c r="H605" s="378">
        <v>0</v>
      </c>
      <c r="I605" s="378">
        <v>-339953</v>
      </c>
      <c r="J605" s="266">
        <f t="shared" si="10"/>
        <v>8</v>
      </c>
    </row>
    <row r="606" spans="1:13" ht="15.75" customHeight="1" x14ac:dyDescent="0.25">
      <c r="A606" s="380">
        <v>25300505</v>
      </c>
      <c r="B606" s="381" t="s">
        <v>321</v>
      </c>
      <c r="C606" s="381" t="s">
        <v>1218</v>
      </c>
      <c r="D606" s="381" t="s">
        <v>1492</v>
      </c>
      <c r="E606" s="381" t="s">
        <v>1493</v>
      </c>
      <c r="F606" s="378">
        <v>-401625</v>
      </c>
      <c r="G606" s="378">
        <v>0</v>
      </c>
      <c r="H606" s="378">
        <v>0</v>
      </c>
      <c r="I606" s="378">
        <v>-401625</v>
      </c>
      <c r="J606" s="266">
        <f t="shared" si="10"/>
        <v>8</v>
      </c>
    </row>
    <row r="607" spans="1:13" ht="15.75" customHeight="1" x14ac:dyDescent="0.25">
      <c r="A607" s="380">
        <v>25300505</v>
      </c>
      <c r="B607" s="381" t="s">
        <v>321</v>
      </c>
      <c r="C607" s="381" t="s">
        <v>1218</v>
      </c>
      <c r="D607" s="381" t="s">
        <v>1412</v>
      </c>
      <c r="E607" s="381" t="s">
        <v>1413</v>
      </c>
      <c r="F607" s="378">
        <v>-116666</v>
      </c>
      <c r="G607" s="378">
        <v>0</v>
      </c>
      <c r="H607" s="378">
        <v>0</v>
      </c>
      <c r="I607" s="378">
        <v>-116666</v>
      </c>
      <c r="J607" s="266">
        <f t="shared" si="10"/>
        <v>8</v>
      </c>
    </row>
    <row r="608" spans="1:13" ht="15.75" customHeight="1" x14ac:dyDescent="0.25">
      <c r="A608" s="380">
        <v>25300505</v>
      </c>
      <c r="B608" s="381" t="s">
        <v>321</v>
      </c>
      <c r="C608" s="381" t="s">
        <v>1218</v>
      </c>
      <c r="D608" s="381" t="s">
        <v>1667</v>
      </c>
      <c r="E608" s="381" t="s">
        <v>1668</v>
      </c>
      <c r="F608" s="378">
        <v>-833333</v>
      </c>
      <c r="G608" s="378">
        <v>0</v>
      </c>
      <c r="H608" s="378">
        <v>166667</v>
      </c>
      <c r="I608" s="378">
        <v>-1000000</v>
      </c>
      <c r="J608" s="266">
        <f t="shared" si="10"/>
        <v>8</v>
      </c>
    </row>
    <row r="609" spans="1:10" ht="15.75" customHeight="1" x14ac:dyDescent="0.25">
      <c r="A609" s="380">
        <v>25300505</v>
      </c>
      <c r="B609" s="381" t="s">
        <v>321</v>
      </c>
      <c r="C609" s="381" t="s">
        <v>1218</v>
      </c>
      <c r="D609" s="381" t="s">
        <v>1669</v>
      </c>
      <c r="E609" s="381" t="s">
        <v>1670</v>
      </c>
      <c r="F609" s="378">
        <v>-1067072</v>
      </c>
      <c r="G609" s="378">
        <v>0</v>
      </c>
      <c r="H609" s="378">
        <v>165941</v>
      </c>
      <c r="I609" s="378">
        <v>-1233013</v>
      </c>
      <c r="J609" s="266">
        <f t="shared" si="10"/>
        <v>8</v>
      </c>
    </row>
    <row r="610" spans="1:10" ht="15.75" customHeight="1" x14ac:dyDescent="0.25">
      <c r="A610" s="380">
        <v>25300505</v>
      </c>
      <c r="B610" s="381" t="s">
        <v>321</v>
      </c>
      <c r="C610" s="381" t="s">
        <v>1218</v>
      </c>
      <c r="D610" s="381" t="s">
        <v>1671</v>
      </c>
      <c r="E610" s="381" t="s">
        <v>1672</v>
      </c>
      <c r="F610" s="378">
        <v>-362810</v>
      </c>
      <c r="G610" s="378">
        <v>0</v>
      </c>
      <c r="H610" s="378">
        <v>217470</v>
      </c>
      <c r="I610" s="378">
        <v>-580280</v>
      </c>
      <c r="J610" s="266">
        <f t="shared" si="10"/>
        <v>8</v>
      </c>
    </row>
    <row r="611" spans="1:10" ht="15.75" customHeight="1" x14ac:dyDescent="0.25">
      <c r="A611" s="380">
        <v>25300505</v>
      </c>
      <c r="B611" s="381" t="s">
        <v>321</v>
      </c>
      <c r="C611" s="381" t="s">
        <v>1218</v>
      </c>
      <c r="D611" s="381" t="s">
        <v>1673</v>
      </c>
      <c r="E611" s="381" t="s">
        <v>1674</v>
      </c>
      <c r="F611" s="378">
        <v>-1093362</v>
      </c>
      <c r="G611" s="378">
        <v>0</v>
      </c>
      <c r="H611" s="378">
        <v>239861</v>
      </c>
      <c r="I611" s="378">
        <v>-1333223</v>
      </c>
      <c r="J611" s="266">
        <f t="shared" si="10"/>
        <v>8</v>
      </c>
    </row>
    <row r="612" spans="1:10" ht="15.75" customHeight="1" x14ac:dyDescent="0.25">
      <c r="A612" s="380">
        <v>25300505</v>
      </c>
      <c r="B612" s="381" t="s">
        <v>321</v>
      </c>
      <c r="C612" s="381" t="s">
        <v>1218</v>
      </c>
      <c r="D612" s="381" t="s">
        <v>1675</v>
      </c>
      <c r="E612" s="381" t="s">
        <v>1676</v>
      </c>
      <c r="F612" s="378">
        <v>0</v>
      </c>
      <c r="G612" s="378">
        <v>0</v>
      </c>
      <c r="H612" s="378">
        <v>44667</v>
      </c>
      <c r="I612" s="378">
        <v>-44667</v>
      </c>
      <c r="J612" s="266">
        <f t="shared" si="10"/>
        <v>8</v>
      </c>
    </row>
    <row r="613" spans="1:10" ht="15.75" customHeight="1" x14ac:dyDescent="0.25">
      <c r="A613" s="380">
        <v>25300505</v>
      </c>
      <c r="B613" s="381" t="s">
        <v>321</v>
      </c>
      <c r="C613" s="381" t="s">
        <v>1218</v>
      </c>
      <c r="D613" s="381" t="s">
        <v>1677</v>
      </c>
      <c r="E613" s="381" t="s">
        <v>1678</v>
      </c>
      <c r="F613" s="378">
        <v>0</v>
      </c>
      <c r="G613" s="378">
        <v>0</v>
      </c>
      <c r="H613" s="378">
        <v>44667</v>
      </c>
      <c r="I613" s="378">
        <v>-44667</v>
      </c>
      <c r="J613" s="266">
        <f t="shared" si="10"/>
        <v>8</v>
      </c>
    </row>
    <row r="614" spans="1:10" ht="15.75" customHeight="1" x14ac:dyDescent="0.25">
      <c r="A614" s="380">
        <v>25300510</v>
      </c>
      <c r="B614" s="381" t="s">
        <v>321</v>
      </c>
      <c r="C614" s="381" t="s">
        <v>1245</v>
      </c>
      <c r="D614" s="381" t="s">
        <v>315</v>
      </c>
      <c r="E614" s="381" t="s">
        <v>315</v>
      </c>
      <c r="F614" s="378">
        <v>1001639</v>
      </c>
      <c r="G614" s="378">
        <v>2260282</v>
      </c>
      <c r="H614" s="378">
        <v>0</v>
      </c>
      <c r="I614" s="378">
        <v>3261921</v>
      </c>
      <c r="J614" s="266">
        <f t="shared" si="10"/>
        <v>8</v>
      </c>
    </row>
    <row r="615" spans="1:10" ht="15.75" customHeight="1" x14ac:dyDescent="0.25">
      <c r="A615" s="380">
        <v>25300510</v>
      </c>
      <c r="B615" s="381" t="s">
        <v>321</v>
      </c>
      <c r="C615" s="381" t="s">
        <v>1245</v>
      </c>
      <c r="D615" s="381" t="s">
        <v>1690</v>
      </c>
      <c r="E615" s="381" t="s">
        <v>1691</v>
      </c>
      <c r="F615" s="378">
        <v>6254</v>
      </c>
      <c r="G615" s="378">
        <v>0</v>
      </c>
      <c r="H615" s="378">
        <v>0</v>
      </c>
      <c r="I615" s="378">
        <v>6254</v>
      </c>
      <c r="J615" s="266">
        <f t="shared" si="10"/>
        <v>8</v>
      </c>
    </row>
    <row r="616" spans="1:10" ht="15.75" customHeight="1" x14ac:dyDescent="0.25">
      <c r="A616" s="380">
        <v>25300510</v>
      </c>
      <c r="B616" s="381" t="s">
        <v>321</v>
      </c>
      <c r="C616" s="381" t="s">
        <v>1245</v>
      </c>
      <c r="D616" s="381" t="s">
        <v>1686</v>
      </c>
      <c r="E616" s="381" t="s">
        <v>1687</v>
      </c>
      <c r="F616" s="378">
        <v>538766</v>
      </c>
      <c r="G616" s="378">
        <v>0</v>
      </c>
      <c r="H616" s="378">
        <v>0</v>
      </c>
      <c r="I616" s="378">
        <v>538766</v>
      </c>
      <c r="J616" s="266">
        <f t="shared" si="10"/>
        <v>8</v>
      </c>
    </row>
    <row r="617" spans="1:10" ht="15.75" customHeight="1" x14ac:dyDescent="0.25">
      <c r="A617" s="380">
        <v>25300510</v>
      </c>
      <c r="B617" s="381" t="s">
        <v>321</v>
      </c>
      <c r="C617" s="381" t="s">
        <v>1245</v>
      </c>
      <c r="D617" s="381" t="s">
        <v>1659</v>
      </c>
      <c r="E617" s="381" t="s">
        <v>1660</v>
      </c>
      <c r="F617" s="378">
        <v>0</v>
      </c>
      <c r="G617" s="378">
        <v>1128127</v>
      </c>
      <c r="H617" s="378">
        <v>0</v>
      </c>
      <c r="I617" s="378">
        <v>1128127</v>
      </c>
      <c r="J617" s="266">
        <f t="shared" si="10"/>
        <v>8</v>
      </c>
    </row>
    <row r="618" spans="1:10" ht="15.75" customHeight="1" x14ac:dyDescent="0.25">
      <c r="A618" s="380">
        <v>25300510</v>
      </c>
      <c r="B618" s="381" t="s">
        <v>321</v>
      </c>
      <c r="C618" s="381" t="s">
        <v>1245</v>
      </c>
      <c r="D618" s="381" t="s">
        <v>1527</v>
      </c>
      <c r="E618" s="381" t="s">
        <v>1528</v>
      </c>
      <c r="F618" s="378">
        <v>0</v>
      </c>
      <c r="G618" s="378">
        <v>1132155</v>
      </c>
      <c r="H618" s="378">
        <v>0</v>
      </c>
      <c r="I618" s="378">
        <v>1132155</v>
      </c>
      <c r="J618" s="266">
        <f t="shared" si="10"/>
        <v>8</v>
      </c>
    </row>
    <row r="619" spans="1:10" ht="15.75" customHeight="1" x14ac:dyDescent="0.25">
      <c r="A619" s="380">
        <v>25300510</v>
      </c>
      <c r="B619" s="381" t="s">
        <v>321</v>
      </c>
      <c r="C619" s="381" t="s">
        <v>1245</v>
      </c>
      <c r="D619" s="381" t="s">
        <v>1688</v>
      </c>
      <c r="E619" s="381" t="s">
        <v>1689</v>
      </c>
      <c r="F619" s="378">
        <v>339953</v>
      </c>
      <c r="G619" s="378">
        <v>0</v>
      </c>
      <c r="H619" s="378">
        <v>0</v>
      </c>
      <c r="I619" s="378">
        <v>339953</v>
      </c>
      <c r="J619" s="266">
        <f t="shared" si="10"/>
        <v>8</v>
      </c>
    </row>
    <row r="620" spans="1:10" ht="15.75" customHeight="1" x14ac:dyDescent="0.25">
      <c r="A620" s="380">
        <v>25300510</v>
      </c>
      <c r="B620" s="381" t="s">
        <v>321</v>
      </c>
      <c r="C620" s="381" t="s">
        <v>1245</v>
      </c>
      <c r="D620" s="381" t="s">
        <v>1412</v>
      </c>
      <c r="E620" s="381" t="s">
        <v>1413</v>
      </c>
      <c r="F620" s="378">
        <v>116666</v>
      </c>
      <c r="G620" s="378">
        <v>0</v>
      </c>
      <c r="H620" s="378">
        <v>0</v>
      </c>
      <c r="I620" s="378">
        <v>116666</v>
      </c>
      <c r="J620" s="266">
        <f t="shared" si="10"/>
        <v>8</v>
      </c>
    </row>
    <row r="621" spans="1:10" ht="15.75" customHeight="1" x14ac:dyDescent="0.25">
      <c r="A621" s="380">
        <v>253010</v>
      </c>
      <c r="B621" s="381" t="s">
        <v>321</v>
      </c>
      <c r="C621" s="381" t="s">
        <v>451</v>
      </c>
      <c r="D621" s="381" t="s">
        <v>315</v>
      </c>
      <c r="E621" s="381" t="s">
        <v>315</v>
      </c>
      <c r="F621" s="378">
        <v>-1174739</v>
      </c>
      <c r="G621" s="378">
        <v>118295</v>
      </c>
      <c r="H621" s="378">
        <v>491546</v>
      </c>
      <c r="I621" s="378">
        <v>-1547990</v>
      </c>
      <c r="J621" s="266">
        <f t="shared" si="10"/>
        <v>6</v>
      </c>
    </row>
    <row r="622" spans="1:10" ht="15.75" customHeight="1" x14ac:dyDescent="0.25">
      <c r="A622" s="380">
        <v>25301005</v>
      </c>
      <c r="B622" s="381" t="s">
        <v>321</v>
      </c>
      <c r="C622" s="381" t="s">
        <v>1250</v>
      </c>
      <c r="D622" s="381" t="s">
        <v>315</v>
      </c>
      <c r="E622" s="381" t="s">
        <v>315</v>
      </c>
      <c r="F622" s="378">
        <v>-1196072</v>
      </c>
      <c r="G622" s="378">
        <v>0</v>
      </c>
      <c r="H622" s="378">
        <v>491546</v>
      </c>
      <c r="I622" s="378">
        <v>-1687618</v>
      </c>
      <c r="J622" s="266">
        <f t="shared" si="10"/>
        <v>8</v>
      </c>
    </row>
    <row r="623" spans="1:10" ht="15.75" customHeight="1" x14ac:dyDescent="0.25">
      <c r="A623" s="380">
        <v>25301005</v>
      </c>
      <c r="B623" s="381" t="s">
        <v>321</v>
      </c>
      <c r="C623" s="381" t="s">
        <v>1250</v>
      </c>
      <c r="D623" s="381" t="s">
        <v>1488</v>
      </c>
      <c r="E623" s="381" t="s">
        <v>1682</v>
      </c>
      <c r="F623" s="378">
        <v>-2071</v>
      </c>
      <c r="G623" s="378">
        <v>0</v>
      </c>
      <c r="H623" s="378">
        <v>0</v>
      </c>
      <c r="I623" s="378">
        <v>-2071</v>
      </c>
      <c r="J623" s="266">
        <f t="shared" si="10"/>
        <v>8</v>
      </c>
    </row>
    <row r="624" spans="1:10" ht="15.75" customHeight="1" x14ac:dyDescent="0.25">
      <c r="A624" s="380">
        <v>25301005</v>
      </c>
      <c r="B624" s="381" t="s">
        <v>321</v>
      </c>
      <c r="C624" s="381" t="s">
        <v>1250</v>
      </c>
      <c r="D624" s="381" t="s">
        <v>1535</v>
      </c>
      <c r="E624" s="381" t="s">
        <v>1536</v>
      </c>
      <c r="F624" s="378">
        <v>-53213</v>
      </c>
      <c r="G624" s="378">
        <v>0</v>
      </c>
      <c r="H624" s="378">
        <v>23454</v>
      </c>
      <c r="I624" s="378">
        <v>-76667</v>
      </c>
      <c r="J624" s="266">
        <f t="shared" si="10"/>
        <v>8</v>
      </c>
    </row>
    <row r="625" spans="1:10" ht="15.75" customHeight="1" x14ac:dyDescent="0.25">
      <c r="A625" s="380">
        <v>25301005</v>
      </c>
      <c r="B625" s="381" t="s">
        <v>321</v>
      </c>
      <c r="C625" s="381" t="s">
        <v>1250</v>
      </c>
      <c r="D625" s="381" t="s">
        <v>1604</v>
      </c>
      <c r="E625" s="381" t="s">
        <v>1605</v>
      </c>
      <c r="F625" s="378">
        <v>-57551</v>
      </c>
      <c r="G625" s="378">
        <v>0</v>
      </c>
      <c r="H625" s="378">
        <v>27196</v>
      </c>
      <c r="I625" s="378">
        <v>-84747</v>
      </c>
      <c r="J625" s="266">
        <f t="shared" si="10"/>
        <v>8</v>
      </c>
    </row>
    <row r="626" spans="1:10" ht="15.75" customHeight="1" x14ac:dyDescent="0.25">
      <c r="A626" s="380">
        <v>25301005</v>
      </c>
      <c r="B626" s="381" t="s">
        <v>321</v>
      </c>
      <c r="C626" s="381" t="s">
        <v>1250</v>
      </c>
      <c r="D626" s="381" t="s">
        <v>1649</v>
      </c>
      <c r="E626" s="381" t="s">
        <v>1650</v>
      </c>
      <c r="F626" s="378">
        <v>-55072</v>
      </c>
      <c r="G626" s="378">
        <v>0</v>
      </c>
      <c r="H626" s="378">
        <v>24105</v>
      </c>
      <c r="I626" s="378">
        <v>-79177</v>
      </c>
      <c r="J626" s="266">
        <f t="shared" si="10"/>
        <v>8</v>
      </c>
    </row>
    <row r="627" spans="1:10" ht="15.75" customHeight="1" x14ac:dyDescent="0.25">
      <c r="A627" s="380">
        <v>25301005</v>
      </c>
      <c r="B627" s="381" t="s">
        <v>321</v>
      </c>
      <c r="C627" s="381" t="s">
        <v>1250</v>
      </c>
      <c r="D627" s="381" t="s">
        <v>1651</v>
      </c>
      <c r="E627" s="381" t="s">
        <v>1652</v>
      </c>
      <c r="F627" s="378">
        <v>-51606</v>
      </c>
      <c r="G627" s="378">
        <v>0</v>
      </c>
      <c r="H627" s="378">
        <v>23286</v>
      </c>
      <c r="I627" s="378">
        <v>-74892</v>
      </c>
      <c r="J627" s="266">
        <f t="shared" si="10"/>
        <v>8</v>
      </c>
    </row>
    <row r="628" spans="1:10" ht="15.75" customHeight="1" x14ac:dyDescent="0.25">
      <c r="A628" s="380">
        <v>25301005</v>
      </c>
      <c r="B628" s="381" t="s">
        <v>321</v>
      </c>
      <c r="C628" s="381" t="s">
        <v>1250</v>
      </c>
      <c r="D628" s="381" t="s">
        <v>1443</v>
      </c>
      <c r="E628" s="381" t="s">
        <v>1530</v>
      </c>
      <c r="F628" s="378">
        <v>-63392</v>
      </c>
      <c r="G628" s="378">
        <v>0</v>
      </c>
      <c r="H628" s="378">
        <v>28425</v>
      </c>
      <c r="I628" s="378">
        <v>-91817</v>
      </c>
      <c r="J628" s="266">
        <f t="shared" si="10"/>
        <v>8</v>
      </c>
    </row>
    <row r="629" spans="1:10" ht="15.75" customHeight="1" x14ac:dyDescent="0.25">
      <c r="A629" s="380">
        <v>25301005</v>
      </c>
      <c r="B629" s="381" t="s">
        <v>321</v>
      </c>
      <c r="C629" s="381" t="s">
        <v>1250</v>
      </c>
      <c r="D629" s="381" t="s">
        <v>1653</v>
      </c>
      <c r="E629" s="381" t="s">
        <v>1654</v>
      </c>
      <c r="F629" s="378">
        <v>-55532</v>
      </c>
      <c r="G629" s="378">
        <v>0</v>
      </c>
      <c r="H629" s="378">
        <v>25747</v>
      </c>
      <c r="I629" s="378">
        <v>-81279</v>
      </c>
      <c r="J629" s="266">
        <f t="shared" si="10"/>
        <v>8</v>
      </c>
    </row>
    <row r="630" spans="1:10" ht="15.75" customHeight="1" x14ac:dyDescent="0.25">
      <c r="A630" s="380">
        <v>25301005</v>
      </c>
      <c r="B630" s="381" t="s">
        <v>321</v>
      </c>
      <c r="C630" s="381" t="s">
        <v>1250</v>
      </c>
      <c r="D630" s="381" t="s">
        <v>1683</v>
      </c>
      <c r="E630" s="381" t="s">
        <v>1684</v>
      </c>
      <c r="F630" s="378">
        <v>-9213</v>
      </c>
      <c r="G630" s="378">
        <v>0</v>
      </c>
      <c r="H630" s="378">
        <v>0</v>
      </c>
      <c r="I630" s="378">
        <v>-9213</v>
      </c>
      <c r="J630" s="266">
        <f t="shared" si="10"/>
        <v>8</v>
      </c>
    </row>
    <row r="631" spans="1:10" ht="15.75" customHeight="1" x14ac:dyDescent="0.25">
      <c r="A631" s="380">
        <v>25301005</v>
      </c>
      <c r="B631" s="381" t="s">
        <v>321</v>
      </c>
      <c r="C631" s="381" t="s">
        <v>1250</v>
      </c>
      <c r="D631" s="381" t="s">
        <v>1606</v>
      </c>
      <c r="E631" s="381" t="s">
        <v>1607</v>
      </c>
      <c r="F631" s="378">
        <v>-58129</v>
      </c>
      <c r="G631" s="378">
        <v>0</v>
      </c>
      <c r="H631" s="378">
        <v>25432</v>
      </c>
      <c r="I631" s="378">
        <v>-83561</v>
      </c>
      <c r="J631" s="266">
        <f t="shared" si="10"/>
        <v>8</v>
      </c>
    </row>
    <row r="632" spans="1:10" ht="15.75" customHeight="1" x14ac:dyDescent="0.25">
      <c r="A632" s="380">
        <v>25301005</v>
      </c>
      <c r="B632" s="381" t="s">
        <v>321</v>
      </c>
      <c r="C632" s="381" t="s">
        <v>1250</v>
      </c>
      <c r="D632" s="381" t="s">
        <v>1686</v>
      </c>
      <c r="E632" s="381" t="s">
        <v>1687</v>
      </c>
      <c r="F632" s="378">
        <v>-14008</v>
      </c>
      <c r="G632" s="378">
        <v>0</v>
      </c>
      <c r="H632" s="378">
        <v>0</v>
      </c>
      <c r="I632" s="378">
        <v>-14008</v>
      </c>
      <c r="J632" s="266">
        <f t="shared" si="10"/>
        <v>8</v>
      </c>
    </row>
    <row r="633" spans="1:10" ht="15.75" customHeight="1" x14ac:dyDescent="0.25">
      <c r="A633" s="380">
        <v>25301005</v>
      </c>
      <c r="B633" s="381" t="s">
        <v>321</v>
      </c>
      <c r="C633" s="381" t="s">
        <v>1250</v>
      </c>
      <c r="D633" s="381" t="s">
        <v>1655</v>
      </c>
      <c r="E633" s="381" t="s">
        <v>1656</v>
      </c>
      <c r="F633" s="378">
        <v>-5590</v>
      </c>
      <c r="G633" s="378">
        <v>0</v>
      </c>
      <c r="H633" s="378">
        <v>8310</v>
      </c>
      <c r="I633" s="378">
        <v>-13900</v>
      </c>
      <c r="J633" s="266">
        <f t="shared" si="10"/>
        <v>8</v>
      </c>
    </row>
    <row r="634" spans="1:10" ht="15.75" customHeight="1" x14ac:dyDescent="0.25">
      <c r="A634" s="380">
        <v>25301005</v>
      </c>
      <c r="B634" s="381" t="s">
        <v>321</v>
      </c>
      <c r="C634" s="381" t="s">
        <v>1250</v>
      </c>
      <c r="D634" s="381" t="s">
        <v>1657</v>
      </c>
      <c r="E634" s="381" t="s">
        <v>1658</v>
      </c>
      <c r="F634" s="378">
        <v>-52194</v>
      </c>
      <c r="G634" s="378">
        <v>0</v>
      </c>
      <c r="H634" s="378">
        <v>22993</v>
      </c>
      <c r="I634" s="378">
        <v>-75187</v>
      </c>
      <c r="J634" s="266">
        <f t="shared" si="10"/>
        <v>8</v>
      </c>
    </row>
    <row r="635" spans="1:10" ht="15.75" customHeight="1" x14ac:dyDescent="0.25">
      <c r="A635" s="380">
        <v>25301005</v>
      </c>
      <c r="B635" s="381" t="s">
        <v>321</v>
      </c>
      <c r="C635" s="381" t="s">
        <v>1250</v>
      </c>
      <c r="D635" s="381" t="s">
        <v>1659</v>
      </c>
      <c r="E635" s="381" t="s">
        <v>1660</v>
      </c>
      <c r="F635" s="378">
        <v>-55566</v>
      </c>
      <c r="G635" s="378">
        <v>0</v>
      </c>
      <c r="H635" s="378">
        <v>1216</v>
      </c>
      <c r="I635" s="378">
        <v>-56782</v>
      </c>
      <c r="J635" s="266">
        <f t="shared" si="10"/>
        <v>8</v>
      </c>
    </row>
    <row r="636" spans="1:10" ht="15.75" customHeight="1" x14ac:dyDescent="0.25">
      <c r="A636" s="380">
        <v>25301005</v>
      </c>
      <c r="B636" s="381" t="s">
        <v>321</v>
      </c>
      <c r="C636" s="381" t="s">
        <v>1250</v>
      </c>
      <c r="D636" s="381" t="s">
        <v>1527</v>
      </c>
      <c r="E636" s="381" t="s">
        <v>1528</v>
      </c>
      <c r="F636" s="378">
        <v>-51256</v>
      </c>
      <c r="G636" s="378">
        <v>0</v>
      </c>
      <c r="H636" s="378">
        <v>10257</v>
      </c>
      <c r="I636" s="378">
        <v>-61513</v>
      </c>
      <c r="J636" s="266">
        <f t="shared" si="10"/>
        <v>8</v>
      </c>
    </row>
    <row r="637" spans="1:10" ht="15.75" customHeight="1" x14ac:dyDescent="0.25">
      <c r="A637" s="380">
        <v>25301005</v>
      </c>
      <c r="B637" s="381" t="s">
        <v>321</v>
      </c>
      <c r="C637" s="381" t="s">
        <v>1250</v>
      </c>
      <c r="D637" s="381" t="s">
        <v>1444</v>
      </c>
      <c r="E637" s="381" t="s">
        <v>1533</v>
      </c>
      <c r="F637" s="378">
        <v>-65195</v>
      </c>
      <c r="G637" s="378">
        <v>0</v>
      </c>
      <c r="H637" s="378">
        <v>28739</v>
      </c>
      <c r="I637" s="378">
        <v>-93934</v>
      </c>
      <c r="J637" s="266">
        <f t="shared" si="10"/>
        <v>8</v>
      </c>
    </row>
    <row r="638" spans="1:10" ht="15.75" customHeight="1" x14ac:dyDescent="0.25">
      <c r="A638" s="380">
        <v>25301005</v>
      </c>
      <c r="B638" s="381" t="s">
        <v>321</v>
      </c>
      <c r="C638" s="381" t="s">
        <v>1250</v>
      </c>
      <c r="D638" s="381" t="s">
        <v>1661</v>
      </c>
      <c r="E638" s="381" t="s">
        <v>1662</v>
      </c>
      <c r="F638" s="378">
        <v>-56297</v>
      </c>
      <c r="G638" s="378">
        <v>0</v>
      </c>
      <c r="H638" s="378">
        <v>23148</v>
      </c>
      <c r="I638" s="378">
        <v>-79445</v>
      </c>
      <c r="J638" s="266">
        <f t="shared" si="10"/>
        <v>8</v>
      </c>
    </row>
    <row r="639" spans="1:10" ht="15.75" customHeight="1" x14ac:dyDescent="0.25">
      <c r="A639" s="380">
        <v>25301005</v>
      </c>
      <c r="B639" s="381" t="s">
        <v>321</v>
      </c>
      <c r="C639" s="381" t="s">
        <v>1250</v>
      </c>
      <c r="D639" s="381" t="s">
        <v>1663</v>
      </c>
      <c r="E639" s="381" t="s">
        <v>1664</v>
      </c>
      <c r="F639" s="378">
        <v>-52870</v>
      </c>
      <c r="G639" s="378">
        <v>0</v>
      </c>
      <c r="H639" s="378">
        <v>24098</v>
      </c>
      <c r="I639" s="378">
        <v>-76968</v>
      </c>
      <c r="J639" s="266">
        <f t="shared" si="10"/>
        <v>8</v>
      </c>
    </row>
    <row r="640" spans="1:10" ht="15.75" customHeight="1" x14ac:dyDescent="0.25">
      <c r="A640" s="380">
        <v>25301005</v>
      </c>
      <c r="B640" s="381" t="s">
        <v>321</v>
      </c>
      <c r="C640" s="381" t="s">
        <v>1250</v>
      </c>
      <c r="D640" s="381" t="s">
        <v>1609</v>
      </c>
      <c r="E640" s="381" t="s">
        <v>1610</v>
      </c>
      <c r="F640" s="378">
        <v>-53477</v>
      </c>
      <c r="G640" s="378">
        <v>0</v>
      </c>
      <c r="H640" s="378">
        <v>24077</v>
      </c>
      <c r="I640" s="378">
        <v>-77554</v>
      </c>
      <c r="J640" s="266">
        <f t="shared" si="10"/>
        <v>8</v>
      </c>
    </row>
    <row r="641" spans="1:10" ht="15.75" customHeight="1" x14ac:dyDescent="0.25">
      <c r="A641" s="380">
        <v>25301005</v>
      </c>
      <c r="B641" s="381" t="s">
        <v>321</v>
      </c>
      <c r="C641" s="381" t="s">
        <v>1250</v>
      </c>
      <c r="D641" s="381" t="s">
        <v>1490</v>
      </c>
      <c r="E641" s="381" t="s">
        <v>1491</v>
      </c>
      <c r="F641" s="378">
        <v>-8183</v>
      </c>
      <c r="G641" s="378">
        <v>0</v>
      </c>
      <c r="H641" s="378">
        <v>0</v>
      </c>
      <c r="I641" s="378">
        <v>-8183</v>
      </c>
      <c r="J641" s="266">
        <f t="shared" si="10"/>
        <v>8</v>
      </c>
    </row>
    <row r="642" spans="1:10" ht="15.75" customHeight="1" x14ac:dyDescent="0.25">
      <c r="A642" s="380">
        <v>25301005</v>
      </c>
      <c r="B642" s="381" t="s">
        <v>321</v>
      </c>
      <c r="C642" s="381" t="s">
        <v>1250</v>
      </c>
      <c r="D642" s="381" t="s">
        <v>1210</v>
      </c>
      <c r="E642" s="381" t="s">
        <v>1611</v>
      </c>
      <c r="F642" s="378">
        <v>-34616</v>
      </c>
      <c r="G642" s="378">
        <v>0</v>
      </c>
      <c r="H642" s="378">
        <v>18333</v>
      </c>
      <c r="I642" s="378">
        <v>-52949</v>
      </c>
      <c r="J642" s="266">
        <f t="shared" si="10"/>
        <v>8</v>
      </c>
    </row>
    <row r="643" spans="1:10" ht="15.75" customHeight="1" x14ac:dyDescent="0.25">
      <c r="A643" s="380">
        <v>25301005</v>
      </c>
      <c r="B643" s="381" t="s">
        <v>321</v>
      </c>
      <c r="C643" s="381" t="s">
        <v>1250</v>
      </c>
      <c r="D643" s="381" t="s">
        <v>1523</v>
      </c>
      <c r="E643" s="381" t="s">
        <v>1524</v>
      </c>
      <c r="F643" s="378">
        <v>-113843</v>
      </c>
      <c r="G643" s="378">
        <v>0</v>
      </c>
      <c r="H643" s="378">
        <v>50081</v>
      </c>
      <c r="I643" s="378">
        <v>-163924</v>
      </c>
      <c r="J643" s="266">
        <f t="shared" si="10"/>
        <v>8</v>
      </c>
    </row>
    <row r="644" spans="1:10" ht="15.75" customHeight="1" x14ac:dyDescent="0.25">
      <c r="A644" s="380">
        <v>25301005</v>
      </c>
      <c r="B644" s="381" t="s">
        <v>321</v>
      </c>
      <c r="C644" s="381" t="s">
        <v>1250</v>
      </c>
      <c r="D644" s="381" t="s">
        <v>1665</v>
      </c>
      <c r="E644" s="381" t="s">
        <v>1666</v>
      </c>
      <c r="F644" s="378">
        <v>-600</v>
      </c>
      <c r="G644" s="378">
        <v>0</v>
      </c>
      <c r="H644" s="378">
        <v>3874</v>
      </c>
      <c r="I644" s="378">
        <v>-4474</v>
      </c>
      <c r="J644" s="266">
        <f t="shared" si="10"/>
        <v>8</v>
      </c>
    </row>
    <row r="645" spans="1:10" ht="15.75" customHeight="1" x14ac:dyDescent="0.25">
      <c r="A645" s="380">
        <v>25301005</v>
      </c>
      <c r="B645" s="381" t="s">
        <v>321</v>
      </c>
      <c r="C645" s="381" t="s">
        <v>1250</v>
      </c>
      <c r="D645" s="381" t="s">
        <v>792</v>
      </c>
      <c r="E645" s="381" t="s">
        <v>1534</v>
      </c>
      <c r="F645" s="378">
        <v>-51512</v>
      </c>
      <c r="G645" s="378">
        <v>0</v>
      </c>
      <c r="H645" s="378">
        <v>24465</v>
      </c>
      <c r="I645" s="378">
        <v>-75977</v>
      </c>
      <c r="J645" s="266">
        <f t="shared" si="10"/>
        <v>8</v>
      </c>
    </row>
    <row r="646" spans="1:10" ht="15.75" customHeight="1" x14ac:dyDescent="0.25">
      <c r="A646" s="380">
        <v>25301005</v>
      </c>
      <c r="B646" s="381" t="s">
        <v>321</v>
      </c>
      <c r="C646" s="381" t="s">
        <v>1250</v>
      </c>
      <c r="D646" s="381" t="s">
        <v>1688</v>
      </c>
      <c r="E646" s="381" t="s">
        <v>1689</v>
      </c>
      <c r="F646" s="378">
        <v>-5892</v>
      </c>
      <c r="G646" s="378">
        <v>0</v>
      </c>
      <c r="H646" s="378">
        <v>0</v>
      </c>
      <c r="I646" s="378">
        <v>-5892</v>
      </c>
      <c r="J646" s="266">
        <f t="shared" si="10"/>
        <v>8</v>
      </c>
    </row>
    <row r="647" spans="1:10" ht="15.75" customHeight="1" x14ac:dyDescent="0.25">
      <c r="A647" s="380">
        <v>25301005</v>
      </c>
      <c r="B647" s="381" t="s">
        <v>321</v>
      </c>
      <c r="C647" s="381" t="s">
        <v>1250</v>
      </c>
      <c r="D647" s="381" t="s">
        <v>1492</v>
      </c>
      <c r="E647" s="381" t="s">
        <v>1493</v>
      </c>
      <c r="F647" s="378">
        <v>-12049</v>
      </c>
      <c r="G647" s="378">
        <v>0</v>
      </c>
      <c r="H647" s="378">
        <v>0</v>
      </c>
      <c r="I647" s="378">
        <v>-12049</v>
      </c>
      <c r="J647" s="266">
        <f t="shared" si="10"/>
        <v>8</v>
      </c>
    </row>
    <row r="648" spans="1:10" ht="15.75" customHeight="1" x14ac:dyDescent="0.25">
      <c r="A648" s="380">
        <v>25301005</v>
      </c>
      <c r="B648" s="381" t="s">
        <v>321</v>
      </c>
      <c r="C648" s="381" t="s">
        <v>1250</v>
      </c>
      <c r="D648" s="381" t="s">
        <v>1412</v>
      </c>
      <c r="E648" s="381" t="s">
        <v>1413</v>
      </c>
      <c r="F648" s="378">
        <v>-817</v>
      </c>
      <c r="G648" s="378">
        <v>0</v>
      </c>
      <c r="H648" s="378">
        <v>0</v>
      </c>
      <c r="I648" s="378">
        <v>-817</v>
      </c>
      <c r="J648" s="266">
        <f t="shared" si="10"/>
        <v>8</v>
      </c>
    </row>
    <row r="649" spans="1:10" ht="15.75" customHeight="1" x14ac:dyDescent="0.25">
      <c r="A649" s="380">
        <v>25301005</v>
      </c>
      <c r="B649" s="381" t="s">
        <v>321</v>
      </c>
      <c r="C649" s="381" t="s">
        <v>1250</v>
      </c>
      <c r="D649" s="381" t="s">
        <v>1667</v>
      </c>
      <c r="E649" s="381" t="s">
        <v>1668</v>
      </c>
      <c r="F649" s="378">
        <v>-41667</v>
      </c>
      <c r="G649" s="378">
        <v>0</v>
      </c>
      <c r="H649" s="378">
        <v>18333</v>
      </c>
      <c r="I649" s="378">
        <v>-60000</v>
      </c>
      <c r="J649" s="266">
        <f t="shared" si="10"/>
        <v>8</v>
      </c>
    </row>
    <row r="650" spans="1:10" ht="15.75" customHeight="1" x14ac:dyDescent="0.25">
      <c r="A650" s="380">
        <v>25301005</v>
      </c>
      <c r="B650" s="381" t="s">
        <v>321</v>
      </c>
      <c r="C650" s="381" t="s">
        <v>1250</v>
      </c>
      <c r="D650" s="381" t="s">
        <v>1669</v>
      </c>
      <c r="E650" s="381" t="s">
        <v>1670</v>
      </c>
      <c r="F650" s="378">
        <v>-53354</v>
      </c>
      <c r="G650" s="378">
        <v>0</v>
      </c>
      <c r="H650" s="378">
        <v>20627</v>
      </c>
      <c r="I650" s="378">
        <v>-73981</v>
      </c>
      <c r="J650" s="266">
        <f t="shared" si="10"/>
        <v>8</v>
      </c>
    </row>
    <row r="651" spans="1:10" ht="15.75" customHeight="1" x14ac:dyDescent="0.25">
      <c r="A651" s="380">
        <v>25301005</v>
      </c>
      <c r="B651" s="381" t="s">
        <v>321</v>
      </c>
      <c r="C651" s="381" t="s">
        <v>1250</v>
      </c>
      <c r="D651" s="381" t="s">
        <v>1671</v>
      </c>
      <c r="E651" s="381" t="s">
        <v>1672</v>
      </c>
      <c r="F651" s="378">
        <v>-6639</v>
      </c>
      <c r="G651" s="378">
        <v>0</v>
      </c>
      <c r="H651" s="378">
        <v>9783</v>
      </c>
      <c r="I651" s="378">
        <v>-16422</v>
      </c>
      <c r="J651" s="266">
        <f t="shared" si="10"/>
        <v>8</v>
      </c>
    </row>
    <row r="652" spans="1:10" ht="15.75" customHeight="1" x14ac:dyDescent="0.25">
      <c r="A652" s="380">
        <v>25301005</v>
      </c>
      <c r="B652" s="381" t="s">
        <v>321</v>
      </c>
      <c r="C652" s="381" t="s">
        <v>1250</v>
      </c>
      <c r="D652" s="381" t="s">
        <v>1673</v>
      </c>
      <c r="E652" s="381" t="s">
        <v>1674</v>
      </c>
      <c r="F652" s="378">
        <v>-54668</v>
      </c>
      <c r="G652" s="378">
        <v>0</v>
      </c>
      <c r="H652" s="378">
        <v>25325</v>
      </c>
      <c r="I652" s="378">
        <v>-79993</v>
      </c>
      <c r="J652" s="266">
        <f t="shared" ref="J652:J715" si="11">+LEN(A652)</f>
        <v>8</v>
      </c>
    </row>
    <row r="653" spans="1:10" ht="15.75" customHeight="1" x14ac:dyDescent="0.25">
      <c r="A653" s="380">
        <v>25301005</v>
      </c>
      <c r="B653" s="381" t="s">
        <v>321</v>
      </c>
      <c r="C653" s="381" t="s">
        <v>1250</v>
      </c>
      <c r="D653" s="381" t="s">
        <v>1675</v>
      </c>
      <c r="E653" s="381" t="s">
        <v>1676</v>
      </c>
      <c r="F653" s="378">
        <v>0</v>
      </c>
      <c r="G653" s="378">
        <v>0</v>
      </c>
      <c r="H653" s="378">
        <v>121</v>
      </c>
      <c r="I653" s="378">
        <v>-121</v>
      </c>
      <c r="J653" s="266">
        <f t="shared" si="11"/>
        <v>8</v>
      </c>
    </row>
    <row r="654" spans="1:10" ht="15.75" customHeight="1" x14ac:dyDescent="0.25">
      <c r="A654" s="380">
        <v>25301005</v>
      </c>
      <c r="B654" s="381" t="s">
        <v>321</v>
      </c>
      <c r="C654" s="381" t="s">
        <v>1250</v>
      </c>
      <c r="D654" s="381" t="s">
        <v>1677</v>
      </c>
      <c r="E654" s="381" t="s">
        <v>1678</v>
      </c>
      <c r="F654" s="378">
        <v>0</v>
      </c>
      <c r="G654" s="378">
        <v>0</v>
      </c>
      <c r="H654" s="378">
        <v>121</v>
      </c>
      <c r="I654" s="378">
        <v>-121</v>
      </c>
      <c r="J654" s="266">
        <f t="shared" si="11"/>
        <v>8</v>
      </c>
    </row>
    <row r="655" spans="1:10" ht="15.75" customHeight="1" x14ac:dyDescent="0.25">
      <c r="A655" s="380">
        <v>25301010</v>
      </c>
      <c r="B655" s="381" t="s">
        <v>321</v>
      </c>
      <c r="C655" s="381" t="s">
        <v>1251</v>
      </c>
      <c r="D655" s="381" t="s">
        <v>315</v>
      </c>
      <c r="E655" s="381" t="s">
        <v>315</v>
      </c>
      <c r="F655" s="378">
        <v>21333</v>
      </c>
      <c r="G655" s="378">
        <v>118295</v>
      </c>
      <c r="H655" s="378">
        <v>0</v>
      </c>
      <c r="I655" s="378">
        <v>139628</v>
      </c>
      <c r="J655" s="266">
        <f t="shared" si="11"/>
        <v>8</v>
      </c>
    </row>
    <row r="656" spans="1:10" ht="15.75" customHeight="1" x14ac:dyDescent="0.25">
      <c r="A656" s="380">
        <v>25301010</v>
      </c>
      <c r="B656" s="381" t="s">
        <v>321</v>
      </c>
      <c r="C656" s="381" t="s">
        <v>1251</v>
      </c>
      <c r="D656" s="381" t="s">
        <v>1604</v>
      </c>
      <c r="E656" s="381" t="s">
        <v>1605</v>
      </c>
      <c r="F656" s="378">
        <v>52</v>
      </c>
      <c r="G656" s="378">
        <v>0</v>
      </c>
      <c r="H656" s="378">
        <v>0</v>
      </c>
      <c r="I656" s="378">
        <v>52</v>
      </c>
      <c r="J656" s="266">
        <f t="shared" si="11"/>
        <v>8</v>
      </c>
    </row>
    <row r="657" spans="1:10" ht="15.75" customHeight="1" x14ac:dyDescent="0.25">
      <c r="A657" s="380">
        <v>25301010</v>
      </c>
      <c r="B657" s="381" t="s">
        <v>321</v>
      </c>
      <c r="C657" s="381" t="s">
        <v>1251</v>
      </c>
      <c r="D657" s="381" t="s">
        <v>1690</v>
      </c>
      <c r="E657" s="381" t="s">
        <v>1691</v>
      </c>
      <c r="F657" s="378">
        <v>644</v>
      </c>
      <c r="G657" s="378">
        <v>0</v>
      </c>
      <c r="H657" s="378">
        <v>0</v>
      </c>
      <c r="I657" s="378">
        <v>644</v>
      </c>
      <c r="J657" s="266">
        <f t="shared" si="11"/>
        <v>8</v>
      </c>
    </row>
    <row r="658" spans="1:10" ht="15.75" customHeight="1" x14ac:dyDescent="0.25">
      <c r="A658" s="380">
        <v>25301010</v>
      </c>
      <c r="B658" s="381" t="s">
        <v>321</v>
      </c>
      <c r="C658" s="381" t="s">
        <v>1251</v>
      </c>
      <c r="D658" s="381" t="s">
        <v>1686</v>
      </c>
      <c r="E658" s="381" t="s">
        <v>1687</v>
      </c>
      <c r="F658" s="378">
        <v>14008</v>
      </c>
      <c r="G658" s="378">
        <v>0</v>
      </c>
      <c r="H658" s="378">
        <v>0</v>
      </c>
      <c r="I658" s="378">
        <v>14008</v>
      </c>
      <c r="J658" s="266">
        <f t="shared" si="11"/>
        <v>8</v>
      </c>
    </row>
    <row r="659" spans="1:10" ht="15.75" customHeight="1" x14ac:dyDescent="0.25">
      <c r="A659" s="380">
        <v>25301010</v>
      </c>
      <c r="B659" s="381" t="s">
        <v>321</v>
      </c>
      <c r="C659" s="381" t="s">
        <v>1251</v>
      </c>
      <c r="D659" s="381" t="s">
        <v>1659</v>
      </c>
      <c r="E659" s="381" t="s">
        <v>1660</v>
      </c>
      <c r="F659" s="378">
        <v>0</v>
      </c>
      <c r="G659" s="378">
        <v>56782</v>
      </c>
      <c r="H659" s="378">
        <v>0</v>
      </c>
      <c r="I659" s="378">
        <v>56782</v>
      </c>
      <c r="J659" s="266">
        <f t="shared" si="11"/>
        <v>8</v>
      </c>
    </row>
    <row r="660" spans="1:10" ht="15.75" customHeight="1" x14ac:dyDescent="0.25">
      <c r="A660" s="380">
        <v>25301010</v>
      </c>
      <c r="B660" s="381" t="s">
        <v>321</v>
      </c>
      <c r="C660" s="381" t="s">
        <v>1251</v>
      </c>
      <c r="D660" s="381" t="s">
        <v>1527</v>
      </c>
      <c r="E660" s="381" t="s">
        <v>1528</v>
      </c>
      <c r="F660" s="378">
        <v>0</v>
      </c>
      <c r="G660" s="378">
        <v>61513</v>
      </c>
      <c r="H660" s="378">
        <v>0</v>
      </c>
      <c r="I660" s="378">
        <v>61513</v>
      </c>
      <c r="J660" s="266">
        <f t="shared" si="11"/>
        <v>8</v>
      </c>
    </row>
    <row r="661" spans="1:10" ht="15.75" customHeight="1" x14ac:dyDescent="0.25">
      <c r="A661" s="380">
        <v>25301010</v>
      </c>
      <c r="B661" s="381" t="s">
        <v>321</v>
      </c>
      <c r="C661" s="381" t="s">
        <v>1251</v>
      </c>
      <c r="D661" s="381" t="s">
        <v>1688</v>
      </c>
      <c r="E661" s="381" t="s">
        <v>1689</v>
      </c>
      <c r="F661" s="378">
        <v>5892</v>
      </c>
      <c r="G661" s="378">
        <v>0</v>
      </c>
      <c r="H661" s="378">
        <v>0</v>
      </c>
      <c r="I661" s="378">
        <v>5892</v>
      </c>
      <c r="J661" s="266">
        <f t="shared" si="11"/>
        <v>8</v>
      </c>
    </row>
    <row r="662" spans="1:10" ht="15.75" customHeight="1" x14ac:dyDescent="0.25">
      <c r="A662" s="380">
        <v>25301010</v>
      </c>
      <c r="B662" s="381" t="s">
        <v>321</v>
      </c>
      <c r="C662" s="381" t="s">
        <v>1251</v>
      </c>
      <c r="D662" s="381" t="s">
        <v>1412</v>
      </c>
      <c r="E662" s="381" t="s">
        <v>1413</v>
      </c>
      <c r="F662" s="378">
        <v>737</v>
      </c>
      <c r="G662" s="378">
        <v>0</v>
      </c>
      <c r="H662" s="378">
        <v>0</v>
      </c>
      <c r="I662" s="378">
        <v>737</v>
      </c>
      <c r="J662" s="266">
        <f t="shared" si="11"/>
        <v>8</v>
      </c>
    </row>
    <row r="663" spans="1:10" ht="15.75" customHeight="1" x14ac:dyDescent="0.25">
      <c r="A663" s="380">
        <v>253015</v>
      </c>
      <c r="B663" s="381" t="s">
        <v>321</v>
      </c>
      <c r="C663" s="381" t="s">
        <v>104</v>
      </c>
      <c r="D663" s="381" t="s">
        <v>315</v>
      </c>
      <c r="E663" s="381" t="s">
        <v>315</v>
      </c>
      <c r="F663" s="378">
        <v>-13773582</v>
      </c>
      <c r="G663" s="378">
        <v>1158292</v>
      </c>
      <c r="H663" s="378">
        <v>1983301</v>
      </c>
      <c r="I663" s="378">
        <v>-14598591</v>
      </c>
      <c r="J663" s="266">
        <f t="shared" si="11"/>
        <v>6</v>
      </c>
    </row>
    <row r="664" spans="1:10" ht="15.75" customHeight="1" x14ac:dyDescent="0.25">
      <c r="A664" s="380">
        <v>25301505</v>
      </c>
      <c r="B664" s="381" t="s">
        <v>321</v>
      </c>
      <c r="C664" s="381" t="s">
        <v>1252</v>
      </c>
      <c r="D664" s="381" t="s">
        <v>315</v>
      </c>
      <c r="E664" s="381" t="s">
        <v>315</v>
      </c>
      <c r="F664" s="378">
        <v>-15151970</v>
      </c>
      <c r="G664" s="378">
        <v>0</v>
      </c>
      <c r="H664" s="378">
        <v>1983301</v>
      </c>
      <c r="I664" s="378">
        <v>-17135271</v>
      </c>
      <c r="J664" s="266">
        <f t="shared" si="11"/>
        <v>8</v>
      </c>
    </row>
    <row r="665" spans="1:10" ht="15.75" customHeight="1" x14ac:dyDescent="0.25">
      <c r="A665" s="380">
        <v>25301505</v>
      </c>
      <c r="B665" s="381" t="s">
        <v>321</v>
      </c>
      <c r="C665" s="381" t="s">
        <v>1252</v>
      </c>
      <c r="D665" s="381" t="s">
        <v>1488</v>
      </c>
      <c r="E665" s="381" t="s">
        <v>1682</v>
      </c>
      <c r="F665" s="378">
        <v>-134100</v>
      </c>
      <c r="G665" s="378">
        <v>0</v>
      </c>
      <c r="H665" s="378">
        <v>0</v>
      </c>
      <c r="I665" s="378">
        <v>-134100</v>
      </c>
      <c r="J665" s="266">
        <f t="shared" si="11"/>
        <v>8</v>
      </c>
    </row>
    <row r="666" spans="1:10" ht="15.75" customHeight="1" x14ac:dyDescent="0.25">
      <c r="A666" s="380">
        <v>25301505</v>
      </c>
      <c r="B666" s="381" t="s">
        <v>321</v>
      </c>
      <c r="C666" s="381" t="s">
        <v>1252</v>
      </c>
      <c r="D666" s="381" t="s">
        <v>1535</v>
      </c>
      <c r="E666" s="381" t="s">
        <v>1536</v>
      </c>
      <c r="F666" s="378">
        <v>-397450</v>
      </c>
      <c r="G666" s="378">
        <v>0</v>
      </c>
      <c r="H666" s="378">
        <v>79729</v>
      </c>
      <c r="I666" s="378">
        <v>-477179</v>
      </c>
      <c r="J666" s="266">
        <f t="shared" si="11"/>
        <v>8</v>
      </c>
    </row>
    <row r="667" spans="1:10" ht="15.75" customHeight="1" x14ac:dyDescent="0.25">
      <c r="A667" s="380">
        <v>25301505</v>
      </c>
      <c r="B667" s="381" t="s">
        <v>321</v>
      </c>
      <c r="C667" s="381" t="s">
        <v>1252</v>
      </c>
      <c r="D667" s="381" t="s">
        <v>1604</v>
      </c>
      <c r="E667" s="381" t="s">
        <v>1605</v>
      </c>
      <c r="F667" s="378">
        <v>-561370</v>
      </c>
      <c r="G667" s="378">
        <v>0</v>
      </c>
      <c r="H667" s="378">
        <v>72954</v>
      </c>
      <c r="I667" s="378">
        <v>-634324</v>
      </c>
      <c r="J667" s="266">
        <f t="shared" si="11"/>
        <v>8</v>
      </c>
    </row>
    <row r="668" spans="1:10" ht="15.75" customHeight="1" x14ac:dyDescent="0.25">
      <c r="A668" s="380">
        <v>25301505</v>
      </c>
      <c r="B668" s="381" t="s">
        <v>321</v>
      </c>
      <c r="C668" s="381" t="s">
        <v>1252</v>
      </c>
      <c r="D668" s="381" t="s">
        <v>1649</v>
      </c>
      <c r="E668" s="381" t="s">
        <v>1650</v>
      </c>
      <c r="F668" s="378">
        <v>-638014</v>
      </c>
      <c r="G668" s="378">
        <v>0</v>
      </c>
      <c r="H668" s="378">
        <v>110056</v>
      </c>
      <c r="I668" s="378">
        <v>-748070</v>
      </c>
      <c r="J668" s="266">
        <f t="shared" si="11"/>
        <v>8</v>
      </c>
    </row>
    <row r="669" spans="1:10" ht="15.75" customHeight="1" x14ac:dyDescent="0.25">
      <c r="A669" s="380">
        <v>25301505</v>
      </c>
      <c r="B669" s="381" t="s">
        <v>321</v>
      </c>
      <c r="C669" s="381" t="s">
        <v>1252</v>
      </c>
      <c r="D669" s="381" t="s">
        <v>1690</v>
      </c>
      <c r="E669" s="381" t="s">
        <v>1691</v>
      </c>
      <c r="F669" s="378">
        <v>-59345</v>
      </c>
      <c r="G669" s="378">
        <v>0</v>
      </c>
      <c r="H669" s="378">
        <v>0</v>
      </c>
      <c r="I669" s="378">
        <v>-59345</v>
      </c>
      <c r="J669" s="266">
        <f t="shared" si="11"/>
        <v>8</v>
      </c>
    </row>
    <row r="670" spans="1:10" ht="15.75" customHeight="1" x14ac:dyDescent="0.25">
      <c r="A670" s="380">
        <v>25301505</v>
      </c>
      <c r="B670" s="381" t="s">
        <v>321</v>
      </c>
      <c r="C670" s="381" t="s">
        <v>1252</v>
      </c>
      <c r="D670" s="381" t="s">
        <v>1651</v>
      </c>
      <c r="E670" s="381" t="s">
        <v>1652</v>
      </c>
      <c r="F670" s="378">
        <v>-501959</v>
      </c>
      <c r="G670" s="378">
        <v>0</v>
      </c>
      <c r="H670" s="378">
        <v>83393</v>
      </c>
      <c r="I670" s="378">
        <v>-585352</v>
      </c>
      <c r="J670" s="266">
        <f t="shared" si="11"/>
        <v>8</v>
      </c>
    </row>
    <row r="671" spans="1:10" ht="15.75" customHeight="1" x14ac:dyDescent="0.25">
      <c r="A671" s="380">
        <v>25301505</v>
      </c>
      <c r="B671" s="381" t="s">
        <v>321</v>
      </c>
      <c r="C671" s="381" t="s">
        <v>1252</v>
      </c>
      <c r="D671" s="381" t="s">
        <v>1443</v>
      </c>
      <c r="E671" s="381" t="s">
        <v>1530</v>
      </c>
      <c r="F671" s="378">
        <v>-679170</v>
      </c>
      <c r="G671" s="378">
        <v>0</v>
      </c>
      <c r="H671" s="378">
        <v>99627</v>
      </c>
      <c r="I671" s="378">
        <v>-778797</v>
      </c>
      <c r="J671" s="266">
        <f t="shared" si="11"/>
        <v>8</v>
      </c>
    </row>
    <row r="672" spans="1:10" ht="15.75" customHeight="1" x14ac:dyDescent="0.25">
      <c r="A672" s="380">
        <v>25301505</v>
      </c>
      <c r="B672" s="381" t="s">
        <v>321</v>
      </c>
      <c r="C672" s="381" t="s">
        <v>1252</v>
      </c>
      <c r="D672" s="381" t="s">
        <v>1653</v>
      </c>
      <c r="E672" s="381" t="s">
        <v>1654</v>
      </c>
      <c r="F672" s="378">
        <v>-449596</v>
      </c>
      <c r="G672" s="378">
        <v>0</v>
      </c>
      <c r="H672" s="378">
        <v>72954</v>
      </c>
      <c r="I672" s="378">
        <v>-522550</v>
      </c>
      <c r="J672" s="266">
        <f t="shared" si="11"/>
        <v>8</v>
      </c>
    </row>
    <row r="673" spans="1:10" ht="15.75" customHeight="1" x14ac:dyDescent="0.25">
      <c r="A673" s="380">
        <v>25301505</v>
      </c>
      <c r="B673" s="381" t="s">
        <v>321</v>
      </c>
      <c r="C673" s="381" t="s">
        <v>1252</v>
      </c>
      <c r="D673" s="381" t="s">
        <v>1683</v>
      </c>
      <c r="E673" s="381" t="s">
        <v>1684</v>
      </c>
      <c r="F673" s="378">
        <v>-345922</v>
      </c>
      <c r="G673" s="378">
        <v>0</v>
      </c>
      <c r="H673" s="378">
        <v>0</v>
      </c>
      <c r="I673" s="378">
        <v>-345922</v>
      </c>
      <c r="J673" s="266">
        <f t="shared" si="11"/>
        <v>8</v>
      </c>
    </row>
    <row r="674" spans="1:10" ht="15.75" customHeight="1" x14ac:dyDescent="0.25">
      <c r="A674" s="380">
        <v>25301505</v>
      </c>
      <c r="B674" s="381" t="s">
        <v>321</v>
      </c>
      <c r="C674" s="381" t="s">
        <v>1252</v>
      </c>
      <c r="D674" s="381" t="s">
        <v>1606</v>
      </c>
      <c r="E674" s="381" t="s">
        <v>1607</v>
      </c>
      <c r="F674" s="378">
        <v>-581485</v>
      </c>
      <c r="G674" s="378">
        <v>0</v>
      </c>
      <c r="H674" s="378">
        <v>95159</v>
      </c>
      <c r="I674" s="378">
        <v>-676644</v>
      </c>
      <c r="J674" s="266">
        <f t="shared" si="11"/>
        <v>8</v>
      </c>
    </row>
    <row r="675" spans="1:10" ht="15.75" customHeight="1" x14ac:dyDescent="0.25">
      <c r="A675" s="380">
        <v>25301505</v>
      </c>
      <c r="B675" s="381" t="s">
        <v>321</v>
      </c>
      <c r="C675" s="381" t="s">
        <v>1252</v>
      </c>
      <c r="D675" s="381" t="s">
        <v>1686</v>
      </c>
      <c r="E675" s="381" t="s">
        <v>1687</v>
      </c>
      <c r="F675" s="378">
        <v>-242398</v>
      </c>
      <c r="G675" s="378">
        <v>0</v>
      </c>
      <c r="H675" s="378">
        <v>0</v>
      </c>
      <c r="I675" s="378">
        <v>-242398</v>
      </c>
      <c r="J675" s="266">
        <f t="shared" si="11"/>
        <v>8</v>
      </c>
    </row>
    <row r="676" spans="1:10" ht="15.75" customHeight="1" x14ac:dyDescent="0.25">
      <c r="A676" s="380">
        <v>25301505</v>
      </c>
      <c r="B676" s="381" t="s">
        <v>321</v>
      </c>
      <c r="C676" s="381" t="s">
        <v>1252</v>
      </c>
      <c r="D676" s="381" t="s">
        <v>1655</v>
      </c>
      <c r="E676" s="381" t="s">
        <v>1656</v>
      </c>
      <c r="F676" s="378">
        <v>-130695</v>
      </c>
      <c r="G676" s="378">
        <v>0</v>
      </c>
      <c r="H676" s="378">
        <v>73497</v>
      </c>
      <c r="I676" s="378">
        <v>-204192</v>
      </c>
      <c r="J676" s="266">
        <f t="shared" si="11"/>
        <v>8</v>
      </c>
    </row>
    <row r="677" spans="1:10" ht="15.75" customHeight="1" x14ac:dyDescent="0.25">
      <c r="A677" s="380">
        <v>25301505</v>
      </c>
      <c r="B677" s="381" t="s">
        <v>321</v>
      </c>
      <c r="C677" s="381" t="s">
        <v>1252</v>
      </c>
      <c r="D677" s="381" t="s">
        <v>1657</v>
      </c>
      <c r="E677" s="381" t="s">
        <v>1658</v>
      </c>
      <c r="F677" s="378">
        <v>-414336</v>
      </c>
      <c r="G677" s="378">
        <v>0</v>
      </c>
      <c r="H677" s="378">
        <v>78415</v>
      </c>
      <c r="I677" s="378">
        <v>-492751</v>
      </c>
      <c r="J677" s="266">
        <f t="shared" si="11"/>
        <v>8</v>
      </c>
    </row>
    <row r="678" spans="1:10" ht="15.75" customHeight="1" x14ac:dyDescent="0.25">
      <c r="A678" s="380">
        <v>25301505</v>
      </c>
      <c r="B678" s="381" t="s">
        <v>321</v>
      </c>
      <c r="C678" s="381" t="s">
        <v>1252</v>
      </c>
      <c r="D678" s="381" t="s">
        <v>1659</v>
      </c>
      <c r="E678" s="381" t="s">
        <v>1660</v>
      </c>
      <c r="F678" s="378">
        <v>-551391</v>
      </c>
      <c r="G678" s="378">
        <v>0</v>
      </c>
      <c r="H678" s="378">
        <v>29385</v>
      </c>
      <c r="I678" s="378">
        <v>-580776</v>
      </c>
      <c r="J678" s="266">
        <f t="shared" si="11"/>
        <v>8</v>
      </c>
    </row>
    <row r="679" spans="1:10" ht="15.75" customHeight="1" x14ac:dyDescent="0.25">
      <c r="A679" s="380">
        <v>25301505</v>
      </c>
      <c r="B679" s="381" t="s">
        <v>321</v>
      </c>
      <c r="C679" s="381" t="s">
        <v>1252</v>
      </c>
      <c r="D679" s="381" t="s">
        <v>1527</v>
      </c>
      <c r="E679" s="381" t="s">
        <v>1528</v>
      </c>
      <c r="F679" s="378">
        <v>-545611</v>
      </c>
      <c r="G679" s="378">
        <v>0</v>
      </c>
      <c r="H679" s="378">
        <v>31905</v>
      </c>
      <c r="I679" s="378">
        <v>-577516</v>
      </c>
      <c r="J679" s="266">
        <f t="shared" si="11"/>
        <v>8</v>
      </c>
    </row>
    <row r="680" spans="1:10" ht="15.75" customHeight="1" x14ac:dyDescent="0.25">
      <c r="A680" s="380">
        <v>25301505</v>
      </c>
      <c r="B680" s="381" t="s">
        <v>321</v>
      </c>
      <c r="C680" s="381" t="s">
        <v>1252</v>
      </c>
      <c r="D680" s="381" t="s">
        <v>1444</v>
      </c>
      <c r="E680" s="381" t="s">
        <v>1533</v>
      </c>
      <c r="F680" s="378">
        <v>-1197544</v>
      </c>
      <c r="G680" s="378">
        <v>0</v>
      </c>
      <c r="H680" s="378">
        <v>99627</v>
      </c>
      <c r="I680" s="378">
        <v>-1297171</v>
      </c>
      <c r="J680" s="266">
        <f t="shared" si="11"/>
        <v>8</v>
      </c>
    </row>
    <row r="681" spans="1:10" ht="15.75" customHeight="1" x14ac:dyDescent="0.25">
      <c r="A681" s="380">
        <v>25301505</v>
      </c>
      <c r="B681" s="381" t="s">
        <v>321</v>
      </c>
      <c r="C681" s="381" t="s">
        <v>1252</v>
      </c>
      <c r="D681" s="381" t="s">
        <v>1661</v>
      </c>
      <c r="E681" s="381" t="s">
        <v>1662</v>
      </c>
      <c r="F681" s="378">
        <v>-309435</v>
      </c>
      <c r="G681" s="378">
        <v>0</v>
      </c>
      <c r="H681" s="378">
        <v>79779</v>
      </c>
      <c r="I681" s="378">
        <v>-389214</v>
      </c>
      <c r="J681" s="266">
        <f t="shared" si="11"/>
        <v>8</v>
      </c>
    </row>
    <row r="682" spans="1:10" ht="15.75" customHeight="1" x14ac:dyDescent="0.25">
      <c r="A682" s="380">
        <v>25301505</v>
      </c>
      <c r="B682" s="381" t="s">
        <v>321</v>
      </c>
      <c r="C682" s="381" t="s">
        <v>1252</v>
      </c>
      <c r="D682" s="381" t="s">
        <v>1663</v>
      </c>
      <c r="E682" s="381" t="s">
        <v>1664</v>
      </c>
      <c r="F682" s="378">
        <v>-818616</v>
      </c>
      <c r="G682" s="378">
        <v>0</v>
      </c>
      <c r="H682" s="378">
        <v>87685</v>
      </c>
      <c r="I682" s="378">
        <v>-906301</v>
      </c>
      <c r="J682" s="266">
        <f t="shared" si="11"/>
        <v>8</v>
      </c>
    </row>
    <row r="683" spans="1:10" ht="15.75" customHeight="1" x14ac:dyDescent="0.25">
      <c r="A683" s="380">
        <v>25301505</v>
      </c>
      <c r="B683" s="381" t="s">
        <v>321</v>
      </c>
      <c r="C683" s="381" t="s">
        <v>1252</v>
      </c>
      <c r="D683" s="381" t="s">
        <v>1609</v>
      </c>
      <c r="E683" s="381" t="s">
        <v>1610</v>
      </c>
      <c r="F683" s="378">
        <v>-485875</v>
      </c>
      <c r="G683" s="378">
        <v>0</v>
      </c>
      <c r="H683" s="378">
        <v>79136</v>
      </c>
      <c r="I683" s="378">
        <v>-565011</v>
      </c>
      <c r="J683" s="266">
        <f t="shared" si="11"/>
        <v>8</v>
      </c>
    </row>
    <row r="684" spans="1:10" ht="15.75" customHeight="1" x14ac:dyDescent="0.25">
      <c r="A684" s="380">
        <v>25301505</v>
      </c>
      <c r="B684" s="381" t="s">
        <v>321</v>
      </c>
      <c r="C684" s="381" t="s">
        <v>1252</v>
      </c>
      <c r="D684" s="381" t="s">
        <v>1490</v>
      </c>
      <c r="E684" s="381" t="s">
        <v>1491</v>
      </c>
      <c r="F684" s="378">
        <v>-187059</v>
      </c>
      <c r="G684" s="378">
        <v>0</v>
      </c>
      <c r="H684" s="378">
        <v>0</v>
      </c>
      <c r="I684" s="378">
        <v>-187059</v>
      </c>
      <c r="J684" s="266">
        <f t="shared" si="11"/>
        <v>8</v>
      </c>
    </row>
    <row r="685" spans="1:10" ht="15.75" customHeight="1" x14ac:dyDescent="0.25">
      <c r="A685" s="380">
        <v>25301505</v>
      </c>
      <c r="B685" s="381" t="s">
        <v>321</v>
      </c>
      <c r="C685" s="381" t="s">
        <v>1252</v>
      </c>
      <c r="D685" s="381" t="s">
        <v>1210</v>
      </c>
      <c r="E685" s="381" t="s">
        <v>1611</v>
      </c>
      <c r="F685" s="378">
        <v>-286651</v>
      </c>
      <c r="G685" s="378">
        <v>0</v>
      </c>
      <c r="H685" s="378">
        <v>72954</v>
      </c>
      <c r="I685" s="378">
        <v>-359605</v>
      </c>
      <c r="J685" s="266">
        <f t="shared" si="11"/>
        <v>8</v>
      </c>
    </row>
    <row r="686" spans="1:10" ht="15.75" customHeight="1" x14ac:dyDescent="0.25">
      <c r="A686" s="380">
        <v>25301505</v>
      </c>
      <c r="B686" s="381" t="s">
        <v>321</v>
      </c>
      <c r="C686" s="381" t="s">
        <v>1252</v>
      </c>
      <c r="D686" s="381" t="s">
        <v>1523</v>
      </c>
      <c r="E686" s="381" t="s">
        <v>1524</v>
      </c>
      <c r="F686" s="378">
        <v>-2451555</v>
      </c>
      <c r="G686" s="378">
        <v>0</v>
      </c>
      <c r="H686" s="378">
        <v>246347</v>
      </c>
      <c r="I686" s="378">
        <v>-2697902</v>
      </c>
      <c r="J686" s="266">
        <f t="shared" si="11"/>
        <v>8</v>
      </c>
    </row>
    <row r="687" spans="1:10" ht="15.75" customHeight="1" x14ac:dyDescent="0.25">
      <c r="A687" s="380">
        <v>25301505</v>
      </c>
      <c r="B687" s="381" t="s">
        <v>321</v>
      </c>
      <c r="C687" s="381" t="s">
        <v>1252</v>
      </c>
      <c r="D687" s="381" t="s">
        <v>1665</v>
      </c>
      <c r="E687" s="381" t="s">
        <v>1666</v>
      </c>
      <c r="F687" s="378">
        <v>-43773</v>
      </c>
      <c r="G687" s="378">
        <v>0</v>
      </c>
      <c r="H687" s="378">
        <v>73234</v>
      </c>
      <c r="I687" s="378">
        <v>-117007</v>
      </c>
      <c r="J687" s="266">
        <f t="shared" si="11"/>
        <v>8</v>
      </c>
    </row>
    <row r="688" spans="1:10" ht="15.75" customHeight="1" x14ac:dyDescent="0.25">
      <c r="A688" s="380">
        <v>25301505</v>
      </c>
      <c r="B688" s="381" t="s">
        <v>321</v>
      </c>
      <c r="C688" s="381" t="s">
        <v>1252</v>
      </c>
      <c r="D688" s="381" t="s">
        <v>792</v>
      </c>
      <c r="E688" s="381" t="s">
        <v>1534</v>
      </c>
      <c r="F688" s="378">
        <v>-631301</v>
      </c>
      <c r="G688" s="378">
        <v>0</v>
      </c>
      <c r="H688" s="378">
        <v>72954</v>
      </c>
      <c r="I688" s="378">
        <v>-704255</v>
      </c>
      <c r="J688" s="266">
        <f t="shared" si="11"/>
        <v>8</v>
      </c>
    </row>
    <row r="689" spans="1:10" ht="15.75" customHeight="1" x14ac:dyDescent="0.25">
      <c r="A689" s="380">
        <v>25301505</v>
      </c>
      <c r="B689" s="381" t="s">
        <v>321</v>
      </c>
      <c r="C689" s="381" t="s">
        <v>1252</v>
      </c>
      <c r="D689" s="381" t="s">
        <v>1688</v>
      </c>
      <c r="E689" s="381" t="s">
        <v>1689</v>
      </c>
      <c r="F689" s="378">
        <v>-151987</v>
      </c>
      <c r="G689" s="378">
        <v>0</v>
      </c>
      <c r="H689" s="378">
        <v>0</v>
      </c>
      <c r="I689" s="378">
        <v>-151987</v>
      </c>
      <c r="J689" s="266">
        <f t="shared" si="11"/>
        <v>8</v>
      </c>
    </row>
    <row r="690" spans="1:10" ht="15.75" customHeight="1" x14ac:dyDescent="0.25">
      <c r="A690" s="380">
        <v>25301505</v>
      </c>
      <c r="B690" s="381" t="s">
        <v>321</v>
      </c>
      <c r="C690" s="381" t="s">
        <v>1252</v>
      </c>
      <c r="D690" s="381" t="s">
        <v>1492</v>
      </c>
      <c r="E690" s="381" t="s">
        <v>1493</v>
      </c>
      <c r="F690" s="378">
        <v>-315712</v>
      </c>
      <c r="G690" s="378">
        <v>0</v>
      </c>
      <c r="H690" s="378">
        <v>0</v>
      </c>
      <c r="I690" s="378">
        <v>-315712</v>
      </c>
      <c r="J690" s="266">
        <f t="shared" si="11"/>
        <v>8</v>
      </c>
    </row>
    <row r="691" spans="1:10" ht="15.75" customHeight="1" x14ac:dyDescent="0.25">
      <c r="A691" s="380">
        <v>25301505</v>
      </c>
      <c r="B691" s="381" t="s">
        <v>321</v>
      </c>
      <c r="C691" s="381" t="s">
        <v>1252</v>
      </c>
      <c r="D691" s="381" t="s">
        <v>1412</v>
      </c>
      <c r="E691" s="381" t="s">
        <v>1413</v>
      </c>
      <c r="F691" s="378">
        <v>-247408</v>
      </c>
      <c r="G691" s="378">
        <v>0</v>
      </c>
      <c r="H691" s="378">
        <v>0</v>
      </c>
      <c r="I691" s="378">
        <v>-247408</v>
      </c>
      <c r="J691" s="266">
        <f t="shared" si="11"/>
        <v>8</v>
      </c>
    </row>
    <row r="692" spans="1:10" ht="15.75" customHeight="1" x14ac:dyDescent="0.25">
      <c r="A692" s="380">
        <v>25301505</v>
      </c>
      <c r="B692" s="381" t="s">
        <v>321</v>
      </c>
      <c r="C692" s="381" t="s">
        <v>1252</v>
      </c>
      <c r="D692" s="381" t="s">
        <v>1667</v>
      </c>
      <c r="E692" s="381" t="s">
        <v>1668</v>
      </c>
      <c r="F692" s="378">
        <v>-573605</v>
      </c>
      <c r="G692" s="378">
        <v>0</v>
      </c>
      <c r="H692" s="378">
        <v>72955</v>
      </c>
      <c r="I692" s="378">
        <v>-646560</v>
      </c>
      <c r="J692" s="266">
        <f t="shared" si="11"/>
        <v>8</v>
      </c>
    </row>
    <row r="693" spans="1:10" ht="15.75" customHeight="1" x14ac:dyDescent="0.25">
      <c r="A693" s="380">
        <v>25301505</v>
      </c>
      <c r="B693" s="381" t="s">
        <v>321</v>
      </c>
      <c r="C693" s="381" t="s">
        <v>1252</v>
      </c>
      <c r="D693" s="381" t="s">
        <v>1669</v>
      </c>
      <c r="E693" s="381" t="s">
        <v>1670</v>
      </c>
      <c r="F693" s="378">
        <v>-672076</v>
      </c>
      <c r="G693" s="378">
        <v>0</v>
      </c>
      <c r="H693" s="378">
        <v>75306</v>
      </c>
      <c r="I693" s="378">
        <v>-747382</v>
      </c>
      <c r="J693" s="266">
        <f t="shared" si="11"/>
        <v>8</v>
      </c>
    </row>
    <row r="694" spans="1:10" ht="15.75" customHeight="1" x14ac:dyDescent="0.25">
      <c r="A694" s="380">
        <v>25301505</v>
      </c>
      <c r="B694" s="381" t="s">
        <v>321</v>
      </c>
      <c r="C694" s="381" t="s">
        <v>1252</v>
      </c>
      <c r="D694" s="381" t="s">
        <v>1671</v>
      </c>
      <c r="E694" s="381" t="s">
        <v>1672</v>
      </c>
      <c r="F694" s="378">
        <v>-134136</v>
      </c>
      <c r="G694" s="378">
        <v>0</v>
      </c>
      <c r="H694" s="378">
        <v>73340</v>
      </c>
      <c r="I694" s="378">
        <v>-207476</v>
      </c>
      <c r="J694" s="266">
        <f t="shared" si="11"/>
        <v>8</v>
      </c>
    </row>
    <row r="695" spans="1:10" ht="15.75" customHeight="1" x14ac:dyDescent="0.25">
      <c r="A695" s="380">
        <v>25301505</v>
      </c>
      <c r="B695" s="381" t="s">
        <v>321</v>
      </c>
      <c r="C695" s="381" t="s">
        <v>1252</v>
      </c>
      <c r="D695" s="381" t="s">
        <v>1673</v>
      </c>
      <c r="E695" s="381" t="s">
        <v>1674</v>
      </c>
      <c r="F695" s="378">
        <v>-412395</v>
      </c>
      <c r="G695" s="378">
        <v>0</v>
      </c>
      <c r="H695" s="378">
        <v>84390</v>
      </c>
      <c r="I695" s="378">
        <v>-496785</v>
      </c>
      <c r="J695" s="266">
        <f t="shared" si="11"/>
        <v>8</v>
      </c>
    </row>
    <row r="696" spans="1:10" ht="15.75" customHeight="1" x14ac:dyDescent="0.25">
      <c r="A696" s="380">
        <v>25301505</v>
      </c>
      <c r="B696" s="381" t="s">
        <v>321</v>
      </c>
      <c r="C696" s="381" t="s">
        <v>1252</v>
      </c>
      <c r="D696" s="381" t="s">
        <v>1675</v>
      </c>
      <c r="E696" s="381" t="s">
        <v>1676</v>
      </c>
      <c r="F696" s="378">
        <v>0</v>
      </c>
      <c r="G696" s="378">
        <v>0</v>
      </c>
      <c r="H696" s="378">
        <v>19260</v>
      </c>
      <c r="I696" s="378">
        <v>-19260</v>
      </c>
      <c r="J696" s="266">
        <f t="shared" si="11"/>
        <v>8</v>
      </c>
    </row>
    <row r="697" spans="1:10" ht="15.75" customHeight="1" x14ac:dyDescent="0.25">
      <c r="A697" s="380">
        <v>25301505</v>
      </c>
      <c r="B697" s="381" t="s">
        <v>321</v>
      </c>
      <c r="C697" s="381" t="s">
        <v>1252</v>
      </c>
      <c r="D697" s="381" t="s">
        <v>1677</v>
      </c>
      <c r="E697" s="381" t="s">
        <v>1678</v>
      </c>
      <c r="F697" s="378">
        <v>0</v>
      </c>
      <c r="G697" s="378">
        <v>0</v>
      </c>
      <c r="H697" s="378">
        <v>19260</v>
      </c>
      <c r="I697" s="378">
        <v>-19260</v>
      </c>
      <c r="J697" s="266">
        <f t="shared" si="11"/>
        <v>8</v>
      </c>
    </row>
    <row r="698" spans="1:10" ht="15.75" customHeight="1" x14ac:dyDescent="0.25">
      <c r="A698" s="380">
        <v>25301510</v>
      </c>
      <c r="B698" s="381" t="s">
        <v>321</v>
      </c>
      <c r="C698" s="381" t="s">
        <v>1692</v>
      </c>
      <c r="D698" s="381" t="s">
        <v>315</v>
      </c>
      <c r="E698" s="381" t="s">
        <v>315</v>
      </c>
      <c r="F698" s="378">
        <v>1378388</v>
      </c>
      <c r="G698" s="378">
        <v>1158292</v>
      </c>
      <c r="H698" s="378">
        <v>0</v>
      </c>
      <c r="I698" s="378">
        <v>2536680</v>
      </c>
      <c r="J698" s="266">
        <f t="shared" si="11"/>
        <v>8</v>
      </c>
    </row>
    <row r="699" spans="1:10" ht="15.75" customHeight="1" x14ac:dyDescent="0.25">
      <c r="A699" s="380">
        <v>25301510</v>
      </c>
      <c r="B699" s="381" t="s">
        <v>321</v>
      </c>
      <c r="C699" s="381" t="s">
        <v>1692</v>
      </c>
      <c r="D699" s="381" t="s">
        <v>1690</v>
      </c>
      <c r="E699" s="381" t="s">
        <v>1691</v>
      </c>
      <c r="F699" s="378">
        <v>59345</v>
      </c>
      <c r="G699" s="378">
        <v>0</v>
      </c>
      <c r="H699" s="378">
        <v>0</v>
      </c>
      <c r="I699" s="378">
        <v>59345</v>
      </c>
      <c r="J699" s="266">
        <f t="shared" si="11"/>
        <v>8</v>
      </c>
    </row>
    <row r="700" spans="1:10" ht="15.75" customHeight="1" x14ac:dyDescent="0.25">
      <c r="A700" s="380">
        <v>25301510</v>
      </c>
      <c r="B700" s="381" t="s">
        <v>321</v>
      </c>
      <c r="C700" s="381" t="s">
        <v>1692</v>
      </c>
      <c r="D700" s="381" t="s">
        <v>1651</v>
      </c>
      <c r="E700" s="381" t="s">
        <v>1652</v>
      </c>
      <c r="F700" s="378">
        <v>125013</v>
      </c>
      <c r="G700" s="378">
        <v>0</v>
      </c>
      <c r="H700" s="378">
        <v>0</v>
      </c>
      <c r="I700" s="378">
        <v>125013</v>
      </c>
      <c r="J700" s="266">
        <f t="shared" si="11"/>
        <v>8</v>
      </c>
    </row>
    <row r="701" spans="1:10" ht="15.75" customHeight="1" x14ac:dyDescent="0.25">
      <c r="A701" s="380">
        <v>25301510</v>
      </c>
      <c r="B701" s="381" t="s">
        <v>321</v>
      </c>
      <c r="C701" s="381" t="s">
        <v>1692</v>
      </c>
      <c r="D701" s="381" t="s">
        <v>1686</v>
      </c>
      <c r="E701" s="381" t="s">
        <v>1687</v>
      </c>
      <c r="F701" s="378">
        <v>242398</v>
      </c>
      <c r="G701" s="378">
        <v>0</v>
      </c>
      <c r="H701" s="378">
        <v>0</v>
      </c>
      <c r="I701" s="378">
        <v>242398</v>
      </c>
      <c r="J701" s="266">
        <f t="shared" si="11"/>
        <v>8</v>
      </c>
    </row>
    <row r="702" spans="1:10" ht="15.75" customHeight="1" x14ac:dyDescent="0.25">
      <c r="A702" s="380">
        <v>25301510</v>
      </c>
      <c r="B702" s="381" t="s">
        <v>321</v>
      </c>
      <c r="C702" s="381" t="s">
        <v>1692</v>
      </c>
      <c r="D702" s="381" t="s">
        <v>1659</v>
      </c>
      <c r="E702" s="381" t="s">
        <v>1660</v>
      </c>
      <c r="F702" s="378">
        <v>0</v>
      </c>
      <c r="G702" s="378">
        <v>580776</v>
      </c>
      <c r="H702" s="378">
        <v>0</v>
      </c>
      <c r="I702" s="378">
        <v>580776</v>
      </c>
      <c r="J702" s="266">
        <f t="shared" si="11"/>
        <v>8</v>
      </c>
    </row>
    <row r="703" spans="1:10" ht="15.75" customHeight="1" x14ac:dyDescent="0.25">
      <c r="A703" s="380">
        <v>25301510</v>
      </c>
      <c r="B703" s="381" t="s">
        <v>321</v>
      </c>
      <c r="C703" s="381" t="s">
        <v>1692</v>
      </c>
      <c r="D703" s="381" t="s">
        <v>1527</v>
      </c>
      <c r="E703" s="381" t="s">
        <v>1528</v>
      </c>
      <c r="F703" s="378">
        <v>0</v>
      </c>
      <c r="G703" s="378">
        <v>577516</v>
      </c>
      <c r="H703" s="378">
        <v>0</v>
      </c>
      <c r="I703" s="378">
        <v>577516</v>
      </c>
      <c r="J703" s="266">
        <f t="shared" si="11"/>
        <v>8</v>
      </c>
    </row>
    <row r="704" spans="1:10" ht="15.75" customHeight="1" x14ac:dyDescent="0.25">
      <c r="A704" s="380">
        <v>25301510</v>
      </c>
      <c r="B704" s="381" t="s">
        <v>321</v>
      </c>
      <c r="C704" s="381" t="s">
        <v>1692</v>
      </c>
      <c r="D704" s="381" t="s">
        <v>1663</v>
      </c>
      <c r="E704" s="381" t="s">
        <v>1664</v>
      </c>
      <c r="F704" s="378">
        <v>409310</v>
      </c>
      <c r="G704" s="378">
        <v>0</v>
      </c>
      <c r="H704" s="378">
        <v>0</v>
      </c>
      <c r="I704" s="378">
        <v>409310</v>
      </c>
      <c r="J704" s="266">
        <f t="shared" si="11"/>
        <v>8</v>
      </c>
    </row>
    <row r="705" spans="1:10" ht="15.75" customHeight="1" x14ac:dyDescent="0.25">
      <c r="A705" s="380">
        <v>25301510</v>
      </c>
      <c r="B705" s="381" t="s">
        <v>321</v>
      </c>
      <c r="C705" s="381" t="s">
        <v>1692</v>
      </c>
      <c r="D705" s="381" t="s">
        <v>1688</v>
      </c>
      <c r="E705" s="381" t="s">
        <v>1689</v>
      </c>
      <c r="F705" s="378">
        <v>151987</v>
      </c>
      <c r="G705" s="378">
        <v>0</v>
      </c>
      <c r="H705" s="378">
        <v>0</v>
      </c>
      <c r="I705" s="378">
        <v>151987</v>
      </c>
      <c r="J705" s="266">
        <f t="shared" si="11"/>
        <v>8</v>
      </c>
    </row>
    <row r="706" spans="1:10" ht="15.75" customHeight="1" x14ac:dyDescent="0.25">
      <c r="A706" s="380">
        <v>25301510</v>
      </c>
      <c r="B706" s="381" t="s">
        <v>321</v>
      </c>
      <c r="C706" s="381" t="s">
        <v>1692</v>
      </c>
      <c r="D706" s="381" t="s">
        <v>1412</v>
      </c>
      <c r="E706" s="381" t="s">
        <v>1413</v>
      </c>
      <c r="F706" s="378">
        <v>247408</v>
      </c>
      <c r="G706" s="378">
        <v>0</v>
      </c>
      <c r="H706" s="378">
        <v>0</v>
      </c>
      <c r="I706" s="378">
        <v>247408</v>
      </c>
      <c r="J706" s="266">
        <f t="shared" si="11"/>
        <v>8</v>
      </c>
    </row>
    <row r="707" spans="1:10" ht="15.75" customHeight="1" x14ac:dyDescent="0.25">
      <c r="A707" s="380">
        <v>25301510</v>
      </c>
      <c r="B707" s="381" t="s">
        <v>321</v>
      </c>
      <c r="C707" s="381" t="s">
        <v>1692</v>
      </c>
      <c r="D707" s="381" t="s">
        <v>1669</v>
      </c>
      <c r="E707" s="381" t="s">
        <v>1670</v>
      </c>
      <c r="F707" s="378">
        <v>142927</v>
      </c>
      <c r="G707" s="378">
        <v>0</v>
      </c>
      <c r="H707" s="378">
        <v>0</v>
      </c>
      <c r="I707" s="378">
        <v>142927</v>
      </c>
      <c r="J707" s="266">
        <f t="shared" si="11"/>
        <v>8</v>
      </c>
    </row>
    <row r="708" spans="1:10" ht="15.75" customHeight="1" x14ac:dyDescent="0.25">
      <c r="A708" s="380">
        <v>253020</v>
      </c>
      <c r="B708" s="381" t="s">
        <v>321</v>
      </c>
      <c r="C708" s="381" t="s">
        <v>106</v>
      </c>
      <c r="D708" s="381" t="s">
        <v>315</v>
      </c>
      <c r="E708" s="381" t="s">
        <v>315</v>
      </c>
      <c r="F708" s="378">
        <v>-24367875</v>
      </c>
      <c r="G708" s="378">
        <v>29291828</v>
      </c>
      <c r="H708" s="378">
        <v>4923953</v>
      </c>
      <c r="I708" s="378">
        <v>0</v>
      </c>
      <c r="J708" s="266">
        <f t="shared" si="11"/>
        <v>6</v>
      </c>
    </row>
    <row r="709" spans="1:10" ht="15.75" customHeight="1" x14ac:dyDescent="0.25">
      <c r="A709" s="380">
        <v>25302005</v>
      </c>
      <c r="B709" s="381" t="s">
        <v>321</v>
      </c>
      <c r="C709" s="381" t="s">
        <v>1257</v>
      </c>
      <c r="D709" s="381" t="s">
        <v>315</v>
      </c>
      <c r="E709" s="381" t="s">
        <v>315</v>
      </c>
      <c r="F709" s="378">
        <v>-25286388</v>
      </c>
      <c r="G709" s="378">
        <v>1120105</v>
      </c>
      <c r="H709" s="378">
        <v>4829182</v>
      </c>
      <c r="I709" s="378">
        <v>-28995465</v>
      </c>
      <c r="J709" s="266">
        <f t="shared" si="11"/>
        <v>8</v>
      </c>
    </row>
    <row r="710" spans="1:10" ht="15.75" customHeight="1" x14ac:dyDescent="0.25">
      <c r="A710" s="380">
        <v>25302005</v>
      </c>
      <c r="B710" s="381" t="s">
        <v>321</v>
      </c>
      <c r="C710" s="381" t="s">
        <v>1257</v>
      </c>
      <c r="D710" s="381" t="s">
        <v>356</v>
      </c>
      <c r="E710" s="381" t="s">
        <v>357</v>
      </c>
      <c r="F710" s="378">
        <v>0</v>
      </c>
      <c r="G710" s="378">
        <v>1120105</v>
      </c>
      <c r="H710" s="378">
        <v>0</v>
      </c>
      <c r="I710" s="378">
        <v>1120105</v>
      </c>
      <c r="J710" s="266">
        <f t="shared" si="11"/>
        <v>8</v>
      </c>
    </row>
    <row r="711" spans="1:10" ht="15.75" customHeight="1" x14ac:dyDescent="0.25">
      <c r="A711" s="380">
        <v>25302005</v>
      </c>
      <c r="B711" s="381" t="s">
        <v>321</v>
      </c>
      <c r="C711" s="381" t="s">
        <v>1257</v>
      </c>
      <c r="D711" s="381" t="s">
        <v>1488</v>
      </c>
      <c r="E711" s="381" t="s">
        <v>1682</v>
      </c>
      <c r="F711" s="378">
        <v>-207080</v>
      </c>
      <c r="G711" s="378">
        <v>0</v>
      </c>
      <c r="H711" s="378">
        <v>0</v>
      </c>
      <c r="I711" s="378">
        <v>-207080</v>
      </c>
      <c r="J711" s="266">
        <f t="shared" si="11"/>
        <v>8</v>
      </c>
    </row>
    <row r="712" spans="1:10" ht="15.75" customHeight="1" x14ac:dyDescent="0.25">
      <c r="A712" s="380">
        <v>25302005</v>
      </c>
      <c r="B712" s="381" t="s">
        <v>321</v>
      </c>
      <c r="C712" s="381" t="s">
        <v>1257</v>
      </c>
      <c r="D712" s="381" t="s">
        <v>1535</v>
      </c>
      <c r="E712" s="381" t="s">
        <v>1536</v>
      </c>
      <c r="F712" s="378">
        <v>-1022602</v>
      </c>
      <c r="G712" s="378">
        <v>0</v>
      </c>
      <c r="H712" s="378">
        <v>204520</v>
      </c>
      <c r="I712" s="378">
        <v>-1227122</v>
      </c>
      <c r="J712" s="266">
        <f t="shared" si="11"/>
        <v>8</v>
      </c>
    </row>
    <row r="713" spans="1:10" ht="15.75" customHeight="1" x14ac:dyDescent="0.25">
      <c r="A713" s="380">
        <v>25302005</v>
      </c>
      <c r="B713" s="381" t="s">
        <v>321</v>
      </c>
      <c r="C713" s="381" t="s">
        <v>1257</v>
      </c>
      <c r="D713" s="381" t="s">
        <v>1604</v>
      </c>
      <c r="E713" s="381" t="s">
        <v>1605</v>
      </c>
      <c r="F713" s="378">
        <v>-1113697</v>
      </c>
      <c r="G713" s="378">
        <v>0</v>
      </c>
      <c r="H713" s="378">
        <v>222739</v>
      </c>
      <c r="I713" s="378">
        <v>-1336436</v>
      </c>
      <c r="J713" s="266">
        <f t="shared" si="11"/>
        <v>8</v>
      </c>
    </row>
    <row r="714" spans="1:10" ht="15.75" customHeight="1" x14ac:dyDescent="0.25">
      <c r="A714" s="380">
        <v>25302005</v>
      </c>
      <c r="B714" s="381" t="s">
        <v>321</v>
      </c>
      <c r="C714" s="381" t="s">
        <v>1257</v>
      </c>
      <c r="D714" s="381" t="s">
        <v>1649</v>
      </c>
      <c r="E714" s="381" t="s">
        <v>1650</v>
      </c>
      <c r="F714" s="378">
        <v>-1069158</v>
      </c>
      <c r="G714" s="378">
        <v>0</v>
      </c>
      <c r="H714" s="378">
        <v>213832</v>
      </c>
      <c r="I714" s="378">
        <v>-1282990</v>
      </c>
      <c r="J714" s="266">
        <f t="shared" si="11"/>
        <v>8</v>
      </c>
    </row>
    <row r="715" spans="1:10" ht="15.75" customHeight="1" x14ac:dyDescent="0.25">
      <c r="A715" s="380">
        <v>25302005</v>
      </c>
      <c r="B715" s="381" t="s">
        <v>321</v>
      </c>
      <c r="C715" s="381" t="s">
        <v>1257</v>
      </c>
      <c r="D715" s="381" t="s">
        <v>1690</v>
      </c>
      <c r="E715" s="381" t="s">
        <v>1691</v>
      </c>
      <c r="F715" s="378">
        <v>46712</v>
      </c>
      <c r="G715" s="378">
        <v>0</v>
      </c>
      <c r="H715" s="378">
        <v>0</v>
      </c>
      <c r="I715" s="378">
        <v>46712</v>
      </c>
      <c r="J715" s="266">
        <f t="shared" si="11"/>
        <v>8</v>
      </c>
    </row>
    <row r="716" spans="1:10" ht="15.75" customHeight="1" x14ac:dyDescent="0.25">
      <c r="A716" s="380">
        <v>25302005</v>
      </c>
      <c r="B716" s="381" t="s">
        <v>321</v>
      </c>
      <c r="C716" s="381" t="s">
        <v>1257</v>
      </c>
      <c r="D716" s="381" t="s">
        <v>1651</v>
      </c>
      <c r="E716" s="381" t="s">
        <v>1652</v>
      </c>
      <c r="F716" s="378">
        <v>-1008951</v>
      </c>
      <c r="G716" s="378">
        <v>0</v>
      </c>
      <c r="H716" s="378">
        <v>201791</v>
      </c>
      <c r="I716" s="378">
        <v>-1210742</v>
      </c>
      <c r="J716" s="266">
        <f t="shared" ref="J716:J779" si="12">+LEN(A716)</f>
        <v>8</v>
      </c>
    </row>
    <row r="717" spans="1:10" ht="15.75" customHeight="1" x14ac:dyDescent="0.25">
      <c r="A717" s="380">
        <v>25302005</v>
      </c>
      <c r="B717" s="381" t="s">
        <v>321</v>
      </c>
      <c r="C717" s="381" t="s">
        <v>1257</v>
      </c>
      <c r="D717" s="381" t="s">
        <v>1443</v>
      </c>
      <c r="E717" s="381" t="s">
        <v>1530</v>
      </c>
      <c r="F717" s="378">
        <v>-1265324</v>
      </c>
      <c r="G717" s="378">
        <v>0</v>
      </c>
      <c r="H717" s="378">
        <v>253065</v>
      </c>
      <c r="I717" s="378">
        <v>-1518389</v>
      </c>
      <c r="J717" s="266">
        <f t="shared" si="12"/>
        <v>8</v>
      </c>
    </row>
    <row r="718" spans="1:10" ht="15.75" customHeight="1" x14ac:dyDescent="0.25">
      <c r="A718" s="380">
        <v>25302005</v>
      </c>
      <c r="B718" s="381" t="s">
        <v>321</v>
      </c>
      <c r="C718" s="381" t="s">
        <v>1257</v>
      </c>
      <c r="D718" s="381" t="s">
        <v>1653</v>
      </c>
      <c r="E718" s="381" t="s">
        <v>1654</v>
      </c>
      <c r="F718" s="378">
        <v>-1076507</v>
      </c>
      <c r="G718" s="378">
        <v>0</v>
      </c>
      <c r="H718" s="378">
        <v>215301</v>
      </c>
      <c r="I718" s="378">
        <v>-1291808</v>
      </c>
      <c r="J718" s="266">
        <f t="shared" si="12"/>
        <v>8</v>
      </c>
    </row>
    <row r="719" spans="1:10" ht="15.75" customHeight="1" x14ac:dyDescent="0.25">
      <c r="A719" s="380">
        <v>25302005</v>
      </c>
      <c r="B719" s="381" t="s">
        <v>321</v>
      </c>
      <c r="C719" s="381" t="s">
        <v>1257</v>
      </c>
      <c r="D719" s="381" t="s">
        <v>1683</v>
      </c>
      <c r="E719" s="381" t="s">
        <v>1684</v>
      </c>
      <c r="F719" s="378">
        <v>-426374</v>
      </c>
      <c r="G719" s="378">
        <v>0</v>
      </c>
      <c r="H719" s="378">
        <v>0</v>
      </c>
      <c r="I719" s="378">
        <v>-426374</v>
      </c>
      <c r="J719" s="266">
        <f t="shared" si="12"/>
        <v>8</v>
      </c>
    </row>
    <row r="720" spans="1:10" ht="15.75" customHeight="1" x14ac:dyDescent="0.25">
      <c r="A720" s="380">
        <v>25302005</v>
      </c>
      <c r="B720" s="381" t="s">
        <v>321</v>
      </c>
      <c r="C720" s="381" t="s">
        <v>1257</v>
      </c>
      <c r="D720" s="381" t="s">
        <v>1606</v>
      </c>
      <c r="E720" s="381" t="s">
        <v>1607</v>
      </c>
      <c r="F720" s="378">
        <v>-1119746</v>
      </c>
      <c r="G720" s="378">
        <v>0</v>
      </c>
      <c r="H720" s="378">
        <v>223950</v>
      </c>
      <c r="I720" s="378">
        <v>-1343696</v>
      </c>
      <c r="J720" s="266">
        <f t="shared" si="12"/>
        <v>8</v>
      </c>
    </row>
    <row r="721" spans="1:10" ht="15.75" customHeight="1" x14ac:dyDescent="0.25">
      <c r="A721" s="380">
        <v>25302005</v>
      </c>
      <c r="B721" s="381" t="s">
        <v>321</v>
      </c>
      <c r="C721" s="381" t="s">
        <v>1257</v>
      </c>
      <c r="D721" s="381" t="s">
        <v>1686</v>
      </c>
      <c r="E721" s="381" t="s">
        <v>1687</v>
      </c>
      <c r="F721" s="378">
        <v>-508603</v>
      </c>
      <c r="G721" s="378">
        <v>0</v>
      </c>
      <c r="H721" s="378">
        <v>0</v>
      </c>
      <c r="I721" s="378">
        <v>-508603</v>
      </c>
      <c r="J721" s="266">
        <f t="shared" si="12"/>
        <v>8</v>
      </c>
    </row>
    <row r="722" spans="1:10" ht="15.75" customHeight="1" x14ac:dyDescent="0.25">
      <c r="A722" s="380">
        <v>25302005</v>
      </c>
      <c r="B722" s="381" t="s">
        <v>321</v>
      </c>
      <c r="C722" s="381" t="s">
        <v>1257</v>
      </c>
      <c r="D722" s="381" t="s">
        <v>1655</v>
      </c>
      <c r="E722" s="381" t="s">
        <v>1656</v>
      </c>
      <c r="F722" s="378">
        <v>-315807</v>
      </c>
      <c r="G722" s="378">
        <v>0</v>
      </c>
      <c r="H722" s="378">
        <v>178385</v>
      </c>
      <c r="I722" s="378">
        <v>-494192</v>
      </c>
      <c r="J722" s="266">
        <f t="shared" si="12"/>
        <v>8</v>
      </c>
    </row>
    <row r="723" spans="1:10" ht="15.75" customHeight="1" x14ac:dyDescent="0.25">
      <c r="A723" s="380">
        <v>25302005</v>
      </c>
      <c r="B723" s="381" t="s">
        <v>321</v>
      </c>
      <c r="C723" s="381" t="s">
        <v>1257</v>
      </c>
      <c r="D723" s="381" t="s">
        <v>1657</v>
      </c>
      <c r="E723" s="381" t="s">
        <v>1658</v>
      </c>
      <c r="F723" s="378">
        <v>-1023303</v>
      </c>
      <c r="G723" s="378">
        <v>0</v>
      </c>
      <c r="H723" s="378">
        <v>204661</v>
      </c>
      <c r="I723" s="378">
        <v>-1227964</v>
      </c>
      <c r="J723" s="266">
        <f t="shared" si="12"/>
        <v>8</v>
      </c>
    </row>
    <row r="724" spans="1:10" ht="15.75" customHeight="1" x14ac:dyDescent="0.25">
      <c r="A724" s="380">
        <v>25302005</v>
      </c>
      <c r="B724" s="381" t="s">
        <v>321</v>
      </c>
      <c r="C724" s="381" t="s">
        <v>1257</v>
      </c>
      <c r="D724" s="381" t="s">
        <v>1659</v>
      </c>
      <c r="E724" s="381" t="s">
        <v>1660</v>
      </c>
      <c r="F724" s="378">
        <v>-1086755</v>
      </c>
      <c r="G724" s="378">
        <v>0</v>
      </c>
      <c r="H724" s="378">
        <v>15229</v>
      </c>
      <c r="I724" s="378">
        <v>-1101984</v>
      </c>
      <c r="J724" s="266">
        <f t="shared" si="12"/>
        <v>8</v>
      </c>
    </row>
    <row r="725" spans="1:10" ht="15.75" customHeight="1" x14ac:dyDescent="0.25">
      <c r="A725" s="380">
        <v>25302005</v>
      </c>
      <c r="B725" s="381" t="s">
        <v>321</v>
      </c>
      <c r="C725" s="381" t="s">
        <v>1257</v>
      </c>
      <c r="D725" s="381" t="s">
        <v>1527</v>
      </c>
      <c r="E725" s="381" t="s">
        <v>1528</v>
      </c>
      <c r="F725" s="378">
        <v>-992750</v>
      </c>
      <c r="G725" s="378">
        <v>0</v>
      </c>
      <c r="H725" s="378">
        <v>103779</v>
      </c>
      <c r="I725" s="378">
        <v>-1096529</v>
      </c>
      <c r="J725" s="266">
        <f t="shared" si="12"/>
        <v>8</v>
      </c>
    </row>
    <row r="726" spans="1:10" ht="15.75" customHeight="1" x14ac:dyDescent="0.25">
      <c r="A726" s="380">
        <v>25302005</v>
      </c>
      <c r="B726" s="381" t="s">
        <v>321</v>
      </c>
      <c r="C726" s="381" t="s">
        <v>1257</v>
      </c>
      <c r="D726" s="381" t="s">
        <v>1444</v>
      </c>
      <c r="E726" s="381" t="s">
        <v>1533</v>
      </c>
      <c r="F726" s="378">
        <v>-1278019</v>
      </c>
      <c r="G726" s="378">
        <v>0</v>
      </c>
      <c r="H726" s="378">
        <v>255603</v>
      </c>
      <c r="I726" s="378">
        <v>-1533622</v>
      </c>
      <c r="J726" s="266">
        <f t="shared" si="12"/>
        <v>8</v>
      </c>
    </row>
    <row r="727" spans="1:10" ht="15.75" customHeight="1" x14ac:dyDescent="0.25">
      <c r="A727" s="380">
        <v>25302005</v>
      </c>
      <c r="B727" s="381" t="s">
        <v>321</v>
      </c>
      <c r="C727" s="381" t="s">
        <v>1257</v>
      </c>
      <c r="D727" s="381" t="s">
        <v>1661</v>
      </c>
      <c r="E727" s="381" t="s">
        <v>1662</v>
      </c>
      <c r="F727" s="378">
        <v>-1094176</v>
      </c>
      <c r="G727" s="378">
        <v>0</v>
      </c>
      <c r="H727" s="378">
        <v>218836</v>
      </c>
      <c r="I727" s="378">
        <v>-1313012</v>
      </c>
      <c r="J727" s="266">
        <f t="shared" si="12"/>
        <v>8</v>
      </c>
    </row>
    <row r="728" spans="1:10" ht="15.75" customHeight="1" x14ac:dyDescent="0.25">
      <c r="A728" s="380">
        <v>25302005</v>
      </c>
      <c r="B728" s="381" t="s">
        <v>321</v>
      </c>
      <c r="C728" s="381" t="s">
        <v>1257</v>
      </c>
      <c r="D728" s="381" t="s">
        <v>1663</v>
      </c>
      <c r="E728" s="381" t="s">
        <v>1664</v>
      </c>
      <c r="F728" s="378">
        <v>-1034037</v>
      </c>
      <c r="G728" s="378">
        <v>0</v>
      </c>
      <c r="H728" s="378">
        <v>206807</v>
      </c>
      <c r="I728" s="378">
        <v>-1240844</v>
      </c>
      <c r="J728" s="266">
        <f t="shared" si="12"/>
        <v>8</v>
      </c>
    </row>
    <row r="729" spans="1:10" ht="15.75" customHeight="1" x14ac:dyDescent="0.25">
      <c r="A729" s="380">
        <v>25302005</v>
      </c>
      <c r="B729" s="381" t="s">
        <v>321</v>
      </c>
      <c r="C729" s="381" t="s">
        <v>1257</v>
      </c>
      <c r="D729" s="381" t="s">
        <v>1609</v>
      </c>
      <c r="E729" s="381" t="s">
        <v>1610</v>
      </c>
      <c r="F729" s="378">
        <v>-1022410</v>
      </c>
      <c r="G729" s="378">
        <v>0</v>
      </c>
      <c r="H729" s="378">
        <v>204482</v>
      </c>
      <c r="I729" s="378">
        <v>-1226892</v>
      </c>
      <c r="J729" s="266">
        <f t="shared" si="12"/>
        <v>8</v>
      </c>
    </row>
    <row r="730" spans="1:10" ht="15.75" customHeight="1" x14ac:dyDescent="0.25">
      <c r="A730" s="380">
        <v>25302005</v>
      </c>
      <c r="B730" s="381" t="s">
        <v>321</v>
      </c>
      <c r="C730" s="381" t="s">
        <v>1257</v>
      </c>
      <c r="D730" s="381" t="s">
        <v>1490</v>
      </c>
      <c r="E730" s="381" t="s">
        <v>1491</v>
      </c>
      <c r="F730" s="378">
        <v>-386624</v>
      </c>
      <c r="G730" s="378">
        <v>0</v>
      </c>
      <c r="H730" s="378">
        <v>0</v>
      </c>
      <c r="I730" s="378">
        <v>-386624</v>
      </c>
      <c r="J730" s="266">
        <f t="shared" si="12"/>
        <v>8</v>
      </c>
    </row>
    <row r="731" spans="1:10" ht="15.75" customHeight="1" x14ac:dyDescent="0.25">
      <c r="A731" s="380">
        <v>25302005</v>
      </c>
      <c r="B731" s="381" t="s">
        <v>321</v>
      </c>
      <c r="C731" s="381" t="s">
        <v>1257</v>
      </c>
      <c r="D731" s="381" t="s">
        <v>1210</v>
      </c>
      <c r="E731" s="381" t="s">
        <v>1611</v>
      </c>
      <c r="F731" s="378">
        <v>-609831</v>
      </c>
      <c r="G731" s="378">
        <v>0</v>
      </c>
      <c r="H731" s="378">
        <v>188199</v>
      </c>
      <c r="I731" s="378">
        <v>-798030</v>
      </c>
      <c r="J731" s="266">
        <f t="shared" si="12"/>
        <v>8</v>
      </c>
    </row>
    <row r="732" spans="1:10" ht="15.75" customHeight="1" x14ac:dyDescent="0.25">
      <c r="A732" s="380">
        <v>25302005</v>
      </c>
      <c r="B732" s="381" t="s">
        <v>321</v>
      </c>
      <c r="C732" s="381" t="s">
        <v>1257</v>
      </c>
      <c r="D732" s="381" t="s">
        <v>1523</v>
      </c>
      <c r="E732" s="381" t="s">
        <v>1524</v>
      </c>
      <c r="F732" s="378">
        <v>-2331405</v>
      </c>
      <c r="G732" s="378">
        <v>0</v>
      </c>
      <c r="H732" s="378">
        <v>466281</v>
      </c>
      <c r="I732" s="378">
        <v>-2797686</v>
      </c>
      <c r="J732" s="266">
        <f t="shared" si="12"/>
        <v>8</v>
      </c>
    </row>
    <row r="733" spans="1:10" ht="15.75" customHeight="1" x14ac:dyDescent="0.25">
      <c r="A733" s="380">
        <v>25302005</v>
      </c>
      <c r="B733" s="381" t="s">
        <v>321</v>
      </c>
      <c r="C733" s="381" t="s">
        <v>1257</v>
      </c>
      <c r="D733" s="381" t="s">
        <v>1665</v>
      </c>
      <c r="E733" s="381" t="s">
        <v>1666</v>
      </c>
      <c r="F733" s="378">
        <v>-100000</v>
      </c>
      <c r="G733" s="378">
        <v>0</v>
      </c>
      <c r="H733" s="378">
        <v>166667</v>
      </c>
      <c r="I733" s="378">
        <v>-266667</v>
      </c>
      <c r="J733" s="266">
        <f t="shared" si="12"/>
        <v>8</v>
      </c>
    </row>
    <row r="734" spans="1:10" ht="15.75" customHeight="1" x14ac:dyDescent="0.25">
      <c r="A734" s="380">
        <v>25302005</v>
      </c>
      <c r="B734" s="381" t="s">
        <v>321</v>
      </c>
      <c r="C734" s="381" t="s">
        <v>1257</v>
      </c>
      <c r="D734" s="381" t="s">
        <v>792</v>
      </c>
      <c r="E734" s="381" t="s">
        <v>1534</v>
      </c>
      <c r="F734" s="378">
        <v>-1025931</v>
      </c>
      <c r="G734" s="378">
        <v>0</v>
      </c>
      <c r="H734" s="378">
        <v>205186</v>
      </c>
      <c r="I734" s="378">
        <v>-1231117</v>
      </c>
      <c r="J734" s="266">
        <f t="shared" si="12"/>
        <v>8</v>
      </c>
    </row>
    <row r="735" spans="1:10" ht="15.75" customHeight="1" x14ac:dyDescent="0.25">
      <c r="A735" s="380">
        <v>25302005</v>
      </c>
      <c r="B735" s="381" t="s">
        <v>321</v>
      </c>
      <c r="C735" s="381" t="s">
        <v>1257</v>
      </c>
      <c r="D735" s="381" t="s">
        <v>1688</v>
      </c>
      <c r="E735" s="381" t="s">
        <v>1689</v>
      </c>
      <c r="F735" s="378">
        <v>-339956</v>
      </c>
      <c r="G735" s="378">
        <v>0</v>
      </c>
      <c r="H735" s="378">
        <v>0</v>
      </c>
      <c r="I735" s="378">
        <v>-339956</v>
      </c>
      <c r="J735" s="266">
        <f t="shared" si="12"/>
        <v>8</v>
      </c>
    </row>
    <row r="736" spans="1:10" ht="15.75" customHeight="1" x14ac:dyDescent="0.25">
      <c r="A736" s="380">
        <v>25302005</v>
      </c>
      <c r="B736" s="381" t="s">
        <v>321</v>
      </c>
      <c r="C736" s="381" t="s">
        <v>1257</v>
      </c>
      <c r="D736" s="381" t="s">
        <v>1492</v>
      </c>
      <c r="E736" s="381" t="s">
        <v>1493</v>
      </c>
      <c r="F736" s="378">
        <v>-431194</v>
      </c>
      <c r="G736" s="378">
        <v>0</v>
      </c>
      <c r="H736" s="378">
        <v>0</v>
      </c>
      <c r="I736" s="378">
        <v>-431194</v>
      </c>
      <c r="J736" s="266">
        <f t="shared" si="12"/>
        <v>8</v>
      </c>
    </row>
    <row r="737" spans="1:10" ht="15.75" customHeight="1" x14ac:dyDescent="0.25">
      <c r="A737" s="380">
        <v>25302005</v>
      </c>
      <c r="B737" s="381" t="s">
        <v>321</v>
      </c>
      <c r="C737" s="381" t="s">
        <v>1257</v>
      </c>
      <c r="D737" s="381" t="s">
        <v>1412</v>
      </c>
      <c r="E737" s="381" t="s">
        <v>1413</v>
      </c>
      <c r="F737" s="378">
        <v>-116666</v>
      </c>
      <c r="G737" s="378">
        <v>0</v>
      </c>
      <c r="H737" s="378">
        <v>0</v>
      </c>
      <c r="I737" s="378">
        <v>-116666</v>
      </c>
      <c r="J737" s="266">
        <f t="shared" si="12"/>
        <v>8</v>
      </c>
    </row>
    <row r="738" spans="1:10" ht="15.75" customHeight="1" x14ac:dyDescent="0.25">
      <c r="A738" s="380">
        <v>25302005</v>
      </c>
      <c r="B738" s="381" t="s">
        <v>321</v>
      </c>
      <c r="C738" s="381" t="s">
        <v>1257</v>
      </c>
      <c r="D738" s="381" t="s">
        <v>1667</v>
      </c>
      <c r="E738" s="381" t="s">
        <v>1668</v>
      </c>
      <c r="F738" s="378">
        <v>-833333</v>
      </c>
      <c r="G738" s="378">
        <v>0</v>
      </c>
      <c r="H738" s="378">
        <v>166667</v>
      </c>
      <c r="I738" s="378">
        <v>-1000000</v>
      </c>
      <c r="J738" s="266">
        <f t="shared" si="12"/>
        <v>8</v>
      </c>
    </row>
    <row r="739" spans="1:10" ht="15.75" customHeight="1" x14ac:dyDescent="0.25">
      <c r="A739" s="380">
        <v>25302005</v>
      </c>
      <c r="B739" s="381" t="s">
        <v>321</v>
      </c>
      <c r="C739" s="381" t="s">
        <v>1257</v>
      </c>
      <c r="D739" s="381" t="s">
        <v>1669</v>
      </c>
      <c r="E739" s="381" t="s">
        <v>1670</v>
      </c>
      <c r="F739" s="378">
        <v>-1053025</v>
      </c>
      <c r="G739" s="378">
        <v>0</v>
      </c>
      <c r="H739" s="378">
        <v>210605</v>
      </c>
      <c r="I739" s="378">
        <v>-1263630</v>
      </c>
      <c r="J739" s="266">
        <f t="shared" si="12"/>
        <v>8</v>
      </c>
    </row>
    <row r="740" spans="1:10" ht="15.75" customHeight="1" x14ac:dyDescent="0.25">
      <c r="A740" s="380">
        <v>25302005</v>
      </c>
      <c r="B740" s="381" t="s">
        <v>321</v>
      </c>
      <c r="C740" s="381" t="s">
        <v>1257</v>
      </c>
      <c r="D740" s="381" t="s">
        <v>1671</v>
      </c>
      <c r="E740" s="381" t="s">
        <v>1672</v>
      </c>
      <c r="F740" s="378">
        <v>-362810</v>
      </c>
      <c r="G740" s="378">
        <v>0</v>
      </c>
      <c r="H740" s="378">
        <v>198304</v>
      </c>
      <c r="I740" s="378">
        <v>-561114</v>
      </c>
      <c r="J740" s="266">
        <f t="shared" si="12"/>
        <v>8</v>
      </c>
    </row>
    <row r="741" spans="1:10" ht="15.75" customHeight="1" x14ac:dyDescent="0.25">
      <c r="A741" s="380">
        <v>25302005</v>
      </c>
      <c r="B741" s="381" t="s">
        <v>321</v>
      </c>
      <c r="C741" s="381" t="s">
        <v>1257</v>
      </c>
      <c r="D741" s="381" t="s">
        <v>1673</v>
      </c>
      <c r="E741" s="381" t="s">
        <v>1674</v>
      </c>
      <c r="F741" s="378">
        <v>-1077026</v>
      </c>
      <c r="G741" s="378">
        <v>0</v>
      </c>
      <c r="H741" s="378">
        <v>215405</v>
      </c>
      <c r="I741" s="378">
        <v>-1292431</v>
      </c>
      <c r="J741" s="266">
        <f t="shared" si="12"/>
        <v>8</v>
      </c>
    </row>
    <row r="742" spans="1:10" ht="15.75" customHeight="1" x14ac:dyDescent="0.25">
      <c r="A742" s="380">
        <v>25302005</v>
      </c>
      <c r="B742" s="381" t="s">
        <v>321</v>
      </c>
      <c r="C742" s="381" t="s">
        <v>1257</v>
      </c>
      <c r="D742" s="381" t="s">
        <v>1675</v>
      </c>
      <c r="E742" s="381" t="s">
        <v>1676</v>
      </c>
      <c r="F742" s="378">
        <v>0</v>
      </c>
      <c r="G742" s="378">
        <v>0</v>
      </c>
      <c r="H742" s="378">
        <v>44444</v>
      </c>
      <c r="I742" s="378">
        <v>-44444</v>
      </c>
      <c r="J742" s="266">
        <f t="shared" si="12"/>
        <v>8</v>
      </c>
    </row>
    <row r="743" spans="1:10" ht="15.75" customHeight="1" x14ac:dyDescent="0.25">
      <c r="A743" s="380">
        <v>25302005</v>
      </c>
      <c r="B743" s="381" t="s">
        <v>321</v>
      </c>
      <c r="C743" s="381" t="s">
        <v>1257</v>
      </c>
      <c r="D743" s="381" t="s">
        <v>1677</v>
      </c>
      <c r="E743" s="381" t="s">
        <v>1678</v>
      </c>
      <c r="F743" s="378">
        <v>0</v>
      </c>
      <c r="G743" s="378">
        <v>0</v>
      </c>
      <c r="H743" s="378">
        <v>44444</v>
      </c>
      <c r="I743" s="378">
        <v>-44444</v>
      </c>
      <c r="J743" s="266">
        <f t="shared" si="12"/>
        <v>8</v>
      </c>
    </row>
    <row r="744" spans="1:10" ht="15.75" customHeight="1" x14ac:dyDescent="0.25">
      <c r="A744" s="380">
        <v>25302010</v>
      </c>
      <c r="B744" s="381" t="s">
        <v>321</v>
      </c>
      <c r="C744" s="381" t="s">
        <v>1258</v>
      </c>
      <c r="D744" s="381" t="s">
        <v>315</v>
      </c>
      <c r="E744" s="381" t="s">
        <v>315</v>
      </c>
      <c r="F744" s="378">
        <v>918513</v>
      </c>
      <c r="G744" s="378">
        <v>28171723</v>
      </c>
      <c r="H744" s="378">
        <v>94771</v>
      </c>
      <c r="I744" s="378">
        <v>28995465</v>
      </c>
      <c r="J744" s="266">
        <f t="shared" si="12"/>
        <v>8</v>
      </c>
    </row>
    <row r="745" spans="1:10" ht="15.75" customHeight="1" x14ac:dyDescent="0.25">
      <c r="A745" s="380">
        <v>25302010</v>
      </c>
      <c r="B745" s="381" t="s">
        <v>321</v>
      </c>
      <c r="C745" s="381" t="s">
        <v>1258</v>
      </c>
      <c r="D745" s="381" t="s">
        <v>1535</v>
      </c>
      <c r="E745" s="381" t="s">
        <v>1536</v>
      </c>
      <c r="F745" s="378">
        <v>0</v>
      </c>
      <c r="G745" s="378">
        <v>1227122</v>
      </c>
      <c r="H745" s="378">
        <v>0</v>
      </c>
      <c r="I745" s="378">
        <v>1227122</v>
      </c>
      <c r="J745" s="266">
        <f t="shared" si="12"/>
        <v>8</v>
      </c>
    </row>
    <row r="746" spans="1:10" ht="15.75" customHeight="1" x14ac:dyDescent="0.25">
      <c r="A746" s="380">
        <v>25302010</v>
      </c>
      <c r="B746" s="381" t="s">
        <v>321</v>
      </c>
      <c r="C746" s="381" t="s">
        <v>1258</v>
      </c>
      <c r="D746" s="381" t="s">
        <v>1604</v>
      </c>
      <c r="E746" s="381" t="s">
        <v>1605</v>
      </c>
      <c r="F746" s="378">
        <v>0</v>
      </c>
      <c r="G746" s="378">
        <v>1336436</v>
      </c>
      <c r="H746" s="378">
        <v>0</v>
      </c>
      <c r="I746" s="378">
        <v>1336436</v>
      </c>
      <c r="J746" s="266">
        <f t="shared" si="12"/>
        <v>8</v>
      </c>
    </row>
    <row r="747" spans="1:10" ht="15.75" customHeight="1" x14ac:dyDescent="0.25">
      <c r="A747" s="380">
        <v>25302010</v>
      </c>
      <c r="B747" s="381" t="s">
        <v>321</v>
      </c>
      <c r="C747" s="381" t="s">
        <v>1258</v>
      </c>
      <c r="D747" s="381" t="s">
        <v>1649</v>
      </c>
      <c r="E747" s="381" t="s">
        <v>1650</v>
      </c>
      <c r="F747" s="378">
        <v>0</v>
      </c>
      <c r="G747" s="378">
        <v>1282990</v>
      </c>
      <c r="H747" s="378">
        <v>0</v>
      </c>
      <c r="I747" s="378">
        <v>1282990</v>
      </c>
      <c r="J747" s="266">
        <f t="shared" si="12"/>
        <v>8</v>
      </c>
    </row>
    <row r="748" spans="1:10" ht="15.75" customHeight="1" x14ac:dyDescent="0.25">
      <c r="A748" s="380">
        <v>25302010</v>
      </c>
      <c r="B748" s="381" t="s">
        <v>321</v>
      </c>
      <c r="C748" s="381" t="s">
        <v>1258</v>
      </c>
      <c r="D748" s="381" t="s">
        <v>1690</v>
      </c>
      <c r="E748" s="381" t="s">
        <v>1691</v>
      </c>
      <c r="F748" s="378">
        <v>-46712</v>
      </c>
      <c r="G748" s="378">
        <v>0</v>
      </c>
      <c r="H748" s="378">
        <v>0</v>
      </c>
      <c r="I748" s="378">
        <v>-46712</v>
      </c>
      <c r="J748" s="266">
        <f t="shared" si="12"/>
        <v>8</v>
      </c>
    </row>
    <row r="749" spans="1:10" ht="15.75" customHeight="1" x14ac:dyDescent="0.25">
      <c r="A749" s="380">
        <v>25302010</v>
      </c>
      <c r="B749" s="381" t="s">
        <v>321</v>
      </c>
      <c r="C749" s="381" t="s">
        <v>1258</v>
      </c>
      <c r="D749" s="381" t="s">
        <v>1651</v>
      </c>
      <c r="E749" s="381" t="s">
        <v>1652</v>
      </c>
      <c r="F749" s="378">
        <v>0</v>
      </c>
      <c r="G749" s="378">
        <v>1210742</v>
      </c>
      <c r="H749" s="378">
        <v>0</v>
      </c>
      <c r="I749" s="378">
        <v>1210742</v>
      </c>
      <c r="J749" s="266">
        <f t="shared" si="12"/>
        <v>8</v>
      </c>
    </row>
    <row r="750" spans="1:10" ht="15.75" customHeight="1" x14ac:dyDescent="0.25">
      <c r="A750" s="380">
        <v>25302010</v>
      </c>
      <c r="B750" s="381" t="s">
        <v>321</v>
      </c>
      <c r="C750" s="381" t="s">
        <v>1258</v>
      </c>
      <c r="D750" s="381" t="s">
        <v>1443</v>
      </c>
      <c r="E750" s="381" t="s">
        <v>1530</v>
      </c>
      <c r="F750" s="378">
        <v>0</v>
      </c>
      <c r="G750" s="378">
        <v>1518389</v>
      </c>
      <c r="H750" s="378">
        <v>0</v>
      </c>
      <c r="I750" s="378">
        <v>1518389</v>
      </c>
      <c r="J750" s="266">
        <f t="shared" si="12"/>
        <v>8</v>
      </c>
    </row>
    <row r="751" spans="1:10" ht="15.75" customHeight="1" x14ac:dyDescent="0.25">
      <c r="A751" s="380">
        <v>25302010</v>
      </c>
      <c r="B751" s="381" t="s">
        <v>321</v>
      </c>
      <c r="C751" s="381" t="s">
        <v>1258</v>
      </c>
      <c r="D751" s="381" t="s">
        <v>1653</v>
      </c>
      <c r="E751" s="381" t="s">
        <v>1654</v>
      </c>
      <c r="F751" s="378">
        <v>0</v>
      </c>
      <c r="G751" s="378">
        <v>1291808</v>
      </c>
      <c r="H751" s="378">
        <v>0</v>
      </c>
      <c r="I751" s="378">
        <v>1291808</v>
      </c>
      <c r="J751" s="266">
        <f t="shared" si="12"/>
        <v>8</v>
      </c>
    </row>
    <row r="752" spans="1:10" ht="15.75" customHeight="1" x14ac:dyDescent="0.25">
      <c r="A752" s="380">
        <v>25302010</v>
      </c>
      <c r="B752" s="381" t="s">
        <v>321</v>
      </c>
      <c r="C752" s="381" t="s">
        <v>1258</v>
      </c>
      <c r="D752" s="381" t="s">
        <v>1606</v>
      </c>
      <c r="E752" s="381" t="s">
        <v>1607</v>
      </c>
      <c r="F752" s="378">
        <v>0</v>
      </c>
      <c r="G752" s="378">
        <v>1343696</v>
      </c>
      <c r="H752" s="378">
        <v>0</v>
      </c>
      <c r="I752" s="378">
        <v>1343696</v>
      </c>
      <c r="J752" s="266">
        <f t="shared" si="12"/>
        <v>8</v>
      </c>
    </row>
    <row r="753" spans="1:10" ht="15.75" customHeight="1" x14ac:dyDescent="0.25">
      <c r="A753" s="380">
        <v>25302010</v>
      </c>
      <c r="B753" s="381" t="s">
        <v>321</v>
      </c>
      <c r="C753" s="381" t="s">
        <v>1258</v>
      </c>
      <c r="D753" s="381" t="s">
        <v>1686</v>
      </c>
      <c r="E753" s="381" t="s">
        <v>1687</v>
      </c>
      <c r="F753" s="378">
        <v>508603</v>
      </c>
      <c r="G753" s="378">
        <v>0</v>
      </c>
      <c r="H753" s="378">
        <v>0</v>
      </c>
      <c r="I753" s="378">
        <v>508603</v>
      </c>
      <c r="J753" s="266">
        <f t="shared" si="12"/>
        <v>8</v>
      </c>
    </row>
    <row r="754" spans="1:10" ht="15.75" customHeight="1" x14ac:dyDescent="0.25">
      <c r="A754" s="380">
        <v>25302010</v>
      </c>
      <c r="B754" s="381" t="s">
        <v>321</v>
      </c>
      <c r="C754" s="381" t="s">
        <v>1258</v>
      </c>
      <c r="D754" s="381" t="s">
        <v>1655</v>
      </c>
      <c r="E754" s="381" t="s">
        <v>1656</v>
      </c>
      <c r="F754" s="378">
        <v>0</v>
      </c>
      <c r="G754" s="378">
        <v>494192</v>
      </c>
      <c r="H754" s="378">
        <v>0</v>
      </c>
      <c r="I754" s="378">
        <v>494192</v>
      </c>
      <c r="J754" s="266">
        <f t="shared" si="12"/>
        <v>8</v>
      </c>
    </row>
    <row r="755" spans="1:10" ht="15.75" customHeight="1" x14ac:dyDescent="0.25">
      <c r="A755" s="380">
        <v>25302010</v>
      </c>
      <c r="B755" s="381" t="s">
        <v>321</v>
      </c>
      <c r="C755" s="381" t="s">
        <v>1258</v>
      </c>
      <c r="D755" s="381" t="s">
        <v>1657</v>
      </c>
      <c r="E755" s="381" t="s">
        <v>1658</v>
      </c>
      <c r="F755" s="378">
        <v>0</v>
      </c>
      <c r="G755" s="378">
        <v>1227964</v>
      </c>
      <c r="H755" s="378">
        <v>0</v>
      </c>
      <c r="I755" s="378">
        <v>1227964</v>
      </c>
      <c r="J755" s="266">
        <f t="shared" si="12"/>
        <v>8</v>
      </c>
    </row>
    <row r="756" spans="1:10" ht="15.75" customHeight="1" x14ac:dyDescent="0.25">
      <c r="A756" s="380">
        <v>25302010</v>
      </c>
      <c r="B756" s="381" t="s">
        <v>321</v>
      </c>
      <c r="C756" s="381" t="s">
        <v>1258</v>
      </c>
      <c r="D756" s="381" t="s">
        <v>1659</v>
      </c>
      <c r="E756" s="381" t="s">
        <v>1660</v>
      </c>
      <c r="F756" s="378">
        <v>0</v>
      </c>
      <c r="G756" s="378">
        <v>1101984</v>
      </c>
      <c r="H756" s="378">
        <v>0</v>
      </c>
      <c r="I756" s="378">
        <v>1101984</v>
      </c>
      <c r="J756" s="266">
        <f t="shared" si="12"/>
        <v>8</v>
      </c>
    </row>
    <row r="757" spans="1:10" ht="15.75" customHeight="1" x14ac:dyDescent="0.25">
      <c r="A757" s="380">
        <v>25302010</v>
      </c>
      <c r="B757" s="381" t="s">
        <v>321</v>
      </c>
      <c r="C757" s="381" t="s">
        <v>1258</v>
      </c>
      <c r="D757" s="381" t="s">
        <v>1527</v>
      </c>
      <c r="E757" s="381" t="s">
        <v>1528</v>
      </c>
      <c r="F757" s="378">
        <v>0</v>
      </c>
      <c r="G757" s="378">
        <v>1191300</v>
      </c>
      <c r="H757" s="378">
        <v>94771</v>
      </c>
      <c r="I757" s="378">
        <v>1096529</v>
      </c>
      <c r="J757" s="266">
        <f t="shared" si="12"/>
        <v>8</v>
      </c>
    </row>
    <row r="758" spans="1:10" ht="15.75" customHeight="1" x14ac:dyDescent="0.25">
      <c r="A758" s="380">
        <v>25302010</v>
      </c>
      <c r="B758" s="381" t="s">
        <v>321</v>
      </c>
      <c r="C758" s="381" t="s">
        <v>1258</v>
      </c>
      <c r="D758" s="381" t="s">
        <v>1444</v>
      </c>
      <c r="E758" s="381" t="s">
        <v>1533</v>
      </c>
      <c r="F758" s="378">
        <v>0</v>
      </c>
      <c r="G758" s="378">
        <v>1533622</v>
      </c>
      <c r="H758" s="378">
        <v>0</v>
      </c>
      <c r="I758" s="378">
        <v>1533622</v>
      </c>
      <c r="J758" s="266">
        <f t="shared" si="12"/>
        <v>8</v>
      </c>
    </row>
    <row r="759" spans="1:10" ht="15.75" customHeight="1" x14ac:dyDescent="0.25">
      <c r="A759" s="380">
        <v>25302010</v>
      </c>
      <c r="B759" s="381" t="s">
        <v>321</v>
      </c>
      <c r="C759" s="381" t="s">
        <v>1258</v>
      </c>
      <c r="D759" s="381" t="s">
        <v>1661</v>
      </c>
      <c r="E759" s="381" t="s">
        <v>1662</v>
      </c>
      <c r="F759" s="378">
        <v>0</v>
      </c>
      <c r="G759" s="378">
        <v>1313012</v>
      </c>
      <c r="H759" s="378">
        <v>0</v>
      </c>
      <c r="I759" s="378">
        <v>1313012</v>
      </c>
      <c r="J759" s="266">
        <f t="shared" si="12"/>
        <v>8</v>
      </c>
    </row>
    <row r="760" spans="1:10" ht="15.75" customHeight="1" x14ac:dyDescent="0.25">
      <c r="A760" s="380">
        <v>25302010</v>
      </c>
      <c r="B760" s="381" t="s">
        <v>321</v>
      </c>
      <c r="C760" s="381" t="s">
        <v>1258</v>
      </c>
      <c r="D760" s="381" t="s">
        <v>1663</v>
      </c>
      <c r="E760" s="381" t="s">
        <v>1664</v>
      </c>
      <c r="F760" s="378">
        <v>0</v>
      </c>
      <c r="G760" s="378">
        <v>1240844</v>
      </c>
      <c r="H760" s="378">
        <v>0</v>
      </c>
      <c r="I760" s="378">
        <v>1240844</v>
      </c>
      <c r="J760" s="266">
        <f t="shared" si="12"/>
        <v>8</v>
      </c>
    </row>
    <row r="761" spans="1:10" ht="15.75" customHeight="1" x14ac:dyDescent="0.25">
      <c r="A761" s="380">
        <v>25302010</v>
      </c>
      <c r="B761" s="381" t="s">
        <v>321</v>
      </c>
      <c r="C761" s="381" t="s">
        <v>1258</v>
      </c>
      <c r="D761" s="381" t="s">
        <v>1609</v>
      </c>
      <c r="E761" s="381" t="s">
        <v>1610</v>
      </c>
      <c r="F761" s="378">
        <v>0</v>
      </c>
      <c r="G761" s="378">
        <v>1226892</v>
      </c>
      <c r="H761" s="378">
        <v>0</v>
      </c>
      <c r="I761" s="378">
        <v>1226892</v>
      </c>
      <c r="J761" s="266">
        <f t="shared" si="12"/>
        <v>8</v>
      </c>
    </row>
    <row r="762" spans="1:10" ht="15.75" customHeight="1" x14ac:dyDescent="0.25">
      <c r="A762" s="380">
        <v>25302010</v>
      </c>
      <c r="B762" s="381" t="s">
        <v>321</v>
      </c>
      <c r="C762" s="381" t="s">
        <v>1258</v>
      </c>
      <c r="D762" s="381" t="s">
        <v>1210</v>
      </c>
      <c r="E762" s="381" t="s">
        <v>1611</v>
      </c>
      <c r="F762" s="378">
        <v>0</v>
      </c>
      <c r="G762" s="378">
        <v>1129197</v>
      </c>
      <c r="H762" s="378">
        <v>0</v>
      </c>
      <c r="I762" s="378">
        <v>1129197</v>
      </c>
      <c r="J762" s="266">
        <f t="shared" si="12"/>
        <v>8</v>
      </c>
    </row>
    <row r="763" spans="1:10" ht="15.75" customHeight="1" x14ac:dyDescent="0.25">
      <c r="A763" s="380">
        <v>25302010</v>
      </c>
      <c r="B763" s="381" t="s">
        <v>321</v>
      </c>
      <c r="C763" s="381" t="s">
        <v>1258</v>
      </c>
      <c r="D763" s="381" t="s">
        <v>1523</v>
      </c>
      <c r="E763" s="381" t="s">
        <v>1524</v>
      </c>
      <c r="F763" s="378">
        <v>0</v>
      </c>
      <c r="G763" s="378">
        <v>2797686</v>
      </c>
      <c r="H763" s="378">
        <v>0</v>
      </c>
      <c r="I763" s="378">
        <v>2797686</v>
      </c>
      <c r="J763" s="266">
        <f t="shared" si="12"/>
        <v>8</v>
      </c>
    </row>
    <row r="764" spans="1:10" ht="15.75" customHeight="1" x14ac:dyDescent="0.25">
      <c r="A764" s="380">
        <v>25302010</v>
      </c>
      <c r="B764" s="381" t="s">
        <v>321</v>
      </c>
      <c r="C764" s="381" t="s">
        <v>1258</v>
      </c>
      <c r="D764" s="381" t="s">
        <v>1665</v>
      </c>
      <c r="E764" s="381" t="s">
        <v>1666</v>
      </c>
      <c r="F764" s="378">
        <v>0</v>
      </c>
      <c r="G764" s="378">
        <v>266667</v>
      </c>
      <c r="H764" s="378">
        <v>0</v>
      </c>
      <c r="I764" s="378">
        <v>266667</v>
      </c>
      <c r="J764" s="266">
        <f t="shared" si="12"/>
        <v>8</v>
      </c>
    </row>
    <row r="765" spans="1:10" ht="15.75" customHeight="1" x14ac:dyDescent="0.25">
      <c r="A765" s="380">
        <v>25302010</v>
      </c>
      <c r="B765" s="381" t="s">
        <v>321</v>
      </c>
      <c r="C765" s="381" t="s">
        <v>1258</v>
      </c>
      <c r="D765" s="381" t="s">
        <v>792</v>
      </c>
      <c r="E765" s="381" t="s">
        <v>1534</v>
      </c>
      <c r="F765" s="378">
        <v>0</v>
      </c>
      <c r="G765" s="378">
        <v>1231117</v>
      </c>
      <c r="H765" s="378">
        <v>0</v>
      </c>
      <c r="I765" s="378">
        <v>1231117</v>
      </c>
      <c r="J765" s="266">
        <f t="shared" si="12"/>
        <v>8</v>
      </c>
    </row>
    <row r="766" spans="1:10" ht="15.75" customHeight="1" x14ac:dyDescent="0.25">
      <c r="A766" s="380">
        <v>25302010</v>
      </c>
      <c r="B766" s="381" t="s">
        <v>321</v>
      </c>
      <c r="C766" s="381" t="s">
        <v>1258</v>
      </c>
      <c r="D766" s="381" t="s">
        <v>1688</v>
      </c>
      <c r="E766" s="381" t="s">
        <v>1689</v>
      </c>
      <c r="F766" s="378">
        <v>339956</v>
      </c>
      <c r="G766" s="378">
        <v>0</v>
      </c>
      <c r="H766" s="378">
        <v>0</v>
      </c>
      <c r="I766" s="378">
        <v>339956</v>
      </c>
      <c r="J766" s="266">
        <f t="shared" si="12"/>
        <v>8</v>
      </c>
    </row>
    <row r="767" spans="1:10" ht="15.75" customHeight="1" x14ac:dyDescent="0.25">
      <c r="A767" s="380">
        <v>25302010</v>
      </c>
      <c r="B767" s="381" t="s">
        <v>321</v>
      </c>
      <c r="C767" s="381" t="s">
        <v>1258</v>
      </c>
      <c r="D767" s="381" t="s">
        <v>1412</v>
      </c>
      <c r="E767" s="381" t="s">
        <v>1413</v>
      </c>
      <c r="F767" s="378">
        <v>116666</v>
      </c>
      <c r="G767" s="378">
        <v>0</v>
      </c>
      <c r="H767" s="378">
        <v>0</v>
      </c>
      <c r="I767" s="378">
        <v>116666</v>
      </c>
      <c r="J767" s="266">
        <f t="shared" si="12"/>
        <v>8</v>
      </c>
    </row>
    <row r="768" spans="1:10" ht="15.75" customHeight="1" x14ac:dyDescent="0.25">
      <c r="A768" s="380">
        <v>25302010</v>
      </c>
      <c r="B768" s="381" t="s">
        <v>321</v>
      </c>
      <c r="C768" s="381" t="s">
        <v>1258</v>
      </c>
      <c r="D768" s="381" t="s">
        <v>1667</v>
      </c>
      <c r="E768" s="381" t="s">
        <v>1668</v>
      </c>
      <c r="F768" s="378">
        <v>0</v>
      </c>
      <c r="G768" s="378">
        <v>1000000</v>
      </c>
      <c r="H768" s="378">
        <v>0</v>
      </c>
      <c r="I768" s="378">
        <v>1000000</v>
      </c>
      <c r="J768" s="266">
        <f t="shared" si="12"/>
        <v>8</v>
      </c>
    </row>
    <row r="769" spans="1:10" ht="15.75" customHeight="1" x14ac:dyDescent="0.25">
      <c r="A769" s="380">
        <v>25302010</v>
      </c>
      <c r="B769" s="381" t="s">
        <v>321</v>
      </c>
      <c r="C769" s="381" t="s">
        <v>1258</v>
      </c>
      <c r="D769" s="381" t="s">
        <v>1669</v>
      </c>
      <c r="E769" s="381" t="s">
        <v>1670</v>
      </c>
      <c r="F769" s="378">
        <v>0</v>
      </c>
      <c r="G769" s="378">
        <v>1263630</v>
      </c>
      <c r="H769" s="378">
        <v>0</v>
      </c>
      <c r="I769" s="378">
        <v>1263630</v>
      </c>
      <c r="J769" s="266">
        <f t="shared" si="12"/>
        <v>8</v>
      </c>
    </row>
    <row r="770" spans="1:10" ht="15.75" customHeight="1" x14ac:dyDescent="0.25">
      <c r="A770" s="380">
        <v>25302010</v>
      </c>
      <c r="B770" s="381" t="s">
        <v>321</v>
      </c>
      <c r="C770" s="381" t="s">
        <v>1258</v>
      </c>
      <c r="D770" s="381" t="s">
        <v>1671</v>
      </c>
      <c r="E770" s="381" t="s">
        <v>1672</v>
      </c>
      <c r="F770" s="378">
        <v>0</v>
      </c>
      <c r="G770" s="378">
        <v>561114</v>
      </c>
      <c r="H770" s="378">
        <v>0</v>
      </c>
      <c r="I770" s="378">
        <v>561114</v>
      </c>
      <c r="J770" s="266">
        <f t="shared" si="12"/>
        <v>8</v>
      </c>
    </row>
    <row r="771" spans="1:10" ht="15.75" customHeight="1" x14ac:dyDescent="0.25">
      <c r="A771" s="380">
        <v>25302010</v>
      </c>
      <c r="B771" s="381" t="s">
        <v>321</v>
      </c>
      <c r="C771" s="381" t="s">
        <v>1258</v>
      </c>
      <c r="D771" s="381" t="s">
        <v>1673</v>
      </c>
      <c r="E771" s="381" t="s">
        <v>1674</v>
      </c>
      <c r="F771" s="378">
        <v>0</v>
      </c>
      <c r="G771" s="378">
        <v>1292431</v>
      </c>
      <c r="H771" s="378">
        <v>0</v>
      </c>
      <c r="I771" s="378">
        <v>1292431</v>
      </c>
      <c r="J771" s="266">
        <f t="shared" si="12"/>
        <v>8</v>
      </c>
    </row>
    <row r="772" spans="1:10" ht="15.75" customHeight="1" x14ac:dyDescent="0.25">
      <c r="A772" s="380">
        <v>25302010</v>
      </c>
      <c r="B772" s="381" t="s">
        <v>321</v>
      </c>
      <c r="C772" s="381" t="s">
        <v>1258</v>
      </c>
      <c r="D772" s="381" t="s">
        <v>1675</v>
      </c>
      <c r="E772" s="381" t="s">
        <v>1676</v>
      </c>
      <c r="F772" s="378">
        <v>0</v>
      </c>
      <c r="G772" s="378">
        <v>44444</v>
      </c>
      <c r="H772" s="378">
        <v>0</v>
      </c>
      <c r="I772" s="378">
        <v>44444</v>
      </c>
      <c r="J772" s="266">
        <f t="shared" si="12"/>
        <v>8</v>
      </c>
    </row>
    <row r="773" spans="1:10" ht="15.75" customHeight="1" x14ac:dyDescent="0.25">
      <c r="A773" s="380">
        <v>25302010</v>
      </c>
      <c r="B773" s="381" t="s">
        <v>321</v>
      </c>
      <c r="C773" s="381" t="s">
        <v>1258</v>
      </c>
      <c r="D773" s="381" t="s">
        <v>1677</v>
      </c>
      <c r="E773" s="381" t="s">
        <v>1678</v>
      </c>
      <c r="F773" s="378">
        <v>0</v>
      </c>
      <c r="G773" s="378">
        <v>44444</v>
      </c>
      <c r="H773" s="378">
        <v>0</v>
      </c>
      <c r="I773" s="378">
        <v>44444</v>
      </c>
      <c r="J773" s="266">
        <f t="shared" si="12"/>
        <v>8</v>
      </c>
    </row>
    <row r="774" spans="1:10" ht="15.75" customHeight="1" x14ac:dyDescent="0.25">
      <c r="A774" s="380">
        <v>2570</v>
      </c>
      <c r="B774" s="381" t="s">
        <v>321</v>
      </c>
      <c r="C774" s="381" t="s">
        <v>1259</v>
      </c>
      <c r="D774" s="381" t="s">
        <v>315</v>
      </c>
      <c r="E774" s="381" t="s">
        <v>315</v>
      </c>
      <c r="F774" s="378">
        <v>-5840377</v>
      </c>
      <c r="G774" s="378">
        <v>5833300</v>
      </c>
      <c r="H774" s="378">
        <v>6162700</v>
      </c>
      <c r="I774" s="378">
        <v>-6169777</v>
      </c>
      <c r="J774" s="266">
        <f t="shared" si="12"/>
        <v>4</v>
      </c>
    </row>
    <row r="775" spans="1:10" ht="15.75" customHeight="1" x14ac:dyDescent="0.25">
      <c r="A775" s="380">
        <v>257005</v>
      </c>
      <c r="B775" s="381" t="s">
        <v>321</v>
      </c>
      <c r="C775" s="381" t="s">
        <v>1260</v>
      </c>
      <c r="D775" s="381" t="s">
        <v>315</v>
      </c>
      <c r="E775" s="381" t="s">
        <v>315</v>
      </c>
      <c r="F775" s="378">
        <v>-2283277</v>
      </c>
      <c r="G775" s="378">
        <v>2276800</v>
      </c>
      <c r="H775" s="378">
        <v>2447300</v>
      </c>
      <c r="I775" s="378">
        <v>-2453777</v>
      </c>
      <c r="J775" s="266">
        <f t="shared" si="12"/>
        <v>6</v>
      </c>
    </row>
    <row r="776" spans="1:10" ht="15.75" customHeight="1" x14ac:dyDescent="0.25">
      <c r="A776" s="380">
        <v>25700501</v>
      </c>
      <c r="B776" s="381" t="s">
        <v>321</v>
      </c>
      <c r="C776" s="381" t="s">
        <v>1260</v>
      </c>
      <c r="D776" s="381" t="s">
        <v>315</v>
      </c>
      <c r="E776" s="381" t="s">
        <v>315</v>
      </c>
      <c r="F776" s="378">
        <v>-2417429</v>
      </c>
      <c r="G776" s="378">
        <v>0</v>
      </c>
      <c r="H776" s="378">
        <v>220789</v>
      </c>
      <c r="I776" s="378">
        <v>-2638218</v>
      </c>
      <c r="J776" s="266">
        <f t="shared" si="12"/>
        <v>8</v>
      </c>
    </row>
    <row r="777" spans="1:10" ht="15.75" customHeight="1" x14ac:dyDescent="0.25">
      <c r="A777" s="380">
        <v>25700501</v>
      </c>
      <c r="B777" s="381" t="s">
        <v>321</v>
      </c>
      <c r="C777" s="381" t="s">
        <v>1260</v>
      </c>
      <c r="D777" s="381" t="s">
        <v>356</v>
      </c>
      <c r="E777" s="381" t="s">
        <v>357</v>
      </c>
      <c r="F777" s="378">
        <v>-2244300</v>
      </c>
      <c r="G777" s="378">
        <v>0</v>
      </c>
      <c r="H777" s="378">
        <v>0</v>
      </c>
      <c r="I777" s="378">
        <v>-2244300</v>
      </c>
      <c r="J777" s="266">
        <f t="shared" si="12"/>
        <v>8</v>
      </c>
    </row>
    <row r="778" spans="1:10" ht="15.75" customHeight="1" x14ac:dyDescent="0.25">
      <c r="A778" s="380">
        <v>25700501</v>
      </c>
      <c r="B778" s="381" t="s">
        <v>321</v>
      </c>
      <c r="C778" s="381" t="s">
        <v>1260</v>
      </c>
      <c r="D778" s="381" t="s">
        <v>1488</v>
      </c>
      <c r="E778" s="381" t="s">
        <v>1682</v>
      </c>
      <c r="F778" s="378">
        <v>-156</v>
      </c>
      <c r="G778" s="378">
        <v>0</v>
      </c>
      <c r="H778" s="378">
        <v>0</v>
      </c>
      <c r="I778" s="378">
        <v>-156</v>
      </c>
      <c r="J778" s="266">
        <f t="shared" si="12"/>
        <v>8</v>
      </c>
    </row>
    <row r="779" spans="1:10" ht="15.75" customHeight="1" x14ac:dyDescent="0.25">
      <c r="A779" s="380">
        <v>25700501</v>
      </c>
      <c r="B779" s="381" t="s">
        <v>321</v>
      </c>
      <c r="C779" s="381" t="s">
        <v>1260</v>
      </c>
      <c r="D779" s="381" t="s">
        <v>1535</v>
      </c>
      <c r="E779" s="381" t="s">
        <v>1536</v>
      </c>
      <c r="F779" s="378">
        <v>-442</v>
      </c>
      <c r="G779" s="378">
        <v>0</v>
      </c>
      <c r="H779" s="378">
        <v>76</v>
      </c>
      <c r="I779" s="378">
        <v>-518</v>
      </c>
      <c r="J779" s="266">
        <f t="shared" si="12"/>
        <v>8</v>
      </c>
    </row>
    <row r="780" spans="1:10" ht="15.75" customHeight="1" x14ac:dyDescent="0.25">
      <c r="A780" s="380">
        <v>25700501</v>
      </c>
      <c r="B780" s="381" t="s">
        <v>321</v>
      </c>
      <c r="C780" s="381" t="s">
        <v>1260</v>
      </c>
      <c r="D780" s="381" t="s">
        <v>1604</v>
      </c>
      <c r="E780" s="381" t="s">
        <v>1605</v>
      </c>
      <c r="F780" s="378">
        <v>-334</v>
      </c>
      <c r="G780" s="378">
        <v>0</v>
      </c>
      <c r="H780" s="378">
        <v>77</v>
      </c>
      <c r="I780" s="378">
        <v>-411</v>
      </c>
      <c r="J780" s="266">
        <f t="shared" ref="J780:J843" si="13">+LEN(A780)</f>
        <v>8</v>
      </c>
    </row>
    <row r="781" spans="1:10" ht="15.75" customHeight="1" x14ac:dyDescent="0.25">
      <c r="A781" s="380">
        <v>25700501</v>
      </c>
      <c r="B781" s="381" t="s">
        <v>321</v>
      </c>
      <c r="C781" s="381" t="s">
        <v>1260</v>
      </c>
      <c r="D781" s="381" t="s">
        <v>1649</v>
      </c>
      <c r="E781" s="381" t="s">
        <v>1650</v>
      </c>
      <c r="F781" s="378">
        <v>1972</v>
      </c>
      <c r="G781" s="378">
        <v>0</v>
      </c>
      <c r="H781" s="378">
        <v>141</v>
      </c>
      <c r="I781" s="378">
        <v>1831</v>
      </c>
      <c r="J781" s="266">
        <f t="shared" si="13"/>
        <v>8</v>
      </c>
    </row>
    <row r="782" spans="1:10" ht="15.75" customHeight="1" x14ac:dyDescent="0.25">
      <c r="A782" s="380">
        <v>25700501</v>
      </c>
      <c r="B782" s="381" t="s">
        <v>321</v>
      </c>
      <c r="C782" s="381" t="s">
        <v>1260</v>
      </c>
      <c r="D782" s="381" t="s">
        <v>1690</v>
      </c>
      <c r="E782" s="381" t="s">
        <v>1691</v>
      </c>
      <c r="F782" s="378">
        <v>-85</v>
      </c>
      <c r="G782" s="378">
        <v>0</v>
      </c>
      <c r="H782" s="378">
        <v>0</v>
      </c>
      <c r="I782" s="378">
        <v>-85</v>
      </c>
      <c r="J782" s="266">
        <f t="shared" si="13"/>
        <v>8</v>
      </c>
    </row>
    <row r="783" spans="1:10" ht="15.75" customHeight="1" x14ac:dyDescent="0.25">
      <c r="A783" s="380">
        <v>25700501</v>
      </c>
      <c r="B783" s="381" t="s">
        <v>321</v>
      </c>
      <c r="C783" s="381" t="s">
        <v>1260</v>
      </c>
      <c r="D783" s="381" t="s">
        <v>1651</v>
      </c>
      <c r="E783" s="381" t="s">
        <v>1652</v>
      </c>
      <c r="F783" s="378">
        <v>1948</v>
      </c>
      <c r="G783" s="378">
        <v>0</v>
      </c>
      <c r="H783" s="378">
        <v>38</v>
      </c>
      <c r="I783" s="378">
        <v>1910</v>
      </c>
      <c r="J783" s="266">
        <f t="shared" si="13"/>
        <v>8</v>
      </c>
    </row>
    <row r="784" spans="1:10" ht="15.75" customHeight="1" x14ac:dyDescent="0.25">
      <c r="A784" s="380">
        <v>25700501</v>
      </c>
      <c r="B784" s="381" t="s">
        <v>321</v>
      </c>
      <c r="C784" s="381" t="s">
        <v>1260</v>
      </c>
      <c r="D784" s="381" t="s">
        <v>1443</v>
      </c>
      <c r="E784" s="381" t="s">
        <v>1530</v>
      </c>
      <c r="F784" s="378">
        <v>-293</v>
      </c>
      <c r="G784" s="378">
        <v>0</v>
      </c>
      <c r="H784" s="378">
        <v>87</v>
      </c>
      <c r="I784" s="378">
        <v>-380</v>
      </c>
      <c r="J784" s="266">
        <f t="shared" si="13"/>
        <v>8</v>
      </c>
    </row>
    <row r="785" spans="1:10" ht="15.75" customHeight="1" x14ac:dyDescent="0.25">
      <c r="A785" s="380">
        <v>25700501</v>
      </c>
      <c r="B785" s="381" t="s">
        <v>321</v>
      </c>
      <c r="C785" s="381" t="s">
        <v>1260</v>
      </c>
      <c r="D785" s="381" t="s">
        <v>1653</v>
      </c>
      <c r="E785" s="381" t="s">
        <v>1654</v>
      </c>
      <c r="F785" s="378">
        <v>-409</v>
      </c>
      <c r="G785" s="378">
        <v>0</v>
      </c>
      <c r="H785" s="378">
        <v>141</v>
      </c>
      <c r="I785" s="378">
        <v>-550</v>
      </c>
      <c r="J785" s="266">
        <f t="shared" si="13"/>
        <v>8</v>
      </c>
    </row>
    <row r="786" spans="1:10" ht="15.75" customHeight="1" x14ac:dyDescent="0.25">
      <c r="A786" s="380">
        <v>25700501</v>
      </c>
      <c r="B786" s="381" t="s">
        <v>321</v>
      </c>
      <c r="C786" s="381" t="s">
        <v>1260</v>
      </c>
      <c r="D786" s="381" t="s">
        <v>1683</v>
      </c>
      <c r="E786" s="381" t="s">
        <v>1684</v>
      </c>
      <c r="F786" s="378">
        <v>-123</v>
      </c>
      <c r="G786" s="378">
        <v>0</v>
      </c>
      <c r="H786" s="378">
        <v>0</v>
      </c>
      <c r="I786" s="378">
        <v>-123</v>
      </c>
      <c r="J786" s="266">
        <f t="shared" si="13"/>
        <v>8</v>
      </c>
    </row>
    <row r="787" spans="1:10" ht="15.75" customHeight="1" x14ac:dyDescent="0.25">
      <c r="A787" s="380">
        <v>25700501</v>
      </c>
      <c r="B787" s="381" t="s">
        <v>321</v>
      </c>
      <c r="C787" s="381" t="s">
        <v>1260</v>
      </c>
      <c r="D787" s="381" t="s">
        <v>1606</v>
      </c>
      <c r="E787" s="381" t="s">
        <v>1607</v>
      </c>
      <c r="F787" s="378">
        <v>-285</v>
      </c>
      <c r="G787" s="378">
        <v>0</v>
      </c>
      <c r="H787" s="378">
        <v>100</v>
      </c>
      <c r="I787" s="378">
        <v>-385</v>
      </c>
      <c r="J787" s="266">
        <f t="shared" si="13"/>
        <v>8</v>
      </c>
    </row>
    <row r="788" spans="1:10" ht="15.75" customHeight="1" x14ac:dyDescent="0.25">
      <c r="A788" s="380">
        <v>25700501</v>
      </c>
      <c r="B788" s="381" t="s">
        <v>321</v>
      </c>
      <c r="C788" s="381" t="s">
        <v>1260</v>
      </c>
      <c r="D788" s="381" t="s">
        <v>1686</v>
      </c>
      <c r="E788" s="381" t="s">
        <v>1687</v>
      </c>
      <c r="F788" s="378">
        <v>-199</v>
      </c>
      <c r="G788" s="378">
        <v>0</v>
      </c>
      <c r="H788" s="378">
        <v>0</v>
      </c>
      <c r="I788" s="378">
        <v>-199</v>
      </c>
      <c r="J788" s="266">
        <f t="shared" si="13"/>
        <v>8</v>
      </c>
    </row>
    <row r="789" spans="1:10" ht="15.75" customHeight="1" x14ac:dyDescent="0.25">
      <c r="A789" s="380">
        <v>25700501</v>
      </c>
      <c r="B789" s="381" t="s">
        <v>321</v>
      </c>
      <c r="C789" s="381" t="s">
        <v>1260</v>
      </c>
      <c r="D789" s="381" t="s">
        <v>1655</v>
      </c>
      <c r="E789" s="381" t="s">
        <v>1656</v>
      </c>
      <c r="F789" s="378">
        <v>-30</v>
      </c>
      <c r="G789" s="378">
        <v>0</v>
      </c>
      <c r="H789" s="378">
        <v>83</v>
      </c>
      <c r="I789" s="378">
        <v>-113</v>
      </c>
      <c r="J789" s="266">
        <f t="shared" si="13"/>
        <v>8</v>
      </c>
    </row>
    <row r="790" spans="1:10" ht="15.75" customHeight="1" x14ac:dyDescent="0.25">
      <c r="A790" s="380">
        <v>25700501</v>
      </c>
      <c r="B790" s="381" t="s">
        <v>321</v>
      </c>
      <c r="C790" s="381" t="s">
        <v>1260</v>
      </c>
      <c r="D790" s="381" t="s">
        <v>1657</v>
      </c>
      <c r="E790" s="381" t="s">
        <v>1658</v>
      </c>
      <c r="F790" s="378">
        <v>-535</v>
      </c>
      <c r="G790" s="378">
        <v>0</v>
      </c>
      <c r="H790" s="378">
        <v>36</v>
      </c>
      <c r="I790" s="378">
        <v>-571</v>
      </c>
      <c r="J790" s="266">
        <f t="shared" si="13"/>
        <v>8</v>
      </c>
    </row>
    <row r="791" spans="1:10" ht="15.75" customHeight="1" x14ac:dyDescent="0.25">
      <c r="A791" s="380">
        <v>25700501</v>
      </c>
      <c r="B791" s="381" t="s">
        <v>321</v>
      </c>
      <c r="C791" s="381" t="s">
        <v>1260</v>
      </c>
      <c r="D791" s="381" t="s">
        <v>1659</v>
      </c>
      <c r="E791" s="381" t="s">
        <v>1660</v>
      </c>
      <c r="F791" s="378">
        <v>-341</v>
      </c>
      <c r="G791" s="378">
        <v>0</v>
      </c>
      <c r="H791" s="378">
        <v>61</v>
      </c>
      <c r="I791" s="378">
        <v>-402</v>
      </c>
      <c r="J791" s="266">
        <f t="shared" si="13"/>
        <v>8</v>
      </c>
    </row>
    <row r="792" spans="1:10" ht="15.75" customHeight="1" x14ac:dyDescent="0.25">
      <c r="A792" s="380">
        <v>25700501</v>
      </c>
      <c r="B792" s="381" t="s">
        <v>321</v>
      </c>
      <c r="C792" s="381" t="s">
        <v>1260</v>
      </c>
      <c r="D792" s="381" t="s">
        <v>1527</v>
      </c>
      <c r="E792" s="381" t="s">
        <v>1528</v>
      </c>
      <c r="F792" s="378">
        <v>-303</v>
      </c>
      <c r="G792" s="378">
        <v>0</v>
      </c>
      <c r="H792" s="378">
        <v>69</v>
      </c>
      <c r="I792" s="378">
        <v>-372</v>
      </c>
      <c r="J792" s="266">
        <f t="shared" si="13"/>
        <v>8</v>
      </c>
    </row>
    <row r="793" spans="1:10" ht="15.75" customHeight="1" x14ac:dyDescent="0.25">
      <c r="A793" s="380">
        <v>25700501</v>
      </c>
      <c r="B793" s="381" t="s">
        <v>321</v>
      </c>
      <c r="C793" s="381" t="s">
        <v>1260</v>
      </c>
      <c r="D793" s="381" t="s">
        <v>1444</v>
      </c>
      <c r="E793" s="381" t="s">
        <v>1533</v>
      </c>
      <c r="F793" s="378">
        <v>-382</v>
      </c>
      <c r="G793" s="378">
        <v>0</v>
      </c>
      <c r="H793" s="378">
        <v>57</v>
      </c>
      <c r="I793" s="378">
        <v>-439</v>
      </c>
      <c r="J793" s="266">
        <f t="shared" si="13"/>
        <v>8</v>
      </c>
    </row>
    <row r="794" spans="1:10" ht="15.75" customHeight="1" x14ac:dyDescent="0.25">
      <c r="A794" s="380">
        <v>25700501</v>
      </c>
      <c r="B794" s="381" t="s">
        <v>321</v>
      </c>
      <c r="C794" s="381" t="s">
        <v>1260</v>
      </c>
      <c r="D794" s="381" t="s">
        <v>1661</v>
      </c>
      <c r="E794" s="381" t="s">
        <v>1662</v>
      </c>
      <c r="F794" s="378">
        <v>-267</v>
      </c>
      <c r="G794" s="378">
        <v>0</v>
      </c>
      <c r="H794" s="378">
        <v>60</v>
      </c>
      <c r="I794" s="378">
        <v>-327</v>
      </c>
      <c r="J794" s="266">
        <f t="shared" si="13"/>
        <v>8</v>
      </c>
    </row>
    <row r="795" spans="1:10" ht="15.75" customHeight="1" x14ac:dyDescent="0.25">
      <c r="A795" s="380">
        <v>25700501</v>
      </c>
      <c r="B795" s="381" t="s">
        <v>321</v>
      </c>
      <c r="C795" s="381" t="s">
        <v>1260</v>
      </c>
      <c r="D795" s="381" t="s">
        <v>1663</v>
      </c>
      <c r="E795" s="381" t="s">
        <v>1664</v>
      </c>
      <c r="F795" s="378">
        <v>-438</v>
      </c>
      <c r="G795" s="378">
        <v>0</v>
      </c>
      <c r="H795" s="378">
        <v>67</v>
      </c>
      <c r="I795" s="378">
        <v>-505</v>
      </c>
      <c r="J795" s="266">
        <f t="shared" si="13"/>
        <v>8</v>
      </c>
    </row>
    <row r="796" spans="1:10" ht="15.75" customHeight="1" x14ac:dyDescent="0.25">
      <c r="A796" s="380">
        <v>25700501</v>
      </c>
      <c r="B796" s="381" t="s">
        <v>321</v>
      </c>
      <c r="C796" s="381" t="s">
        <v>1260</v>
      </c>
      <c r="D796" s="381" t="s">
        <v>1609</v>
      </c>
      <c r="E796" s="381" t="s">
        <v>1610</v>
      </c>
      <c r="F796" s="378">
        <v>-403</v>
      </c>
      <c r="G796" s="378">
        <v>0</v>
      </c>
      <c r="H796" s="378">
        <v>9</v>
      </c>
      <c r="I796" s="378">
        <v>-412</v>
      </c>
      <c r="J796" s="266">
        <f t="shared" si="13"/>
        <v>8</v>
      </c>
    </row>
    <row r="797" spans="1:10" ht="15.75" customHeight="1" x14ac:dyDescent="0.25">
      <c r="A797" s="380">
        <v>25700501</v>
      </c>
      <c r="B797" s="381" t="s">
        <v>321</v>
      </c>
      <c r="C797" s="381" t="s">
        <v>1260</v>
      </c>
      <c r="D797" s="381" t="s">
        <v>1490</v>
      </c>
      <c r="E797" s="381" t="s">
        <v>1491</v>
      </c>
      <c r="F797" s="378">
        <v>-133</v>
      </c>
      <c r="G797" s="378">
        <v>0</v>
      </c>
      <c r="H797" s="378">
        <v>0</v>
      </c>
      <c r="I797" s="378">
        <v>-133</v>
      </c>
      <c r="J797" s="266">
        <f t="shared" si="13"/>
        <v>8</v>
      </c>
    </row>
    <row r="798" spans="1:10" ht="15.75" customHeight="1" x14ac:dyDescent="0.25">
      <c r="A798" s="380">
        <v>25700501</v>
      </c>
      <c r="B798" s="381" t="s">
        <v>321</v>
      </c>
      <c r="C798" s="381" t="s">
        <v>1260</v>
      </c>
      <c r="D798" s="381" t="s">
        <v>1210</v>
      </c>
      <c r="E798" s="381" t="s">
        <v>1611</v>
      </c>
      <c r="F798" s="378">
        <v>-298</v>
      </c>
      <c r="G798" s="378">
        <v>0</v>
      </c>
      <c r="H798" s="378">
        <v>82</v>
      </c>
      <c r="I798" s="378">
        <v>-380</v>
      </c>
      <c r="J798" s="266">
        <f t="shared" si="13"/>
        <v>8</v>
      </c>
    </row>
    <row r="799" spans="1:10" ht="15.75" customHeight="1" x14ac:dyDescent="0.25">
      <c r="A799" s="380">
        <v>25700501</v>
      </c>
      <c r="B799" s="381" t="s">
        <v>321</v>
      </c>
      <c r="C799" s="381" t="s">
        <v>1260</v>
      </c>
      <c r="D799" s="381" t="s">
        <v>1523</v>
      </c>
      <c r="E799" s="381" t="s">
        <v>1524</v>
      </c>
      <c r="F799" s="378">
        <v>-350</v>
      </c>
      <c r="G799" s="378">
        <v>0</v>
      </c>
      <c r="H799" s="378">
        <v>0</v>
      </c>
      <c r="I799" s="378">
        <v>-350</v>
      </c>
      <c r="J799" s="266">
        <f t="shared" si="13"/>
        <v>8</v>
      </c>
    </row>
    <row r="800" spans="1:10" ht="15.75" customHeight="1" x14ac:dyDescent="0.25">
      <c r="A800" s="380">
        <v>25700501</v>
      </c>
      <c r="B800" s="381" t="s">
        <v>321</v>
      </c>
      <c r="C800" s="381" t="s">
        <v>1260</v>
      </c>
      <c r="D800" s="381" t="s">
        <v>1665</v>
      </c>
      <c r="E800" s="381" t="s">
        <v>1666</v>
      </c>
      <c r="F800" s="378">
        <v>-78</v>
      </c>
      <c r="G800" s="378">
        <v>0</v>
      </c>
      <c r="H800" s="378">
        <v>72</v>
      </c>
      <c r="I800" s="378">
        <v>-150</v>
      </c>
      <c r="J800" s="266">
        <f t="shared" si="13"/>
        <v>8</v>
      </c>
    </row>
    <row r="801" spans="1:10" ht="15.75" customHeight="1" x14ac:dyDescent="0.25">
      <c r="A801" s="380">
        <v>25700501</v>
      </c>
      <c r="B801" s="381" t="s">
        <v>321</v>
      </c>
      <c r="C801" s="381" t="s">
        <v>1260</v>
      </c>
      <c r="D801" s="381" t="s">
        <v>792</v>
      </c>
      <c r="E801" s="381" t="s">
        <v>1534</v>
      </c>
      <c r="F801" s="378">
        <v>-592</v>
      </c>
      <c r="G801" s="378">
        <v>0</v>
      </c>
      <c r="H801" s="378">
        <v>68</v>
      </c>
      <c r="I801" s="378">
        <v>-660</v>
      </c>
      <c r="J801" s="266">
        <f t="shared" si="13"/>
        <v>8</v>
      </c>
    </row>
    <row r="802" spans="1:10" ht="15.75" customHeight="1" x14ac:dyDescent="0.25">
      <c r="A802" s="380">
        <v>25700501</v>
      </c>
      <c r="B802" s="381" t="s">
        <v>321</v>
      </c>
      <c r="C802" s="381" t="s">
        <v>1260</v>
      </c>
      <c r="D802" s="381" t="s">
        <v>1688</v>
      </c>
      <c r="E802" s="381" t="s">
        <v>1689</v>
      </c>
      <c r="F802" s="378">
        <v>-6569</v>
      </c>
      <c r="G802" s="378">
        <v>0</v>
      </c>
      <c r="H802" s="378">
        <v>0</v>
      </c>
      <c r="I802" s="378">
        <v>-6569</v>
      </c>
      <c r="J802" s="266">
        <f t="shared" si="13"/>
        <v>8</v>
      </c>
    </row>
    <row r="803" spans="1:10" ht="15.75" customHeight="1" x14ac:dyDescent="0.25">
      <c r="A803" s="380">
        <v>25700501</v>
      </c>
      <c r="B803" s="381" t="s">
        <v>321</v>
      </c>
      <c r="C803" s="381" t="s">
        <v>1260</v>
      </c>
      <c r="D803" s="381" t="s">
        <v>1492</v>
      </c>
      <c r="E803" s="381" t="s">
        <v>1493</v>
      </c>
      <c r="F803" s="378">
        <v>-141</v>
      </c>
      <c r="G803" s="378">
        <v>0</v>
      </c>
      <c r="H803" s="378">
        <v>0</v>
      </c>
      <c r="I803" s="378">
        <v>-141</v>
      </c>
      <c r="J803" s="266">
        <f t="shared" si="13"/>
        <v>8</v>
      </c>
    </row>
    <row r="804" spans="1:10" ht="15.75" customHeight="1" x14ac:dyDescent="0.25">
      <c r="A804" s="380">
        <v>25700501</v>
      </c>
      <c r="B804" s="381" t="s">
        <v>321</v>
      </c>
      <c r="C804" s="381" t="s">
        <v>1260</v>
      </c>
      <c r="D804" s="381" t="s">
        <v>1412</v>
      </c>
      <c r="E804" s="381" t="s">
        <v>1413</v>
      </c>
      <c r="F804" s="378">
        <v>-971</v>
      </c>
      <c r="G804" s="378">
        <v>0</v>
      </c>
      <c r="H804" s="378">
        <v>0</v>
      </c>
      <c r="I804" s="378">
        <v>-971</v>
      </c>
      <c r="J804" s="266">
        <f t="shared" si="13"/>
        <v>8</v>
      </c>
    </row>
    <row r="805" spans="1:10" ht="15.75" customHeight="1" x14ac:dyDescent="0.25">
      <c r="A805" s="380">
        <v>25700501</v>
      </c>
      <c r="B805" s="381" t="s">
        <v>321</v>
      </c>
      <c r="C805" s="381" t="s">
        <v>1260</v>
      </c>
      <c r="D805" s="381" t="s">
        <v>1667</v>
      </c>
      <c r="E805" s="381" t="s">
        <v>1668</v>
      </c>
      <c r="F805" s="378">
        <v>-161956</v>
      </c>
      <c r="G805" s="378">
        <v>0</v>
      </c>
      <c r="H805" s="378">
        <v>126</v>
      </c>
      <c r="I805" s="378">
        <v>-162082</v>
      </c>
      <c r="J805" s="266">
        <f t="shared" si="13"/>
        <v>8</v>
      </c>
    </row>
    <row r="806" spans="1:10" ht="15.75" customHeight="1" x14ac:dyDescent="0.25">
      <c r="A806" s="380">
        <v>25700501</v>
      </c>
      <c r="B806" s="381" t="s">
        <v>321</v>
      </c>
      <c r="C806" s="381" t="s">
        <v>1260</v>
      </c>
      <c r="D806" s="381" t="s">
        <v>1669</v>
      </c>
      <c r="E806" s="381" t="s">
        <v>1670</v>
      </c>
      <c r="F806" s="378">
        <v>-539</v>
      </c>
      <c r="G806" s="378">
        <v>0</v>
      </c>
      <c r="H806" s="378">
        <v>191</v>
      </c>
      <c r="I806" s="378">
        <v>-730</v>
      </c>
      <c r="J806" s="266">
        <f t="shared" si="13"/>
        <v>8</v>
      </c>
    </row>
    <row r="807" spans="1:10" ht="15.75" customHeight="1" x14ac:dyDescent="0.25">
      <c r="A807" s="380">
        <v>25700501</v>
      </c>
      <c r="B807" s="381" t="s">
        <v>321</v>
      </c>
      <c r="C807" s="381" t="s">
        <v>1260</v>
      </c>
      <c r="D807" s="381" t="s">
        <v>1671</v>
      </c>
      <c r="E807" s="381" t="s">
        <v>1672</v>
      </c>
      <c r="F807" s="378">
        <v>-92</v>
      </c>
      <c r="G807" s="378">
        <v>0</v>
      </c>
      <c r="H807" s="378">
        <v>74</v>
      </c>
      <c r="I807" s="378">
        <v>-166</v>
      </c>
      <c r="J807" s="266">
        <f t="shared" si="13"/>
        <v>8</v>
      </c>
    </row>
    <row r="808" spans="1:10" ht="15.75" customHeight="1" x14ac:dyDescent="0.25">
      <c r="A808" s="380">
        <v>25700501</v>
      </c>
      <c r="B808" s="381" t="s">
        <v>321</v>
      </c>
      <c r="C808" s="381" t="s">
        <v>1260</v>
      </c>
      <c r="D808" s="381" t="s">
        <v>1673</v>
      </c>
      <c r="E808" s="381" t="s">
        <v>1674</v>
      </c>
      <c r="F808" s="378">
        <v>-305</v>
      </c>
      <c r="G808" s="378">
        <v>0</v>
      </c>
      <c r="H808" s="378">
        <v>126</v>
      </c>
      <c r="I808" s="378">
        <v>-431</v>
      </c>
      <c r="J808" s="266">
        <f t="shared" si="13"/>
        <v>8</v>
      </c>
    </row>
    <row r="809" spans="1:10" ht="15.75" customHeight="1" x14ac:dyDescent="0.25">
      <c r="A809" s="380">
        <v>25700501</v>
      </c>
      <c r="B809" s="381" t="s">
        <v>321</v>
      </c>
      <c r="C809" s="381" t="s">
        <v>1260</v>
      </c>
      <c r="D809" s="381" t="s">
        <v>1675</v>
      </c>
      <c r="E809" s="381" t="s">
        <v>1676</v>
      </c>
      <c r="F809" s="378">
        <v>0</v>
      </c>
      <c r="G809" s="378">
        <v>0</v>
      </c>
      <c r="H809" s="378">
        <v>24</v>
      </c>
      <c r="I809" s="378">
        <v>-24</v>
      </c>
      <c r="J809" s="266">
        <f t="shared" si="13"/>
        <v>8</v>
      </c>
    </row>
    <row r="810" spans="1:10" ht="15.75" customHeight="1" x14ac:dyDescent="0.25">
      <c r="A810" s="380">
        <v>25700501</v>
      </c>
      <c r="B810" s="381" t="s">
        <v>321</v>
      </c>
      <c r="C810" s="381" t="s">
        <v>1260</v>
      </c>
      <c r="D810" s="381" t="s">
        <v>1677</v>
      </c>
      <c r="E810" s="381" t="s">
        <v>1678</v>
      </c>
      <c r="F810" s="378">
        <v>0</v>
      </c>
      <c r="G810" s="378">
        <v>0</v>
      </c>
      <c r="H810" s="378">
        <v>24</v>
      </c>
      <c r="I810" s="378">
        <v>-24</v>
      </c>
      <c r="J810" s="266">
        <f t="shared" si="13"/>
        <v>8</v>
      </c>
    </row>
    <row r="811" spans="1:10" ht="15.75" customHeight="1" x14ac:dyDescent="0.25">
      <c r="A811" s="380">
        <v>25700501</v>
      </c>
      <c r="B811" s="381" t="s">
        <v>321</v>
      </c>
      <c r="C811" s="381" t="s">
        <v>1260</v>
      </c>
      <c r="D811" s="381" t="s">
        <v>1679</v>
      </c>
      <c r="E811" s="381" t="s">
        <v>1680</v>
      </c>
      <c r="F811" s="378">
        <v>0</v>
      </c>
      <c r="G811" s="378">
        <v>0</v>
      </c>
      <c r="H811" s="378">
        <v>218900</v>
      </c>
      <c r="I811" s="378">
        <v>-218900</v>
      </c>
      <c r="J811" s="266">
        <f t="shared" si="13"/>
        <v>8</v>
      </c>
    </row>
    <row r="812" spans="1:10" ht="15.75" customHeight="1" x14ac:dyDescent="0.25">
      <c r="A812" s="380">
        <v>25700502</v>
      </c>
      <c r="B812" s="381" t="s">
        <v>321</v>
      </c>
      <c r="C812" s="381" t="s">
        <v>1693</v>
      </c>
      <c r="D812" s="381" t="s">
        <v>315</v>
      </c>
      <c r="E812" s="381" t="s">
        <v>315</v>
      </c>
      <c r="F812" s="378">
        <v>11393300</v>
      </c>
      <c r="G812" s="378">
        <v>2276800</v>
      </c>
      <c r="H812" s="378">
        <v>0</v>
      </c>
      <c r="I812" s="378">
        <v>13670100</v>
      </c>
      <c r="J812" s="266">
        <f t="shared" si="13"/>
        <v>8</v>
      </c>
    </row>
    <row r="813" spans="1:10" ht="15.75" customHeight="1" x14ac:dyDescent="0.25">
      <c r="A813" s="380">
        <v>25700502</v>
      </c>
      <c r="B813" s="381" t="s">
        <v>321</v>
      </c>
      <c r="C813" s="381" t="s">
        <v>1693</v>
      </c>
      <c r="D813" s="381" t="s">
        <v>452</v>
      </c>
      <c r="E813" s="381" t="s">
        <v>453</v>
      </c>
      <c r="F813" s="378">
        <v>9010300</v>
      </c>
      <c r="G813" s="378">
        <v>1746300</v>
      </c>
      <c r="H813" s="378">
        <v>0</v>
      </c>
      <c r="I813" s="378">
        <v>10756600</v>
      </c>
      <c r="J813" s="266">
        <f t="shared" si="13"/>
        <v>8</v>
      </c>
    </row>
    <row r="814" spans="1:10" ht="15.75" customHeight="1" x14ac:dyDescent="0.25">
      <c r="A814" s="380">
        <v>25700502</v>
      </c>
      <c r="B814" s="381" t="s">
        <v>321</v>
      </c>
      <c r="C814" s="381" t="s">
        <v>1693</v>
      </c>
      <c r="D814" s="381" t="s">
        <v>454</v>
      </c>
      <c r="E814" s="381" t="s">
        <v>455</v>
      </c>
      <c r="F814" s="378">
        <v>1473100</v>
      </c>
      <c r="G814" s="378">
        <v>0</v>
      </c>
      <c r="H814" s="378">
        <v>0</v>
      </c>
      <c r="I814" s="378">
        <v>1473100</v>
      </c>
      <c r="J814" s="266">
        <f t="shared" si="13"/>
        <v>8</v>
      </c>
    </row>
    <row r="815" spans="1:10" ht="15.75" customHeight="1" x14ac:dyDescent="0.25">
      <c r="A815" s="380">
        <v>25700502</v>
      </c>
      <c r="B815" s="381" t="s">
        <v>321</v>
      </c>
      <c r="C815" s="381" t="s">
        <v>1693</v>
      </c>
      <c r="D815" s="381" t="s">
        <v>458</v>
      </c>
      <c r="E815" s="381" t="s">
        <v>459</v>
      </c>
      <c r="F815" s="378">
        <v>0</v>
      </c>
      <c r="G815" s="378">
        <v>42100</v>
      </c>
      <c r="H815" s="378">
        <v>0</v>
      </c>
      <c r="I815" s="378">
        <v>42100</v>
      </c>
      <c r="J815" s="266">
        <f t="shared" si="13"/>
        <v>8</v>
      </c>
    </row>
    <row r="816" spans="1:10" ht="15.75" customHeight="1" x14ac:dyDescent="0.25">
      <c r="A816" s="380">
        <v>25700502</v>
      </c>
      <c r="B816" s="381" t="s">
        <v>321</v>
      </c>
      <c r="C816" s="381" t="s">
        <v>1693</v>
      </c>
      <c r="D816" s="381" t="s">
        <v>456</v>
      </c>
      <c r="E816" s="381" t="s">
        <v>1694</v>
      </c>
      <c r="F816" s="378">
        <v>407200</v>
      </c>
      <c r="G816" s="378">
        <v>0</v>
      </c>
      <c r="H816" s="378">
        <v>0</v>
      </c>
      <c r="I816" s="378">
        <v>407200</v>
      </c>
      <c r="J816" s="266">
        <f t="shared" si="13"/>
        <v>8</v>
      </c>
    </row>
    <row r="817" spans="1:10" ht="15.75" customHeight="1" x14ac:dyDescent="0.25">
      <c r="A817" s="380">
        <v>25700502</v>
      </c>
      <c r="B817" s="381" t="s">
        <v>321</v>
      </c>
      <c r="C817" s="381" t="s">
        <v>1693</v>
      </c>
      <c r="D817" s="381" t="s">
        <v>652</v>
      </c>
      <c r="E817" s="381" t="s">
        <v>653</v>
      </c>
      <c r="F817" s="378">
        <v>502700</v>
      </c>
      <c r="G817" s="378">
        <v>488400</v>
      </c>
      <c r="H817" s="378">
        <v>0</v>
      </c>
      <c r="I817" s="378">
        <v>991100</v>
      </c>
      <c r="J817" s="266">
        <f t="shared" si="13"/>
        <v>8</v>
      </c>
    </row>
    <row r="818" spans="1:10" ht="15.75" customHeight="1" x14ac:dyDescent="0.25">
      <c r="A818" s="380">
        <v>25700503</v>
      </c>
      <c r="B818" s="381" t="s">
        <v>321</v>
      </c>
      <c r="C818" s="381" t="s">
        <v>1695</v>
      </c>
      <c r="D818" s="381" t="s">
        <v>315</v>
      </c>
      <c r="E818" s="381" t="s">
        <v>315</v>
      </c>
      <c r="F818" s="378">
        <v>-11259148</v>
      </c>
      <c r="G818" s="378">
        <v>0</v>
      </c>
      <c r="H818" s="378">
        <v>2226511</v>
      </c>
      <c r="I818" s="378">
        <v>-13485659</v>
      </c>
      <c r="J818" s="266">
        <f t="shared" si="13"/>
        <v>8</v>
      </c>
    </row>
    <row r="819" spans="1:10" ht="15.75" customHeight="1" x14ac:dyDescent="0.25">
      <c r="A819" s="380">
        <v>25700503</v>
      </c>
      <c r="B819" s="381" t="s">
        <v>321</v>
      </c>
      <c r="C819" s="381" t="s">
        <v>1695</v>
      </c>
      <c r="D819" s="381" t="s">
        <v>1488</v>
      </c>
      <c r="E819" s="381" t="s">
        <v>1682</v>
      </c>
      <c r="F819" s="378">
        <v>-89744</v>
      </c>
      <c r="G819" s="378">
        <v>0</v>
      </c>
      <c r="H819" s="378">
        <v>0</v>
      </c>
      <c r="I819" s="378">
        <v>-89744</v>
      </c>
      <c r="J819" s="266">
        <f t="shared" si="13"/>
        <v>8</v>
      </c>
    </row>
    <row r="820" spans="1:10" ht="15.75" customHeight="1" x14ac:dyDescent="0.25">
      <c r="A820" s="380">
        <v>25700503</v>
      </c>
      <c r="B820" s="381" t="s">
        <v>321</v>
      </c>
      <c r="C820" s="381" t="s">
        <v>1695</v>
      </c>
      <c r="D820" s="381" t="s">
        <v>1535</v>
      </c>
      <c r="E820" s="381" t="s">
        <v>1536</v>
      </c>
      <c r="F820" s="378">
        <v>-463058</v>
      </c>
      <c r="G820" s="378">
        <v>0</v>
      </c>
      <c r="H820" s="378">
        <v>92524</v>
      </c>
      <c r="I820" s="378">
        <v>-555582</v>
      </c>
      <c r="J820" s="266">
        <f t="shared" si="13"/>
        <v>8</v>
      </c>
    </row>
    <row r="821" spans="1:10" ht="15.75" customHeight="1" x14ac:dyDescent="0.25">
      <c r="A821" s="380">
        <v>25700503</v>
      </c>
      <c r="B821" s="381" t="s">
        <v>321</v>
      </c>
      <c r="C821" s="381" t="s">
        <v>1695</v>
      </c>
      <c r="D821" s="381" t="s">
        <v>1604</v>
      </c>
      <c r="E821" s="381" t="s">
        <v>1605</v>
      </c>
      <c r="F821" s="378">
        <v>-504466</v>
      </c>
      <c r="G821" s="378">
        <v>0</v>
      </c>
      <c r="H821" s="378">
        <v>115523</v>
      </c>
      <c r="I821" s="378">
        <v>-619989</v>
      </c>
      <c r="J821" s="266">
        <f t="shared" si="13"/>
        <v>8</v>
      </c>
    </row>
    <row r="822" spans="1:10" ht="15.75" customHeight="1" x14ac:dyDescent="0.25">
      <c r="A822" s="380">
        <v>25700503</v>
      </c>
      <c r="B822" s="381" t="s">
        <v>321</v>
      </c>
      <c r="C822" s="381" t="s">
        <v>1695</v>
      </c>
      <c r="D822" s="381" t="s">
        <v>1649</v>
      </c>
      <c r="E822" s="381" t="s">
        <v>1650</v>
      </c>
      <c r="F822" s="378">
        <v>-482872</v>
      </c>
      <c r="G822" s="378">
        <v>0</v>
      </c>
      <c r="H822" s="378">
        <v>95759</v>
      </c>
      <c r="I822" s="378">
        <v>-578631</v>
      </c>
      <c r="J822" s="266">
        <f t="shared" si="13"/>
        <v>8</v>
      </c>
    </row>
    <row r="823" spans="1:10" ht="15.75" customHeight="1" x14ac:dyDescent="0.25">
      <c r="A823" s="380">
        <v>25700503</v>
      </c>
      <c r="B823" s="381" t="s">
        <v>321</v>
      </c>
      <c r="C823" s="381" t="s">
        <v>1695</v>
      </c>
      <c r="D823" s="381" t="s">
        <v>1690</v>
      </c>
      <c r="E823" s="381" t="s">
        <v>1691</v>
      </c>
      <c r="F823" s="378">
        <v>-3115</v>
      </c>
      <c r="G823" s="378">
        <v>0</v>
      </c>
      <c r="H823" s="378">
        <v>0</v>
      </c>
      <c r="I823" s="378">
        <v>-3115</v>
      </c>
      <c r="J823" s="266">
        <f t="shared" si="13"/>
        <v>8</v>
      </c>
    </row>
    <row r="824" spans="1:10" ht="15.75" customHeight="1" x14ac:dyDescent="0.25">
      <c r="A824" s="380">
        <v>25700503</v>
      </c>
      <c r="B824" s="381" t="s">
        <v>321</v>
      </c>
      <c r="C824" s="381" t="s">
        <v>1695</v>
      </c>
      <c r="D824" s="381" t="s">
        <v>1651</v>
      </c>
      <c r="E824" s="381" t="s">
        <v>1652</v>
      </c>
      <c r="F824" s="378">
        <v>-460648</v>
      </c>
      <c r="G824" s="378">
        <v>0</v>
      </c>
      <c r="H824" s="378">
        <v>93762</v>
      </c>
      <c r="I824" s="378">
        <v>-554410</v>
      </c>
      <c r="J824" s="266">
        <f t="shared" si="13"/>
        <v>8</v>
      </c>
    </row>
    <row r="825" spans="1:10" ht="15.75" customHeight="1" x14ac:dyDescent="0.25">
      <c r="A825" s="380">
        <v>25700503</v>
      </c>
      <c r="B825" s="381" t="s">
        <v>321</v>
      </c>
      <c r="C825" s="381" t="s">
        <v>1695</v>
      </c>
      <c r="D825" s="381" t="s">
        <v>1443</v>
      </c>
      <c r="E825" s="381" t="s">
        <v>1530</v>
      </c>
      <c r="F825" s="378">
        <v>-570607</v>
      </c>
      <c r="G825" s="378">
        <v>0</v>
      </c>
      <c r="H825" s="378">
        <v>116013</v>
      </c>
      <c r="I825" s="378">
        <v>-686620</v>
      </c>
      <c r="J825" s="266">
        <f t="shared" si="13"/>
        <v>8</v>
      </c>
    </row>
    <row r="826" spans="1:10" ht="15.75" customHeight="1" x14ac:dyDescent="0.25">
      <c r="A826" s="380">
        <v>25700503</v>
      </c>
      <c r="B826" s="381" t="s">
        <v>321</v>
      </c>
      <c r="C826" s="381" t="s">
        <v>1695</v>
      </c>
      <c r="D826" s="381" t="s">
        <v>1653</v>
      </c>
      <c r="E826" s="381" t="s">
        <v>1654</v>
      </c>
      <c r="F826" s="378">
        <v>-484791</v>
      </c>
      <c r="G826" s="378">
        <v>0</v>
      </c>
      <c r="H826" s="378">
        <v>108259</v>
      </c>
      <c r="I826" s="378">
        <v>-593050</v>
      </c>
      <c r="J826" s="266">
        <f t="shared" si="13"/>
        <v>8</v>
      </c>
    </row>
    <row r="827" spans="1:10" ht="15.75" customHeight="1" x14ac:dyDescent="0.25">
      <c r="A827" s="380">
        <v>25700503</v>
      </c>
      <c r="B827" s="381" t="s">
        <v>321</v>
      </c>
      <c r="C827" s="381" t="s">
        <v>1695</v>
      </c>
      <c r="D827" s="381" t="s">
        <v>1683</v>
      </c>
      <c r="E827" s="381" t="s">
        <v>1684</v>
      </c>
      <c r="F827" s="378">
        <v>-201177</v>
      </c>
      <c r="G827" s="378">
        <v>0</v>
      </c>
      <c r="H827" s="378">
        <v>0</v>
      </c>
      <c r="I827" s="378">
        <v>-201177</v>
      </c>
      <c r="J827" s="266">
        <f t="shared" si="13"/>
        <v>8</v>
      </c>
    </row>
    <row r="828" spans="1:10" ht="15.75" customHeight="1" x14ac:dyDescent="0.25">
      <c r="A828" s="380">
        <v>25700503</v>
      </c>
      <c r="B828" s="381" t="s">
        <v>321</v>
      </c>
      <c r="C828" s="381" t="s">
        <v>1695</v>
      </c>
      <c r="D828" s="381" t="s">
        <v>1606</v>
      </c>
      <c r="E828" s="381" t="s">
        <v>1607</v>
      </c>
      <c r="F828" s="378">
        <v>-508215</v>
      </c>
      <c r="G828" s="378">
        <v>0</v>
      </c>
      <c r="H828" s="378">
        <v>102100</v>
      </c>
      <c r="I828" s="378">
        <v>-610315</v>
      </c>
      <c r="J828" s="266">
        <f t="shared" si="13"/>
        <v>8</v>
      </c>
    </row>
    <row r="829" spans="1:10" ht="15.75" customHeight="1" x14ac:dyDescent="0.25">
      <c r="A829" s="380">
        <v>25700503</v>
      </c>
      <c r="B829" s="381" t="s">
        <v>321</v>
      </c>
      <c r="C829" s="381" t="s">
        <v>1695</v>
      </c>
      <c r="D829" s="381" t="s">
        <v>1686</v>
      </c>
      <c r="E829" s="381" t="s">
        <v>1687</v>
      </c>
      <c r="F829" s="378">
        <v>-232701</v>
      </c>
      <c r="G829" s="378">
        <v>0</v>
      </c>
      <c r="H829" s="378">
        <v>0</v>
      </c>
      <c r="I829" s="378">
        <v>-232701</v>
      </c>
      <c r="J829" s="266">
        <f t="shared" si="13"/>
        <v>8</v>
      </c>
    </row>
    <row r="830" spans="1:10" ht="15.75" customHeight="1" x14ac:dyDescent="0.25">
      <c r="A830" s="380">
        <v>25700503</v>
      </c>
      <c r="B830" s="381" t="s">
        <v>321</v>
      </c>
      <c r="C830" s="381" t="s">
        <v>1695</v>
      </c>
      <c r="D830" s="381" t="s">
        <v>1655</v>
      </c>
      <c r="E830" s="381" t="s">
        <v>1656</v>
      </c>
      <c r="F830" s="378">
        <v>-133870</v>
      </c>
      <c r="G830" s="378">
        <v>0</v>
      </c>
      <c r="H830" s="378">
        <v>79317</v>
      </c>
      <c r="I830" s="378">
        <v>-213187</v>
      </c>
      <c r="J830" s="266">
        <f t="shared" si="13"/>
        <v>8</v>
      </c>
    </row>
    <row r="831" spans="1:10" ht="15.75" customHeight="1" x14ac:dyDescent="0.25">
      <c r="A831" s="380">
        <v>25700503</v>
      </c>
      <c r="B831" s="381" t="s">
        <v>321</v>
      </c>
      <c r="C831" s="381" t="s">
        <v>1695</v>
      </c>
      <c r="D831" s="381" t="s">
        <v>1657</v>
      </c>
      <c r="E831" s="381" t="s">
        <v>1658</v>
      </c>
      <c r="F831" s="378">
        <v>-453465</v>
      </c>
      <c r="G831" s="378">
        <v>0</v>
      </c>
      <c r="H831" s="378">
        <v>90464</v>
      </c>
      <c r="I831" s="378">
        <v>-543929</v>
      </c>
      <c r="J831" s="266">
        <f t="shared" si="13"/>
        <v>8</v>
      </c>
    </row>
    <row r="832" spans="1:10" ht="15.75" customHeight="1" x14ac:dyDescent="0.25">
      <c r="A832" s="380">
        <v>25700503</v>
      </c>
      <c r="B832" s="381" t="s">
        <v>321</v>
      </c>
      <c r="C832" s="381" t="s">
        <v>1695</v>
      </c>
      <c r="D832" s="381" t="s">
        <v>1659</v>
      </c>
      <c r="E832" s="381" t="s">
        <v>1660</v>
      </c>
      <c r="F832" s="378">
        <v>-486859</v>
      </c>
      <c r="G832" s="378">
        <v>0</v>
      </c>
      <c r="H832" s="378">
        <v>7739</v>
      </c>
      <c r="I832" s="378">
        <v>-494598</v>
      </c>
      <c r="J832" s="266">
        <f t="shared" si="13"/>
        <v>8</v>
      </c>
    </row>
    <row r="833" spans="1:10" ht="15.75" customHeight="1" x14ac:dyDescent="0.25">
      <c r="A833" s="380">
        <v>25700503</v>
      </c>
      <c r="B833" s="381" t="s">
        <v>321</v>
      </c>
      <c r="C833" s="381" t="s">
        <v>1695</v>
      </c>
      <c r="D833" s="381" t="s">
        <v>1527</v>
      </c>
      <c r="E833" s="381" t="s">
        <v>1528</v>
      </c>
      <c r="F833" s="378">
        <v>-443897</v>
      </c>
      <c r="G833" s="378">
        <v>0</v>
      </c>
      <c r="H833" s="378">
        <v>46731</v>
      </c>
      <c r="I833" s="378">
        <v>-490628</v>
      </c>
      <c r="J833" s="266">
        <f t="shared" si="13"/>
        <v>8</v>
      </c>
    </row>
    <row r="834" spans="1:10" ht="15.75" customHeight="1" x14ac:dyDescent="0.25">
      <c r="A834" s="380">
        <v>25700503</v>
      </c>
      <c r="B834" s="381" t="s">
        <v>321</v>
      </c>
      <c r="C834" s="381" t="s">
        <v>1695</v>
      </c>
      <c r="D834" s="381" t="s">
        <v>1444</v>
      </c>
      <c r="E834" s="381" t="s">
        <v>1533</v>
      </c>
      <c r="F834" s="378">
        <v>-583618</v>
      </c>
      <c r="G834" s="378">
        <v>0</v>
      </c>
      <c r="H834" s="378">
        <v>115643</v>
      </c>
      <c r="I834" s="378">
        <v>-699261</v>
      </c>
      <c r="J834" s="266">
        <f t="shared" si="13"/>
        <v>8</v>
      </c>
    </row>
    <row r="835" spans="1:10" ht="15.75" customHeight="1" x14ac:dyDescent="0.25">
      <c r="A835" s="380">
        <v>25700503</v>
      </c>
      <c r="B835" s="381" t="s">
        <v>321</v>
      </c>
      <c r="C835" s="381" t="s">
        <v>1695</v>
      </c>
      <c r="D835" s="381" t="s">
        <v>1661</v>
      </c>
      <c r="E835" s="381" t="s">
        <v>1662</v>
      </c>
      <c r="F835" s="378">
        <v>-492233</v>
      </c>
      <c r="G835" s="378">
        <v>0</v>
      </c>
      <c r="H835" s="378">
        <v>85140</v>
      </c>
      <c r="I835" s="378">
        <v>-577373</v>
      </c>
      <c r="J835" s="266">
        <f t="shared" si="13"/>
        <v>8</v>
      </c>
    </row>
    <row r="836" spans="1:10" ht="15.75" customHeight="1" x14ac:dyDescent="0.25">
      <c r="A836" s="380">
        <v>25700503</v>
      </c>
      <c r="B836" s="381" t="s">
        <v>321</v>
      </c>
      <c r="C836" s="381" t="s">
        <v>1695</v>
      </c>
      <c r="D836" s="381" t="s">
        <v>1663</v>
      </c>
      <c r="E836" s="381" t="s">
        <v>1664</v>
      </c>
      <c r="F836" s="378">
        <v>-473162</v>
      </c>
      <c r="G836" s="378">
        <v>0</v>
      </c>
      <c r="H836" s="378">
        <v>98233</v>
      </c>
      <c r="I836" s="378">
        <v>-571395</v>
      </c>
      <c r="J836" s="266">
        <f t="shared" si="13"/>
        <v>8</v>
      </c>
    </row>
    <row r="837" spans="1:10" ht="15.75" customHeight="1" x14ac:dyDescent="0.25">
      <c r="A837" s="380">
        <v>25700503</v>
      </c>
      <c r="B837" s="381" t="s">
        <v>321</v>
      </c>
      <c r="C837" s="381" t="s">
        <v>1695</v>
      </c>
      <c r="D837" s="381" t="s">
        <v>1609</v>
      </c>
      <c r="E837" s="381" t="s">
        <v>1610</v>
      </c>
      <c r="F837" s="378">
        <v>-468697</v>
      </c>
      <c r="G837" s="378">
        <v>0</v>
      </c>
      <c r="H837" s="378">
        <v>97091</v>
      </c>
      <c r="I837" s="378">
        <v>-565788</v>
      </c>
      <c r="J837" s="266">
        <f t="shared" si="13"/>
        <v>8</v>
      </c>
    </row>
    <row r="838" spans="1:10" ht="15.75" customHeight="1" x14ac:dyDescent="0.25">
      <c r="A838" s="380">
        <v>25700503</v>
      </c>
      <c r="B838" s="381" t="s">
        <v>321</v>
      </c>
      <c r="C838" s="381" t="s">
        <v>1695</v>
      </c>
      <c r="D838" s="381" t="s">
        <v>1490</v>
      </c>
      <c r="E838" s="381" t="s">
        <v>1491</v>
      </c>
      <c r="F838" s="378">
        <v>-176467</v>
      </c>
      <c r="G838" s="378">
        <v>0</v>
      </c>
      <c r="H838" s="378">
        <v>0</v>
      </c>
      <c r="I838" s="378">
        <v>-176467</v>
      </c>
      <c r="J838" s="266">
        <f t="shared" si="13"/>
        <v>8</v>
      </c>
    </row>
    <row r="839" spans="1:10" ht="15.75" customHeight="1" x14ac:dyDescent="0.25">
      <c r="A839" s="380">
        <v>25700503</v>
      </c>
      <c r="B839" s="381" t="s">
        <v>321</v>
      </c>
      <c r="C839" s="381" t="s">
        <v>1695</v>
      </c>
      <c r="D839" s="381" t="s">
        <v>1210</v>
      </c>
      <c r="E839" s="381" t="s">
        <v>1611</v>
      </c>
      <c r="F839" s="378">
        <v>-278002</v>
      </c>
      <c r="G839" s="378">
        <v>0</v>
      </c>
      <c r="H839" s="378">
        <v>84118</v>
      </c>
      <c r="I839" s="378">
        <v>-362120</v>
      </c>
      <c r="J839" s="266">
        <f t="shared" si="13"/>
        <v>8</v>
      </c>
    </row>
    <row r="840" spans="1:10" ht="15.75" customHeight="1" x14ac:dyDescent="0.25">
      <c r="A840" s="380">
        <v>25700503</v>
      </c>
      <c r="B840" s="381" t="s">
        <v>321</v>
      </c>
      <c r="C840" s="381" t="s">
        <v>1695</v>
      </c>
      <c r="D840" s="381" t="s">
        <v>1523</v>
      </c>
      <c r="E840" s="381" t="s">
        <v>1524</v>
      </c>
      <c r="F840" s="378">
        <v>-1099850</v>
      </c>
      <c r="G840" s="378">
        <v>0</v>
      </c>
      <c r="H840" s="378">
        <v>218500</v>
      </c>
      <c r="I840" s="378">
        <v>-1318350</v>
      </c>
      <c r="J840" s="266">
        <f t="shared" si="13"/>
        <v>8</v>
      </c>
    </row>
    <row r="841" spans="1:10" ht="15.75" customHeight="1" x14ac:dyDescent="0.25">
      <c r="A841" s="380">
        <v>25700503</v>
      </c>
      <c r="B841" s="381" t="s">
        <v>321</v>
      </c>
      <c r="C841" s="381" t="s">
        <v>1695</v>
      </c>
      <c r="D841" s="381" t="s">
        <v>1665</v>
      </c>
      <c r="E841" s="381" t="s">
        <v>1666</v>
      </c>
      <c r="F841" s="378">
        <v>-42022</v>
      </c>
      <c r="G841" s="378">
        <v>0</v>
      </c>
      <c r="H841" s="378">
        <v>76928</v>
      </c>
      <c r="I841" s="378">
        <v>-118950</v>
      </c>
      <c r="J841" s="266">
        <f t="shared" si="13"/>
        <v>8</v>
      </c>
    </row>
    <row r="842" spans="1:10" ht="15.75" customHeight="1" x14ac:dyDescent="0.25">
      <c r="A842" s="380">
        <v>25700503</v>
      </c>
      <c r="B842" s="381" t="s">
        <v>321</v>
      </c>
      <c r="C842" s="381" t="s">
        <v>1695</v>
      </c>
      <c r="D842" s="381" t="s">
        <v>792</v>
      </c>
      <c r="E842" s="381" t="s">
        <v>1534</v>
      </c>
      <c r="F842" s="378">
        <v>-452008</v>
      </c>
      <c r="G842" s="378">
        <v>0</v>
      </c>
      <c r="H842" s="378">
        <v>103332</v>
      </c>
      <c r="I842" s="378">
        <v>-555340</v>
      </c>
      <c r="J842" s="266">
        <f t="shared" si="13"/>
        <v>8</v>
      </c>
    </row>
    <row r="843" spans="1:10" ht="15.75" customHeight="1" x14ac:dyDescent="0.25">
      <c r="A843" s="380">
        <v>25700503</v>
      </c>
      <c r="B843" s="381" t="s">
        <v>321</v>
      </c>
      <c r="C843" s="381" t="s">
        <v>1695</v>
      </c>
      <c r="D843" s="381" t="s">
        <v>1688</v>
      </c>
      <c r="E843" s="381" t="s">
        <v>1689</v>
      </c>
      <c r="F843" s="378">
        <v>-145908</v>
      </c>
      <c r="G843" s="378">
        <v>0</v>
      </c>
      <c r="H843" s="378">
        <v>0</v>
      </c>
      <c r="I843" s="378">
        <v>-145908</v>
      </c>
      <c r="J843" s="266">
        <f t="shared" si="13"/>
        <v>8</v>
      </c>
    </row>
    <row r="844" spans="1:10" ht="15.75" customHeight="1" x14ac:dyDescent="0.25">
      <c r="A844" s="380">
        <v>25700503</v>
      </c>
      <c r="B844" s="381" t="s">
        <v>321</v>
      </c>
      <c r="C844" s="381" t="s">
        <v>1695</v>
      </c>
      <c r="D844" s="381" t="s">
        <v>1492</v>
      </c>
      <c r="E844" s="381" t="s">
        <v>1493</v>
      </c>
      <c r="F844" s="378">
        <v>-169359</v>
      </c>
      <c r="G844" s="378">
        <v>0</v>
      </c>
      <c r="H844" s="378">
        <v>0</v>
      </c>
      <c r="I844" s="378">
        <v>-169359</v>
      </c>
      <c r="J844" s="266">
        <f t="shared" ref="J844:J907" si="14">+LEN(A844)</f>
        <v>8</v>
      </c>
    </row>
    <row r="845" spans="1:10" ht="15.75" customHeight="1" x14ac:dyDescent="0.25">
      <c r="A845" s="380">
        <v>25700503</v>
      </c>
      <c r="B845" s="381" t="s">
        <v>321</v>
      </c>
      <c r="C845" s="381" t="s">
        <v>1695</v>
      </c>
      <c r="D845" s="381" t="s">
        <v>1412</v>
      </c>
      <c r="E845" s="381" t="s">
        <v>1413</v>
      </c>
      <c r="F845" s="378">
        <v>-48329</v>
      </c>
      <c r="G845" s="378">
        <v>0</v>
      </c>
      <c r="H845" s="378">
        <v>0</v>
      </c>
      <c r="I845" s="378">
        <v>-48329</v>
      </c>
      <c r="J845" s="266">
        <f t="shared" si="14"/>
        <v>8</v>
      </c>
    </row>
    <row r="846" spans="1:10" ht="15.75" customHeight="1" x14ac:dyDescent="0.25">
      <c r="A846" s="380">
        <v>25700503</v>
      </c>
      <c r="B846" s="381" t="s">
        <v>321</v>
      </c>
      <c r="C846" s="381" t="s">
        <v>1695</v>
      </c>
      <c r="D846" s="381" t="s">
        <v>1667</v>
      </c>
      <c r="E846" s="381" t="s">
        <v>1668</v>
      </c>
      <c r="F846" s="378">
        <v>-191244</v>
      </c>
      <c r="G846" s="378">
        <v>0</v>
      </c>
      <c r="H846" s="378">
        <v>88074</v>
      </c>
      <c r="I846" s="378">
        <v>-279318</v>
      </c>
      <c r="J846" s="266">
        <f t="shared" si="14"/>
        <v>8</v>
      </c>
    </row>
    <row r="847" spans="1:10" ht="15.75" customHeight="1" x14ac:dyDescent="0.25">
      <c r="A847" s="380">
        <v>25700503</v>
      </c>
      <c r="B847" s="381" t="s">
        <v>321</v>
      </c>
      <c r="C847" s="381" t="s">
        <v>1695</v>
      </c>
      <c r="D847" s="381" t="s">
        <v>1669</v>
      </c>
      <c r="E847" s="381" t="s">
        <v>1670</v>
      </c>
      <c r="F847" s="378">
        <v>-487761</v>
      </c>
      <c r="G847" s="378">
        <v>0</v>
      </c>
      <c r="H847" s="378">
        <v>73009</v>
      </c>
      <c r="I847" s="378">
        <v>-560770</v>
      </c>
      <c r="J847" s="266">
        <f t="shared" si="14"/>
        <v>8</v>
      </c>
    </row>
    <row r="848" spans="1:10" ht="15.75" customHeight="1" x14ac:dyDescent="0.25">
      <c r="A848" s="380">
        <v>25700503</v>
      </c>
      <c r="B848" s="381" t="s">
        <v>321</v>
      </c>
      <c r="C848" s="381" t="s">
        <v>1695</v>
      </c>
      <c r="D848" s="381" t="s">
        <v>1671</v>
      </c>
      <c r="E848" s="381" t="s">
        <v>1672</v>
      </c>
      <c r="F848" s="378">
        <v>-156008</v>
      </c>
      <c r="G848" s="378">
        <v>0</v>
      </c>
      <c r="H848" s="378">
        <v>94426</v>
      </c>
      <c r="I848" s="378">
        <v>-250434</v>
      </c>
      <c r="J848" s="266">
        <f t="shared" si="14"/>
        <v>8</v>
      </c>
    </row>
    <row r="849" spans="1:10" ht="15.75" customHeight="1" x14ac:dyDescent="0.25">
      <c r="A849" s="380">
        <v>25700503</v>
      </c>
      <c r="B849" s="381" t="s">
        <v>321</v>
      </c>
      <c r="C849" s="381" t="s">
        <v>1695</v>
      </c>
      <c r="D849" s="381" t="s">
        <v>1673</v>
      </c>
      <c r="E849" s="381" t="s">
        <v>1674</v>
      </c>
      <c r="F849" s="378">
        <v>-474995</v>
      </c>
      <c r="G849" s="378">
        <v>0</v>
      </c>
      <c r="H849" s="378">
        <v>106474</v>
      </c>
      <c r="I849" s="378">
        <v>-581469</v>
      </c>
      <c r="J849" s="266">
        <f t="shared" si="14"/>
        <v>8</v>
      </c>
    </row>
    <row r="850" spans="1:10" ht="15.75" customHeight="1" x14ac:dyDescent="0.25">
      <c r="A850" s="380">
        <v>25700503</v>
      </c>
      <c r="B850" s="381" t="s">
        <v>321</v>
      </c>
      <c r="C850" s="381" t="s">
        <v>1695</v>
      </c>
      <c r="D850" s="381" t="s">
        <v>1675</v>
      </c>
      <c r="E850" s="381" t="s">
        <v>1676</v>
      </c>
      <c r="F850" s="378">
        <v>0</v>
      </c>
      <c r="G850" s="378">
        <v>0</v>
      </c>
      <c r="H850" s="378">
        <v>18676</v>
      </c>
      <c r="I850" s="378">
        <v>-18676</v>
      </c>
      <c r="J850" s="266">
        <f t="shared" si="14"/>
        <v>8</v>
      </c>
    </row>
    <row r="851" spans="1:10" ht="15.75" customHeight="1" x14ac:dyDescent="0.25">
      <c r="A851" s="380">
        <v>25700503</v>
      </c>
      <c r="B851" s="381" t="s">
        <v>321</v>
      </c>
      <c r="C851" s="381" t="s">
        <v>1695</v>
      </c>
      <c r="D851" s="381" t="s">
        <v>1677</v>
      </c>
      <c r="E851" s="381" t="s">
        <v>1678</v>
      </c>
      <c r="F851" s="378">
        <v>0</v>
      </c>
      <c r="G851" s="378">
        <v>0</v>
      </c>
      <c r="H851" s="378">
        <v>18676</v>
      </c>
      <c r="I851" s="378">
        <v>-18676</v>
      </c>
      <c r="J851" s="266">
        <f t="shared" si="14"/>
        <v>8</v>
      </c>
    </row>
    <row r="852" spans="1:10" ht="15.75" customHeight="1" x14ac:dyDescent="0.25">
      <c r="A852" s="380">
        <v>257006</v>
      </c>
      <c r="B852" s="381" t="s">
        <v>321</v>
      </c>
      <c r="C852" s="381" t="s">
        <v>1266</v>
      </c>
      <c r="D852" s="381" t="s">
        <v>315</v>
      </c>
      <c r="E852" s="381" t="s">
        <v>315</v>
      </c>
      <c r="F852" s="378">
        <v>-1301900</v>
      </c>
      <c r="G852" s="378">
        <v>1301800</v>
      </c>
      <c r="H852" s="378">
        <v>1377600</v>
      </c>
      <c r="I852" s="378">
        <v>-1377700</v>
      </c>
      <c r="J852" s="266">
        <f t="shared" si="14"/>
        <v>6</v>
      </c>
    </row>
    <row r="853" spans="1:10" ht="15.75" customHeight="1" x14ac:dyDescent="0.25">
      <c r="A853" s="380">
        <v>25700601</v>
      </c>
      <c r="B853" s="381" t="s">
        <v>321</v>
      </c>
      <c r="C853" s="381" t="s">
        <v>1696</v>
      </c>
      <c r="D853" s="381" t="s">
        <v>315</v>
      </c>
      <c r="E853" s="381" t="s">
        <v>315</v>
      </c>
      <c r="F853" s="378">
        <v>-7696200</v>
      </c>
      <c r="G853" s="378">
        <v>0</v>
      </c>
      <c r="H853" s="378">
        <v>1377600</v>
      </c>
      <c r="I853" s="378">
        <v>-9073800</v>
      </c>
      <c r="J853" s="266">
        <f t="shared" si="14"/>
        <v>8</v>
      </c>
    </row>
    <row r="854" spans="1:10" ht="15.75" customHeight="1" x14ac:dyDescent="0.25">
      <c r="A854" s="380">
        <v>25700601</v>
      </c>
      <c r="B854" s="381" t="s">
        <v>321</v>
      </c>
      <c r="C854" s="381" t="s">
        <v>1696</v>
      </c>
      <c r="D854" s="381" t="s">
        <v>356</v>
      </c>
      <c r="E854" s="381" t="s">
        <v>357</v>
      </c>
      <c r="F854" s="378">
        <v>-1240500</v>
      </c>
      <c r="G854" s="378">
        <v>0</v>
      </c>
      <c r="H854" s="378">
        <v>0</v>
      </c>
      <c r="I854" s="378">
        <v>-1240500</v>
      </c>
      <c r="J854" s="266">
        <f t="shared" si="14"/>
        <v>8</v>
      </c>
    </row>
    <row r="855" spans="1:10" ht="15.75" customHeight="1" x14ac:dyDescent="0.25">
      <c r="A855" s="380">
        <v>25700601</v>
      </c>
      <c r="B855" s="381" t="s">
        <v>321</v>
      </c>
      <c r="C855" s="381" t="s">
        <v>1696</v>
      </c>
      <c r="D855" s="381" t="s">
        <v>1488</v>
      </c>
      <c r="E855" s="381" t="s">
        <v>1682</v>
      </c>
      <c r="F855" s="378">
        <v>-53300</v>
      </c>
      <c r="G855" s="378">
        <v>0</v>
      </c>
      <c r="H855" s="378">
        <v>0</v>
      </c>
      <c r="I855" s="378">
        <v>-53300</v>
      </c>
      <c r="J855" s="266">
        <f t="shared" si="14"/>
        <v>8</v>
      </c>
    </row>
    <row r="856" spans="1:10" ht="15.75" customHeight="1" x14ac:dyDescent="0.25">
      <c r="A856" s="380">
        <v>25700601</v>
      </c>
      <c r="B856" s="381" t="s">
        <v>321</v>
      </c>
      <c r="C856" s="381" t="s">
        <v>1696</v>
      </c>
      <c r="D856" s="381" t="s">
        <v>1535</v>
      </c>
      <c r="E856" s="381" t="s">
        <v>1536</v>
      </c>
      <c r="F856" s="378">
        <v>-278600</v>
      </c>
      <c r="G856" s="378">
        <v>0</v>
      </c>
      <c r="H856" s="378">
        <v>56400</v>
      </c>
      <c r="I856" s="378">
        <v>-335000</v>
      </c>
      <c r="J856" s="266">
        <f t="shared" si="14"/>
        <v>8</v>
      </c>
    </row>
    <row r="857" spans="1:10" ht="15.75" customHeight="1" x14ac:dyDescent="0.25">
      <c r="A857" s="380">
        <v>25700601</v>
      </c>
      <c r="B857" s="381" t="s">
        <v>321</v>
      </c>
      <c r="C857" s="381" t="s">
        <v>1696</v>
      </c>
      <c r="D857" s="381" t="s">
        <v>1604</v>
      </c>
      <c r="E857" s="381" t="s">
        <v>1605</v>
      </c>
      <c r="F857" s="378">
        <v>-305100</v>
      </c>
      <c r="G857" s="378">
        <v>0</v>
      </c>
      <c r="H857" s="378">
        <v>70400</v>
      </c>
      <c r="I857" s="378">
        <v>-375500</v>
      </c>
      <c r="J857" s="266">
        <f t="shared" si="14"/>
        <v>8</v>
      </c>
    </row>
    <row r="858" spans="1:10" ht="15.75" customHeight="1" x14ac:dyDescent="0.25">
      <c r="A858" s="380">
        <v>25700601</v>
      </c>
      <c r="B858" s="381" t="s">
        <v>321</v>
      </c>
      <c r="C858" s="381" t="s">
        <v>1696</v>
      </c>
      <c r="D858" s="381" t="s">
        <v>1649</v>
      </c>
      <c r="E858" s="381" t="s">
        <v>1650</v>
      </c>
      <c r="F858" s="378">
        <v>-285100</v>
      </c>
      <c r="G858" s="378">
        <v>0</v>
      </c>
      <c r="H858" s="378">
        <v>56500</v>
      </c>
      <c r="I858" s="378">
        <v>-341600</v>
      </c>
      <c r="J858" s="266">
        <f t="shared" si="14"/>
        <v>8</v>
      </c>
    </row>
    <row r="859" spans="1:10" ht="15.75" customHeight="1" x14ac:dyDescent="0.25">
      <c r="A859" s="380">
        <v>25700601</v>
      </c>
      <c r="B859" s="381" t="s">
        <v>321</v>
      </c>
      <c r="C859" s="381" t="s">
        <v>1696</v>
      </c>
      <c r="D859" s="381" t="s">
        <v>1690</v>
      </c>
      <c r="E859" s="381" t="s">
        <v>1691</v>
      </c>
      <c r="F859" s="378">
        <v>-2000</v>
      </c>
      <c r="G859" s="378">
        <v>0</v>
      </c>
      <c r="H859" s="378">
        <v>0</v>
      </c>
      <c r="I859" s="378">
        <v>-2000</v>
      </c>
      <c r="J859" s="266">
        <f t="shared" si="14"/>
        <v>8</v>
      </c>
    </row>
    <row r="860" spans="1:10" ht="15.75" customHeight="1" x14ac:dyDescent="0.25">
      <c r="A860" s="380">
        <v>25700601</v>
      </c>
      <c r="B860" s="381" t="s">
        <v>321</v>
      </c>
      <c r="C860" s="381" t="s">
        <v>1696</v>
      </c>
      <c r="D860" s="381" t="s">
        <v>1651</v>
      </c>
      <c r="E860" s="381" t="s">
        <v>1652</v>
      </c>
      <c r="F860" s="378">
        <v>-242100</v>
      </c>
      <c r="G860" s="378">
        <v>0</v>
      </c>
      <c r="H860" s="378">
        <v>57200</v>
      </c>
      <c r="I860" s="378">
        <v>-299300</v>
      </c>
      <c r="J860" s="266">
        <f t="shared" si="14"/>
        <v>8</v>
      </c>
    </row>
    <row r="861" spans="1:10" ht="15.75" customHeight="1" x14ac:dyDescent="0.25">
      <c r="A861" s="380">
        <v>25700601</v>
      </c>
      <c r="B861" s="381" t="s">
        <v>321</v>
      </c>
      <c r="C861" s="381" t="s">
        <v>1696</v>
      </c>
      <c r="D861" s="381" t="s">
        <v>1443</v>
      </c>
      <c r="E861" s="381" t="s">
        <v>1530</v>
      </c>
      <c r="F861" s="378">
        <v>-323200</v>
      </c>
      <c r="G861" s="378">
        <v>0</v>
      </c>
      <c r="H861" s="378">
        <v>70700</v>
      </c>
      <c r="I861" s="378">
        <v>-393900</v>
      </c>
      <c r="J861" s="266">
        <f t="shared" si="14"/>
        <v>8</v>
      </c>
    </row>
    <row r="862" spans="1:10" ht="15.75" customHeight="1" x14ac:dyDescent="0.25">
      <c r="A862" s="380">
        <v>25700601</v>
      </c>
      <c r="B862" s="381" t="s">
        <v>321</v>
      </c>
      <c r="C862" s="381" t="s">
        <v>1696</v>
      </c>
      <c r="D862" s="381" t="s">
        <v>1653</v>
      </c>
      <c r="E862" s="381" t="s">
        <v>1654</v>
      </c>
      <c r="F862" s="378">
        <v>-290800</v>
      </c>
      <c r="G862" s="378">
        <v>0</v>
      </c>
      <c r="H862" s="378">
        <v>64100</v>
      </c>
      <c r="I862" s="378">
        <v>-354900</v>
      </c>
      <c r="J862" s="266">
        <f t="shared" si="14"/>
        <v>8</v>
      </c>
    </row>
    <row r="863" spans="1:10" ht="15.75" customHeight="1" x14ac:dyDescent="0.25">
      <c r="A863" s="380">
        <v>25700601</v>
      </c>
      <c r="B863" s="381" t="s">
        <v>321</v>
      </c>
      <c r="C863" s="381" t="s">
        <v>1696</v>
      </c>
      <c r="D863" s="381" t="s">
        <v>1683</v>
      </c>
      <c r="E863" s="381" t="s">
        <v>1684</v>
      </c>
      <c r="F863" s="378">
        <v>-122600</v>
      </c>
      <c r="G863" s="378">
        <v>0</v>
      </c>
      <c r="H863" s="378">
        <v>0</v>
      </c>
      <c r="I863" s="378">
        <v>-122600</v>
      </c>
      <c r="J863" s="266">
        <f t="shared" si="14"/>
        <v>8</v>
      </c>
    </row>
    <row r="864" spans="1:10" ht="15.75" customHeight="1" x14ac:dyDescent="0.25">
      <c r="A864" s="380">
        <v>25700601</v>
      </c>
      <c r="B864" s="381" t="s">
        <v>321</v>
      </c>
      <c r="C864" s="381" t="s">
        <v>1696</v>
      </c>
      <c r="D864" s="381" t="s">
        <v>1606</v>
      </c>
      <c r="E864" s="381" t="s">
        <v>1607</v>
      </c>
      <c r="F864" s="378">
        <v>-309700</v>
      </c>
      <c r="G864" s="378">
        <v>0</v>
      </c>
      <c r="H864" s="378">
        <v>60000</v>
      </c>
      <c r="I864" s="378">
        <v>-369700</v>
      </c>
      <c r="J864" s="266">
        <f t="shared" si="14"/>
        <v>8</v>
      </c>
    </row>
    <row r="865" spans="1:10" ht="15.75" customHeight="1" x14ac:dyDescent="0.25">
      <c r="A865" s="380">
        <v>25700601</v>
      </c>
      <c r="B865" s="381" t="s">
        <v>321</v>
      </c>
      <c r="C865" s="381" t="s">
        <v>1696</v>
      </c>
      <c r="D865" s="381" t="s">
        <v>1686</v>
      </c>
      <c r="E865" s="381" t="s">
        <v>1687</v>
      </c>
      <c r="F865" s="378">
        <v>-141800</v>
      </c>
      <c r="G865" s="378">
        <v>0</v>
      </c>
      <c r="H865" s="378">
        <v>0</v>
      </c>
      <c r="I865" s="378">
        <v>-141800</v>
      </c>
      <c r="J865" s="266">
        <f t="shared" si="14"/>
        <v>8</v>
      </c>
    </row>
    <row r="866" spans="1:10" ht="15.75" customHeight="1" x14ac:dyDescent="0.25">
      <c r="A866" s="380">
        <v>25700601</v>
      </c>
      <c r="B866" s="381" t="s">
        <v>321</v>
      </c>
      <c r="C866" s="381" t="s">
        <v>1696</v>
      </c>
      <c r="D866" s="381" t="s">
        <v>1655</v>
      </c>
      <c r="E866" s="381" t="s">
        <v>1656</v>
      </c>
      <c r="F866" s="378">
        <v>-81600</v>
      </c>
      <c r="G866" s="378">
        <v>0</v>
      </c>
      <c r="H866" s="378">
        <v>48400</v>
      </c>
      <c r="I866" s="378">
        <v>-130000</v>
      </c>
      <c r="J866" s="266">
        <f t="shared" si="14"/>
        <v>8</v>
      </c>
    </row>
    <row r="867" spans="1:10" ht="15.75" customHeight="1" x14ac:dyDescent="0.25">
      <c r="A867" s="380">
        <v>25700601</v>
      </c>
      <c r="B867" s="381" t="s">
        <v>321</v>
      </c>
      <c r="C867" s="381" t="s">
        <v>1696</v>
      </c>
      <c r="D867" s="381" t="s">
        <v>1657</v>
      </c>
      <c r="E867" s="381" t="s">
        <v>1658</v>
      </c>
      <c r="F867" s="378">
        <v>-270300</v>
      </c>
      <c r="G867" s="378">
        <v>0</v>
      </c>
      <c r="H867" s="378">
        <v>55100</v>
      </c>
      <c r="I867" s="378">
        <v>-325400</v>
      </c>
      <c r="J867" s="266">
        <f t="shared" si="14"/>
        <v>8</v>
      </c>
    </row>
    <row r="868" spans="1:10" ht="15.75" customHeight="1" x14ac:dyDescent="0.25">
      <c r="A868" s="380">
        <v>25700601</v>
      </c>
      <c r="B868" s="381" t="s">
        <v>321</v>
      </c>
      <c r="C868" s="381" t="s">
        <v>1696</v>
      </c>
      <c r="D868" s="381" t="s">
        <v>1659</v>
      </c>
      <c r="E868" s="381" t="s">
        <v>1660</v>
      </c>
      <c r="F868" s="378">
        <v>-291500</v>
      </c>
      <c r="G868" s="378">
        <v>0</v>
      </c>
      <c r="H868" s="378">
        <v>4800</v>
      </c>
      <c r="I868" s="378">
        <v>-296300</v>
      </c>
      <c r="J868" s="266">
        <f t="shared" si="14"/>
        <v>8</v>
      </c>
    </row>
    <row r="869" spans="1:10" ht="15.75" customHeight="1" x14ac:dyDescent="0.25">
      <c r="A869" s="380">
        <v>25700601</v>
      </c>
      <c r="B869" s="381" t="s">
        <v>321</v>
      </c>
      <c r="C869" s="381" t="s">
        <v>1696</v>
      </c>
      <c r="D869" s="381" t="s">
        <v>1527</v>
      </c>
      <c r="E869" s="381" t="s">
        <v>1528</v>
      </c>
      <c r="F869" s="378">
        <v>-263500</v>
      </c>
      <c r="G869" s="378">
        <v>0</v>
      </c>
      <c r="H869" s="378">
        <v>28500</v>
      </c>
      <c r="I869" s="378">
        <v>-292000</v>
      </c>
      <c r="J869" s="266">
        <f t="shared" si="14"/>
        <v>8</v>
      </c>
    </row>
    <row r="870" spans="1:10" ht="15.75" customHeight="1" x14ac:dyDescent="0.25">
      <c r="A870" s="380">
        <v>25700601</v>
      </c>
      <c r="B870" s="381" t="s">
        <v>321</v>
      </c>
      <c r="C870" s="381" t="s">
        <v>1696</v>
      </c>
      <c r="D870" s="381" t="s">
        <v>1444</v>
      </c>
      <c r="E870" s="381" t="s">
        <v>1533</v>
      </c>
      <c r="F870" s="378">
        <v>-327100</v>
      </c>
      <c r="G870" s="378">
        <v>0</v>
      </c>
      <c r="H870" s="378">
        <v>70500</v>
      </c>
      <c r="I870" s="378">
        <v>-397600</v>
      </c>
      <c r="J870" s="266">
        <f t="shared" si="14"/>
        <v>8</v>
      </c>
    </row>
    <row r="871" spans="1:10" ht="15.75" customHeight="1" x14ac:dyDescent="0.25">
      <c r="A871" s="380">
        <v>25700601</v>
      </c>
      <c r="B871" s="381" t="s">
        <v>321</v>
      </c>
      <c r="C871" s="381" t="s">
        <v>1696</v>
      </c>
      <c r="D871" s="381" t="s">
        <v>1661</v>
      </c>
      <c r="E871" s="381" t="s">
        <v>1662</v>
      </c>
      <c r="F871" s="378">
        <v>-297800</v>
      </c>
      <c r="G871" s="378">
        <v>0</v>
      </c>
      <c r="H871" s="378">
        <v>51900</v>
      </c>
      <c r="I871" s="378">
        <v>-349700</v>
      </c>
      <c r="J871" s="266">
        <f t="shared" si="14"/>
        <v>8</v>
      </c>
    </row>
    <row r="872" spans="1:10" ht="15.75" customHeight="1" x14ac:dyDescent="0.25">
      <c r="A872" s="380">
        <v>25700601</v>
      </c>
      <c r="B872" s="381" t="s">
        <v>321</v>
      </c>
      <c r="C872" s="381" t="s">
        <v>1696</v>
      </c>
      <c r="D872" s="381" t="s">
        <v>1663</v>
      </c>
      <c r="E872" s="381" t="s">
        <v>1664</v>
      </c>
      <c r="F872" s="378">
        <v>-251000</v>
      </c>
      <c r="G872" s="378">
        <v>0</v>
      </c>
      <c r="H872" s="378">
        <v>59900</v>
      </c>
      <c r="I872" s="378">
        <v>-310900</v>
      </c>
      <c r="J872" s="266">
        <f t="shared" si="14"/>
        <v>8</v>
      </c>
    </row>
    <row r="873" spans="1:10" ht="15.75" customHeight="1" x14ac:dyDescent="0.25">
      <c r="A873" s="380">
        <v>25700601</v>
      </c>
      <c r="B873" s="381" t="s">
        <v>321</v>
      </c>
      <c r="C873" s="381" t="s">
        <v>1696</v>
      </c>
      <c r="D873" s="381" t="s">
        <v>1609</v>
      </c>
      <c r="E873" s="381" t="s">
        <v>1610</v>
      </c>
      <c r="F873" s="378">
        <v>-271600</v>
      </c>
      <c r="G873" s="378">
        <v>0</v>
      </c>
      <c r="H873" s="378">
        <v>59200</v>
      </c>
      <c r="I873" s="378">
        <v>-330800</v>
      </c>
      <c r="J873" s="266">
        <f t="shared" si="14"/>
        <v>8</v>
      </c>
    </row>
    <row r="874" spans="1:10" ht="15.75" customHeight="1" x14ac:dyDescent="0.25">
      <c r="A874" s="380">
        <v>25700601</v>
      </c>
      <c r="B874" s="381" t="s">
        <v>321</v>
      </c>
      <c r="C874" s="381" t="s">
        <v>1696</v>
      </c>
      <c r="D874" s="381" t="s">
        <v>1490</v>
      </c>
      <c r="E874" s="381" t="s">
        <v>1491</v>
      </c>
      <c r="F874" s="378">
        <v>-107500</v>
      </c>
      <c r="G874" s="378">
        <v>0</v>
      </c>
      <c r="H874" s="378">
        <v>0</v>
      </c>
      <c r="I874" s="378">
        <v>-107500</v>
      </c>
      <c r="J874" s="266">
        <f t="shared" si="14"/>
        <v>8</v>
      </c>
    </row>
    <row r="875" spans="1:10" ht="15.75" customHeight="1" x14ac:dyDescent="0.25">
      <c r="A875" s="380">
        <v>25700601</v>
      </c>
      <c r="B875" s="381" t="s">
        <v>321</v>
      </c>
      <c r="C875" s="381" t="s">
        <v>1696</v>
      </c>
      <c r="D875" s="381" t="s">
        <v>1210</v>
      </c>
      <c r="E875" s="381" t="s">
        <v>1611</v>
      </c>
      <c r="F875" s="378">
        <v>-159500</v>
      </c>
      <c r="G875" s="378">
        <v>0</v>
      </c>
      <c r="H875" s="378">
        <v>51300</v>
      </c>
      <c r="I875" s="378">
        <v>-210800</v>
      </c>
      <c r="J875" s="266">
        <f t="shared" si="14"/>
        <v>8</v>
      </c>
    </row>
    <row r="876" spans="1:10" ht="15.75" customHeight="1" x14ac:dyDescent="0.25">
      <c r="A876" s="380">
        <v>25700601</v>
      </c>
      <c r="B876" s="381" t="s">
        <v>321</v>
      </c>
      <c r="C876" s="381" t="s">
        <v>1696</v>
      </c>
      <c r="D876" s="381" t="s">
        <v>1523</v>
      </c>
      <c r="E876" s="381" t="s">
        <v>1524</v>
      </c>
      <c r="F876" s="378">
        <v>-603500</v>
      </c>
      <c r="G876" s="378">
        <v>0</v>
      </c>
      <c r="H876" s="378">
        <v>133100</v>
      </c>
      <c r="I876" s="378">
        <v>-736600</v>
      </c>
      <c r="J876" s="266">
        <f t="shared" si="14"/>
        <v>8</v>
      </c>
    </row>
    <row r="877" spans="1:10" ht="15.75" customHeight="1" x14ac:dyDescent="0.25">
      <c r="A877" s="380">
        <v>25700601</v>
      </c>
      <c r="B877" s="381" t="s">
        <v>321</v>
      </c>
      <c r="C877" s="381" t="s">
        <v>1696</v>
      </c>
      <c r="D877" s="381" t="s">
        <v>1665</v>
      </c>
      <c r="E877" s="381" t="s">
        <v>1666</v>
      </c>
      <c r="F877" s="378">
        <v>-25600</v>
      </c>
      <c r="G877" s="378">
        <v>0</v>
      </c>
      <c r="H877" s="378">
        <v>44100</v>
      </c>
      <c r="I877" s="378">
        <v>-69700</v>
      </c>
      <c r="J877" s="266">
        <f t="shared" si="14"/>
        <v>8</v>
      </c>
    </row>
    <row r="878" spans="1:10" ht="15.75" customHeight="1" x14ac:dyDescent="0.25">
      <c r="A878" s="380">
        <v>25700601</v>
      </c>
      <c r="B878" s="381" t="s">
        <v>321</v>
      </c>
      <c r="C878" s="381" t="s">
        <v>1696</v>
      </c>
      <c r="D878" s="381" t="s">
        <v>792</v>
      </c>
      <c r="E878" s="381" t="s">
        <v>1534</v>
      </c>
      <c r="F878" s="378">
        <v>-244200</v>
      </c>
      <c r="G878" s="378">
        <v>0</v>
      </c>
      <c r="H878" s="378">
        <v>63000</v>
      </c>
      <c r="I878" s="378">
        <v>-307200</v>
      </c>
      <c r="J878" s="266">
        <f t="shared" si="14"/>
        <v>8</v>
      </c>
    </row>
    <row r="879" spans="1:10" ht="15.75" customHeight="1" x14ac:dyDescent="0.25">
      <c r="A879" s="380">
        <v>25700601</v>
      </c>
      <c r="B879" s="381" t="s">
        <v>321</v>
      </c>
      <c r="C879" s="381" t="s">
        <v>1696</v>
      </c>
      <c r="D879" s="381" t="s">
        <v>1688</v>
      </c>
      <c r="E879" s="381" t="s">
        <v>1689</v>
      </c>
      <c r="F879" s="378">
        <v>-89100</v>
      </c>
      <c r="G879" s="378">
        <v>0</v>
      </c>
      <c r="H879" s="378">
        <v>0</v>
      </c>
      <c r="I879" s="378">
        <v>-89100</v>
      </c>
      <c r="J879" s="266">
        <f t="shared" si="14"/>
        <v>8</v>
      </c>
    </row>
    <row r="880" spans="1:10" ht="15.75" customHeight="1" x14ac:dyDescent="0.25">
      <c r="A880" s="380">
        <v>25700601</v>
      </c>
      <c r="B880" s="381" t="s">
        <v>321</v>
      </c>
      <c r="C880" s="381" t="s">
        <v>1696</v>
      </c>
      <c r="D880" s="381" t="s">
        <v>1492</v>
      </c>
      <c r="E880" s="381" t="s">
        <v>1493</v>
      </c>
      <c r="F880" s="378">
        <v>-103400</v>
      </c>
      <c r="G880" s="378">
        <v>0</v>
      </c>
      <c r="H880" s="378">
        <v>0</v>
      </c>
      <c r="I880" s="378">
        <v>-103400</v>
      </c>
      <c r="J880" s="266">
        <f t="shared" si="14"/>
        <v>8</v>
      </c>
    </row>
    <row r="881" spans="1:10" ht="15.75" customHeight="1" x14ac:dyDescent="0.25">
      <c r="A881" s="380">
        <v>25700601</v>
      </c>
      <c r="B881" s="381" t="s">
        <v>321</v>
      </c>
      <c r="C881" s="381" t="s">
        <v>1696</v>
      </c>
      <c r="D881" s="381" t="s">
        <v>1412</v>
      </c>
      <c r="E881" s="381" t="s">
        <v>1413</v>
      </c>
      <c r="F881" s="378">
        <v>-21400</v>
      </c>
      <c r="G881" s="378">
        <v>0</v>
      </c>
      <c r="H881" s="378">
        <v>0</v>
      </c>
      <c r="I881" s="378">
        <v>-21400</v>
      </c>
      <c r="J881" s="266">
        <f t="shared" si="14"/>
        <v>8</v>
      </c>
    </row>
    <row r="882" spans="1:10" ht="15.75" customHeight="1" x14ac:dyDescent="0.25">
      <c r="A882" s="380">
        <v>25700601</v>
      </c>
      <c r="B882" s="381" t="s">
        <v>321</v>
      </c>
      <c r="C882" s="381" t="s">
        <v>1696</v>
      </c>
      <c r="D882" s="381" t="s">
        <v>1667</v>
      </c>
      <c r="E882" s="381" t="s">
        <v>1668</v>
      </c>
      <c r="F882" s="378">
        <v>-48300</v>
      </c>
      <c r="G882" s="378">
        <v>0</v>
      </c>
      <c r="H882" s="378">
        <v>46300</v>
      </c>
      <c r="I882" s="378">
        <v>-94600</v>
      </c>
      <c r="J882" s="266">
        <f t="shared" si="14"/>
        <v>8</v>
      </c>
    </row>
    <row r="883" spans="1:10" ht="15.75" customHeight="1" x14ac:dyDescent="0.25">
      <c r="A883" s="380">
        <v>25700601</v>
      </c>
      <c r="B883" s="381" t="s">
        <v>321</v>
      </c>
      <c r="C883" s="381" t="s">
        <v>1696</v>
      </c>
      <c r="D883" s="381" t="s">
        <v>1669</v>
      </c>
      <c r="E883" s="381" t="s">
        <v>1670</v>
      </c>
      <c r="F883" s="378">
        <v>-259800</v>
      </c>
      <c r="G883" s="378">
        <v>0</v>
      </c>
      <c r="H883" s="378">
        <v>40200</v>
      </c>
      <c r="I883" s="378">
        <v>-300000</v>
      </c>
      <c r="J883" s="266">
        <f t="shared" si="14"/>
        <v>8</v>
      </c>
    </row>
    <row r="884" spans="1:10" ht="15.75" customHeight="1" x14ac:dyDescent="0.25">
      <c r="A884" s="380">
        <v>25700601</v>
      </c>
      <c r="B884" s="381" t="s">
        <v>321</v>
      </c>
      <c r="C884" s="381" t="s">
        <v>1696</v>
      </c>
      <c r="D884" s="381" t="s">
        <v>1671</v>
      </c>
      <c r="E884" s="381" t="s">
        <v>1672</v>
      </c>
      <c r="F884" s="378">
        <v>-95100</v>
      </c>
      <c r="G884" s="378">
        <v>0</v>
      </c>
      <c r="H884" s="378">
        <v>57600</v>
      </c>
      <c r="I884" s="378">
        <v>-152700</v>
      </c>
      <c r="J884" s="266">
        <f t="shared" si="14"/>
        <v>8</v>
      </c>
    </row>
    <row r="885" spans="1:10" ht="15.75" customHeight="1" x14ac:dyDescent="0.25">
      <c r="A885" s="380">
        <v>25700601</v>
      </c>
      <c r="B885" s="381" t="s">
        <v>321</v>
      </c>
      <c r="C885" s="381" t="s">
        <v>1696</v>
      </c>
      <c r="D885" s="381" t="s">
        <v>1673</v>
      </c>
      <c r="E885" s="381" t="s">
        <v>1674</v>
      </c>
      <c r="F885" s="378">
        <v>-289600</v>
      </c>
      <c r="G885" s="378">
        <v>0</v>
      </c>
      <c r="H885" s="378">
        <v>62900</v>
      </c>
      <c r="I885" s="378">
        <v>-352500</v>
      </c>
      <c r="J885" s="266">
        <f t="shared" si="14"/>
        <v>8</v>
      </c>
    </row>
    <row r="886" spans="1:10" ht="15.75" customHeight="1" x14ac:dyDescent="0.25">
      <c r="A886" s="380">
        <v>25700601</v>
      </c>
      <c r="B886" s="381" t="s">
        <v>321</v>
      </c>
      <c r="C886" s="381" t="s">
        <v>1696</v>
      </c>
      <c r="D886" s="381" t="s">
        <v>1675</v>
      </c>
      <c r="E886" s="381" t="s">
        <v>1676</v>
      </c>
      <c r="F886" s="378">
        <v>0</v>
      </c>
      <c r="G886" s="378">
        <v>0</v>
      </c>
      <c r="H886" s="378">
        <v>11400</v>
      </c>
      <c r="I886" s="378">
        <v>-11400</v>
      </c>
      <c r="J886" s="266">
        <f t="shared" si="14"/>
        <v>8</v>
      </c>
    </row>
    <row r="887" spans="1:10" ht="15.75" customHeight="1" x14ac:dyDescent="0.25">
      <c r="A887" s="380">
        <v>25700601</v>
      </c>
      <c r="B887" s="381" t="s">
        <v>321</v>
      </c>
      <c r="C887" s="381" t="s">
        <v>1696</v>
      </c>
      <c r="D887" s="381" t="s">
        <v>1677</v>
      </c>
      <c r="E887" s="381" t="s">
        <v>1678</v>
      </c>
      <c r="F887" s="378">
        <v>0</v>
      </c>
      <c r="G887" s="378">
        <v>0</v>
      </c>
      <c r="H887" s="378">
        <v>11400</v>
      </c>
      <c r="I887" s="378">
        <v>-11400</v>
      </c>
      <c r="J887" s="266">
        <f t="shared" si="14"/>
        <v>8</v>
      </c>
    </row>
    <row r="888" spans="1:10" ht="15.75" customHeight="1" x14ac:dyDescent="0.25">
      <c r="A888" s="380">
        <v>25700601</v>
      </c>
      <c r="B888" s="381" t="s">
        <v>321</v>
      </c>
      <c r="C888" s="381" t="s">
        <v>1696</v>
      </c>
      <c r="D888" s="381" t="s">
        <v>1679</v>
      </c>
      <c r="E888" s="381" t="s">
        <v>1680</v>
      </c>
      <c r="F888" s="378">
        <v>0</v>
      </c>
      <c r="G888" s="378">
        <v>0</v>
      </c>
      <c r="H888" s="378">
        <v>42700</v>
      </c>
      <c r="I888" s="378">
        <v>-42700</v>
      </c>
      <c r="J888" s="266">
        <f t="shared" si="14"/>
        <v>8</v>
      </c>
    </row>
    <row r="889" spans="1:10" ht="15.75" customHeight="1" x14ac:dyDescent="0.25">
      <c r="A889" s="380">
        <v>25700602</v>
      </c>
      <c r="B889" s="381" t="s">
        <v>321</v>
      </c>
      <c r="C889" s="381" t="s">
        <v>1697</v>
      </c>
      <c r="D889" s="381" t="s">
        <v>315</v>
      </c>
      <c r="E889" s="381" t="s">
        <v>315</v>
      </c>
      <c r="F889" s="378">
        <v>6394300</v>
      </c>
      <c r="G889" s="378">
        <v>1301800</v>
      </c>
      <c r="H889" s="378">
        <v>0</v>
      </c>
      <c r="I889" s="378">
        <v>7696100</v>
      </c>
      <c r="J889" s="266">
        <f t="shared" si="14"/>
        <v>8</v>
      </c>
    </row>
    <row r="890" spans="1:10" ht="15.75" customHeight="1" x14ac:dyDescent="0.25">
      <c r="A890" s="380">
        <v>25700602</v>
      </c>
      <c r="B890" s="381" t="s">
        <v>321</v>
      </c>
      <c r="C890" s="381" t="s">
        <v>1697</v>
      </c>
      <c r="D890" s="381" t="s">
        <v>491</v>
      </c>
      <c r="E890" s="381" t="s">
        <v>1698</v>
      </c>
      <c r="F890" s="378">
        <v>6394300</v>
      </c>
      <c r="G890" s="378">
        <v>1301800</v>
      </c>
      <c r="H890" s="378">
        <v>0</v>
      </c>
      <c r="I890" s="378">
        <v>7696100</v>
      </c>
      <c r="J890" s="266">
        <f t="shared" si="14"/>
        <v>8</v>
      </c>
    </row>
    <row r="891" spans="1:10" ht="15.75" customHeight="1" x14ac:dyDescent="0.25">
      <c r="A891" s="380">
        <v>257010</v>
      </c>
      <c r="B891" s="381" t="s">
        <v>321</v>
      </c>
      <c r="C891" s="381" t="s">
        <v>1699</v>
      </c>
      <c r="D891" s="381" t="s">
        <v>315</v>
      </c>
      <c r="E891" s="381" t="s">
        <v>315</v>
      </c>
      <c r="F891" s="378">
        <v>-2255200</v>
      </c>
      <c r="G891" s="378">
        <v>2254700</v>
      </c>
      <c r="H891" s="378">
        <v>2337800</v>
      </c>
      <c r="I891" s="378">
        <v>-2338300</v>
      </c>
      <c r="J891" s="266">
        <f t="shared" si="14"/>
        <v>6</v>
      </c>
    </row>
    <row r="892" spans="1:10" ht="15.75" customHeight="1" x14ac:dyDescent="0.25">
      <c r="A892" s="380">
        <v>25701001</v>
      </c>
      <c r="B892" s="381" t="s">
        <v>321</v>
      </c>
      <c r="C892" s="381" t="s">
        <v>1699</v>
      </c>
      <c r="D892" s="381" t="s">
        <v>315</v>
      </c>
      <c r="E892" s="381" t="s">
        <v>315</v>
      </c>
      <c r="F892" s="378">
        <v>-13267200</v>
      </c>
      <c r="G892" s="378">
        <v>0</v>
      </c>
      <c r="H892" s="378">
        <v>2337800</v>
      </c>
      <c r="I892" s="378">
        <v>-15605000</v>
      </c>
      <c r="J892" s="266">
        <f t="shared" si="14"/>
        <v>8</v>
      </c>
    </row>
    <row r="893" spans="1:10" ht="15.75" customHeight="1" x14ac:dyDescent="0.25">
      <c r="A893" s="380">
        <v>25701001</v>
      </c>
      <c r="B893" s="381" t="s">
        <v>321</v>
      </c>
      <c r="C893" s="381" t="s">
        <v>1699</v>
      </c>
      <c r="D893" s="381" t="s">
        <v>356</v>
      </c>
      <c r="E893" s="381" t="s">
        <v>357</v>
      </c>
      <c r="F893" s="378">
        <v>-2134800</v>
      </c>
      <c r="G893" s="378">
        <v>0</v>
      </c>
      <c r="H893" s="378">
        <v>0</v>
      </c>
      <c r="I893" s="378">
        <v>-2134800</v>
      </c>
      <c r="J893" s="266">
        <f t="shared" si="14"/>
        <v>8</v>
      </c>
    </row>
    <row r="894" spans="1:10" ht="15.75" customHeight="1" x14ac:dyDescent="0.25">
      <c r="A894" s="380">
        <v>25701001</v>
      </c>
      <c r="B894" s="381" t="s">
        <v>321</v>
      </c>
      <c r="C894" s="381" t="s">
        <v>1699</v>
      </c>
      <c r="D894" s="381" t="s">
        <v>1488</v>
      </c>
      <c r="E894" s="381" t="s">
        <v>1682</v>
      </c>
      <c r="F894" s="378">
        <v>-89900</v>
      </c>
      <c r="G894" s="378">
        <v>0</v>
      </c>
      <c r="H894" s="378">
        <v>0</v>
      </c>
      <c r="I894" s="378">
        <v>-89900</v>
      </c>
      <c r="J894" s="266">
        <f t="shared" si="14"/>
        <v>8</v>
      </c>
    </row>
    <row r="895" spans="1:10" ht="15.75" customHeight="1" x14ac:dyDescent="0.25">
      <c r="A895" s="380">
        <v>25701001</v>
      </c>
      <c r="B895" s="381" t="s">
        <v>321</v>
      </c>
      <c r="C895" s="381" t="s">
        <v>1699</v>
      </c>
      <c r="D895" s="381" t="s">
        <v>1535</v>
      </c>
      <c r="E895" s="381" t="s">
        <v>1536</v>
      </c>
      <c r="F895" s="378">
        <v>-462200</v>
      </c>
      <c r="G895" s="378">
        <v>0</v>
      </c>
      <c r="H895" s="378">
        <v>92600</v>
      </c>
      <c r="I895" s="378">
        <v>-554800</v>
      </c>
      <c r="J895" s="266">
        <f t="shared" si="14"/>
        <v>8</v>
      </c>
    </row>
    <row r="896" spans="1:10" ht="15.75" customHeight="1" x14ac:dyDescent="0.25">
      <c r="A896" s="380">
        <v>25701001</v>
      </c>
      <c r="B896" s="381" t="s">
        <v>321</v>
      </c>
      <c r="C896" s="381" t="s">
        <v>1699</v>
      </c>
      <c r="D896" s="381" t="s">
        <v>1604</v>
      </c>
      <c r="E896" s="381" t="s">
        <v>1605</v>
      </c>
      <c r="F896" s="378">
        <v>-503300</v>
      </c>
      <c r="G896" s="378">
        <v>0</v>
      </c>
      <c r="H896" s="378">
        <v>115600</v>
      </c>
      <c r="I896" s="378">
        <v>-618900</v>
      </c>
      <c r="J896" s="266">
        <f t="shared" si="14"/>
        <v>8</v>
      </c>
    </row>
    <row r="897" spans="1:10" ht="15.75" customHeight="1" x14ac:dyDescent="0.25">
      <c r="A897" s="380">
        <v>25701001</v>
      </c>
      <c r="B897" s="381" t="s">
        <v>321</v>
      </c>
      <c r="C897" s="381" t="s">
        <v>1699</v>
      </c>
      <c r="D897" s="381" t="s">
        <v>1649</v>
      </c>
      <c r="E897" s="381" t="s">
        <v>1650</v>
      </c>
      <c r="F897" s="378">
        <v>-467900</v>
      </c>
      <c r="G897" s="378">
        <v>0</v>
      </c>
      <c r="H897" s="378">
        <v>95200</v>
      </c>
      <c r="I897" s="378">
        <v>-563100</v>
      </c>
      <c r="J897" s="266">
        <f t="shared" si="14"/>
        <v>8</v>
      </c>
    </row>
    <row r="898" spans="1:10" ht="15.75" customHeight="1" x14ac:dyDescent="0.25">
      <c r="A898" s="380">
        <v>25701001</v>
      </c>
      <c r="B898" s="381" t="s">
        <v>321</v>
      </c>
      <c r="C898" s="381" t="s">
        <v>1699</v>
      </c>
      <c r="D898" s="381" t="s">
        <v>1690</v>
      </c>
      <c r="E898" s="381" t="s">
        <v>1691</v>
      </c>
      <c r="F898" s="378">
        <v>-40400</v>
      </c>
      <c r="G898" s="378">
        <v>0</v>
      </c>
      <c r="H898" s="378">
        <v>0</v>
      </c>
      <c r="I898" s="378">
        <v>-40400</v>
      </c>
      <c r="J898" s="266">
        <f t="shared" si="14"/>
        <v>8</v>
      </c>
    </row>
    <row r="899" spans="1:10" ht="15.75" customHeight="1" x14ac:dyDescent="0.25">
      <c r="A899" s="380">
        <v>25701001</v>
      </c>
      <c r="B899" s="381" t="s">
        <v>321</v>
      </c>
      <c r="C899" s="381" t="s">
        <v>1699</v>
      </c>
      <c r="D899" s="381" t="s">
        <v>1651</v>
      </c>
      <c r="E899" s="381" t="s">
        <v>1652</v>
      </c>
      <c r="F899" s="378">
        <v>-439700</v>
      </c>
      <c r="G899" s="378">
        <v>0</v>
      </c>
      <c r="H899" s="378">
        <v>93800</v>
      </c>
      <c r="I899" s="378">
        <v>-533500</v>
      </c>
      <c r="J899" s="266">
        <f t="shared" si="14"/>
        <v>8</v>
      </c>
    </row>
    <row r="900" spans="1:10" ht="15.75" customHeight="1" x14ac:dyDescent="0.25">
      <c r="A900" s="380">
        <v>25701001</v>
      </c>
      <c r="B900" s="381" t="s">
        <v>321</v>
      </c>
      <c r="C900" s="381" t="s">
        <v>1699</v>
      </c>
      <c r="D900" s="381" t="s">
        <v>1443</v>
      </c>
      <c r="E900" s="381" t="s">
        <v>1530</v>
      </c>
      <c r="F900" s="378">
        <v>-584600</v>
      </c>
      <c r="G900" s="378">
        <v>0</v>
      </c>
      <c r="H900" s="378">
        <v>116100</v>
      </c>
      <c r="I900" s="378">
        <v>-700700</v>
      </c>
      <c r="J900" s="266">
        <f t="shared" si="14"/>
        <v>8</v>
      </c>
    </row>
    <row r="901" spans="1:10" ht="15.75" customHeight="1" x14ac:dyDescent="0.25">
      <c r="A901" s="380">
        <v>25701001</v>
      </c>
      <c r="B901" s="381" t="s">
        <v>321</v>
      </c>
      <c r="C901" s="381" t="s">
        <v>1699</v>
      </c>
      <c r="D901" s="381" t="s">
        <v>1653</v>
      </c>
      <c r="E901" s="381" t="s">
        <v>1654</v>
      </c>
      <c r="F901" s="378">
        <v>-482400</v>
      </c>
      <c r="G901" s="378">
        <v>0</v>
      </c>
      <c r="H901" s="378">
        <v>107600</v>
      </c>
      <c r="I901" s="378">
        <v>-590000</v>
      </c>
      <c r="J901" s="266">
        <f t="shared" si="14"/>
        <v>8</v>
      </c>
    </row>
    <row r="902" spans="1:10" ht="15.75" customHeight="1" x14ac:dyDescent="0.25">
      <c r="A902" s="380">
        <v>25701001</v>
      </c>
      <c r="B902" s="381" t="s">
        <v>321</v>
      </c>
      <c r="C902" s="381" t="s">
        <v>1699</v>
      </c>
      <c r="D902" s="381" t="s">
        <v>1683</v>
      </c>
      <c r="E902" s="381" t="s">
        <v>1684</v>
      </c>
      <c r="F902" s="378">
        <v>-201300</v>
      </c>
      <c r="G902" s="378">
        <v>0</v>
      </c>
      <c r="H902" s="378">
        <v>0</v>
      </c>
      <c r="I902" s="378">
        <v>-201300</v>
      </c>
      <c r="J902" s="266">
        <f t="shared" si="14"/>
        <v>8</v>
      </c>
    </row>
    <row r="903" spans="1:10" ht="15.75" customHeight="1" x14ac:dyDescent="0.25">
      <c r="A903" s="380">
        <v>25701001</v>
      </c>
      <c r="B903" s="381" t="s">
        <v>321</v>
      </c>
      <c r="C903" s="381" t="s">
        <v>1699</v>
      </c>
      <c r="D903" s="381" t="s">
        <v>1606</v>
      </c>
      <c r="E903" s="381" t="s">
        <v>1607</v>
      </c>
      <c r="F903" s="378">
        <v>-508500</v>
      </c>
      <c r="G903" s="378">
        <v>0</v>
      </c>
      <c r="H903" s="378">
        <v>100900</v>
      </c>
      <c r="I903" s="378">
        <v>-609400</v>
      </c>
      <c r="J903" s="266">
        <f t="shared" si="14"/>
        <v>8</v>
      </c>
    </row>
    <row r="904" spans="1:10" ht="15.75" customHeight="1" x14ac:dyDescent="0.25">
      <c r="A904" s="380">
        <v>25701001</v>
      </c>
      <c r="B904" s="381" t="s">
        <v>321</v>
      </c>
      <c r="C904" s="381" t="s">
        <v>1699</v>
      </c>
      <c r="D904" s="381" t="s">
        <v>1686</v>
      </c>
      <c r="E904" s="381" t="s">
        <v>1687</v>
      </c>
      <c r="F904" s="378">
        <v>-243700</v>
      </c>
      <c r="G904" s="378">
        <v>0</v>
      </c>
      <c r="H904" s="378">
        <v>0</v>
      </c>
      <c r="I904" s="378">
        <v>-243700</v>
      </c>
      <c r="J904" s="266">
        <f t="shared" si="14"/>
        <v>8</v>
      </c>
    </row>
    <row r="905" spans="1:10" ht="15.75" customHeight="1" x14ac:dyDescent="0.25">
      <c r="A905" s="380">
        <v>25701001</v>
      </c>
      <c r="B905" s="381" t="s">
        <v>321</v>
      </c>
      <c r="C905" s="381" t="s">
        <v>1699</v>
      </c>
      <c r="D905" s="381" t="s">
        <v>1655</v>
      </c>
      <c r="E905" s="381" t="s">
        <v>1656</v>
      </c>
      <c r="F905" s="378">
        <v>-133900</v>
      </c>
      <c r="G905" s="378">
        <v>0</v>
      </c>
      <c r="H905" s="378">
        <v>79400</v>
      </c>
      <c r="I905" s="378">
        <v>-213300</v>
      </c>
      <c r="J905" s="266">
        <f t="shared" si="14"/>
        <v>8</v>
      </c>
    </row>
    <row r="906" spans="1:10" ht="15.75" customHeight="1" x14ac:dyDescent="0.25">
      <c r="A906" s="380">
        <v>25701001</v>
      </c>
      <c r="B906" s="381" t="s">
        <v>321</v>
      </c>
      <c r="C906" s="381" t="s">
        <v>1699</v>
      </c>
      <c r="D906" s="381" t="s">
        <v>1657</v>
      </c>
      <c r="E906" s="381" t="s">
        <v>1658</v>
      </c>
      <c r="F906" s="378">
        <v>-446000</v>
      </c>
      <c r="G906" s="378">
        <v>0</v>
      </c>
      <c r="H906" s="378">
        <v>90500</v>
      </c>
      <c r="I906" s="378">
        <v>-536500</v>
      </c>
      <c r="J906" s="266">
        <f t="shared" si="14"/>
        <v>8</v>
      </c>
    </row>
    <row r="907" spans="1:10" ht="15.75" customHeight="1" x14ac:dyDescent="0.25">
      <c r="A907" s="380">
        <v>25701001</v>
      </c>
      <c r="B907" s="381" t="s">
        <v>321</v>
      </c>
      <c r="C907" s="381" t="s">
        <v>1699</v>
      </c>
      <c r="D907" s="381" t="s">
        <v>1659</v>
      </c>
      <c r="E907" s="381" t="s">
        <v>1660</v>
      </c>
      <c r="F907" s="378">
        <v>-480900</v>
      </c>
      <c r="G907" s="378">
        <v>0</v>
      </c>
      <c r="H907" s="378">
        <v>41700</v>
      </c>
      <c r="I907" s="378">
        <v>-522600</v>
      </c>
      <c r="J907" s="266">
        <f t="shared" si="14"/>
        <v>8</v>
      </c>
    </row>
    <row r="908" spans="1:10" ht="15.75" customHeight="1" x14ac:dyDescent="0.25">
      <c r="A908" s="380">
        <v>25701001</v>
      </c>
      <c r="B908" s="381" t="s">
        <v>321</v>
      </c>
      <c r="C908" s="381" t="s">
        <v>1699</v>
      </c>
      <c r="D908" s="381" t="s">
        <v>1527</v>
      </c>
      <c r="E908" s="381" t="s">
        <v>1528</v>
      </c>
      <c r="F908" s="378">
        <v>-432400</v>
      </c>
      <c r="G908" s="378">
        <v>0</v>
      </c>
      <c r="H908" s="378">
        <v>101900</v>
      </c>
      <c r="I908" s="378">
        <v>-534300</v>
      </c>
      <c r="J908" s="266">
        <f t="shared" ref="J908:J971" si="15">+LEN(A908)</f>
        <v>8</v>
      </c>
    </row>
    <row r="909" spans="1:10" ht="15.75" customHeight="1" x14ac:dyDescent="0.25">
      <c r="A909" s="380">
        <v>25701001</v>
      </c>
      <c r="B909" s="381" t="s">
        <v>321</v>
      </c>
      <c r="C909" s="381" t="s">
        <v>1699</v>
      </c>
      <c r="D909" s="381" t="s">
        <v>1444</v>
      </c>
      <c r="E909" s="381" t="s">
        <v>1533</v>
      </c>
      <c r="F909" s="378">
        <v>-603000</v>
      </c>
      <c r="G909" s="378">
        <v>0</v>
      </c>
      <c r="H909" s="378">
        <v>115700</v>
      </c>
      <c r="I909" s="378">
        <v>-718700</v>
      </c>
      <c r="J909" s="266">
        <f t="shared" si="15"/>
        <v>8</v>
      </c>
    </row>
    <row r="910" spans="1:10" ht="15.75" customHeight="1" x14ac:dyDescent="0.25">
      <c r="A910" s="380">
        <v>25701001</v>
      </c>
      <c r="B910" s="381" t="s">
        <v>321</v>
      </c>
      <c r="C910" s="381" t="s">
        <v>1699</v>
      </c>
      <c r="D910" s="381" t="s">
        <v>1661</v>
      </c>
      <c r="E910" s="381" t="s">
        <v>1662</v>
      </c>
      <c r="F910" s="378">
        <v>-491200</v>
      </c>
      <c r="G910" s="378">
        <v>0</v>
      </c>
      <c r="H910" s="378">
        <v>85200</v>
      </c>
      <c r="I910" s="378">
        <v>-576400</v>
      </c>
      <c r="J910" s="266">
        <f t="shared" si="15"/>
        <v>8</v>
      </c>
    </row>
    <row r="911" spans="1:10" ht="15.75" customHeight="1" x14ac:dyDescent="0.25">
      <c r="A911" s="380">
        <v>25701001</v>
      </c>
      <c r="B911" s="381" t="s">
        <v>321</v>
      </c>
      <c r="C911" s="381" t="s">
        <v>1699</v>
      </c>
      <c r="D911" s="381" t="s">
        <v>1663</v>
      </c>
      <c r="E911" s="381" t="s">
        <v>1664</v>
      </c>
      <c r="F911" s="378">
        <v>-461100</v>
      </c>
      <c r="G911" s="378">
        <v>0</v>
      </c>
      <c r="H911" s="378">
        <v>98300</v>
      </c>
      <c r="I911" s="378">
        <v>-559400</v>
      </c>
      <c r="J911" s="266">
        <f t="shared" si="15"/>
        <v>8</v>
      </c>
    </row>
    <row r="912" spans="1:10" ht="15.75" customHeight="1" x14ac:dyDescent="0.25">
      <c r="A912" s="380">
        <v>25701001</v>
      </c>
      <c r="B912" s="381" t="s">
        <v>321</v>
      </c>
      <c r="C912" s="381" t="s">
        <v>1699</v>
      </c>
      <c r="D912" s="381" t="s">
        <v>1609</v>
      </c>
      <c r="E912" s="381" t="s">
        <v>1610</v>
      </c>
      <c r="F912" s="378">
        <v>-453000</v>
      </c>
      <c r="G912" s="378">
        <v>0</v>
      </c>
      <c r="H912" s="378">
        <v>97100</v>
      </c>
      <c r="I912" s="378">
        <v>-550100</v>
      </c>
      <c r="J912" s="266">
        <f t="shared" si="15"/>
        <v>8</v>
      </c>
    </row>
    <row r="913" spans="1:10" ht="15.75" customHeight="1" x14ac:dyDescent="0.25">
      <c r="A913" s="380">
        <v>25701001</v>
      </c>
      <c r="B913" s="381" t="s">
        <v>321</v>
      </c>
      <c r="C913" s="381" t="s">
        <v>1699</v>
      </c>
      <c r="D913" s="381" t="s">
        <v>1490</v>
      </c>
      <c r="E913" s="381" t="s">
        <v>1491</v>
      </c>
      <c r="F913" s="378">
        <v>-176600</v>
      </c>
      <c r="G913" s="378">
        <v>0</v>
      </c>
      <c r="H913" s="378">
        <v>0</v>
      </c>
      <c r="I913" s="378">
        <v>-176600</v>
      </c>
      <c r="J913" s="266">
        <f t="shared" si="15"/>
        <v>8</v>
      </c>
    </row>
    <row r="914" spans="1:10" ht="15.75" customHeight="1" x14ac:dyDescent="0.25">
      <c r="A914" s="380">
        <v>25701001</v>
      </c>
      <c r="B914" s="381" t="s">
        <v>321</v>
      </c>
      <c r="C914" s="381" t="s">
        <v>1699</v>
      </c>
      <c r="D914" s="381" t="s">
        <v>1210</v>
      </c>
      <c r="E914" s="381" t="s">
        <v>1611</v>
      </c>
      <c r="F914" s="378">
        <v>-275900</v>
      </c>
      <c r="G914" s="378">
        <v>0</v>
      </c>
      <c r="H914" s="378">
        <v>84200</v>
      </c>
      <c r="I914" s="378">
        <v>-360100</v>
      </c>
      <c r="J914" s="266">
        <f t="shared" si="15"/>
        <v>8</v>
      </c>
    </row>
    <row r="915" spans="1:10" ht="15.75" customHeight="1" x14ac:dyDescent="0.25">
      <c r="A915" s="380">
        <v>25701001</v>
      </c>
      <c r="B915" s="381" t="s">
        <v>321</v>
      </c>
      <c r="C915" s="381" t="s">
        <v>1699</v>
      </c>
      <c r="D915" s="381" t="s">
        <v>1523</v>
      </c>
      <c r="E915" s="381" t="s">
        <v>1524</v>
      </c>
      <c r="F915" s="378">
        <v>-1093200</v>
      </c>
      <c r="G915" s="378">
        <v>0</v>
      </c>
      <c r="H915" s="378">
        <v>255000</v>
      </c>
      <c r="I915" s="378">
        <v>-1348200</v>
      </c>
      <c r="J915" s="266">
        <f t="shared" si="15"/>
        <v>8</v>
      </c>
    </row>
    <row r="916" spans="1:10" ht="15.75" customHeight="1" x14ac:dyDescent="0.25">
      <c r="A916" s="380">
        <v>25701001</v>
      </c>
      <c r="B916" s="381" t="s">
        <v>321</v>
      </c>
      <c r="C916" s="381" t="s">
        <v>1699</v>
      </c>
      <c r="D916" s="381" t="s">
        <v>1665</v>
      </c>
      <c r="E916" s="381" t="s">
        <v>1666</v>
      </c>
      <c r="F916" s="378">
        <v>-42100</v>
      </c>
      <c r="G916" s="378">
        <v>0</v>
      </c>
      <c r="H916" s="378">
        <v>72300</v>
      </c>
      <c r="I916" s="378">
        <v>-114400</v>
      </c>
      <c r="J916" s="266">
        <f t="shared" si="15"/>
        <v>8</v>
      </c>
    </row>
    <row r="917" spans="1:10" ht="15.75" customHeight="1" x14ac:dyDescent="0.25">
      <c r="A917" s="380">
        <v>25701001</v>
      </c>
      <c r="B917" s="381" t="s">
        <v>321</v>
      </c>
      <c r="C917" s="381" t="s">
        <v>1699</v>
      </c>
      <c r="D917" s="381" t="s">
        <v>792</v>
      </c>
      <c r="E917" s="381" t="s">
        <v>1534</v>
      </c>
      <c r="F917" s="378">
        <v>-400900</v>
      </c>
      <c r="G917" s="378">
        <v>0</v>
      </c>
      <c r="H917" s="378">
        <v>103400</v>
      </c>
      <c r="I917" s="378">
        <v>-504300</v>
      </c>
      <c r="J917" s="266">
        <f t="shared" si="15"/>
        <v>8</v>
      </c>
    </row>
    <row r="918" spans="1:10" ht="15.75" customHeight="1" x14ac:dyDescent="0.25">
      <c r="A918" s="380">
        <v>25701001</v>
      </c>
      <c r="B918" s="381" t="s">
        <v>321</v>
      </c>
      <c r="C918" s="381" t="s">
        <v>1699</v>
      </c>
      <c r="D918" s="381" t="s">
        <v>1688</v>
      </c>
      <c r="E918" s="381" t="s">
        <v>1689</v>
      </c>
      <c r="F918" s="378">
        <v>-152200</v>
      </c>
      <c r="G918" s="378">
        <v>0</v>
      </c>
      <c r="H918" s="378">
        <v>0</v>
      </c>
      <c r="I918" s="378">
        <v>-152200</v>
      </c>
      <c r="J918" s="266">
        <f t="shared" si="15"/>
        <v>8</v>
      </c>
    </row>
    <row r="919" spans="1:10" ht="15.75" customHeight="1" x14ac:dyDescent="0.25">
      <c r="A919" s="380">
        <v>25701001</v>
      </c>
      <c r="B919" s="381" t="s">
        <v>321</v>
      </c>
      <c r="C919" s="381" t="s">
        <v>1699</v>
      </c>
      <c r="D919" s="381" t="s">
        <v>1492</v>
      </c>
      <c r="E919" s="381" t="s">
        <v>1493</v>
      </c>
      <c r="F919" s="378">
        <v>-169500</v>
      </c>
      <c r="G919" s="378">
        <v>0</v>
      </c>
      <c r="H919" s="378">
        <v>0</v>
      </c>
      <c r="I919" s="378">
        <v>-169500</v>
      </c>
      <c r="J919" s="266">
        <f t="shared" si="15"/>
        <v>8</v>
      </c>
    </row>
    <row r="920" spans="1:10" ht="15.75" customHeight="1" x14ac:dyDescent="0.25">
      <c r="A920" s="380">
        <v>25701001</v>
      </c>
      <c r="B920" s="381" t="s">
        <v>321</v>
      </c>
      <c r="C920" s="381" t="s">
        <v>1699</v>
      </c>
      <c r="D920" s="381" t="s">
        <v>1412</v>
      </c>
      <c r="E920" s="381" t="s">
        <v>1413</v>
      </c>
      <c r="F920" s="378">
        <v>-76500</v>
      </c>
      <c r="G920" s="378">
        <v>0</v>
      </c>
      <c r="H920" s="378">
        <v>0</v>
      </c>
      <c r="I920" s="378">
        <v>-76500</v>
      </c>
      <c r="J920" s="266">
        <f t="shared" si="15"/>
        <v>8</v>
      </c>
    </row>
    <row r="921" spans="1:10" ht="15.75" customHeight="1" x14ac:dyDescent="0.25">
      <c r="A921" s="380">
        <v>25701001</v>
      </c>
      <c r="B921" s="381" t="s">
        <v>321</v>
      </c>
      <c r="C921" s="381" t="s">
        <v>1699</v>
      </c>
      <c r="D921" s="381" t="s">
        <v>1667</v>
      </c>
      <c r="E921" s="381" t="s">
        <v>1668</v>
      </c>
      <c r="F921" s="378">
        <v>-119800</v>
      </c>
      <c r="G921" s="378">
        <v>0</v>
      </c>
      <c r="H921" s="378">
        <v>87700</v>
      </c>
      <c r="I921" s="378">
        <v>-207500</v>
      </c>
      <c r="J921" s="266">
        <f t="shared" si="15"/>
        <v>8</v>
      </c>
    </row>
    <row r="922" spans="1:10" ht="15.75" customHeight="1" x14ac:dyDescent="0.25">
      <c r="A922" s="380">
        <v>25701001</v>
      </c>
      <c r="B922" s="381" t="s">
        <v>321</v>
      </c>
      <c r="C922" s="381" t="s">
        <v>1699</v>
      </c>
      <c r="D922" s="381" t="s">
        <v>1669</v>
      </c>
      <c r="E922" s="381" t="s">
        <v>1670</v>
      </c>
      <c r="F922" s="378">
        <v>-468900</v>
      </c>
      <c r="G922" s="378">
        <v>0</v>
      </c>
      <c r="H922" s="378">
        <v>66100</v>
      </c>
      <c r="I922" s="378">
        <v>-535000</v>
      </c>
      <c r="J922" s="266">
        <f t="shared" si="15"/>
        <v>8</v>
      </c>
    </row>
    <row r="923" spans="1:10" ht="15.75" customHeight="1" x14ac:dyDescent="0.25">
      <c r="A923" s="380">
        <v>25701001</v>
      </c>
      <c r="B923" s="381" t="s">
        <v>321</v>
      </c>
      <c r="C923" s="381" t="s">
        <v>1699</v>
      </c>
      <c r="D923" s="381" t="s">
        <v>1671</v>
      </c>
      <c r="E923" s="381" t="s">
        <v>1672</v>
      </c>
      <c r="F923" s="378">
        <v>-156100</v>
      </c>
      <c r="G923" s="378">
        <v>0</v>
      </c>
      <c r="H923" s="378">
        <v>94500</v>
      </c>
      <c r="I923" s="378">
        <v>-250600</v>
      </c>
      <c r="J923" s="266">
        <f t="shared" si="15"/>
        <v>8</v>
      </c>
    </row>
    <row r="924" spans="1:10" ht="15.75" customHeight="1" x14ac:dyDescent="0.25">
      <c r="A924" s="380">
        <v>25701001</v>
      </c>
      <c r="B924" s="381" t="s">
        <v>321</v>
      </c>
      <c r="C924" s="381" t="s">
        <v>1699</v>
      </c>
      <c r="D924" s="381" t="s">
        <v>1673</v>
      </c>
      <c r="E924" s="381" t="s">
        <v>1674</v>
      </c>
      <c r="F924" s="378">
        <v>-475300</v>
      </c>
      <c r="G924" s="378">
        <v>0</v>
      </c>
      <c r="H924" s="378">
        <v>105600</v>
      </c>
      <c r="I924" s="378">
        <v>-580900</v>
      </c>
      <c r="J924" s="266">
        <f t="shared" si="15"/>
        <v>8</v>
      </c>
    </row>
    <row r="925" spans="1:10" ht="15.75" customHeight="1" x14ac:dyDescent="0.25">
      <c r="A925" s="380">
        <v>25701001</v>
      </c>
      <c r="B925" s="381" t="s">
        <v>321</v>
      </c>
      <c r="C925" s="381" t="s">
        <v>1699</v>
      </c>
      <c r="D925" s="381" t="s">
        <v>1675</v>
      </c>
      <c r="E925" s="381" t="s">
        <v>1676</v>
      </c>
      <c r="F925" s="378">
        <v>0</v>
      </c>
      <c r="G925" s="378">
        <v>0</v>
      </c>
      <c r="H925" s="378">
        <v>18700</v>
      </c>
      <c r="I925" s="378">
        <v>-18700</v>
      </c>
      <c r="J925" s="266">
        <f t="shared" si="15"/>
        <v>8</v>
      </c>
    </row>
    <row r="926" spans="1:10" ht="15.75" customHeight="1" x14ac:dyDescent="0.25">
      <c r="A926" s="380">
        <v>25701001</v>
      </c>
      <c r="B926" s="381" t="s">
        <v>321</v>
      </c>
      <c r="C926" s="381" t="s">
        <v>1699</v>
      </c>
      <c r="D926" s="381" t="s">
        <v>1677</v>
      </c>
      <c r="E926" s="381" t="s">
        <v>1678</v>
      </c>
      <c r="F926" s="378">
        <v>0</v>
      </c>
      <c r="G926" s="378">
        <v>0</v>
      </c>
      <c r="H926" s="378">
        <v>18700</v>
      </c>
      <c r="I926" s="378">
        <v>-18700</v>
      </c>
      <c r="J926" s="266">
        <f t="shared" si="15"/>
        <v>8</v>
      </c>
    </row>
    <row r="927" spans="1:10" ht="15.75" customHeight="1" x14ac:dyDescent="0.25">
      <c r="A927" s="380">
        <v>25701002</v>
      </c>
      <c r="B927" s="381" t="s">
        <v>321</v>
      </c>
      <c r="C927" s="381" t="s">
        <v>1700</v>
      </c>
      <c r="D927" s="381" t="s">
        <v>315</v>
      </c>
      <c r="E927" s="381" t="s">
        <v>315</v>
      </c>
      <c r="F927" s="378">
        <v>11012000</v>
      </c>
      <c r="G927" s="378">
        <v>2254700</v>
      </c>
      <c r="H927" s="378">
        <v>0</v>
      </c>
      <c r="I927" s="378">
        <v>13266700</v>
      </c>
      <c r="J927" s="266">
        <f t="shared" si="15"/>
        <v>8</v>
      </c>
    </row>
    <row r="928" spans="1:10" ht="15.75" customHeight="1" x14ac:dyDescent="0.25">
      <c r="A928" s="380">
        <v>25701002</v>
      </c>
      <c r="B928" s="381" t="s">
        <v>321</v>
      </c>
      <c r="C928" s="381" t="s">
        <v>1700</v>
      </c>
      <c r="D928" s="381" t="s">
        <v>427</v>
      </c>
      <c r="E928" s="381" t="s">
        <v>428</v>
      </c>
      <c r="F928" s="378">
        <v>11012000</v>
      </c>
      <c r="G928" s="378">
        <v>2254700</v>
      </c>
      <c r="H928" s="378">
        <v>0</v>
      </c>
      <c r="I928" s="378">
        <v>13266700</v>
      </c>
      <c r="J928" s="266">
        <f t="shared" si="15"/>
        <v>8</v>
      </c>
    </row>
    <row r="929" spans="1:10" ht="15.75" customHeight="1" x14ac:dyDescent="0.25">
      <c r="A929" s="380">
        <v>2580</v>
      </c>
      <c r="B929" s="381" t="s">
        <v>321</v>
      </c>
      <c r="C929" s="381" t="s">
        <v>1068</v>
      </c>
      <c r="D929" s="381" t="s">
        <v>315</v>
      </c>
      <c r="E929" s="381" t="s">
        <v>315</v>
      </c>
      <c r="F929" s="378">
        <v>-9125677</v>
      </c>
      <c r="G929" s="378">
        <v>9119100</v>
      </c>
      <c r="H929" s="378">
        <v>8999700</v>
      </c>
      <c r="I929" s="378">
        <v>-9006277</v>
      </c>
      <c r="J929" s="266">
        <f t="shared" si="15"/>
        <v>4</v>
      </c>
    </row>
    <row r="930" spans="1:10" ht="15.75" customHeight="1" x14ac:dyDescent="0.25">
      <c r="A930" s="380">
        <v>258030</v>
      </c>
      <c r="B930" s="381" t="s">
        <v>321</v>
      </c>
      <c r="C930" s="381" t="s">
        <v>1271</v>
      </c>
      <c r="D930" s="381" t="s">
        <v>315</v>
      </c>
      <c r="E930" s="381" t="s">
        <v>315</v>
      </c>
      <c r="F930" s="378">
        <v>-9125677</v>
      </c>
      <c r="G930" s="378">
        <v>9119100</v>
      </c>
      <c r="H930" s="378">
        <v>8999700</v>
      </c>
      <c r="I930" s="378">
        <v>-9006277</v>
      </c>
      <c r="J930" s="266">
        <f t="shared" si="15"/>
        <v>6</v>
      </c>
    </row>
    <row r="931" spans="1:10" ht="15.75" customHeight="1" x14ac:dyDescent="0.25">
      <c r="A931" s="380">
        <v>25803001</v>
      </c>
      <c r="B931" s="381" t="s">
        <v>321</v>
      </c>
      <c r="C931" s="381" t="s">
        <v>1701</v>
      </c>
      <c r="D931" s="381" t="s">
        <v>315</v>
      </c>
      <c r="E931" s="381" t="s">
        <v>315</v>
      </c>
      <c r="F931" s="378">
        <v>-47296742</v>
      </c>
      <c r="G931" s="378">
        <v>0</v>
      </c>
      <c r="H931" s="378">
        <v>6773189</v>
      </c>
      <c r="I931" s="378">
        <v>-54069931</v>
      </c>
      <c r="J931" s="266">
        <f t="shared" si="15"/>
        <v>8</v>
      </c>
    </row>
    <row r="932" spans="1:10" ht="15.75" customHeight="1" x14ac:dyDescent="0.25">
      <c r="A932" s="380">
        <v>25803001</v>
      </c>
      <c r="B932" s="381" t="s">
        <v>321</v>
      </c>
      <c r="C932" s="381" t="s">
        <v>1701</v>
      </c>
      <c r="D932" s="381" t="s">
        <v>356</v>
      </c>
      <c r="E932" s="381" t="s">
        <v>357</v>
      </c>
      <c r="F932" s="378">
        <v>-9034800</v>
      </c>
      <c r="G932" s="378">
        <v>0</v>
      </c>
      <c r="H932" s="378">
        <v>0</v>
      </c>
      <c r="I932" s="378">
        <v>-9034800</v>
      </c>
      <c r="J932" s="266">
        <f t="shared" si="15"/>
        <v>8</v>
      </c>
    </row>
    <row r="933" spans="1:10" ht="15.75" customHeight="1" x14ac:dyDescent="0.25">
      <c r="A933" s="380">
        <v>25803001</v>
      </c>
      <c r="B933" s="381" t="s">
        <v>321</v>
      </c>
      <c r="C933" s="381" t="s">
        <v>1701</v>
      </c>
      <c r="D933" s="381" t="s">
        <v>1488</v>
      </c>
      <c r="E933" s="381" t="s">
        <v>1682</v>
      </c>
      <c r="F933" s="378">
        <v>-359200</v>
      </c>
      <c r="G933" s="378">
        <v>0</v>
      </c>
      <c r="H933" s="378">
        <v>0</v>
      </c>
      <c r="I933" s="378">
        <v>-359200</v>
      </c>
      <c r="J933" s="266">
        <f t="shared" si="15"/>
        <v>8</v>
      </c>
    </row>
    <row r="934" spans="1:10" ht="15.75" customHeight="1" x14ac:dyDescent="0.25">
      <c r="A934" s="380">
        <v>25803001</v>
      </c>
      <c r="B934" s="381" t="s">
        <v>321</v>
      </c>
      <c r="C934" s="381" t="s">
        <v>1701</v>
      </c>
      <c r="D934" s="381" t="s">
        <v>1535</v>
      </c>
      <c r="E934" s="381" t="s">
        <v>1536</v>
      </c>
      <c r="F934" s="378">
        <v>-1512240</v>
      </c>
      <c r="G934" s="378">
        <v>0</v>
      </c>
      <c r="H934" s="378">
        <v>277576</v>
      </c>
      <c r="I934" s="378">
        <v>-1789816</v>
      </c>
      <c r="J934" s="266">
        <f t="shared" si="15"/>
        <v>8</v>
      </c>
    </row>
    <row r="935" spans="1:10" ht="15.75" customHeight="1" x14ac:dyDescent="0.25">
      <c r="A935" s="380">
        <v>25803001</v>
      </c>
      <c r="B935" s="381" t="s">
        <v>321</v>
      </c>
      <c r="C935" s="381" t="s">
        <v>1701</v>
      </c>
      <c r="D935" s="381" t="s">
        <v>1604</v>
      </c>
      <c r="E935" s="381" t="s">
        <v>1605</v>
      </c>
      <c r="F935" s="378">
        <v>-1662021</v>
      </c>
      <c r="G935" s="378">
        <v>0</v>
      </c>
      <c r="H935" s="378">
        <v>346577</v>
      </c>
      <c r="I935" s="378">
        <v>-2008598</v>
      </c>
      <c r="J935" s="266">
        <f t="shared" si="15"/>
        <v>8</v>
      </c>
    </row>
    <row r="936" spans="1:10" ht="15.75" customHeight="1" x14ac:dyDescent="0.25">
      <c r="A936" s="380">
        <v>25803001</v>
      </c>
      <c r="B936" s="381" t="s">
        <v>321</v>
      </c>
      <c r="C936" s="381" t="s">
        <v>1701</v>
      </c>
      <c r="D936" s="381" t="s">
        <v>1649</v>
      </c>
      <c r="E936" s="381" t="s">
        <v>1650</v>
      </c>
      <c r="F936" s="378">
        <v>-1580329</v>
      </c>
      <c r="G936" s="378">
        <v>0</v>
      </c>
      <c r="H936" s="378">
        <v>287441</v>
      </c>
      <c r="I936" s="378">
        <v>-1867770</v>
      </c>
      <c r="J936" s="266">
        <f t="shared" si="15"/>
        <v>8</v>
      </c>
    </row>
    <row r="937" spans="1:10" ht="15.75" customHeight="1" x14ac:dyDescent="0.25">
      <c r="A937" s="380">
        <v>25803001</v>
      </c>
      <c r="B937" s="381" t="s">
        <v>321</v>
      </c>
      <c r="C937" s="381" t="s">
        <v>1701</v>
      </c>
      <c r="D937" s="381" t="s">
        <v>1690</v>
      </c>
      <c r="E937" s="381" t="s">
        <v>1691</v>
      </c>
      <c r="F937" s="378">
        <v>-12700</v>
      </c>
      <c r="G937" s="378">
        <v>0</v>
      </c>
      <c r="H937" s="378">
        <v>0</v>
      </c>
      <c r="I937" s="378">
        <v>-12700</v>
      </c>
      <c r="J937" s="266">
        <f t="shared" si="15"/>
        <v>8</v>
      </c>
    </row>
    <row r="938" spans="1:10" ht="15.75" customHeight="1" x14ac:dyDescent="0.25">
      <c r="A938" s="380">
        <v>25803001</v>
      </c>
      <c r="B938" s="381" t="s">
        <v>321</v>
      </c>
      <c r="C938" s="381" t="s">
        <v>1701</v>
      </c>
      <c r="D938" s="381" t="s">
        <v>1651</v>
      </c>
      <c r="E938" s="381" t="s">
        <v>1652</v>
      </c>
      <c r="F938" s="378">
        <v>-1514381</v>
      </c>
      <c r="G938" s="378">
        <v>0</v>
      </c>
      <c r="H938" s="378">
        <v>281338</v>
      </c>
      <c r="I938" s="378">
        <v>-1795719</v>
      </c>
      <c r="J938" s="266">
        <f t="shared" si="15"/>
        <v>8</v>
      </c>
    </row>
    <row r="939" spans="1:10" ht="15.75" customHeight="1" x14ac:dyDescent="0.25">
      <c r="A939" s="380">
        <v>25803001</v>
      </c>
      <c r="B939" s="381" t="s">
        <v>321</v>
      </c>
      <c r="C939" s="381" t="s">
        <v>1701</v>
      </c>
      <c r="D939" s="381" t="s">
        <v>1443</v>
      </c>
      <c r="E939" s="381" t="s">
        <v>1530</v>
      </c>
      <c r="F939" s="378">
        <v>-1874038</v>
      </c>
      <c r="G939" s="378">
        <v>0</v>
      </c>
      <c r="H939" s="378">
        <v>348087</v>
      </c>
      <c r="I939" s="378">
        <v>-2222125</v>
      </c>
      <c r="J939" s="266">
        <f t="shared" si="15"/>
        <v>8</v>
      </c>
    </row>
    <row r="940" spans="1:10" ht="15.75" customHeight="1" x14ac:dyDescent="0.25">
      <c r="A940" s="380">
        <v>25803001</v>
      </c>
      <c r="B940" s="381" t="s">
        <v>321</v>
      </c>
      <c r="C940" s="381" t="s">
        <v>1701</v>
      </c>
      <c r="D940" s="381" t="s">
        <v>1653</v>
      </c>
      <c r="E940" s="381" t="s">
        <v>1654</v>
      </c>
      <c r="F940" s="378">
        <v>-1597174</v>
      </c>
      <c r="G940" s="378">
        <v>0</v>
      </c>
      <c r="H940" s="378">
        <v>324941</v>
      </c>
      <c r="I940" s="378">
        <v>-1922115</v>
      </c>
      <c r="J940" s="266">
        <f t="shared" si="15"/>
        <v>8</v>
      </c>
    </row>
    <row r="941" spans="1:10" ht="15.75" customHeight="1" x14ac:dyDescent="0.25">
      <c r="A941" s="380">
        <v>25803001</v>
      </c>
      <c r="B941" s="381" t="s">
        <v>321</v>
      </c>
      <c r="C941" s="381" t="s">
        <v>1701</v>
      </c>
      <c r="D941" s="381" t="s">
        <v>1683</v>
      </c>
      <c r="E941" s="381" t="s">
        <v>1684</v>
      </c>
      <c r="F941" s="378">
        <v>-707958</v>
      </c>
      <c r="G941" s="378">
        <v>0</v>
      </c>
      <c r="H941" s="378">
        <v>0</v>
      </c>
      <c r="I941" s="378">
        <v>-707958</v>
      </c>
      <c r="J941" s="266">
        <f t="shared" si="15"/>
        <v>8</v>
      </c>
    </row>
    <row r="942" spans="1:10" ht="15.75" customHeight="1" x14ac:dyDescent="0.25">
      <c r="A942" s="380">
        <v>25803001</v>
      </c>
      <c r="B942" s="381" t="s">
        <v>321</v>
      </c>
      <c r="C942" s="381" t="s">
        <v>1701</v>
      </c>
      <c r="D942" s="381" t="s">
        <v>1606</v>
      </c>
      <c r="E942" s="381" t="s">
        <v>1607</v>
      </c>
      <c r="F942" s="378">
        <v>-1668490</v>
      </c>
      <c r="G942" s="378">
        <v>0</v>
      </c>
      <c r="H942" s="378">
        <v>306400</v>
      </c>
      <c r="I942" s="378">
        <v>-1974890</v>
      </c>
      <c r="J942" s="266">
        <f t="shared" si="15"/>
        <v>8</v>
      </c>
    </row>
    <row r="943" spans="1:10" ht="15.75" customHeight="1" x14ac:dyDescent="0.25">
      <c r="A943" s="380">
        <v>25803001</v>
      </c>
      <c r="B943" s="381" t="s">
        <v>321</v>
      </c>
      <c r="C943" s="381" t="s">
        <v>1701</v>
      </c>
      <c r="D943" s="381" t="s">
        <v>1686</v>
      </c>
      <c r="E943" s="381" t="s">
        <v>1687</v>
      </c>
      <c r="F943" s="378">
        <v>-823008</v>
      </c>
      <c r="G943" s="378">
        <v>0</v>
      </c>
      <c r="H943" s="378">
        <v>0</v>
      </c>
      <c r="I943" s="378">
        <v>-823008</v>
      </c>
      <c r="J943" s="266">
        <f t="shared" si="15"/>
        <v>8</v>
      </c>
    </row>
    <row r="944" spans="1:10" ht="15.75" customHeight="1" x14ac:dyDescent="0.25">
      <c r="A944" s="380">
        <v>25803001</v>
      </c>
      <c r="B944" s="381" t="s">
        <v>321</v>
      </c>
      <c r="C944" s="381" t="s">
        <v>1701</v>
      </c>
      <c r="D944" s="381" t="s">
        <v>1655</v>
      </c>
      <c r="E944" s="381" t="s">
        <v>1656</v>
      </c>
      <c r="F944" s="378">
        <v>-401730</v>
      </c>
      <c r="G944" s="378">
        <v>0</v>
      </c>
      <c r="H944" s="378">
        <v>237983</v>
      </c>
      <c r="I944" s="378">
        <v>-639713</v>
      </c>
      <c r="J944" s="266">
        <f t="shared" si="15"/>
        <v>8</v>
      </c>
    </row>
    <row r="945" spans="1:10" ht="15.75" customHeight="1" x14ac:dyDescent="0.25">
      <c r="A945" s="380">
        <v>25803001</v>
      </c>
      <c r="B945" s="381" t="s">
        <v>321</v>
      </c>
      <c r="C945" s="381" t="s">
        <v>1701</v>
      </c>
      <c r="D945" s="381" t="s">
        <v>1657</v>
      </c>
      <c r="E945" s="381" t="s">
        <v>1658</v>
      </c>
      <c r="F945" s="378">
        <v>-1516767</v>
      </c>
      <c r="G945" s="378">
        <v>0</v>
      </c>
      <c r="H945" s="378">
        <v>271436</v>
      </c>
      <c r="I945" s="378">
        <v>-1788203</v>
      </c>
      <c r="J945" s="266">
        <f t="shared" si="15"/>
        <v>8</v>
      </c>
    </row>
    <row r="946" spans="1:10" ht="15.75" customHeight="1" x14ac:dyDescent="0.25">
      <c r="A946" s="380">
        <v>25803001</v>
      </c>
      <c r="B946" s="381" t="s">
        <v>321</v>
      </c>
      <c r="C946" s="381" t="s">
        <v>1701</v>
      </c>
      <c r="D946" s="381" t="s">
        <v>1659</v>
      </c>
      <c r="E946" s="381" t="s">
        <v>1660</v>
      </c>
      <c r="F946" s="378">
        <v>-1627837</v>
      </c>
      <c r="G946" s="378">
        <v>0</v>
      </c>
      <c r="H946" s="378">
        <v>23261</v>
      </c>
      <c r="I946" s="378">
        <v>-1651098</v>
      </c>
      <c r="J946" s="266">
        <f t="shared" si="15"/>
        <v>8</v>
      </c>
    </row>
    <row r="947" spans="1:10" ht="15.75" customHeight="1" x14ac:dyDescent="0.25">
      <c r="A947" s="380">
        <v>25803001</v>
      </c>
      <c r="B947" s="381" t="s">
        <v>321</v>
      </c>
      <c r="C947" s="381" t="s">
        <v>1701</v>
      </c>
      <c r="D947" s="381" t="s">
        <v>1527</v>
      </c>
      <c r="E947" s="381" t="s">
        <v>1528</v>
      </c>
      <c r="F947" s="378">
        <v>-1465584</v>
      </c>
      <c r="G947" s="378">
        <v>0</v>
      </c>
      <c r="H947" s="378">
        <v>140269</v>
      </c>
      <c r="I947" s="378">
        <v>-1605853</v>
      </c>
      <c r="J947" s="266">
        <f t="shared" si="15"/>
        <v>8</v>
      </c>
    </row>
    <row r="948" spans="1:10" ht="15.75" customHeight="1" x14ac:dyDescent="0.25">
      <c r="A948" s="380">
        <v>25803001</v>
      </c>
      <c r="B948" s="381" t="s">
        <v>321</v>
      </c>
      <c r="C948" s="381" t="s">
        <v>1701</v>
      </c>
      <c r="D948" s="381" t="s">
        <v>1444</v>
      </c>
      <c r="E948" s="381" t="s">
        <v>1533</v>
      </c>
      <c r="F948" s="378">
        <v>-1919508</v>
      </c>
      <c r="G948" s="378">
        <v>0</v>
      </c>
      <c r="H948" s="378">
        <v>346957</v>
      </c>
      <c r="I948" s="378">
        <v>-2266465</v>
      </c>
      <c r="J948" s="266">
        <f t="shared" si="15"/>
        <v>8</v>
      </c>
    </row>
    <row r="949" spans="1:10" ht="15.75" customHeight="1" x14ac:dyDescent="0.25">
      <c r="A949" s="380">
        <v>25803001</v>
      </c>
      <c r="B949" s="381" t="s">
        <v>321</v>
      </c>
      <c r="C949" s="381" t="s">
        <v>1701</v>
      </c>
      <c r="D949" s="381" t="s">
        <v>1661</v>
      </c>
      <c r="E949" s="381" t="s">
        <v>1662</v>
      </c>
      <c r="F949" s="378">
        <v>-1620442</v>
      </c>
      <c r="G949" s="378">
        <v>0</v>
      </c>
      <c r="H949" s="378">
        <v>255460</v>
      </c>
      <c r="I949" s="378">
        <v>-1875902</v>
      </c>
      <c r="J949" s="266">
        <f t="shared" si="15"/>
        <v>8</v>
      </c>
    </row>
    <row r="950" spans="1:10" ht="15.75" customHeight="1" x14ac:dyDescent="0.25">
      <c r="A950" s="380">
        <v>25803001</v>
      </c>
      <c r="B950" s="381" t="s">
        <v>321</v>
      </c>
      <c r="C950" s="381" t="s">
        <v>1701</v>
      </c>
      <c r="D950" s="381" t="s">
        <v>1663</v>
      </c>
      <c r="E950" s="381" t="s">
        <v>1664</v>
      </c>
      <c r="F950" s="378">
        <v>-1552920</v>
      </c>
      <c r="G950" s="378">
        <v>0</v>
      </c>
      <c r="H950" s="378">
        <v>294767</v>
      </c>
      <c r="I950" s="378">
        <v>-1847687</v>
      </c>
      <c r="J950" s="266">
        <f t="shared" si="15"/>
        <v>8</v>
      </c>
    </row>
    <row r="951" spans="1:10" ht="15.75" customHeight="1" x14ac:dyDescent="0.25">
      <c r="A951" s="380">
        <v>25803001</v>
      </c>
      <c r="B951" s="381" t="s">
        <v>321</v>
      </c>
      <c r="C951" s="381" t="s">
        <v>1701</v>
      </c>
      <c r="D951" s="381" t="s">
        <v>1609</v>
      </c>
      <c r="E951" s="381" t="s">
        <v>1610</v>
      </c>
      <c r="F951" s="378">
        <v>-1553395</v>
      </c>
      <c r="G951" s="378">
        <v>0</v>
      </c>
      <c r="H951" s="378">
        <v>291309</v>
      </c>
      <c r="I951" s="378">
        <v>-1844704</v>
      </c>
      <c r="J951" s="266">
        <f t="shared" si="15"/>
        <v>8</v>
      </c>
    </row>
    <row r="952" spans="1:10" ht="15.75" customHeight="1" x14ac:dyDescent="0.25">
      <c r="A952" s="380">
        <v>25803001</v>
      </c>
      <c r="B952" s="381" t="s">
        <v>321</v>
      </c>
      <c r="C952" s="381" t="s">
        <v>1701</v>
      </c>
      <c r="D952" s="381" t="s">
        <v>1490</v>
      </c>
      <c r="E952" s="381" t="s">
        <v>1491</v>
      </c>
      <c r="F952" s="378">
        <v>-623597</v>
      </c>
      <c r="G952" s="378">
        <v>0</v>
      </c>
      <c r="H952" s="378">
        <v>0</v>
      </c>
      <c r="I952" s="378">
        <v>-623597</v>
      </c>
      <c r="J952" s="266">
        <f t="shared" si="15"/>
        <v>8</v>
      </c>
    </row>
    <row r="953" spans="1:10" ht="15.75" customHeight="1" x14ac:dyDescent="0.25">
      <c r="A953" s="380">
        <v>25803001</v>
      </c>
      <c r="B953" s="381" t="s">
        <v>321</v>
      </c>
      <c r="C953" s="381" t="s">
        <v>1701</v>
      </c>
      <c r="D953" s="381" t="s">
        <v>1210</v>
      </c>
      <c r="E953" s="381" t="s">
        <v>1611</v>
      </c>
      <c r="F953" s="378">
        <v>-872436</v>
      </c>
      <c r="G953" s="378">
        <v>0</v>
      </c>
      <c r="H953" s="378">
        <v>252382</v>
      </c>
      <c r="I953" s="378">
        <v>-1124818</v>
      </c>
      <c r="J953" s="266">
        <f t="shared" si="15"/>
        <v>8</v>
      </c>
    </row>
    <row r="954" spans="1:10" ht="15.75" customHeight="1" x14ac:dyDescent="0.25">
      <c r="A954" s="380">
        <v>25803001</v>
      </c>
      <c r="B954" s="381" t="s">
        <v>321</v>
      </c>
      <c r="C954" s="381" t="s">
        <v>1701</v>
      </c>
      <c r="D954" s="381" t="s">
        <v>1523</v>
      </c>
      <c r="E954" s="381" t="s">
        <v>1524</v>
      </c>
      <c r="F954" s="378">
        <v>-3634950</v>
      </c>
      <c r="G954" s="378">
        <v>0</v>
      </c>
      <c r="H954" s="378">
        <v>655500</v>
      </c>
      <c r="I954" s="378">
        <v>-4290450</v>
      </c>
      <c r="J954" s="266">
        <f t="shared" si="15"/>
        <v>8</v>
      </c>
    </row>
    <row r="955" spans="1:10" ht="15.75" customHeight="1" x14ac:dyDescent="0.25">
      <c r="A955" s="380">
        <v>25803001</v>
      </c>
      <c r="B955" s="381" t="s">
        <v>321</v>
      </c>
      <c r="C955" s="381" t="s">
        <v>1701</v>
      </c>
      <c r="D955" s="381" t="s">
        <v>1665</v>
      </c>
      <c r="E955" s="381" t="s">
        <v>1666</v>
      </c>
      <c r="F955" s="378">
        <v>-126078</v>
      </c>
      <c r="G955" s="378">
        <v>0</v>
      </c>
      <c r="H955" s="378">
        <v>230872</v>
      </c>
      <c r="I955" s="378">
        <v>-356950</v>
      </c>
      <c r="J955" s="266">
        <f t="shared" si="15"/>
        <v>8</v>
      </c>
    </row>
    <row r="956" spans="1:10" ht="15.75" customHeight="1" x14ac:dyDescent="0.25">
      <c r="A956" s="380">
        <v>25803001</v>
      </c>
      <c r="B956" s="381" t="s">
        <v>321</v>
      </c>
      <c r="C956" s="381" t="s">
        <v>1701</v>
      </c>
      <c r="D956" s="381" t="s">
        <v>792</v>
      </c>
      <c r="E956" s="381" t="s">
        <v>1534</v>
      </c>
      <c r="F956" s="378">
        <v>-1480359</v>
      </c>
      <c r="G956" s="378">
        <v>0</v>
      </c>
      <c r="H956" s="378">
        <v>310068</v>
      </c>
      <c r="I956" s="378">
        <v>-1790427</v>
      </c>
      <c r="J956" s="266">
        <f t="shared" si="15"/>
        <v>8</v>
      </c>
    </row>
    <row r="957" spans="1:10" ht="15.75" customHeight="1" x14ac:dyDescent="0.25">
      <c r="A957" s="380">
        <v>25803001</v>
      </c>
      <c r="B957" s="381" t="s">
        <v>321</v>
      </c>
      <c r="C957" s="381" t="s">
        <v>1701</v>
      </c>
      <c r="D957" s="381" t="s">
        <v>1688</v>
      </c>
      <c r="E957" s="381" t="s">
        <v>1689</v>
      </c>
      <c r="F957" s="378">
        <v>-484864</v>
      </c>
      <c r="G957" s="378">
        <v>0</v>
      </c>
      <c r="H957" s="378">
        <v>0</v>
      </c>
      <c r="I957" s="378">
        <v>-484864</v>
      </c>
      <c r="J957" s="266">
        <f t="shared" si="15"/>
        <v>8</v>
      </c>
    </row>
    <row r="958" spans="1:10" ht="15.75" customHeight="1" x14ac:dyDescent="0.25">
      <c r="A958" s="380">
        <v>25803001</v>
      </c>
      <c r="B958" s="381" t="s">
        <v>321</v>
      </c>
      <c r="C958" s="381" t="s">
        <v>1701</v>
      </c>
      <c r="D958" s="381" t="s">
        <v>1492</v>
      </c>
      <c r="E958" s="381" t="s">
        <v>1493</v>
      </c>
      <c r="F958" s="378">
        <v>-930235</v>
      </c>
      <c r="G958" s="378">
        <v>0</v>
      </c>
      <c r="H958" s="378">
        <v>0</v>
      </c>
      <c r="I958" s="378">
        <v>-930235</v>
      </c>
      <c r="J958" s="266">
        <f t="shared" si="15"/>
        <v>8</v>
      </c>
    </row>
    <row r="959" spans="1:10" ht="15.75" customHeight="1" x14ac:dyDescent="0.25">
      <c r="A959" s="380">
        <v>25803001</v>
      </c>
      <c r="B959" s="381" t="s">
        <v>321</v>
      </c>
      <c r="C959" s="381" t="s">
        <v>1701</v>
      </c>
      <c r="D959" s="381" t="s">
        <v>1412</v>
      </c>
      <c r="E959" s="381" t="s">
        <v>1413</v>
      </c>
      <c r="F959" s="378">
        <v>-196300</v>
      </c>
      <c r="G959" s="378">
        <v>0</v>
      </c>
      <c r="H959" s="378">
        <v>0</v>
      </c>
      <c r="I959" s="378">
        <v>-196300</v>
      </c>
      <c r="J959" s="266">
        <f t="shared" si="15"/>
        <v>8</v>
      </c>
    </row>
    <row r="960" spans="1:10" ht="15.75" customHeight="1" x14ac:dyDescent="0.25">
      <c r="A960" s="380">
        <v>25803001</v>
      </c>
      <c r="B960" s="381" t="s">
        <v>321</v>
      </c>
      <c r="C960" s="381" t="s">
        <v>1701</v>
      </c>
      <c r="D960" s="381" t="s">
        <v>1667</v>
      </c>
      <c r="E960" s="381" t="s">
        <v>1668</v>
      </c>
      <c r="F960" s="378">
        <v>-1309626</v>
      </c>
      <c r="G960" s="378">
        <v>0</v>
      </c>
      <c r="H960" s="378">
        <v>264326</v>
      </c>
      <c r="I960" s="378">
        <v>-1573952</v>
      </c>
      <c r="J960" s="266">
        <f t="shared" si="15"/>
        <v>8</v>
      </c>
    </row>
    <row r="961" spans="1:10" ht="15.75" customHeight="1" x14ac:dyDescent="0.25">
      <c r="A961" s="380">
        <v>25803001</v>
      </c>
      <c r="B961" s="381" t="s">
        <v>321</v>
      </c>
      <c r="C961" s="381" t="s">
        <v>1701</v>
      </c>
      <c r="D961" s="381" t="s">
        <v>1669</v>
      </c>
      <c r="E961" s="381" t="s">
        <v>1670</v>
      </c>
      <c r="F961" s="378">
        <v>-1603779</v>
      </c>
      <c r="G961" s="378">
        <v>0</v>
      </c>
      <c r="H961" s="378">
        <v>311091</v>
      </c>
      <c r="I961" s="378">
        <v>-1914870</v>
      </c>
      <c r="J961" s="266">
        <f t="shared" si="15"/>
        <v>8</v>
      </c>
    </row>
    <row r="962" spans="1:10" ht="15.75" customHeight="1" x14ac:dyDescent="0.25">
      <c r="A962" s="380">
        <v>25803001</v>
      </c>
      <c r="B962" s="381" t="s">
        <v>321</v>
      </c>
      <c r="C962" s="381" t="s">
        <v>1701</v>
      </c>
      <c r="D962" s="381" t="s">
        <v>1671</v>
      </c>
      <c r="E962" s="381" t="s">
        <v>1672</v>
      </c>
      <c r="F962" s="378">
        <v>-468192</v>
      </c>
      <c r="G962" s="378">
        <v>0</v>
      </c>
      <c r="H962" s="378">
        <v>283374</v>
      </c>
      <c r="I962" s="378">
        <v>-751566</v>
      </c>
      <c r="J962" s="266">
        <f t="shared" si="15"/>
        <v>8</v>
      </c>
    </row>
    <row r="963" spans="1:10" ht="15.75" customHeight="1" x14ac:dyDescent="0.25">
      <c r="A963" s="380">
        <v>25803001</v>
      </c>
      <c r="B963" s="381" t="s">
        <v>321</v>
      </c>
      <c r="C963" s="381" t="s">
        <v>1701</v>
      </c>
      <c r="D963" s="381" t="s">
        <v>1673</v>
      </c>
      <c r="E963" s="381" t="s">
        <v>1674</v>
      </c>
      <c r="F963" s="378">
        <v>-1561804</v>
      </c>
      <c r="G963" s="378">
        <v>0</v>
      </c>
      <c r="H963" s="378">
        <v>319526</v>
      </c>
      <c r="I963" s="378">
        <v>-1881330</v>
      </c>
      <c r="J963" s="266">
        <f t="shared" si="15"/>
        <v>8</v>
      </c>
    </row>
    <row r="964" spans="1:10" ht="15.75" customHeight="1" x14ac:dyDescent="0.25">
      <c r="A964" s="380">
        <v>25803001</v>
      </c>
      <c r="B964" s="381" t="s">
        <v>321</v>
      </c>
      <c r="C964" s="381" t="s">
        <v>1701</v>
      </c>
      <c r="D964" s="381" t="s">
        <v>1675</v>
      </c>
      <c r="E964" s="381" t="s">
        <v>1676</v>
      </c>
      <c r="F964" s="378">
        <v>0</v>
      </c>
      <c r="G964" s="378">
        <v>0</v>
      </c>
      <c r="H964" s="378">
        <v>56124</v>
      </c>
      <c r="I964" s="378">
        <v>-56124</v>
      </c>
      <c r="J964" s="266">
        <f t="shared" si="15"/>
        <v>8</v>
      </c>
    </row>
    <row r="965" spans="1:10" ht="15.75" customHeight="1" x14ac:dyDescent="0.25">
      <c r="A965" s="380">
        <v>25803001</v>
      </c>
      <c r="B965" s="381" t="s">
        <v>321</v>
      </c>
      <c r="C965" s="381" t="s">
        <v>1701</v>
      </c>
      <c r="D965" s="381" t="s">
        <v>1677</v>
      </c>
      <c r="E965" s="381" t="s">
        <v>1678</v>
      </c>
      <c r="F965" s="378">
        <v>0</v>
      </c>
      <c r="G965" s="378">
        <v>0</v>
      </c>
      <c r="H965" s="378">
        <v>56124</v>
      </c>
      <c r="I965" s="378">
        <v>-56124</v>
      </c>
      <c r="J965" s="266">
        <f t="shared" si="15"/>
        <v>8</v>
      </c>
    </row>
    <row r="966" spans="1:10" ht="15.75" customHeight="1" x14ac:dyDescent="0.25">
      <c r="A966" s="380">
        <v>25803002</v>
      </c>
      <c r="B966" s="381" t="s">
        <v>321</v>
      </c>
      <c r="C966" s="381" t="s">
        <v>1273</v>
      </c>
      <c r="D966" s="381" t="s">
        <v>315</v>
      </c>
      <c r="E966" s="381" t="s">
        <v>315</v>
      </c>
      <c r="F966" s="378">
        <v>45938200</v>
      </c>
      <c r="G966" s="378">
        <v>9119100</v>
      </c>
      <c r="H966" s="378">
        <v>0</v>
      </c>
      <c r="I966" s="378">
        <v>55057300</v>
      </c>
      <c r="J966" s="266">
        <f t="shared" si="15"/>
        <v>8</v>
      </c>
    </row>
    <row r="967" spans="1:10" ht="15.75" customHeight="1" x14ac:dyDescent="0.25">
      <c r="A967" s="380">
        <v>25803002</v>
      </c>
      <c r="B967" s="381" t="s">
        <v>321</v>
      </c>
      <c r="C967" s="381" t="s">
        <v>1273</v>
      </c>
      <c r="D967" s="381" t="s">
        <v>457</v>
      </c>
      <c r="E967" s="381" t="s">
        <v>1274</v>
      </c>
      <c r="F967" s="378">
        <v>14594800</v>
      </c>
      <c r="G967" s="378">
        <v>3169800</v>
      </c>
      <c r="H967" s="378">
        <v>0</v>
      </c>
      <c r="I967" s="378">
        <v>17764600</v>
      </c>
      <c r="J967" s="266">
        <f t="shared" si="15"/>
        <v>8</v>
      </c>
    </row>
    <row r="968" spans="1:10" ht="15.75" customHeight="1" x14ac:dyDescent="0.25">
      <c r="A968" s="380">
        <v>25803002</v>
      </c>
      <c r="B968" s="381" t="s">
        <v>321</v>
      </c>
      <c r="C968" s="381" t="s">
        <v>1273</v>
      </c>
      <c r="D968" s="381" t="s">
        <v>450</v>
      </c>
      <c r="E968" s="381" t="s">
        <v>1702</v>
      </c>
      <c r="F968" s="378">
        <v>24181300</v>
      </c>
      <c r="G968" s="378">
        <v>4128900</v>
      </c>
      <c r="H968" s="378">
        <v>0</v>
      </c>
      <c r="I968" s="378">
        <v>28310200</v>
      </c>
      <c r="J968" s="266">
        <f t="shared" si="15"/>
        <v>8</v>
      </c>
    </row>
    <row r="969" spans="1:10" ht="15.75" customHeight="1" x14ac:dyDescent="0.25">
      <c r="A969" s="380">
        <v>25803002</v>
      </c>
      <c r="B969" s="381" t="s">
        <v>321</v>
      </c>
      <c r="C969" s="381" t="s">
        <v>1273</v>
      </c>
      <c r="D969" s="381" t="s">
        <v>353</v>
      </c>
      <c r="E969" s="381" t="s">
        <v>1703</v>
      </c>
      <c r="F969" s="378">
        <v>7162100</v>
      </c>
      <c r="G969" s="378">
        <v>1820400</v>
      </c>
      <c r="H969" s="378">
        <v>0</v>
      </c>
      <c r="I969" s="378">
        <v>8982500</v>
      </c>
      <c r="J969" s="266">
        <f t="shared" si="15"/>
        <v>8</v>
      </c>
    </row>
    <row r="970" spans="1:10" ht="15.75" customHeight="1" x14ac:dyDescent="0.25">
      <c r="A970" s="380">
        <v>25803003</v>
      </c>
      <c r="B970" s="381" t="s">
        <v>321</v>
      </c>
      <c r="C970" s="381" t="s">
        <v>1277</v>
      </c>
      <c r="D970" s="381" t="s">
        <v>315</v>
      </c>
      <c r="E970" s="381" t="s">
        <v>315</v>
      </c>
      <c r="F970" s="378">
        <v>-2245359</v>
      </c>
      <c r="G970" s="378">
        <v>0</v>
      </c>
      <c r="H970" s="378">
        <v>0</v>
      </c>
      <c r="I970" s="378">
        <v>-2245359</v>
      </c>
      <c r="J970" s="266">
        <f t="shared" si="15"/>
        <v>8</v>
      </c>
    </row>
    <row r="971" spans="1:10" ht="15.75" customHeight="1" x14ac:dyDescent="0.25">
      <c r="A971" s="380">
        <v>25803003</v>
      </c>
      <c r="B971" s="381" t="s">
        <v>321</v>
      </c>
      <c r="C971" s="381" t="s">
        <v>1277</v>
      </c>
      <c r="D971" s="381" t="s">
        <v>1535</v>
      </c>
      <c r="E971" s="381" t="s">
        <v>1536</v>
      </c>
      <c r="F971" s="378">
        <v>-98204</v>
      </c>
      <c r="G971" s="378">
        <v>0</v>
      </c>
      <c r="H971" s="378">
        <v>0</v>
      </c>
      <c r="I971" s="378">
        <v>-98204</v>
      </c>
      <c r="J971" s="266">
        <f t="shared" si="15"/>
        <v>8</v>
      </c>
    </row>
    <row r="972" spans="1:10" ht="15.75" customHeight="1" x14ac:dyDescent="0.25">
      <c r="A972" s="380">
        <v>25803003</v>
      </c>
      <c r="B972" s="381" t="s">
        <v>321</v>
      </c>
      <c r="C972" s="381" t="s">
        <v>1277</v>
      </c>
      <c r="D972" s="381" t="s">
        <v>1604</v>
      </c>
      <c r="E972" s="381" t="s">
        <v>1605</v>
      </c>
      <c r="F972" s="378">
        <v>-99650</v>
      </c>
      <c r="G972" s="378">
        <v>0</v>
      </c>
      <c r="H972" s="378">
        <v>0</v>
      </c>
      <c r="I972" s="378">
        <v>-99650</v>
      </c>
      <c r="J972" s="266">
        <f t="shared" ref="J972:J1035" si="16">+LEN(A972)</f>
        <v>8</v>
      </c>
    </row>
    <row r="973" spans="1:10" ht="15.75" customHeight="1" x14ac:dyDescent="0.25">
      <c r="A973" s="380">
        <v>25803003</v>
      </c>
      <c r="B973" s="381" t="s">
        <v>321</v>
      </c>
      <c r="C973" s="381" t="s">
        <v>1277</v>
      </c>
      <c r="D973" s="381" t="s">
        <v>1649</v>
      </c>
      <c r="E973" s="381" t="s">
        <v>1650</v>
      </c>
      <c r="F973" s="378">
        <v>-98436</v>
      </c>
      <c r="G973" s="378">
        <v>0</v>
      </c>
      <c r="H973" s="378">
        <v>0</v>
      </c>
      <c r="I973" s="378">
        <v>-98436</v>
      </c>
      <c r="J973" s="266">
        <f t="shared" si="16"/>
        <v>8</v>
      </c>
    </row>
    <row r="974" spans="1:10" ht="15.75" customHeight="1" x14ac:dyDescent="0.25">
      <c r="A974" s="380">
        <v>25803003</v>
      </c>
      <c r="B974" s="381" t="s">
        <v>321</v>
      </c>
      <c r="C974" s="381" t="s">
        <v>1277</v>
      </c>
      <c r="D974" s="381" t="s">
        <v>1651</v>
      </c>
      <c r="E974" s="381" t="s">
        <v>1652</v>
      </c>
      <c r="F974" s="378">
        <v>-92432</v>
      </c>
      <c r="G974" s="378">
        <v>0</v>
      </c>
      <c r="H974" s="378">
        <v>0</v>
      </c>
      <c r="I974" s="378">
        <v>-92432</v>
      </c>
      <c r="J974" s="266">
        <f t="shared" si="16"/>
        <v>8</v>
      </c>
    </row>
    <row r="975" spans="1:10" ht="15.75" customHeight="1" x14ac:dyDescent="0.25">
      <c r="A975" s="380">
        <v>25803003</v>
      </c>
      <c r="B975" s="381" t="s">
        <v>321</v>
      </c>
      <c r="C975" s="381" t="s">
        <v>1277</v>
      </c>
      <c r="D975" s="381" t="s">
        <v>1443</v>
      </c>
      <c r="E975" s="381" t="s">
        <v>1530</v>
      </c>
      <c r="F975" s="378">
        <v>-110699</v>
      </c>
      <c r="G975" s="378">
        <v>0</v>
      </c>
      <c r="H975" s="378">
        <v>0</v>
      </c>
      <c r="I975" s="378">
        <v>-110699</v>
      </c>
      <c r="J975" s="266">
        <f t="shared" si="16"/>
        <v>8</v>
      </c>
    </row>
    <row r="976" spans="1:10" ht="15.75" customHeight="1" x14ac:dyDescent="0.25">
      <c r="A976" s="380">
        <v>25803003</v>
      </c>
      <c r="B976" s="381" t="s">
        <v>321</v>
      </c>
      <c r="C976" s="381" t="s">
        <v>1277</v>
      </c>
      <c r="D976" s="381" t="s">
        <v>1653</v>
      </c>
      <c r="E976" s="381" t="s">
        <v>1654</v>
      </c>
      <c r="F976" s="378">
        <v>-96348</v>
      </c>
      <c r="G976" s="378">
        <v>0</v>
      </c>
      <c r="H976" s="378">
        <v>0</v>
      </c>
      <c r="I976" s="378">
        <v>-96348</v>
      </c>
      <c r="J976" s="266">
        <f t="shared" si="16"/>
        <v>8</v>
      </c>
    </row>
    <row r="977" spans="1:10" ht="15.75" customHeight="1" x14ac:dyDescent="0.25">
      <c r="A977" s="380">
        <v>25803003</v>
      </c>
      <c r="B977" s="381" t="s">
        <v>321</v>
      </c>
      <c r="C977" s="381" t="s">
        <v>1277</v>
      </c>
      <c r="D977" s="381" t="s">
        <v>1683</v>
      </c>
      <c r="E977" s="381" t="s">
        <v>1684</v>
      </c>
      <c r="F977" s="378">
        <v>-96842</v>
      </c>
      <c r="G977" s="378">
        <v>0</v>
      </c>
      <c r="H977" s="378">
        <v>0</v>
      </c>
      <c r="I977" s="378">
        <v>-96842</v>
      </c>
      <c r="J977" s="266">
        <f t="shared" si="16"/>
        <v>8</v>
      </c>
    </row>
    <row r="978" spans="1:10" ht="15.75" customHeight="1" x14ac:dyDescent="0.25">
      <c r="A978" s="380">
        <v>25803003</v>
      </c>
      <c r="B978" s="381" t="s">
        <v>321</v>
      </c>
      <c r="C978" s="381" t="s">
        <v>1277</v>
      </c>
      <c r="D978" s="381" t="s">
        <v>1606</v>
      </c>
      <c r="E978" s="381" t="s">
        <v>1607</v>
      </c>
      <c r="F978" s="378">
        <v>-98321</v>
      </c>
      <c r="G978" s="378">
        <v>0</v>
      </c>
      <c r="H978" s="378">
        <v>0</v>
      </c>
      <c r="I978" s="378">
        <v>-98321</v>
      </c>
      <c r="J978" s="266">
        <f t="shared" si="16"/>
        <v>8</v>
      </c>
    </row>
    <row r="979" spans="1:10" ht="15.75" customHeight="1" x14ac:dyDescent="0.25">
      <c r="A979" s="380">
        <v>25803003</v>
      </c>
      <c r="B979" s="381" t="s">
        <v>321</v>
      </c>
      <c r="C979" s="381" t="s">
        <v>1277</v>
      </c>
      <c r="D979" s="381" t="s">
        <v>1686</v>
      </c>
      <c r="E979" s="381" t="s">
        <v>1687</v>
      </c>
      <c r="F979" s="378">
        <v>-89038</v>
      </c>
      <c r="G979" s="378">
        <v>0</v>
      </c>
      <c r="H979" s="378">
        <v>0</v>
      </c>
      <c r="I979" s="378">
        <v>-89038</v>
      </c>
      <c r="J979" s="266">
        <f t="shared" si="16"/>
        <v>8</v>
      </c>
    </row>
    <row r="980" spans="1:10" ht="15.75" customHeight="1" x14ac:dyDescent="0.25">
      <c r="A980" s="380">
        <v>25803003</v>
      </c>
      <c r="B980" s="381" t="s">
        <v>321</v>
      </c>
      <c r="C980" s="381" t="s">
        <v>1277</v>
      </c>
      <c r="D980" s="381" t="s">
        <v>1657</v>
      </c>
      <c r="E980" s="381" t="s">
        <v>1658</v>
      </c>
      <c r="F980" s="378">
        <v>-78525</v>
      </c>
      <c r="G980" s="378">
        <v>0</v>
      </c>
      <c r="H980" s="378">
        <v>0</v>
      </c>
      <c r="I980" s="378">
        <v>-78525</v>
      </c>
      <c r="J980" s="266">
        <f t="shared" si="16"/>
        <v>8</v>
      </c>
    </row>
    <row r="981" spans="1:10" ht="15.75" customHeight="1" x14ac:dyDescent="0.25">
      <c r="A981" s="380">
        <v>25803003</v>
      </c>
      <c r="B981" s="381" t="s">
        <v>321</v>
      </c>
      <c r="C981" s="381" t="s">
        <v>1277</v>
      </c>
      <c r="D981" s="381" t="s">
        <v>1659</v>
      </c>
      <c r="E981" s="381" t="s">
        <v>1660</v>
      </c>
      <c r="F981" s="378">
        <v>-89870</v>
      </c>
      <c r="G981" s="378">
        <v>0</v>
      </c>
      <c r="H981" s="378">
        <v>0</v>
      </c>
      <c r="I981" s="378">
        <v>-89870</v>
      </c>
      <c r="J981" s="266">
        <f t="shared" si="16"/>
        <v>8</v>
      </c>
    </row>
    <row r="982" spans="1:10" ht="15.75" customHeight="1" x14ac:dyDescent="0.25">
      <c r="A982" s="380">
        <v>25803003</v>
      </c>
      <c r="B982" s="381" t="s">
        <v>321</v>
      </c>
      <c r="C982" s="381" t="s">
        <v>1277</v>
      </c>
      <c r="D982" s="381" t="s">
        <v>1527</v>
      </c>
      <c r="E982" s="381" t="s">
        <v>1528</v>
      </c>
      <c r="F982" s="378">
        <v>-94466</v>
      </c>
      <c r="G982" s="378">
        <v>0</v>
      </c>
      <c r="H982" s="378">
        <v>0</v>
      </c>
      <c r="I982" s="378">
        <v>-94466</v>
      </c>
      <c r="J982" s="266">
        <f t="shared" si="16"/>
        <v>8</v>
      </c>
    </row>
    <row r="983" spans="1:10" ht="15.75" customHeight="1" x14ac:dyDescent="0.25">
      <c r="A983" s="380">
        <v>25803003</v>
      </c>
      <c r="B983" s="381" t="s">
        <v>321</v>
      </c>
      <c r="C983" s="381" t="s">
        <v>1277</v>
      </c>
      <c r="D983" s="381" t="s">
        <v>1444</v>
      </c>
      <c r="E983" s="381" t="s">
        <v>1533</v>
      </c>
      <c r="F983" s="378">
        <v>-121687</v>
      </c>
      <c r="G983" s="378">
        <v>0</v>
      </c>
      <c r="H983" s="378">
        <v>0</v>
      </c>
      <c r="I983" s="378">
        <v>-121687</v>
      </c>
      <c r="J983" s="266">
        <f t="shared" si="16"/>
        <v>8</v>
      </c>
    </row>
    <row r="984" spans="1:10" ht="15.75" customHeight="1" x14ac:dyDescent="0.25">
      <c r="A984" s="380">
        <v>25803003</v>
      </c>
      <c r="B984" s="381" t="s">
        <v>321</v>
      </c>
      <c r="C984" s="381" t="s">
        <v>1277</v>
      </c>
      <c r="D984" s="381" t="s">
        <v>1661</v>
      </c>
      <c r="E984" s="381" t="s">
        <v>1662</v>
      </c>
      <c r="F984" s="378">
        <v>-104154</v>
      </c>
      <c r="G984" s="378">
        <v>0</v>
      </c>
      <c r="H984" s="378">
        <v>0</v>
      </c>
      <c r="I984" s="378">
        <v>-104154</v>
      </c>
      <c r="J984" s="266">
        <f t="shared" si="16"/>
        <v>8</v>
      </c>
    </row>
    <row r="985" spans="1:10" ht="15.75" customHeight="1" x14ac:dyDescent="0.25">
      <c r="A985" s="380">
        <v>25803003</v>
      </c>
      <c r="B985" s="381" t="s">
        <v>321</v>
      </c>
      <c r="C985" s="381" t="s">
        <v>1277</v>
      </c>
      <c r="D985" s="381" t="s">
        <v>1663</v>
      </c>
      <c r="E985" s="381" t="s">
        <v>1664</v>
      </c>
      <c r="F985" s="378">
        <v>-102945</v>
      </c>
      <c r="G985" s="378">
        <v>0</v>
      </c>
      <c r="H985" s="378">
        <v>0</v>
      </c>
      <c r="I985" s="378">
        <v>-102945</v>
      </c>
      <c r="J985" s="266">
        <f t="shared" si="16"/>
        <v>8</v>
      </c>
    </row>
    <row r="986" spans="1:10" ht="15.75" customHeight="1" x14ac:dyDescent="0.25">
      <c r="A986" s="380">
        <v>25803003</v>
      </c>
      <c r="B986" s="381" t="s">
        <v>321</v>
      </c>
      <c r="C986" s="381" t="s">
        <v>1277</v>
      </c>
      <c r="D986" s="381" t="s">
        <v>1609</v>
      </c>
      <c r="E986" s="381" t="s">
        <v>1610</v>
      </c>
      <c r="F986" s="378">
        <v>-88360</v>
      </c>
      <c r="G986" s="378">
        <v>0</v>
      </c>
      <c r="H986" s="378">
        <v>0</v>
      </c>
      <c r="I986" s="378">
        <v>-88360</v>
      </c>
      <c r="J986" s="266">
        <f t="shared" si="16"/>
        <v>8</v>
      </c>
    </row>
    <row r="987" spans="1:10" ht="15.75" customHeight="1" x14ac:dyDescent="0.25">
      <c r="A987" s="380">
        <v>25803003</v>
      </c>
      <c r="B987" s="381" t="s">
        <v>321</v>
      </c>
      <c r="C987" s="381" t="s">
        <v>1277</v>
      </c>
      <c r="D987" s="381" t="s">
        <v>1490</v>
      </c>
      <c r="E987" s="381" t="s">
        <v>1491</v>
      </c>
      <c r="F987" s="378">
        <v>-82403</v>
      </c>
      <c r="G987" s="378">
        <v>0</v>
      </c>
      <c r="H987" s="378">
        <v>0</v>
      </c>
      <c r="I987" s="378">
        <v>-82403</v>
      </c>
      <c r="J987" s="266">
        <f t="shared" si="16"/>
        <v>8</v>
      </c>
    </row>
    <row r="988" spans="1:10" ht="15.75" customHeight="1" x14ac:dyDescent="0.25">
      <c r="A988" s="380">
        <v>25803003</v>
      </c>
      <c r="B988" s="381" t="s">
        <v>321</v>
      </c>
      <c r="C988" s="381" t="s">
        <v>1277</v>
      </c>
      <c r="D988" s="381" t="s">
        <v>1523</v>
      </c>
      <c r="E988" s="381" t="s">
        <v>1524</v>
      </c>
      <c r="F988" s="378">
        <v>-218500</v>
      </c>
      <c r="G988" s="378">
        <v>0</v>
      </c>
      <c r="H988" s="378">
        <v>0</v>
      </c>
      <c r="I988" s="378">
        <v>-218500</v>
      </c>
      <c r="J988" s="266">
        <f t="shared" si="16"/>
        <v>8</v>
      </c>
    </row>
    <row r="989" spans="1:10" ht="15.75" customHeight="1" x14ac:dyDescent="0.25">
      <c r="A989" s="380">
        <v>25803003</v>
      </c>
      <c r="B989" s="381" t="s">
        <v>321</v>
      </c>
      <c r="C989" s="381" t="s">
        <v>1277</v>
      </c>
      <c r="D989" s="381" t="s">
        <v>792</v>
      </c>
      <c r="E989" s="381" t="s">
        <v>1534</v>
      </c>
      <c r="F989" s="378">
        <v>-94162</v>
      </c>
      <c r="G989" s="378">
        <v>0</v>
      </c>
      <c r="H989" s="378">
        <v>0</v>
      </c>
      <c r="I989" s="378">
        <v>-94162</v>
      </c>
      <c r="J989" s="266">
        <f t="shared" si="16"/>
        <v>8</v>
      </c>
    </row>
    <row r="990" spans="1:10" ht="15.75" customHeight="1" x14ac:dyDescent="0.25">
      <c r="A990" s="380">
        <v>25803003</v>
      </c>
      <c r="B990" s="381" t="s">
        <v>321</v>
      </c>
      <c r="C990" s="381" t="s">
        <v>1277</v>
      </c>
      <c r="D990" s="381" t="s">
        <v>1688</v>
      </c>
      <c r="E990" s="381" t="s">
        <v>1689</v>
      </c>
      <c r="F990" s="378">
        <v>-75552</v>
      </c>
      <c r="G990" s="378">
        <v>0</v>
      </c>
      <c r="H990" s="378">
        <v>0</v>
      </c>
      <c r="I990" s="378">
        <v>-75552</v>
      </c>
      <c r="J990" s="266">
        <f t="shared" si="16"/>
        <v>8</v>
      </c>
    </row>
    <row r="991" spans="1:10" ht="15.75" customHeight="1" x14ac:dyDescent="0.25">
      <c r="A991" s="380">
        <v>25803003</v>
      </c>
      <c r="B991" s="381" t="s">
        <v>321</v>
      </c>
      <c r="C991" s="381" t="s">
        <v>1277</v>
      </c>
      <c r="D991" s="381" t="s">
        <v>1492</v>
      </c>
      <c r="E991" s="381" t="s">
        <v>1493</v>
      </c>
      <c r="F991" s="378">
        <v>-15447</v>
      </c>
      <c r="G991" s="378">
        <v>0</v>
      </c>
      <c r="H991" s="378">
        <v>0</v>
      </c>
      <c r="I991" s="378">
        <v>-15447</v>
      </c>
      <c r="J991" s="266">
        <f t="shared" si="16"/>
        <v>8</v>
      </c>
    </row>
    <row r="992" spans="1:10" ht="15.75" customHeight="1" x14ac:dyDescent="0.25">
      <c r="A992" s="380">
        <v>25803003</v>
      </c>
      <c r="B992" s="381" t="s">
        <v>321</v>
      </c>
      <c r="C992" s="381" t="s">
        <v>1277</v>
      </c>
      <c r="D992" s="381" t="s">
        <v>1667</v>
      </c>
      <c r="E992" s="381" t="s">
        <v>1668</v>
      </c>
      <c r="F992" s="378">
        <v>-1728</v>
      </c>
      <c r="G992" s="378">
        <v>0</v>
      </c>
      <c r="H992" s="378">
        <v>0</v>
      </c>
      <c r="I992" s="378">
        <v>-1728</v>
      </c>
      <c r="J992" s="266">
        <f t="shared" si="16"/>
        <v>8</v>
      </c>
    </row>
    <row r="993" spans="1:10" ht="15.75" customHeight="1" x14ac:dyDescent="0.25">
      <c r="A993" s="380">
        <v>25803003</v>
      </c>
      <c r="B993" s="381" t="s">
        <v>321</v>
      </c>
      <c r="C993" s="381" t="s">
        <v>1277</v>
      </c>
      <c r="D993" s="381" t="s">
        <v>1669</v>
      </c>
      <c r="E993" s="381" t="s">
        <v>1670</v>
      </c>
      <c r="F993" s="378">
        <v>-104144</v>
      </c>
      <c r="G993" s="378">
        <v>0</v>
      </c>
      <c r="H993" s="378">
        <v>0</v>
      </c>
      <c r="I993" s="378">
        <v>-104144</v>
      </c>
      <c r="J993" s="266">
        <f t="shared" si="16"/>
        <v>8</v>
      </c>
    </row>
    <row r="994" spans="1:10" ht="15.75" customHeight="1" x14ac:dyDescent="0.25">
      <c r="A994" s="380">
        <v>25803003</v>
      </c>
      <c r="B994" s="381" t="s">
        <v>321</v>
      </c>
      <c r="C994" s="381" t="s">
        <v>1277</v>
      </c>
      <c r="D994" s="381" t="s">
        <v>1673</v>
      </c>
      <c r="E994" s="381" t="s">
        <v>1674</v>
      </c>
      <c r="F994" s="378">
        <v>-93446</v>
      </c>
      <c r="G994" s="378">
        <v>0</v>
      </c>
      <c r="H994" s="378">
        <v>0</v>
      </c>
      <c r="I994" s="378">
        <v>-93446</v>
      </c>
      <c r="J994" s="266">
        <f t="shared" si="16"/>
        <v>8</v>
      </c>
    </row>
    <row r="995" spans="1:10" ht="15.75" customHeight="1" x14ac:dyDescent="0.25">
      <c r="A995" s="380">
        <v>25803004</v>
      </c>
      <c r="B995" s="381" t="s">
        <v>321</v>
      </c>
      <c r="C995" s="381" t="s">
        <v>1704</v>
      </c>
      <c r="D995" s="381" t="s">
        <v>315</v>
      </c>
      <c r="E995" s="381" t="s">
        <v>315</v>
      </c>
      <c r="F995" s="378">
        <v>-5521776</v>
      </c>
      <c r="G995" s="378">
        <v>0</v>
      </c>
      <c r="H995" s="378">
        <v>2226511</v>
      </c>
      <c r="I995" s="378">
        <v>-7748287</v>
      </c>
      <c r="J995" s="266">
        <f t="shared" si="16"/>
        <v>8</v>
      </c>
    </row>
    <row r="996" spans="1:10" ht="15.75" customHeight="1" x14ac:dyDescent="0.25">
      <c r="A996" s="380">
        <v>25803004</v>
      </c>
      <c r="B996" s="381" t="s">
        <v>321</v>
      </c>
      <c r="C996" s="381" t="s">
        <v>1704</v>
      </c>
      <c r="D996" s="381" t="s">
        <v>1535</v>
      </c>
      <c r="E996" s="381" t="s">
        <v>1536</v>
      </c>
      <c r="F996" s="378">
        <v>-242156</v>
      </c>
      <c r="G996" s="378">
        <v>0</v>
      </c>
      <c r="H996" s="378">
        <v>92524</v>
      </c>
      <c r="I996" s="378">
        <v>-334680</v>
      </c>
      <c r="J996" s="266">
        <f t="shared" si="16"/>
        <v>8</v>
      </c>
    </row>
    <row r="997" spans="1:10" ht="15.75" customHeight="1" x14ac:dyDescent="0.25">
      <c r="A997" s="380">
        <v>25803004</v>
      </c>
      <c r="B997" s="381" t="s">
        <v>321</v>
      </c>
      <c r="C997" s="381" t="s">
        <v>1704</v>
      </c>
      <c r="D997" s="381" t="s">
        <v>1604</v>
      </c>
      <c r="E997" s="381" t="s">
        <v>1605</v>
      </c>
      <c r="F997" s="378">
        <v>-256529</v>
      </c>
      <c r="G997" s="378">
        <v>0</v>
      </c>
      <c r="H997" s="378">
        <v>115523</v>
      </c>
      <c r="I997" s="378">
        <v>-372052</v>
      </c>
      <c r="J997" s="266">
        <f t="shared" si="16"/>
        <v>8</v>
      </c>
    </row>
    <row r="998" spans="1:10" ht="15.75" customHeight="1" x14ac:dyDescent="0.25">
      <c r="A998" s="380">
        <v>25803004</v>
      </c>
      <c r="B998" s="381" t="s">
        <v>321</v>
      </c>
      <c r="C998" s="381" t="s">
        <v>1704</v>
      </c>
      <c r="D998" s="381" t="s">
        <v>1649</v>
      </c>
      <c r="E998" s="381" t="s">
        <v>1650</v>
      </c>
      <c r="F998" s="378">
        <v>-243835</v>
      </c>
      <c r="G998" s="378">
        <v>0</v>
      </c>
      <c r="H998" s="378">
        <v>95759</v>
      </c>
      <c r="I998" s="378">
        <v>-339594</v>
      </c>
      <c r="J998" s="266">
        <f t="shared" si="16"/>
        <v>8</v>
      </c>
    </row>
    <row r="999" spans="1:10" ht="15.75" customHeight="1" x14ac:dyDescent="0.25">
      <c r="A999" s="380">
        <v>25803004</v>
      </c>
      <c r="B999" s="381" t="s">
        <v>321</v>
      </c>
      <c r="C999" s="381" t="s">
        <v>1704</v>
      </c>
      <c r="D999" s="381" t="s">
        <v>1651</v>
      </c>
      <c r="E999" s="381" t="s">
        <v>1652</v>
      </c>
      <c r="F999" s="378">
        <v>-226787</v>
      </c>
      <c r="G999" s="378">
        <v>0</v>
      </c>
      <c r="H999" s="378">
        <v>93762</v>
      </c>
      <c r="I999" s="378">
        <v>-320549</v>
      </c>
      <c r="J999" s="266">
        <f t="shared" si="16"/>
        <v>8</v>
      </c>
    </row>
    <row r="1000" spans="1:10" ht="15.75" customHeight="1" x14ac:dyDescent="0.25">
      <c r="A1000" s="380">
        <v>25803004</v>
      </c>
      <c r="B1000" s="381" t="s">
        <v>321</v>
      </c>
      <c r="C1000" s="381" t="s">
        <v>1704</v>
      </c>
      <c r="D1000" s="381" t="s">
        <v>1443</v>
      </c>
      <c r="E1000" s="381" t="s">
        <v>1530</v>
      </c>
      <c r="F1000" s="378">
        <v>-298063</v>
      </c>
      <c r="G1000" s="378">
        <v>0</v>
      </c>
      <c r="H1000" s="378">
        <v>116013</v>
      </c>
      <c r="I1000" s="378">
        <v>-414076</v>
      </c>
      <c r="J1000" s="266">
        <f t="shared" si="16"/>
        <v>8</v>
      </c>
    </row>
    <row r="1001" spans="1:10" ht="15.75" customHeight="1" x14ac:dyDescent="0.25">
      <c r="A1001" s="380">
        <v>25803004</v>
      </c>
      <c r="B1001" s="381" t="s">
        <v>321</v>
      </c>
      <c r="C1001" s="381" t="s">
        <v>1704</v>
      </c>
      <c r="D1001" s="381" t="s">
        <v>1653</v>
      </c>
      <c r="E1001" s="381" t="s">
        <v>1654</v>
      </c>
      <c r="F1001" s="378">
        <v>-245978</v>
      </c>
      <c r="G1001" s="378">
        <v>0</v>
      </c>
      <c r="H1001" s="378">
        <v>108259</v>
      </c>
      <c r="I1001" s="378">
        <v>-354237</v>
      </c>
      <c r="J1001" s="266">
        <f t="shared" si="16"/>
        <v>8</v>
      </c>
    </row>
    <row r="1002" spans="1:10" ht="15.75" customHeight="1" x14ac:dyDescent="0.25">
      <c r="A1002" s="380">
        <v>25803004</v>
      </c>
      <c r="B1002" s="381" t="s">
        <v>321</v>
      </c>
      <c r="C1002" s="381" t="s">
        <v>1704</v>
      </c>
      <c r="D1002" s="381" t="s">
        <v>1606</v>
      </c>
      <c r="E1002" s="381" t="s">
        <v>1607</v>
      </c>
      <c r="F1002" s="378">
        <v>-266389</v>
      </c>
      <c r="G1002" s="378">
        <v>0</v>
      </c>
      <c r="H1002" s="378">
        <v>102100</v>
      </c>
      <c r="I1002" s="378">
        <v>-368489</v>
      </c>
      <c r="J1002" s="266">
        <f t="shared" si="16"/>
        <v>8</v>
      </c>
    </row>
    <row r="1003" spans="1:10" ht="15.75" customHeight="1" x14ac:dyDescent="0.25">
      <c r="A1003" s="380">
        <v>25803004</v>
      </c>
      <c r="B1003" s="381" t="s">
        <v>321</v>
      </c>
      <c r="C1003" s="381" t="s">
        <v>1704</v>
      </c>
      <c r="D1003" s="381" t="s">
        <v>1686</v>
      </c>
      <c r="E1003" s="381" t="s">
        <v>1687</v>
      </c>
      <c r="F1003" s="378">
        <v>-18954</v>
      </c>
      <c r="G1003" s="378">
        <v>0</v>
      </c>
      <c r="H1003" s="378">
        <v>0</v>
      </c>
      <c r="I1003" s="378">
        <v>-18954</v>
      </c>
      <c r="J1003" s="266">
        <f t="shared" si="16"/>
        <v>8</v>
      </c>
    </row>
    <row r="1004" spans="1:10" ht="15.75" customHeight="1" x14ac:dyDescent="0.25">
      <c r="A1004" s="380">
        <v>25803004</v>
      </c>
      <c r="B1004" s="381" t="s">
        <v>321</v>
      </c>
      <c r="C1004" s="381" t="s">
        <v>1704</v>
      </c>
      <c r="D1004" s="381" t="s">
        <v>1655</v>
      </c>
      <c r="E1004" s="381" t="s">
        <v>1656</v>
      </c>
      <c r="F1004" s="378">
        <v>-133870</v>
      </c>
      <c r="G1004" s="378">
        <v>0</v>
      </c>
      <c r="H1004" s="378">
        <v>79317</v>
      </c>
      <c r="I1004" s="378">
        <v>-213187</v>
      </c>
      <c r="J1004" s="266">
        <f t="shared" si="16"/>
        <v>8</v>
      </c>
    </row>
    <row r="1005" spans="1:10" ht="15.75" customHeight="1" x14ac:dyDescent="0.25">
      <c r="A1005" s="380">
        <v>25803004</v>
      </c>
      <c r="B1005" s="381" t="s">
        <v>321</v>
      </c>
      <c r="C1005" s="381" t="s">
        <v>1704</v>
      </c>
      <c r="D1005" s="381" t="s">
        <v>1657</v>
      </c>
      <c r="E1005" s="381" t="s">
        <v>1658</v>
      </c>
      <c r="F1005" s="378">
        <v>-219008</v>
      </c>
      <c r="G1005" s="378">
        <v>0</v>
      </c>
      <c r="H1005" s="378">
        <v>90464</v>
      </c>
      <c r="I1005" s="378">
        <v>-309472</v>
      </c>
      <c r="J1005" s="266">
        <f t="shared" si="16"/>
        <v>8</v>
      </c>
    </row>
    <row r="1006" spans="1:10" ht="15.75" customHeight="1" x14ac:dyDescent="0.25">
      <c r="A1006" s="380">
        <v>25803004</v>
      </c>
      <c r="B1006" s="381" t="s">
        <v>321</v>
      </c>
      <c r="C1006" s="381" t="s">
        <v>1704</v>
      </c>
      <c r="D1006" s="381" t="s">
        <v>1659</v>
      </c>
      <c r="E1006" s="381" t="s">
        <v>1660</v>
      </c>
      <c r="F1006" s="378">
        <v>-256793</v>
      </c>
      <c r="G1006" s="378">
        <v>0</v>
      </c>
      <c r="H1006" s="378">
        <v>7739</v>
      </c>
      <c r="I1006" s="378">
        <v>-264532</v>
      </c>
      <c r="J1006" s="266">
        <f t="shared" si="16"/>
        <v>8</v>
      </c>
    </row>
    <row r="1007" spans="1:10" ht="15.75" customHeight="1" x14ac:dyDescent="0.25">
      <c r="A1007" s="380">
        <v>25803004</v>
      </c>
      <c r="B1007" s="381" t="s">
        <v>321</v>
      </c>
      <c r="C1007" s="381" t="s">
        <v>1704</v>
      </c>
      <c r="D1007" s="381" t="s">
        <v>1527</v>
      </c>
      <c r="E1007" s="381" t="s">
        <v>1528</v>
      </c>
      <c r="F1007" s="378">
        <v>-215850</v>
      </c>
      <c r="G1007" s="378">
        <v>0</v>
      </c>
      <c r="H1007" s="378">
        <v>46731</v>
      </c>
      <c r="I1007" s="378">
        <v>-262581</v>
      </c>
      <c r="J1007" s="266">
        <f t="shared" si="16"/>
        <v>8</v>
      </c>
    </row>
    <row r="1008" spans="1:10" ht="15.75" customHeight="1" x14ac:dyDescent="0.25">
      <c r="A1008" s="380">
        <v>25803004</v>
      </c>
      <c r="B1008" s="381" t="s">
        <v>321</v>
      </c>
      <c r="C1008" s="381" t="s">
        <v>1704</v>
      </c>
      <c r="D1008" s="381" t="s">
        <v>1444</v>
      </c>
      <c r="E1008" s="381" t="s">
        <v>1533</v>
      </c>
      <c r="F1008" s="378">
        <v>-293605</v>
      </c>
      <c r="G1008" s="378">
        <v>0</v>
      </c>
      <c r="H1008" s="378">
        <v>115643</v>
      </c>
      <c r="I1008" s="378">
        <v>-409248</v>
      </c>
      <c r="J1008" s="266">
        <f t="shared" si="16"/>
        <v>8</v>
      </c>
    </row>
    <row r="1009" spans="1:10" ht="15.75" customHeight="1" x14ac:dyDescent="0.25">
      <c r="A1009" s="380">
        <v>25803004</v>
      </c>
      <c r="B1009" s="381" t="s">
        <v>321</v>
      </c>
      <c r="C1009" s="381" t="s">
        <v>1704</v>
      </c>
      <c r="D1009" s="381" t="s">
        <v>1661</v>
      </c>
      <c r="E1009" s="381" t="s">
        <v>1662</v>
      </c>
      <c r="F1009" s="378">
        <v>-244604</v>
      </c>
      <c r="G1009" s="378">
        <v>0</v>
      </c>
      <c r="H1009" s="378">
        <v>85140</v>
      </c>
      <c r="I1009" s="378">
        <v>-329744</v>
      </c>
      <c r="J1009" s="266">
        <f t="shared" si="16"/>
        <v>8</v>
      </c>
    </row>
    <row r="1010" spans="1:10" ht="15.75" customHeight="1" x14ac:dyDescent="0.25">
      <c r="A1010" s="380">
        <v>25803004</v>
      </c>
      <c r="B1010" s="381" t="s">
        <v>321</v>
      </c>
      <c r="C1010" s="381" t="s">
        <v>1704</v>
      </c>
      <c r="D1010" s="381" t="s">
        <v>1663</v>
      </c>
      <c r="E1010" s="381" t="s">
        <v>1664</v>
      </c>
      <c r="F1010" s="378">
        <v>-237035</v>
      </c>
      <c r="G1010" s="378">
        <v>0</v>
      </c>
      <c r="H1010" s="378">
        <v>98233</v>
      </c>
      <c r="I1010" s="378">
        <v>-335268</v>
      </c>
      <c r="J1010" s="266">
        <f t="shared" si="16"/>
        <v>8</v>
      </c>
    </row>
    <row r="1011" spans="1:10" ht="15.75" customHeight="1" x14ac:dyDescent="0.25">
      <c r="A1011" s="380">
        <v>25803004</v>
      </c>
      <c r="B1011" s="381" t="s">
        <v>321</v>
      </c>
      <c r="C1011" s="381" t="s">
        <v>1704</v>
      </c>
      <c r="D1011" s="381" t="s">
        <v>1609</v>
      </c>
      <c r="E1011" s="381" t="s">
        <v>1610</v>
      </c>
      <c r="F1011" s="378">
        <v>-233545</v>
      </c>
      <c r="G1011" s="378">
        <v>0</v>
      </c>
      <c r="H1011" s="378">
        <v>97091</v>
      </c>
      <c r="I1011" s="378">
        <v>-330636</v>
      </c>
      <c r="J1011" s="266">
        <f t="shared" si="16"/>
        <v>8</v>
      </c>
    </row>
    <row r="1012" spans="1:10" ht="15.75" customHeight="1" x14ac:dyDescent="0.25">
      <c r="A1012" s="380">
        <v>25803004</v>
      </c>
      <c r="B1012" s="381" t="s">
        <v>321</v>
      </c>
      <c r="C1012" s="381" t="s">
        <v>1704</v>
      </c>
      <c r="D1012" s="381" t="s">
        <v>1210</v>
      </c>
      <c r="E1012" s="381" t="s">
        <v>1611</v>
      </c>
      <c r="F1012" s="378">
        <v>-239764</v>
      </c>
      <c r="G1012" s="378">
        <v>0</v>
      </c>
      <c r="H1012" s="378">
        <v>84118</v>
      </c>
      <c r="I1012" s="378">
        <v>-323882</v>
      </c>
      <c r="J1012" s="266">
        <f t="shared" si="16"/>
        <v>8</v>
      </c>
    </row>
    <row r="1013" spans="1:10" ht="15.75" customHeight="1" x14ac:dyDescent="0.25">
      <c r="A1013" s="380">
        <v>25803004</v>
      </c>
      <c r="B1013" s="381" t="s">
        <v>321</v>
      </c>
      <c r="C1013" s="381" t="s">
        <v>1704</v>
      </c>
      <c r="D1013" s="381" t="s">
        <v>1523</v>
      </c>
      <c r="E1013" s="381" t="s">
        <v>1524</v>
      </c>
      <c r="F1013" s="378">
        <v>-546250</v>
      </c>
      <c r="G1013" s="378">
        <v>0</v>
      </c>
      <c r="H1013" s="378">
        <v>218500</v>
      </c>
      <c r="I1013" s="378">
        <v>-764750</v>
      </c>
      <c r="J1013" s="266">
        <f t="shared" si="16"/>
        <v>8</v>
      </c>
    </row>
    <row r="1014" spans="1:10" ht="15.75" customHeight="1" x14ac:dyDescent="0.25">
      <c r="A1014" s="380">
        <v>25803004</v>
      </c>
      <c r="B1014" s="381" t="s">
        <v>321</v>
      </c>
      <c r="C1014" s="381" t="s">
        <v>1704</v>
      </c>
      <c r="D1014" s="381" t="s">
        <v>1665</v>
      </c>
      <c r="E1014" s="381" t="s">
        <v>1666</v>
      </c>
      <c r="F1014" s="378">
        <v>-42022</v>
      </c>
      <c r="G1014" s="378">
        <v>0</v>
      </c>
      <c r="H1014" s="378">
        <v>76928</v>
      </c>
      <c r="I1014" s="378">
        <v>-118950</v>
      </c>
      <c r="J1014" s="266">
        <f t="shared" si="16"/>
        <v>8</v>
      </c>
    </row>
    <row r="1015" spans="1:10" ht="15.75" customHeight="1" x14ac:dyDescent="0.25">
      <c r="A1015" s="380">
        <v>25803004</v>
      </c>
      <c r="B1015" s="381" t="s">
        <v>321</v>
      </c>
      <c r="C1015" s="381" t="s">
        <v>1704</v>
      </c>
      <c r="D1015" s="381" t="s">
        <v>792</v>
      </c>
      <c r="E1015" s="381" t="s">
        <v>1534</v>
      </c>
      <c r="F1015" s="378">
        <v>-234079</v>
      </c>
      <c r="G1015" s="378">
        <v>0</v>
      </c>
      <c r="H1015" s="378">
        <v>103332</v>
      </c>
      <c r="I1015" s="378">
        <v>-337411</v>
      </c>
      <c r="J1015" s="266">
        <f t="shared" si="16"/>
        <v>8</v>
      </c>
    </row>
    <row r="1016" spans="1:10" ht="15.75" customHeight="1" x14ac:dyDescent="0.25">
      <c r="A1016" s="380">
        <v>25803004</v>
      </c>
      <c r="B1016" s="381" t="s">
        <v>321</v>
      </c>
      <c r="C1016" s="381" t="s">
        <v>1704</v>
      </c>
      <c r="D1016" s="381" t="s">
        <v>1688</v>
      </c>
      <c r="E1016" s="381" t="s">
        <v>1689</v>
      </c>
      <c r="F1016" s="378">
        <v>-29961</v>
      </c>
      <c r="G1016" s="378">
        <v>0</v>
      </c>
      <c r="H1016" s="378">
        <v>0</v>
      </c>
      <c r="I1016" s="378">
        <v>-29961</v>
      </c>
      <c r="J1016" s="266">
        <f t="shared" si="16"/>
        <v>8</v>
      </c>
    </row>
    <row r="1017" spans="1:10" ht="15.75" customHeight="1" x14ac:dyDescent="0.25">
      <c r="A1017" s="380">
        <v>25803004</v>
      </c>
      <c r="B1017" s="381" t="s">
        <v>321</v>
      </c>
      <c r="C1017" s="381" t="s">
        <v>1704</v>
      </c>
      <c r="D1017" s="381" t="s">
        <v>1492</v>
      </c>
      <c r="E1017" s="381" t="s">
        <v>1493</v>
      </c>
      <c r="F1017" s="378">
        <v>-35018</v>
      </c>
      <c r="G1017" s="378">
        <v>0</v>
      </c>
      <c r="H1017" s="378">
        <v>0</v>
      </c>
      <c r="I1017" s="378">
        <v>-35018</v>
      </c>
      <c r="J1017" s="266">
        <f t="shared" si="16"/>
        <v>8</v>
      </c>
    </row>
    <row r="1018" spans="1:10" ht="15.75" customHeight="1" x14ac:dyDescent="0.25">
      <c r="A1018" s="380">
        <v>25803004</v>
      </c>
      <c r="B1018" s="381" t="s">
        <v>321</v>
      </c>
      <c r="C1018" s="381" t="s">
        <v>1704</v>
      </c>
      <c r="D1018" s="381" t="s">
        <v>1667</v>
      </c>
      <c r="E1018" s="381" t="s">
        <v>1668</v>
      </c>
      <c r="F1018" s="378">
        <v>-117146</v>
      </c>
      <c r="G1018" s="378">
        <v>0</v>
      </c>
      <c r="H1018" s="378">
        <v>88074</v>
      </c>
      <c r="I1018" s="378">
        <v>-205220</v>
      </c>
      <c r="J1018" s="266">
        <f t="shared" si="16"/>
        <v>8</v>
      </c>
    </row>
    <row r="1019" spans="1:10" ht="15.75" customHeight="1" x14ac:dyDescent="0.25">
      <c r="A1019" s="380">
        <v>25803004</v>
      </c>
      <c r="B1019" s="381" t="s">
        <v>321</v>
      </c>
      <c r="C1019" s="381" t="s">
        <v>1704</v>
      </c>
      <c r="D1019" s="381" t="s">
        <v>1669</v>
      </c>
      <c r="E1019" s="381" t="s">
        <v>1670</v>
      </c>
      <c r="F1019" s="378">
        <v>-243577</v>
      </c>
      <c r="G1019" s="378">
        <v>0</v>
      </c>
      <c r="H1019" s="378">
        <v>73009</v>
      </c>
      <c r="I1019" s="378">
        <v>-316586</v>
      </c>
      <c r="J1019" s="266">
        <f t="shared" si="16"/>
        <v>8</v>
      </c>
    </row>
    <row r="1020" spans="1:10" ht="15.75" customHeight="1" x14ac:dyDescent="0.25">
      <c r="A1020" s="380">
        <v>25803004</v>
      </c>
      <c r="B1020" s="381" t="s">
        <v>321</v>
      </c>
      <c r="C1020" s="381" t="s">
        <v>1704</v>
      </c>
      <c r="D1020" s="381" t="s">
        <v>1671</v>
      </c>
      <c r="E1020" s="381" t="s">
        <v>1672</v>
      </c>
      <c r="F1020" s="378">
        <v>-156008</v>
      </c>
      <c r="G1020" s="378">
        <v>0</v>
      </c>
      <c r="H1020" s="378">
        <v>94426</v>
      </c>
      <c r="I1020" s="378">
        <v>-250434</v>
      </c>
      <c r="J1020" s="266">
        <f t="shared" si="16"/>
        <v>8</v>
      </c>
    </row>
    <row r="1021" spans="1:10" ht="15.75" customHeight="1" x14ac:dyDescent="0.25">
      <c r="A1021" s="380">
        <v>25803004</v>
      </c>
      <c r="B1021" s="381" t="s">
        <v>321</v>
      </c>
      <c r="C1021" s="381" t="s">
        <v>1704</v>
      </c>
      <c r="D1021" s="381" t="s">
        <v>1673</v>
      </c>
      <c r="E1021" s="381" t="s">
        <v>1674</v>
      </c>
      <c r="F1021" s="378">
        <v>-244950</v>
      </c>
      <c r="G1021" s="378">
        <v>0</v>
      </c>
      <c r="H1021" s="378">
        <v>106474</v>
      </c>
      <c r="I1021" s="378">
        <v>-351424</v>
      </c>
      <c r="J1021" s="266">
        <f t="shared" si="16"/>
        <v>8</v>
      </c>
    </row>
    <row r="1022" spans="1:10" ht="15.75" customHeight="1" x14ac:dyDescent="0.25">
      <c r="A1022" s="380">
        <v>25803004</v>
      </c>
      <c r="B1022" s="381" t="s">
        <v>321</v>
      </c>
      <c r="C1022" s="381" t="s">
        <v>1704</v>
      </c>
      <c r="D1022" s="381" t="s">
        <v>1675</v>
      </c>
      <c r="E1022" s="381" t="s">
        <v>1676</v>
      </c>
      <c r="F1022" s="378">
        <v>0</v>
      </c>
      <c r="G1022" s="378">
        <v>0</v>
      </c>
      <c r="H1022" s="378">
        <v>18676</v>
      </c>
      <c r="I1022" s="378">
        <v>-18676</v>
      </c>
      <c r="J1022" s="266">
        <f t="shared" si="16"/>
        <v>8</v>
      </c>
    </row>
    <row r="1023" spans="1:10" ht="15.75" customHeight="1" x14ac:dyDescent="0.25">
      <c r="A1023" s="380">
        <v>25803004</v>
      </c>
      <c r="B1023" s="381" t="s">
        <v>321</v>
      </c>
      <c r="C1023" s="381" t="s">
        <v>1704</v>
      </c>
      <c r="D1023" s="381" t="s">
        <v>1677</v>
      </c>
      <c r="E1023" s="381" t="s">
        <v>1678</v>
      </c>
      <c r="F1023" s="378">
        <v>0</v>
      </c>
      <c r="G1023" s="378">
        <v>0</v>
      </c>
      <c r="H1023" s="378">
        <v>18676</v>
      </c>
      <c r="I1023" s="378">
        <v>-18676</v>
      </c>
      <c r="J1023" s="266">
        <f t="shared" si="16"/>
        <v>8</v>
      </c>
    </row>
    <row r="1024" spans="1:10" ht="15.75" customHeight="1" x14ac:dyDescent="0.25">
      <c r="A1024" s="380">
        <v>26</v>
      </c>
      <c r="B1024" s="381" t="s">
        <v>315</v>
      </c>
      <c r="C1024" s="381" t="s">
        <v>1288</v>
      </c>
      <c r="D1024" s="381" t="s">
        <v>315</v>
      </c>
      <c r="E1024" s="381" t="s">
        <v>315</v>
      </c>
      <c r="F1024" s="378">
        <v>-10195846.07</v>
      </c>
      <c r="G1024" s="378">
        <v>0</v>
      </c>
      <c r="H1024" s="378">
        <v>0</v>
      </c>
      <c r="I1024" s="378">
        <v>-10195846.07</v>
      </c>
      <c r="J1024" s="266">
        <f t="shared" si="16"/>
        <v>2</v>
      </c>
    </row>
    <row r="1025" spans="1:10" ht="15.75" customHeight="1" x14ac:dyDescent="0.25">
      <c r="A1025" s="380">
        <v>2615</v>
      </c>
      <c r="B1025" s="381" t="s">
        <v>321</v>
      </c>
      <c r="C1025" s="381" t="s">
        <v>1289</v>
      </c>
      <c r="D1025" s="381" t="s">
        <v>315</v>
      </c>
      <c r="E1025" s="381" t="s">
        <v>315</v>
      </c>
      <c r="F1025" s="378">
        <v>-10195846.07</v>
      </c>
      <c r="G1025" s="378">
        <v>0</v>
      </c>
      <c r="H1025" s="378">
        <v>0</v>
      </c>
      <c r="I1025" s="378">
        <v>-10195846.07</v>
      </c>
      <c r="J1025" s="266">
        <f t="shared" si="16"/>
        <v>4</v>
      </c>
    </row>
    <row r="1026" spans="1:10" ht="15.75" customHeight="1" x14ac:dyDescent="0.25">
      <c r="A1026" s="380">
        <v>261510</v>
      </c>
      <c r="B1026" s="381" t="s">
        <v>321</v>
      </c>
      <c r="C1026" s="381" t="s">
        <v>1290</v>
      </c>
      <c r="D1026" s="381" t="s">
        <v>315</v>
      </c>
      <c r="E1026" s="381" t="s">
        <v>315</v>
      </c>
      <c r="F1026" s="378">
        <v>-10195846.07</v>
      </c>
      <c r="G1026" s="378">
        <v>0</v>
      </c>
      <c r="H1026" s="378">
        <v>0</v>
      </c>
      <c r="I1026" s="378">
        <v>-10195846.07</v>
      </c>
      <c r="J1026" s="266">
        <f t="shared" si="16"/>
        <v>6</v>
      </c>
    </row>
    <row r="1027" spans="1:10" ht="15.75" customHeight="1" x14ac:dyDescent="0.25">
      <c r="A1027" s="380">
        <v>26151002</v>
      </c>
      <c r="B1027" s="381" t="s">
        <v>321</v>
      </c>
      <c r="C1027" s="381" t="s">
        <v>1705</v>
      </c>
      <c r="D1027" s="381" t="s">
        <v>315</v>
      </c>
      <c r="E1027" s="381" t="s">
        <v>315</v>
      </c>
      <c r="F1027" s="378">
        <v>-10195846.07</v>
      </c>
      <c r="G1027" s="378">
        <v>0</v>
      </c>
      <c r="H1027" s="378">
        <v>0</v>
      </c>
      <c r="I1027" s="378">
        <v>-10195846.07</v>
      </c>
      <c r="J1027" s="266">
        <f t="shared" si="16"/>
        <v>8</v>
      </c>
    </row>
    <row r="1028" spans="1:10" ht="15.75" customHeight="1" x14ac:dyDescent="0.25">
      <c r="A1028" s="380">
        <v>26151002</v>
      </c>
      <c r="B1028" s="381" t="s">
        <v>321</v>
      </c>
      <c r="C1028" s="381" t="s">
        <v>1705</v>
      </c>
      <c r="D1028" s="381" t="s">
        <v>678</v>
      </c>
      <c r="E1028" s="381" t="s">
        <v>679</v>
      </c>
      <c r="F1028" s="378">
        <v>-10195846.07</v>
      </c>
      <c r="G1028" s="378">
        <v>0</v>
      </c>
      <c r="H1028" s="378">
        <v>0</v>
      </c>
      <c r="I1028" s="378">
        <v>-10195846.07</v>
      </c>
      <c r="J1028" s="266">
        <f t="shared" si="16"/>
        <v>8</v>
      </c>
    </row>
    <row r="1029" spans="1:10" ht="15.75" customHeight="1" x14ac:dyDescent="0.25">
      <c r="A1029" s="380">
        <v>28</v>
      </c>
      <c r="B1029" s="381" t="s">
        <v>315</v>
      </c>
      <c r="C1029" s="381" t="s">
        <v>499</v>
      </c>
      <c r="D1029" s="381" t="s">
        <v>315</v>
      </c>
      <c r="E1029" s="381" t="s">
        <v>315</v>
      </c>
      <c r="F1029" s="378">
        <v>-1375301</v>
      </c>
      <c r="G1029" s="378">
        <v>6586085</v>
      </c>
      <c r="H1029" s="378">
        <v>6022801</v>
      </c>
      <c r="I1029" s="378">
        <v>-812017</v>
      </c>
      <c r="J1029" s="266">
        <f t="shared" si="16"/>
        <v>2</v>
      </c>
    </row>
    <row r="1030" spans="1:10" ht="15.75" customHeight="1" x14ac:dyDescent="0.25">
      <c r="A1030" s="380">
        <v>2805</v>
      </c>
      <c r="B1030" s="381" t="s">
        <v>315</v>
      </c>
      <c r="C1030" s="381" t="s">
        <v>112</v>
      </c>
      <c r="D1030" s="381" t="s">
        <v>315</v>
      </c>
      <c r="E1030" s="381" t="s">
        <v>315</v>
      </c>
      <c r="F1030" s="378">
        <v>-1375301</v>
      </c>
      <c r="G1030" s="378">
        <v>6586085</v>
      </c>
      <c r="H1030" s="378">
        <v>6022801</v>
      </c>
      <c r="I1030" s="378">
        <v>-812017</v>
      </c>
      <c r="J1030" s="266">
        <f t="shared" si="16"/>
        <v>4</v>
      </c>
    </row>
    <row r="1031" spans="1:10" ht="15.75" customHeight="1" x14ac:dyDescent="0.25">
      <c r="A1031" s="380">
        <v>280505</v>
      </c>
      <c r="B1031" s="381" t="s">
        <v>315</v>
      </c>
      <c r="C1031" s="381" t="s">
        <v>500</v>
      </c>
      <c r="D1031" s="381" t="s">
        <v>315</v>
      </c>
      <c r="E1031" s="381" t="s">
        <v>315</v>
      </c>
      <c r="F1031" s="378">
        <v>-1375301</v>
      </c>
      <c r="G1031" s="378">
        <v>6586085</v>
      </c>
      <c r="H1031" s="378">
        <v>6022801</v>
      </c>
      <c r="I1031" s="378">
        <v>-812017</v>
      </c>
      <c r="J1031" s="266">
        <f t="shared" si="16"/>
        <v>6</v>
      </c>
    </row>
    <row r="1032" spans="1:10" ht="15.75" customHeight="1" x14ac:dyDescent="0.25">
      <c r="A1032" s="380">
        <v>28050501</v>
      </c>
      <c r="B1032" s="381" t="s">
        <v>315</v>
      </c>
      <c r="C1032" s="381" t="s">
        <v>500</v>
      </c>
      <c r="D1032" s="381" t="s">
        <v>315</v>
      </c>
      <c r="E1032" s="381" t="s">
        <v>315</v>
      </c>
      <c r="F1032" s="378">
        <v>-1751345</v>
      </c>
      <c r="G1032" s="378">
        <v>1654409</v>
      </c>
      <c r="H1032" s="378">
        <v>0</v>
      </c>
      <c r="I1032" s="378">
        <v>-96936</v>
      </c>
      <c r="J1032" s="266">
        <f t="shared" si="16"/>
        <v>8</v>
      </c>
    </row>
    <row r="1033" spans="1:10" ht="15.75" customHeight="1" x14ac:dyDescent="0.25">
      <c r="A1033" s="380">
        <v>28050501</v>
      </c>
      <c r="B1033" s="381" t="s">
        <v>315</v>
      </c>
      <c r="C1033" s="381" t="s">
        <v>500</v>
      </c>
      <c r="D1033" s="381" t="s">
        <v>493</v>
      </c>
      <c r="E1033" s="381" t="s">
        <v>1522</v>
      </c>
      <c r="F1033" s="378">
        <v>-96936</v>
      </c>
      <c r="G1033" s="378">
        <v>0</v>
      </c>
      <c r="H1033" s="378">
        <v>0</v>
      </c>
      <c r="I1033" s="378">
        <v>-96936</v>
      </c>
      <c r="J1033" s="266">
        <f t="shared" si="16"/>
        <v>8</v>
      </c>
    </row>
    <row r="1034" spans="1:10" ht="15.75" customHeight="1" x14ac:dyDescent="0.25">
      <c r="A1034" s="380">
        <v>28050501</v>
      </c>
      <c r="B1034" s="381" t="s">
        <v>315</v>
      </c>
      <c r="C1034" s="381" t="s">
        <v>500</v>
      </c>
      <c r="D1034" s="381" t="s">
        <v>717</v>
      </c>
      <c r="E1034" s="381" t="s">
        <v>718</v>
      </c>
      <c r="F1034" s="378">
        <v>-1654409</v>
      </c>
      <c r="G1034" s="378">
        <v>1654409</v>
      </c>
      <c r="H1034" s="378">
        <v>0</v>
      </c>
      <c r="I1034" s="378">
        <v>0</v>
      </c>
      <c r="J1034" s="266">
        <f t="shared" si="16"/>
        <v>8</v>
      </c>
    </row>
    <row r="1035" spans="1:10" ht="15.75" customHeight="1" x14ac:dyDescent="0.25">
      <c r="A1035" s="380">
        <v>28050502</v>
      </c>
      <c r="B1035" s="381" t="s">
        <v>321</v>
      </c>
      <c r="C1035" s="381" t="s">
        <v>1293</v>
      </c>
      <c r="D1035" s="381" t="s">
        <v>315</v>
      </c>
      <c r="E1035" s="381" t="s">
        <v>315</v>
      </c>
      <c r="F1035" s="378">
        <v>388015</v>
      </c>
      <c r="G1035" s="378">
        <v>4755096</v>
      </c>
      <c r="H1035" s="378">
        <v>5880390</v>
      </c>
      <c r="I1035" s="378">
        <v>-737279</v>
      </c>
      <c r="J1035" s="266">
        <f t="shared" si="16"/>
        <v>8</v>
      </c>
    </row>
    <row r="1036" spans="1:10" ht="15.75" customHeight="1" x14ac:dyDescent="0.25">
      <c r="A1036" s="380">
        <v>28050502</v>
      </c>
      <c r="B1036" s="381" t="s">
        <v>321</v>
      </c>
      <c r="C1036" s="381" t="s">
        <v>1293</v>
      </c>
      <c r="D1036" s="381" t="s">
        <v>717</v>
      </c>
      <c r="E1036" s="381" t="s">
        <v>718</v>
      </c>
      <c r="F1036" s="378">
        <v>388015</v>
      </c>
      <c r="G1036" s="378">
        <v>4755096</v>
      </c>
      <c r="H1036" s="378">
        <v>5880390</v>
      </c>
      <c r="I1036" s="378">
        <v>-737279</v>
      </c>
      <c r="J1036" s="266">
        <f t="shared" ref="J1036:J1099" si="17">+LEN(A1036)</f>
        <v>8</v>
      </c>
    </row>
    <row r="1037" spans="1:10" ht="15.75" customHeight="1" x14ac:dyDescent="0.25">
      <c r="A1037" s="380">
        <v>28050503</v>
      </c>
      <c r="B1037" s="381" t="s">
        <v>321</v>
      </c>
      <c r="C1037" s="381" t="s">
        <v>1294</v>
      </c>
      <c r="D1037" s="381" t="s">
        <v>315</v>
      </c>
      <c r="E1037" s="381" t="s">
        <v>315</v>
      </c>
      <c r="F1037" s="378">
        <v>-11971</v>
      </c>
      <c r="G1037" s="378">
        <v>176580</v>
      </c>
      <c r="H1037" s="378">
        <v>142411</v>
      </c>
      <c r="I1037" s="378">
        <v>22198</v>
      </c>
      <c r="J1037" s="266">
        <f t="shared" si="17"/>
        <v>8</v>
      </c>
    </row>
    <row r="1038" spans="1:10" ht="15.75" customHeight="1" x14ac:dyDescent="0.25">
      <c r="A1038" s="380">
        <v>28050503</v>
      </c>
      <c r="B1038" s="381" t="s">
        <v>321</v>
      </c>
      <c r="C1038" s="381" t="s">
        <v>1294</v>
      </c>
      <c r="D1038" s="381" t="s">
        <v>493</v>
      </c>
      <c r="E1038" s="381" t="s">
        <v>1522</v>
      </c>
      <c r="F1038" s="378">
        <v>-11972</v>
      </c>
      <c r="G1038" s="378">
        <v>0</v>
      </c>
      <c r="H1038" s="378">
        <v>0</v>
      </c>
      <c r="I1038" s="378">
        <v>-11972</v>
      </c>
      <c r="J1038" s="266">
        <f t="shared" si="17"/>
        <v>8</v>
      </c>
    </row>
    <row r="1039" spans="1:10" ht="15.75" customHeight="1" x14ac:dyDescent="0.25">
      <c r="A1039" s="380">
        <v>28050503</v>
      </c>
      <c r="B1039" s="381" t="s">
        <v>321</v>
      </c>
      <c r="C1039" s="381" t="s">
        <v>1294</v>
      </c>
      <c r="D1039" s="381" t="s">
        <v>721</v>
      </c>
      <c r="E1039" s="381" t="s">
        <v>722</v>
      </c>
      <c r="F1039" s="378">
        <v>1</v>
      </c>
      <c r="G1039" s="378">
        <v>176580</v>
      </c>
      <c r="H1039" s="378">
        <v>142411</v>
      </c>
      <c r="I1039" s="378">
        <v>34170</v>
      </c>
      <c r="J1039" s="266">
        <f t="shared" si="17"/>
        <v>8</v>
      </c>
    </row>
    <row r="1040" spans="1:10" ht="15.75" customHeight="1" x14ac:dyDescent="0.25">
      <c r="A1040" s="380">
        <v>3</v>
      </c>
      <c r="B1040" s="381" t="s">
        <v>315</v>
      </c>
      <c r="C1040" s="381" t="s">
        <v>117</v>
      </c>
      <c r="D1040" s="381" t="s">
        <v>315</v>
      </c>
      <c r="E1040" s="381" t="s">
        <v>315</v>
      </c>
      <c r="F1040" s="378">
        <v>-918566963.97000003</v>
      </c>
      <c r="G1040" s="378">
        <v>0</v>
      </c>
      <c r="H1040" s="378">
        <v>0</v>
      </c>
      <c r="I1040" s="378">
        <v>-918566963.97000003</v>
      </c>
      <c r="J1040" s="266">
        <f t="shared" si="17"/>
        <v>1</v>
      </c>
    </row>
    <row r="1041" spans="1:10" ht="15.75" customHeight="1" x14ac:dyDescent="0.25">
      <c r="A1041" s="380">
        <v>31</v>
      </c>
      <c r="B1041" s="381" t="s">
        <v>315</v>
      </c>
      <c r="C1041" s="381" t="s">
        <v>119</v>
      </c>
      <c r="D1041" s="381" t="s">
        <v>315</v>
      </c>
      <c r="E1041" s="381" t="s">
        <v>315</v>
      </c>
      <c r="F1041" s="378">
        <v>-500000000</v>
      </c>
      <c r="G1041" s="378">
        <v>0</v>
      </c>
      <c r="H1041" s="378">
        <v>0</v>
      </c>
      <c r="I1041" s="378">
        <v>-500000000</v>
      </c>
      <c r="J1041" s="266">
        <f t="shared" si="17"/>
        <v>2</v>
      </c>
    </row>
    <row r="1042" spans="1:10" ht="15.75" customHeight="1" x14ac:dyDescent="0.25">
      <c r="A1042" s="380">
        <v>3105</v>
      </c>
      <c r="B1042" s="381" t="s">
        <v>315</v>
      </c>
      <c r="C1042" s="381" t="s">
        <v>461</v>
      </c>
      <c r="D1042" s="381" t="s">
        <v>315</v>
      </c>
      <c r="E1042" s="381" t="s">
        <v>315</v>
      </c>
      <c r="F1042" s="378">
        <v>-500000000</v>
      </c>
      <c r="G1042" s="378">
        <v>0</v>
      </c>
      <c r="H1042" s="378">
        <v>0</v>
      </c>
      <c r="I1042" s="378">
        <v>-500000000</v>
      </c>
      <c r="J1042" s="266">
        <f t="shared" si="17"/>
        <v>4</v>
      </c>
    </row>
    <row r="1043" spans="1:10" ht="15.75" customHeight="1" x14ac:dyDescent="0.25">
      <c r="A1043" s="380">
        <v>310505</v>
      </c>
      <c r="B1043" s="381" t="s">
        <v>321</v>
      </c>
      <c r="C1043" s="381" t="s">
        <v>462</v>
      </c>
      <c r="D1043" s="381" t="s">
        <v>315</v>
      </c>
      <c r="E1043" s="381" t="s">
        <v>315</v>
      </c>
      <c r="F1043" s="378">
        <v>-500000000</v>
      </c>
      <c r="G1043" s="378">
        <v>0</v>
      </c>
      <c r="H1043" s="378">
        <v>0</v>
      </c>
      <c r="I1043" s="378">
        <v>-500000000</v>
      </c>
      <c r="J1043" s="266">
        <f t="shared" si="17"/>
        <v>6</v>
      </c>
    </row>
    <row r="1044" spans="1:10" ht="15.75" customHeight="1" x14ac:dyDescent="0.25">
      <c r="A1044" s="380">
        <v>31050501</v>
      </c>
      <c r="B1044" s="381" t="s">
        <v>321</v>
      </c>
      <c r="C1044" s="381" t="s">
        <v>462</v>
      </c>
      <c r="D1044" s="381" t="s">
        <v>315</v>
      </c>
      <c r="E1044" s="381" t="s">
        <v>315</v>
      </c>
      <c r="F1044" s="378">
        <v>-500000000</v>
      </c>
      <c r="G1044" s="378">
        <v>0</v>
      </c>
      <c r="H1044" s="378">
        <v>0</v>
      </c>
      <c r="I1044" s="378">
        <v>-500000000</v>
      </c>
      <c r="J1044" s="266">
        <f t="shared" si="17"/>
        <v>8</v>
      </c>
    </row>
    <row r="1045" spans="1:10" ht="15.75" customHeight="1" x14ac:dyDescent="0.25">
      <c r="A1045" s="380">
        <v>33</v>
      </c>
      <c r="B1045" s="381" t="s">
        <v>315</v>
      </c>
      <c r="C1045" s="381" t="s">
        <v>125</v>
      </c>
      <c r="D1045" s="381" t="s">
        <v>315</v>
      </c>
      <c r="E1045" s="381" t="s">
        <v>315</v>
      </c>
      <c r="F1045" s="378">
        <v>-38039917</v>
      </c>
      <c r="G1045" s="378">
        <v>0</v>
      </c>
      <c r="H1045" s="378">
        <v>0</v>
      </c>
      <c r="I1045" s="378">
        <v>-38039917</v>
      </c>
      <c r="J1045" s="266">
        <f t="shared" si="17"/>
        <v>2</v>
      </c>
    </row>
    <row r="1046" spans="1:10" ht="15.75" customHeight="1" x14ac:dyDescent="0.25">
      <c r="A1046" s="380">
        <v>3305</v>
      </c>
      <c r="B1046" s="381" t="s">
        <v>315</v>
      </c>
      <c r="C1046" s="381" t="s">
        <v>463</v>
      </c>
      <c r="D1046" s="381" t="s">
        <v>315</v>
      </c>
      <c r="E1046" s="381" t="s">
        <v>315</v>
      </c>
      <c r="F1046" s="378">
        <v>-38039917</v>
      </c>
      <c r="G1046" s="378">
        <v>0</v>
      </c>
      <c r="H1046" s="378">
        <v>0</v>
      </c>
      <c r="I1046" s="378">
        <v>-38039917</v>
      </c>
      <c r="J1046" s="266">
        <f t="shared" si="17"/>
        <v>4</v>
      </c>
    </row>
    <row r="1047" spans="1:10" ht="15.75" customHeight="1" x14ac:dyDescent="0.25">
      <c r="A1047" s="380">
        <v>330505</v>
      </c>
      <c r="B1047" s="381" t="s">
        <v>315</v>
      </c>
      <c r="C1047" s="381" t="s">
        <v>464</v>
      </c>
      <c r="D1047" s="381" t="s">
        <v>315</v>
      </c>
      <c r="E1047" s="381" t="s">
        <v>315</v>
      </c>
      <c r="F1047" s="378">
        <v>-38039917</v>
      </c>
      <c r="G1047" s="378">
        <v>0</v>
      </c>
      <c r="H1047" s="378">
        <v>0</v>
      </c>
      <c r="I1047" s="378">
        <v>-38039917</v>
      </c>
      <c r="J1047" s="266">
        <f t="shared" si="17"/>
        <v>6</v>
      </c>
    </row>
    <row r="1048" spans="1:10" ht="15.75" customHeight="1" x14ac:dyDescent="0.25">
      <c r="A1048" s="380">
        <v>33050501</v>
      </c>
      <c r="B1048" s="381" t="s">
        <v>315</v>
      </c>
      <c r="C1048" s="381" t="s">
        <v>464</v>
      </c>
      <c r="D1048" s="381" t="s">
        <v>315</v>
      </c>
      <c r="E1048" s="381" t="s">
        <v>315</v>
      </c>
      <c r="F1048" s="378">
        <v>-38039917</v>
      </c>
      <c r="G1048" s="378">
        <v>0</v>
      </c>
      <c r="H1048" s="378">
        <v>0</v>
      </c>
      <c r="I1048" s="378">
        <v>-38039917</v>
      </c>
      <c r="J1048" s="266">
        <f t="shared" si="17"/>
        <v>8</v>
      </c>
    </row>
    <row r="1049" spans="1:10" ht="15.75" customHeight="1" x14ac:dyDescent="0.25">
      <c r="A1049" s="380">
        <v>36</v>
      </c>
      <c r="B1049" s="381" t="s">
        <v>315</v>
      </c>
      <c r="C1049" s="381" t="s">
        <v>1295</v>
      </c>
      <c r="D1049" s="381" t="s">
        <v>315</v>
      </c>
      <c r="E1049" s="381" t="s">
        <v>315</v>
      </c>
      <c r="F1049" s="378">
        <v>1.4901161193847701E-7</v>
      </c>
      <c r="G1049" s="378">
        <v>0</v>
      </c>
      <c r="H1049" s="378">
        <v>0</v>
      </c>
      <c r="I1049" s="378">
        <v>1.4901161193847701E-7</v>
      </c>
      <c r="J1049" s="266">
        <f t="shared" si="17"/>
        <v>2</v>
      </c>
    </row>
    <row r="1050" spans="1:10" ht="15.75" customHeight="1" x14ac:dyDescent="0.25">
      <c r="A1050" s="380">
        <v>3605</v>
      </c>
      <c r="B1050" s="381" t="s">
        <v>315</v>
      </c>
      <c r="C1050" s="381" t="s">
        <v>1296</v>
      </c>
      <c r="D1050" s="381" t="s">
        <v>315</v>
      </c>
      <c r="E1050" s="381" t="s">
        <v>315</v>
      </c>
      <c r="F1050" s="378">
        <v>1.4901161193847701E-7</v>
      </c>
      <c r="G1050" s="378">
        <v>0</v>
      </c>
      <c r="H1050" s="378">
        <v>0</v>
      </c>
      <c r="I1050" s="378">
        <v>1.4901161193847701E-7</v>
      </c>
      <c r="J1050" s="266">
        <f t="shared" si="17"/>
        <v>4</v>
      </c>
    </row>
    <row r="1051" spans="1:10" ht="15.75" customHeight="1" x14ac:dyDescent="0.25">
      <c r="A1051" s="380">
        <v>360501</v>
      </c>
      <c r="B1051" s="381" t="s">
        <v>315</v>
      </c>
      <c r="C1051" s="381" t="s">
        <v>1296</v>
      </c>
      <c r="D1051" s="381" t="s">
        <v>315</v>
      </c>
      <c r="E1051" s="381" t="s">
        <v>315</v>
      </c>
      <c r="F1051" s="378">
        <v>1.4901161193847701E-7</v>
      </c>
      <c r="G1051" s="378">
        <v>0</v>
      </c>
      <c r="H1051" s="378">
        <v>0</v>
      </c>
      <c r="I1051" s="378">
        <v>1.4901161193847701E-7</v>
      </c>
      <c r="J1051" s="266">
        <f t="shared" si="17"/>
        <v>6</v>
      </c>
    </row>
    <row r="1052" spans="1:10" ht="15.75" customHeight="1" x14ac:dyDescent="0.25">
      <c r="A1052" s="380">
        <v>36050101</v>
      </c>
      <c r="B1052" s="381" t="s">
        <v>315</v>
      </c>
      <c r="C1052" s="381" t="s">
        <v>1296</v>
      </c>
      <c r="D1052" s="381" t="s">
        <v>315</v>
      </c>
      <c r="E1052" s="381" t="s">
        <v>315</v>
      </c>
      <c r="F1052" s="378">
        <v>1.4901161193847701E-7</v>
      </c>
      <c r="G1052" s="378">
        <v>0</v>
      </c>
      <c r="H1052" s="378">
        <v>0</v>
      </c>
      <c r="I1052" s="378">
        <v>1.4901161193847701E-7</v>
      </c>
      <c r="J1052" s="266">
        <f t="shared" si="17"/>
        <v>8</v>
      </c>
    </row>
    <row r="1053" spans="1:10" ht="15.75" customHeight="1" x14ac:dyDescent="0.25">
      <c r="A1053" s="380">
        <v>37</v>
      </c>
      <c r="B1053" s="381" t="s">
        <v>315</v>
      </c>
      <c r="C1053" s="381" t="s">
        <v>465</v>
      </c>
      <c r="D1053" s="381" t="s">
        <v>315</v>
      </c>
      <c r="E1053" s="381" t="s">
        <v>315</v>
      </c>
      <c r="F1053" s="378">
        <v>-380527046.97000003</v>
      </c>
      <c r="G1053" s="378">
        <v>0</v>
      </c>
      <c r="H1053" s="378">
        <v>0</v>
      </c>
      <c r="I1053" s="378">
        <v>-380527046.97000003</v>
      </c>
      <c r="J1053" s="266">
        <f t="shared" si="17"/>
        <v>2</v>
      </c>
    </row>
    <row r="1054" spans="1:10" ht="15.75" customHeight="1" x14ac:dyDescent="0.25">
      <c r="A1054" s="380">
        <v>3705</v>
      </c>
      <c r="B1054" s="381" t="s">
        <v>315</v>
      </c>
      <c r="C1054" s="381" t="s">
        <v>466</v>
      </c>
      <c r="D1054" s="381" t="s">
        <v>315</v>
      </c>
      <c r="E1054" s="381" t="s">
        <v>315</v>
      </c>
      <c r="F1054" s="378">
        <v>-380527046.97000003</v>
      </c>
      <c r="G1054" s="378">
        <v>0</v>
      </c>
      <c r="H1054" s="378">
        <v>0</v>
      </c>
      <c r="I1054" s="378">
        <v>-380527046.97000003</v>
      </c>
      <c r="J1054" s="266">
        <f t="shared" si="17"/>
        <v>4</v>
      </c>
    </row>
    <row r="1055" spans="1:10" ht="15.75" customHeight="1" x14ac:dyDescent="0.25">
      <c r="A1055" s="380">
        <v>370501</v>
      </c>
      <c r="B1055" s="381" t="s">
        <v>315</v>
      </c>
      <c r="C1055" s="381" t="s">
        <v>466</v>
      </c>
      <c r="D1055" s="381" t="s">
        <v>315</v>
      </c>
      <c r="E1055" s="381" t="s">
        <v>315</v>
      </c>
      <c r="F1055" s="378">
        <v>-380527046.97000003</v>
      </c>
      <c r="G1055" s="378">
        <v>0</v>
      </c>
      <c r="H1055" s="378">
        <v>0</v>
      </c>
      <c r="I1055" s="378">
        <v>-380527046.97000003</v>
      </c>
      <c r="J1055" s="266">
        <f t="shared" si="17"/>
        <v>6</v>
      </c>
    </row>
    <row r="1056" spans="1:10" ht="15.75" customHeight="1" x14ac:dyDescent="0.25">
      <c r="A1056" s="380">
        <v>37050102</v>
      </c>
      <c r="B1056" s="381" t="s">
        <v>321</v>
      </c>
      <c r="C1056" s="381" t="s">
        <v>1706</v>
      </c>
      <c r="D1056" s="381" t="s">
        <v>315</v>
      </c>
      <c r="E1056" s="381" t="s">
        <v>315</v>
      </c>
      <c r="F1056" s="378">
        <v>-146709380.46000001</v>
      </c>
      <c r="G1056" s="378">
        <v>0</v>
      </c>
      <c r="H1056" s="378">
        <v>0</v>
      </c>
      <c r="I1056" s="378">
        <v>-146709380.46000001</v>
      </c>
      <c r="J1056" s="266">
        <f t="shared" si="17"/>
        <v>8</v>
      </c>
    </row>
    <row r="1057" spans="1:10" ht="15.75" customHeight="1" x14ac:dyDescent="0.25">
      <c r="A1057" s="380">
        <v>37050103</v>
      </c>
      <c r="B1057" s="381" t="s">
        <v>321</v>
      </c>
      <c r="C1057" s="381" t="s">
        <v>1707</v>
      </c>
      <c r="D1057" s="381" t="s">
        <v>315</v>
      </c>
      <c r="E1057" s="381" t="s">
        <v>315</v>
      </c>
      <c r="F1057" s="378">
        <v>-100311651.95</v>
      </c>
      <c r="G1057" s="378">
        <v>0</v>
      </c>
      <c r="H1057" s="378">
        <v>0</v>
      </c>
      <c r="I1057" s="378">
        <v>-100311651.95</v>
      </c>
      <c r="J1057" s="266">
        <f t="shared" si="17"/>
        <v>8</v>
      </c>
    </row>
    <row r="1058" spans="1:10" ht="15.75" customHeight="1" x14ac:dyDescent="0.25">
      <c r="A1058" s="380">
        <v>37050104</v>
      </c>
      <c r="B1058" s="381" t="s">
        <v>321</v>
      </c>
      <c r="C1058" s="381" t="s">
        <v>1708</v>
      </c>
      <c r="D1058" s="381" t="s">
        <v>315</v>
      </c>
      <c r="E1058" s="381" t="s">
        <v>315</v>
      </c>
      <c r="F1058" s="378">
        <v>-41118050.109999999</v>
      </c>
      <c r="G1058" s="378">
        <v>0</v>
      </c>
      <c r="H1058" s="378">
        <v>0</v>
      </c>
      <c r="I1058" s="378">
        <v>-41118050.109999999</v>
      </c>
      <c r="J1058" s="266">
        <f t="shared" si="17"/>
        <v>8</v>
      </c>
    </row>
    <row r="1059" spans="1:10" ht="15.75" customHeight="1" x14ac:dyDescent="0.25">
      <c r="A1059" s="380">
        <v>37050105</v>
      </c>
      <c r="B1059" s="381" t="s">
        <v>321</v>
      </c>
      <c r="C1059" s="381" t="s">
        <v>1495</v>
      </c>
      <c r="D1059" s="381" t="s">
        <v>315</v>
      </c>
      <c r="E1059" s="381" t="s">
        <v>315</v>
      </c>
      <c r="F1059" s="378">
        <v>-92387964.450000003</v>
      </c>
      <c r="G1059" s="378">
        <v>0</v>
      </c>
      <c r="H1059" s="378">
        <v>0</v>
      </c>
      <c r="I1059" s="378">
        <v>-92387964.450000003</v>
      </c>
      <c r="J1059" s="266">
        <f t="shared" si="17"/>
        <v>8</v>
      </c>
    </row>
    <row r="1060" spans="1:10" ht="15.75" customHeight="1" x14ac:dyDescent="0.25">
      <c r="A1060" s="380">
        <v>4</v>
      </c>
      <c r="B1060" s="381" t="s">
        <v>315</v>
      </c>
      <c r="C1060" s="381" t="s">
        <v>137</v>
      </c>
      <c r="D1060" s="381" t="s">
        <v>315</v>
      </c>
      <c r="E1060" s="381" t="s">
        <v>315</v>
      </c>
      <c r="F1060" s="378">
        <v>-1784440117.73</v>
      </c>
      <c r="G1060" s="378">
        <v>1102260</v>
      </c>
      <c r="H1060" s="378">
        <v>346776577.74000001</v>
      </c>
      <c r="I1060" s="378">
        <v>-2130114435.47</v>
      </c>
      <c r="J1060" s="266">
        <f t="shared" si="17"/>
        <v>1</v>
      </c>
    </row>
    <row r="1061" spans="1:10" ht="15.75" customHeight="1" x14ac:dyDescent="0.25">
      <c r="A1061" s="380">
        <v>41</v>
      </c>
      <c r="B1061" s="381" t="s">
        <v>315</v>
      </c>
      <c r="C1061" s="381" t="s">
        <v>467</v>
      </c>
      <c r="D1061" s="381" t="s">
        <v>315</v>
      </c>
      <c r="E1061" s="381" t="s">
        <v>315</v>
      </c>
      <c r="F1061" s="378">
        <v>-1773367867.2</v>
      </c>
      <c r="G1061" s="378">
        <v>1102260</v>
      </c>
      <c r="H1061" s="378">
        <v>344367030.39999998</v>
      </c>
      <c r="I1061" s="378">
        <v>-2116632637.5999999</v>
      </c>
      <c r="J1061" s="266">
        <f t="shared" si="17"/>
        <v>2</v>
      </c>
    </row>
    <row r="1062" spans="1:10" ht="15.75" customHeight="1" x14ac:dyDescent="0.25">
      <c r="A1062" s="380">
        <v>4135</v>
      </c>
      <c r="B1062" s="381" t="s">
        <v>315</v>
      </c>
      <c r="C1062" s="381" t="s">
        <v>468</v>
      </c>
      <c r="D1062" s="381" t="s">
        <v>315</v>
      </c>
      <c r="E1062" s="381" t="s">
        <v>315</v>
      </c>
      <c r="F1062" s="378">
        <v>-1776799774.2</v>
      </c>
      <c r="G1062" s="378">
        <v>188563</v>
      </c>
      <c r="H1062" s="378">
        <v>344367030.39999998</v>
      </c>
      <c r="I1062" s="378">
        <v>-2120978241.5999999</v>
      </c>
      <c r="J1062" s="266">
        <f t="shared" si="17"/>
        <v>4</v>
      </c>
    </row>
    <row r="1063" spans="1:10" ht="15.75" customHeight="1" x14ac:dyDescent="0.25">
      <c r="A1063" s="380">
        <v>413595</v>
      </c>
      <c r="B1063" s="381" t="s">
        <v>315</v>
      </c>
      <c r="C1063" s="381" t="s">
        <v>469</v>
      </c>
      <c r="D1063" s="381" t="s">
        <v>315</v>
      </c>
      <c r="E1063" s="381" t="s">
        <v>315</v>
      </c>
      <c r="F1063" s="378">
        <v>-1776799774.2</v>
      </c>
      <c r="G1063" s="378">
        <v>188563</v>
      </c>
      <c r="H1063" s="378">
        <v>344367030.39999998</v>
      </c>
      <c r="I1063" s="378">
        <v>-2120978241.5999999</v>
      </c>
      <c r="J1063" s="266">
        <f t="shared" si="17"/>
        <v>6</v>
      </c>
    </row>
    <row r="1064" spans="1:10" ht="15.75" customHeight="1" x14ac:dyDescent="0.25">
      <c r="A1064" s="380">
        <v>41359503</v>
      </c>
      <c r="B1064" s="381" t="s">
        <v>321</v>
      </c>
      <c r="C1064" s="381" t="s">
        <v>1307</v>
      </c>
      <c r="D1064" s="381" t="s">
        <v>315</v>
      </c>
      <c r="E1064" s="381" t="s">
        <v>315</v>
      </c>
      <c r="F1064" s="378">
        <v>-1771034335</v>
      </c>
      <c r="G1064" s="378">
        <v>0</v>
      </c>
      <c r="H1064" s="378">
        <v>344071814</v>
      </c>
      <c r="I1064" s="378">
        <v>-2115106149</v>
      </c>
      <c r="J1064" s="266">
        <f t="shared" si="17"/>
        <v>8</v>
      </c>
    </row>
    <row r="1065" spans="1:10" ht="15.75" customHeight="1" x14ac:dyDescent="0.25">
      <c r="A1065" s="380">
        <v>41359503</v>
      </c>
      <c r="B1065" s="381" t="s">
        <v>321</v>
      </c>
      <c r="C1065" s="381" t="s">
        <v>1307</v>
      </c>
      <c r="D1065" s="381" t="s">
        <v>403</v>
      </c>
      <c r="E1065" s="381" t="s">
        <v>1616</v>
      </c>
      <c r="F1065" s="378">
        <v>-1771034335</v>
      </c>
      <c r="G1065" s="378">
        <v>0</v>
      </c>
      <c r="H1065" s="378">
        <v>344071814</v>
      </c>
      <c r="I1065" s="378">
        <v>-2115106149</v>
      </c>
      <c r="J1065" s="266">
        <f t="shared" si="17"/>
        <v>8</v>
      </c>
    </row>
    <row r="1066" spans="1:10" ht="15.75" customHeight="1" x14ac:dyDescent="0.25">
      <c r="A1066" s="380">
        <v>41359506</v>
      </c>
      <c r="B1066" s="381" t="s">
        <v>321</v>
      </c>
      <c r="C1066" s="381" t="s">
        <v>1709</v>
      </c>
      <c r="D1066" s="381" t="s">
        <v>315</v>
      </c>
      <c r="E1066" s="381" t="s">
        <v>315</v>
      </c>
      <c r="F1066" s="378">
        <v>-2696569</v>
      </c>
      <c r="G1066" s="378">
        <v>0</v>
      </c>
      <c r="H1066" s="378">
        <v>0</v>
      </c>
      <c r="I1066" s="378">
        <v>-2696569</v>
      </c>
      <c r="J1066" s="266">
        <f t="shared" si="17"/>
        <v>8</v>
      </c>
    </row>
    <row r="1067" spans="1:10" ht="15.75" customHeight="1" x14ac:dyDescent="0.25">
      <c r="A1067" s="380">
        <v>41359506</v>
      </c>
      <c r="B1067" s="381" t="s">
        <v>321</v>
      </c>
      <c r="C1067" s="381" t="s">
        <v>1709</v>
      </c>
      <c r="D1067" s="381" t="s">
        <v>927</v>
      </c>
      <c r="E1067" s="381" t="s">
        <v>928</v>
      </c>
      <c r="F1067" s="378">
        <v>-2696569</v>
      </c>
      <c r="G1067" s="378">
        <v>0</v>
      </c>
      <c r="H1067" s="378">
        <v>0</v>
      </c>
      <c r="I1067" s="378">
        <v>-2696569</v>
      </c>
      <c r="J1067" s="266">
        <f t="shared" si="17"/>
        <v>8</v>
      </c>
    </row>
    <row r="1068" spans="1:10" ht="15.75" customHeight="1" x14ac:dyDescent="0.25">
      <c r="A1068" s="380">
        <v>41359507</v>
      </c>
      <c r="B1068" s="381" t="s">
        <v>321</v>
      </c>
      <c r="C1068" s="381" t="s">
        <v>1710</v>
      </c>
      <c r="D1068" s="381" t="s">
        <v>315</v>
      </c>
      <c r="E1068" s="381" t="s">
        <v>315</v>
      </c>
      <c r="F1068" s="378">
        <v>-3098643.07</v>
      </c>
      <c r="G1068" s="378">
        <v>0</v>
      </c>
      <c r="H1068" s="378">
        <v>187731.07</v>
      </c>
      <c r="I1068" s="378">
        <v>-3286374.14</v>
      </c>
      <c r="J1068" s="266">
        <f t="shared" si="17"/>
        <v>8</v>
      </c>
    </row>
    <row r="1069" spans="1:10" ht="15.75" customHeight="1" x14ac:dyDescent="0.25">
      <c r="A1069" s="380">
        <v>41359507</v>
      </c>
      <c r="B1069" s="381" t="s">
        <v>321</v>
      </c>
      <c r="C1069" s="381" t="s">
        <v>1710</v>
      </c>
      <c r="D1069" s="381" t="s">
        <v>1617</v>
      </c>
      <c r="E1069" s="381" t="s">
        <v>1618</v>
      </c>
      <c r="F1069" s="378">
        <v>-13865.55</v>
      </c>
      <c r="G1069" s="378">
        <v>0</v>
      </c>
      <c r="H1069" s="378">
        <v>0</v>
      </c>
      <c r="I1069" s="378">
        <v>-13865.55</v>
      </c>
      <c r="J1069" s="266">
        <f t="shared" si="17"/>
        <v>8</v>
      </c>
    </row>
    <row r="1070" spans="1:10" ht="15.75" customHeight="1" x14ac:dyDescent="0.25">
      <c r="A1070" s="380">
        <v>41359507</v>
      </c>
      <c r="B1070" s="381" t="s">
        <v>321</v>
      </c>
      <c r="C1070" s="381" t="s">
        <v>1710</v>
      </c>
      <c r="D1070" s="381" t="s">
        <v>1619</v>
      </c>
      <c r="E1070" s="381" t="s">
        <v>1620</v>
      </c>
      <c r="F1070" s="378">
        <v>-65042.02</v>
      </c>
      <c r="G1070" s="378">
        <v>0</v>
      </c>
      <c r="H1070" s="378">
        <v>0</v>
      </c>
      <c r="I1070" s="378">
        <v>-65042.02</v>
      </c>
      <c r="J1070" s="266">
        <f t="shared" si="17"/>
        <v>8</v>
      </c>
    </row>
    <row r="1071" spans="1:10" ht="15.75" customHeight="1" x14ac:dyDescent="0.25">
      <c r="A1071" s="380">
        <v>41359507</v>
      </c>
      <c r="B1071" s="381" t="s">
        <v>321</v>
      </c>
      <c r="C1071" s="381" t="s">
        <v>1710</v>
      </c>
      <c r="D1071" s="381" t="s">
        <v>1621</v>
      </c>
      <c r="E1071" s="381" t="s">
        <v>1622</v>
      </c>
      <c r="F1071" s="378">
        <v>-46806.71</v>
      </c>
      <c r="G1071" s="378">
        <v>0</v>
      </c>
      <c r="H1071" s="378">
        <v>0</v>
      </c>
      <c r="I1071" s="378">
        <v>-46806.71</v>
      </c>
      <c r="J1071" s="266">
        <f t="shared" si="17"/>
        <v>8</v>
      </c>
    </row>
    <row r="1072" spans="1:10" ht="15.75" customHeight="1" x14ac:dyDescent="0.25">
      <c r="A1072" s="380">
        <v>41359507</v>
      </c>
      <c r="B1072" s="381" t="s">
        <v>321</v>
      </c>
      <c r="C1072" s="381" t="s">
        <v>1710</v>
      </c>
      <c r="D1072" s="381" t="s">
        <v>439</v>
      </c>
      <c r="E1072" s="381" t="s">
        <v>1082</v>
      </c>
      <c r="F1072" s="378">
        <v>-98151.26</v>
      </c>
      <c r="G1072" s="378">
        <v>0</v>
      </c>
      <c r="H1072" s="378">
        <v>0</v>
      </c>
      <c r="I1072" s="378">
        <v>-98151.26</v>
      </c>
      <c r="J1072" s="266">
        <f t="shared" si="17"/>
        <v>8</v>
      </c>
    </row>
    <row r="1073" spans="1:10" ht="15.75" customHeight="1" x14ac:dyDescent="0.25">
      <c r="A1073" s="380">
        <v>41359507</v>
      </c>
      <c r="B1073" s="381" t="s">
        <v>321</v>
      </c>
      <c r="C1073" s="381" t="s">
        <v>1710</v>
      </c>
      <c r="D1073" s="381" t="s">
        <v>1623</v>
      </c>
      <c r="E1073" s="381" t="s">
        <v>1624</v>
      </c>
      <c r="F1073" s="378">
        <v>-38487.4</v>
      </c>
      <c r="G1073" s="378">
        <v>0</v>
      </c>
      <c r="H1073" s="378">
        <v>0</v>
      </c>
      <c r="I1073" s="378">
        <v>-38487.4</v>
      </c>
      <c r="J1073" s="266">
        <f t="shared" si="17"/>
        <v>8</v>
      </c>
    </row>
    <row r="1074" spans="1:10" ht="15.75" customHeight="1" x14ac:dyDescent="0.25">
      <c r="A1074" s="380">
        <v>41359507</v>
      </c>
      <c r="B1074" s="381" t="s">
        <v>321</v>
      </c>
      <c r="C1074" s="381" t="s">
        <v>1710</v>
      </c>
      <c r="D1074" s="381" t="s">
        <v>1625</v>
      </c>
      <c r="E1074" s="381" t="s">
        <v>1626</v>
      </c>
      <c r="F1074" s="378">
        <v>-17815.13</v>
      </c>
      <c r="G1074" s="378">
        <v>0</v>
      </c>
      <c r="H1074" s="378">
        <v>0</v>
      </c>
      <c r="I1074" s="378">
        <v>-17815.13</v>
      </c>
      <c r="J1074" s="266">
        <f t="shared" si="17"/>
        <v>8</v>
      </c>
    </row>
    <row r="1075" spans="1:10" ht="15.75" customHeight="1" x14ac:dyDescent="0.25">
      <c r="A1075" s="380">
        <v>41359507</v>
      </c>
      <c r="B1075" s="381" t="s">
        <v>321</v>
      </c>
      <c r="C1075" s="381" t="s">
        <v>1710</v>
      </c>
      <c r="D1075" s="381" t="s">
        <v>1627</v>
      </c>
      <c r="E1075" s="381" t="s">
        <v>1628</v>
      </c>
      <c r="F1075" s="378">
        <v>0</v>
      </c>
      <c r="G1075" s="378">
        <v>0</v>
      </c>
      <c r="H1075" s="378">
        <v>97058.81</v>
      </c>
      <c r="I1075" s="378">
        <v>-97058.81</v>
      </c>
      <c r="J1075" s="266">
        <f t="shared" si="17"/>
        <v>8</v>
      </c>
    </row>
    <row r="1076" spans="1:10" ht="15.75" customHeight="1" x14ac:dyDescent="0.25">
      <c r="A1076" s="380">
        <v>41359507</v>
      </c>
      <c r="B1076" s="381" t="s">
        <v>321</v>
      </c>
      <c r="C1076" s="381" t="s">
        <v>1710</v>
      </c>
      <c r="D1076" s="381" t="s">
        <v>723</v>
      </c>
      <c r="E1076" s="381" t="s">
        <v>724</v>
      </c>
      <c r="F1076" s="378">
        <v>-2818475</v>
      </c>
      <c r="G1076" s="378">
        <v>0</v>
      </c>
      <c r="H1076" s="378">
        <v>0</v>
      </c>
      <c r="I1076" s="378">
        <v>-2818475</v>
      </c>
      <c r="J1076" s="266">
        <f t="shared" si="17"/>
        <v>8</v>
      </c>
    </row>
    <row r="1077" spans="1:10" ht="15.75" customHeight="1" x14ac:dyDescent="0.25">
      <c r="A1077" s="380">
        <v>41359507</v>
      </c>
      <c r="B1077" s="381" t="s">
        <v>321</v>
      </c>
      <c r="C1077" s="381" t="s">
        <v>1710</v>
      </c>
      <c r="D1077" s="381" t="s">
        <v>1629</v>
      </c>
      <c r="E1077" s="381" t="s">
        <v>1630</v>
      </c>
      <c r="F1077" s="378">
        <v>0</v>
      </c>
      <c r="G1077" s="378">
        <v>0</v>
      </c>
      <c r="H1077" s="378">
        <v>90672.26</v>
      </c>
      <c r="I1077" s="378">
        <v>-90672.26</v>
      </c>
      <c r="J1077" s="266">
        <f t="shared" si="17"/>
        <v>8</v>
      </c>
    </row>
    <row r="1078" spans="1:10" ht="15.75" customHeight="1" x14ac:dyDescent="0.25">
      <c r="A1078" s="380">
        <v>41359511</v>
      </c>
      <c r="B1078" s="381" t="s">
        <v>321</v>
      </c>
      <c r="C1078" s="381" t="s">
        <v>1308</v>
      </c>
      <c r="D1078" s="381" t="s">
        <v>315</v>
      </c>
      <c r="E1078" s="381" t="s">
        <v>315</v>
      </c>
      <c r="F1078" s="378">
        <v>-37815.129999999997</v>
      </c>
      <c r="G1078" s="378">
        <v>0</v>
      </c>
      <c r="H1078" s="378">
        <v>75798.33</v>
      </c>
      <c r="I1078" s="378">
        <v>-113613.46</v>
      </c>
      <c r="J1078" s="266">
        <f t="shared" si="17"/>
        <v>8</v>
      </c>
    </row>
    <row r="1079" spans="1:10" ht="15.75" customHeight="1" x14ac:dyDescent="0.25">
      <c r="A1079" s="380">
        <v>41359511</v>
      </c>
      <c r="B1079" s="381" t="s">
        <v>321</v>
      </c>
      <c r="C1079" s="381" t="s">
        <v>1308</v>
      </c>
      <c r="D1079" s="381" t="s">
        <v>1606</v>
      </c>
      <c r="E1079" s="381" t="s">
        <v>1607</v>
      </c>
      <c r="F1079" s="378">
        <v>7.2759576141834308E-12</v>
      </c>
      <c r="G1079" s="378">
        <v>0</v>
      </c>
      <c r="H1079" s="378">
        <v>0</v>
      </c>
      <c r="I1079" s="378">
        <v>7.2759576141834308E-12</v>
      </c>
      <c r="J1079" s="266">
        <f t="shared" si="17"/>
        <v>8</v>
      </c>
    </row>
    <row r="1080" spans="1:10" ht="15.75" customHeight="1" x14ac:dyDescent="0.25">
      <c r="A1080" s="380">
        <v>41359511</v>
      </c>
      <c r="B1080" s="381" t="s">
        <v>321</v>
      </c>
      <c r="C1080" s="381" t="s">
        <v>1308</v>
      </c>
      <c r="D1080" s="381" t="s">
        <v>1523</v>
      </c>
      <c r="E1080" s="381" t="s">
        <v>1524</v>
      </c>
      <c r="F1080" s="378">
        <v>-37815.129999999997</v>
      </c>
      <c r="G1080" s="378">
        <v>0</v>
      </c>
      <c r="H1080" s="378">
        <v>75798.33</v>
      </c>
      <c r="I1080" s="378">
        <v>-113613.46</v>
      </c>
      <c r="J1080" s="266">
        <f t="shared" si="17"/>
        <v>8</v>
      </c>
    </row>
    <row r="1081" spans="1:10" ht="15.75" customHeight="1" x14ac:dyDescent="0.25">
      <c r="A1081" s="380">
        <v>41359599</v>
      </c>
      <c r="B1081" s="381" t="s">
        <v>321</v>
      </c>
      <c r="C1081" s="381" t="s">
        <v>1309</v>
      </c>
      <c r="D1081" s="381" t="s">
        <v>315</v>
      </c>
      <c r="E1081" s="381" t="s">
        <v>315</v>
      </c>
      <c r="F1081" s="378">
        <v>67588</v>
      </c>
      <c r="G1081" s="378">
        <v>188563</v>
      </c>
      <c r="H1081" s="378">
        <v>31687</v>
      </c>
      <c r="I1081" s="378">
        <v>224464</v>
      </c>
      <c r="J1081" s="266">
        <f t="shared" si="17"/>
        <v>8</v>
      </c>
    </row>
    <row r="1082" spans="1:10" ht="15.75" customHeight="1" x14ac:dyDescent="0.25">
      <c r="A1082" s="380">
        <v>41359599</v>
      </c>
      <c r="B1082" s="381" t="s">
        <v>321</v>
      </c>
      <c r="C1082" s="381" t="s">
        <v>1309</v>
      </c>
      <c r="D1082" s="381" t="s">
        <v>403</v>
      </c>
      <c r="E1082" s="381" t="s">
        <v>1616</v>
      </c>
      <c r="F1082" s="378">
        <v>67588</v>
      </c>
      <c r="G1082" s="378">
        <v>188563</v>
      </c>
      <c r="H1082" s="378">
        <v>31687</v>
      </c>
      <c r="I1082" s="378">
        <v>224464</v>
      </c>
      <c r="J1082" s="266">
        <f t="shared" si="17"/>
        <v>8</v>
      </c>
    </row>
    <row r="1083" spans="1:10" ht="15.75" customHeight="1" x14ac:dyDescent="0.25">
      <c r="A1083" s="380">
        <v>4175</v>
      </c>
      <c r="B1083" s="381" t="s">
        <v>315</v>
      </c>
      <c r="C1083" s="381" t="s">
        <v>475</v>
      </c>
      <c r="D1083" s="381" t="s">
        <v>315</v>
      </c>
      <c r="E1083" s="381" t="s">
        <v>315</v>
      </c>
      <c r="F1083" s="378">
        <v>3431907</v>
      </c>
      <c r="G1083" s="378">
        <v>913697</v>
      </c>
      <c r="H1083" s="378">
        <v>0</v>
      </c>
      <c r="I1083" s="378">
        <v>4345604</v>
      </c>
      <c r="J1083" s="266">
        <f t="shared" si="17"/>
        <v>4</v>
      </c>
    </row>
    <row r="1084" spans="1:10" ht="15.75" customHeight="1" x14ac:dyDescent="0.25">
      <c r="A1084" s="380">
        <v>417505</v>
      </c>
      <c r="B1084" s="381" t="s">
        <v>315</v>
      </c>
      <c r="C1084" s="381" t="s">
        <v>390</v>
      </c>
      <c r="D1084" s="381" t="s">
        <v>315</v>
      </c>
      <c r="E1084" s="381" t="s">
        <v>315</v>
      </c>
      <c r="F1084" s="378">
        <v>3431907</v>
      </c>
      <c r="G1084" s="378">
        <v>913697</v>
      </c>
      <c r="H1084" s="378">
        <v>0</v>
      </c>
      <c r="I1084" s="378">
        <v>4345604</v>
      </c>
      <c r="J1084" s="266">
        <f t="shared" si="17"/>
        <v>6</v>
      </c>
    </row>
    <row r="1085" spans="1:10" ht="15.75" customHeight="1" x14ac:dyDescent="0.25">
      <c r="A1085" s="380">
        <v>41750599</v>
      </c>
      <c r="B1085" s="381" t="s">
        <v>321</v>
      </c>
      <c r="C1085" s="381" t="s">
        <v>1711</v>
      </c>
      <c r="D1085" s="381" t="s">
        <v>315</v>
      </c>
      <c r="E1085" s="381" t="s">
        <v>315</v>
      </c>
      <c r="F1085" s="378">
        <v>3431907</v>
      </c>
      <c r="G1085" s="378">
        <v>913697</v>
      </c>
      <c r="H1085" s="378">
        <v>0</v>
      </c>
      <c r="I1085" s="378">
        <v>4345604</v>
      </c>
      <c r="J1085" s="266">
        <f t="shared" si="17"/>
        <v>8</v>
      </c>
    </row>
    <row r="1086" spans="1:10" ht="15.75" customHeight="1" x14ac:dyDescent="0.25">
      <c r="A1086" s="380">
        <v>41750599</v>
      </c>
      <c r="B1086" s="381" t="s">
        <v>321</v>
      </c>
      <c r="C1086" s="381" t="s">
        <v>1711</v>
      </c>
      <c r="D1086" s="381" t="s">
        <v>403</v>
      </c>
      <c r="E1086" s="381" t="s">
        <v>1616</v>
      </c>
      <c r="F1086" s="378">
        <v>3431907</v>
      </c>
      <c r="G1086" s="378">
        <v>913697</v>
      </c>
      <c r="H1086" s="378">
        <v>0</v>
      </c>
      <c r="I1086" s="378">
        <v>4345604</v>
      </c>
      <c r="J1086" s="266">
        <f t="shared" si="17"/>
        <v>8</v>
      </c>
    </row>
    <row r="1087" spans="1:10" ht="15.75" customHeight="1" x14ac:dyDescent="0.25">
      <c r="A1087" s="380">
        <v>42</v>
      </c>
      <c r="B1087" s="381" t="s">
        <v>315</v>
      </c>
      <c r="C1087" s="381" t="s">
        <v>470</v>
      </c>
      <c r="D1087" s="381" t="s">
        <v>315</v>
      </c>
      <c r="E1087" s="381" t="s">
        <v>315</v>
      </c>
      <c r="F1087" s="378">
        <v>-8985564.7200000007</v>
      </c>
      <c r="G1087" s="378">
        <v>0</v>
      </c>
      <c r="H1087" s="378">
        <v>2043652</v>
      </c>
      <c r="I1087" s="378">
        <v>-11029216.720000001</v>
      </c>
      <c r="J1087" s="266">
        <f t="shared" si="17"/>
        <v>2</v>
      </c>
    </row>
    <row r="1088" spans="1:10" ht="15.75" customHeight="1" x14ac:dyDescent="0.25">
      <c r="A1088" s="380">
        <v>4235</v>
      </c>
      <c r="B1088" s="381" t="s">
        <v>315</v>
      </c>
      <c r="C1088" s="381" t="s">
        <v>193</v>
      </c>
      <c r="D1088" s="381" t="s">
        <v>315</v>
      </c>
      <c r="E1088" s="381" t="s">
        <v>315</v>
      </c>
      <c r="F1088" s="378">
        <v>-16806.72</v>
      </c>
      <c r="G1088" s="378">
        <v>0</v>
      </c>
      <c r="H1088" s="378">
        <v>0</v>
      </c>
      <c r="I1088" s="378">
        <v>-16806.72</v>
      </c>
      <c r="J1088" s="266">
        <f t="shared" si="17"/>
        <v>4</v>
      </c>
    </row>
    <row r="1089" spans="1:10" ht="15.75" customHeight="1" x14ac:dyDescent="0.25">
      <c r="A1089" s="380">
        <v>423596</v>
      </c>
      <c r="B1089" s="381" t="s">
        <v>321</v>
      </c>
      <c r="C1089" s="381" t="s">
        <v>1712</v>
      </c>
      <c r="D1089" s="381" t="s">
        <v>315</v>
      </c>
      <c r="E1089" s="381" t="s">
        <v>315</v>
      </c>
      <c r="F1089" s="378">
        <v>-16806.72</v>
      </c>
      <c r="G1089" s="378">
        <v>0</v>
      </c>
      <c r="H1089" s="378">
        <v>0</v>
      </c>
      <c r="I1089" s="378">
        <v>-16806.72</v>
      </c>
      <c r="J1089" s="266">
        <f t="shared" si="17"/>
        <v>6</v>
      </c>
    </row>
    <row r="1090" spans="1:10" ht="15.75" customHeight="1" x14ac:dyDescent="0.25">
      <c r="A1090" s="380">
        <v>42359605</v>
      </c>
      <c r="B1090" s="381" t="s">
        <v>321</v>
      </c>
      <c r="C1090" s="381" t="s">
        <v>1712</v>
      </c>
      <c r="D1090" s="381" t="s">
        <v>315</v>
      </c>
      <c r="E1090" s="381" t="s">
        <v>315</v>
      </c>
      <c r="F1090" s="378">
        <v>-16806.72</v>
      </c>
      <c r="G1090" s="378">
        <v>0</v>
      </c>
      <c r="H1090" s="378">
        <v>0</v>
      </c>
      <c r="I1090" s="378">
        <v>-16806.72</v>
      </c>
      <c r="J1090" s="266">
        <f t="shared" si="17"/>
        <v>8</v>
      </c>
    </row>
    <row r="1091" spans="1:10" ht="15.75" customHeight="1" x14ac:dyDescent="0.25">
      <c r="A1091" s="380">
        <v>42359605</v>
      </c>
      <c r="B1091" s="381" t="s">
        <v>321</v>
      </c>
      <c r="C1091" s="381" t="s">
        <v>1712</v>
      </c>
      <c r="D1091" s="381" t="s">
        <v>1523</v>
      </c>
      <c r="E1091" s="381" t="s">
        <v>1524</v>
      </c>
      <c r="F1091" s="378">
        <v>-16806.72</v>
      </c>
      <c r="G1091" s="378">
        <v>0</v>
      </c>
      <c r="H1091" s="378">
        <v>0</v>
      </c>
      <c r="I1091" s="378">
        <v>-16806.72</v>
      </c>
      <c r="J1091" s="266">
        <f t="shared" si="17"/>
        <v>8</v>
      </c>
    </row>
    <row r="1092" spans="1:10" ht="15.75" customHeight="1" x14ac:dyDescent="0.25">
      <c r="A1092" s="380">
        <v>4250</v>
      </c>
      <c r="B1092" s="381" t="s">
        <v>315</v>
      </c>
      <c r="C1092" s="381" t="s">
        <v>1314</v>
      </c>
      <c r="D1092" s="381" t="s">
        <v>315</v>
      </c>
      <c r="E1092" s="381" t="s">
        <v>315</v>
      </c>
      <c r="F1092" s="378">
        <v>-11497</v>
      </c>
      <c r="G1092" s="378">
        <v>0</v>
      </c>
      <c r="H1092" s="378">
        <v>2350</v>
      </c>
      <c r="I1092" s="378">
        <v>-13847</v>
      </c>
      <c r="J1092" s="266">
        <f t="shared" si="17"/>
        <v>4</v>
      </c>
    </row>
    <row r="1093" spans="1:10" ht="15.75" customHeight="1" x14ac:dyDescent="0.25">
      <c r="A1093" s="380">
        <v>425050</v>
      </c>
      <c r="B1093" s="381" t="s">
        <v>315</v>
      </c>
      <c r="C1093" s="381" t="s">
        <v>1315</v>
      </c>
      <c r="D1093" s="381" t="s">
        <v>315</v>
      </c>
      <c r="E1093" s="381" t="s">
        <v>315</v>
      </c>
      <c r="F1093" s="378">
        <v>-11497</v>
      </c>
      <c r="G1093" s="378">
        <v>0</v>
      </c>
      <c r="H1093" s="378">
        <v>2350</v>
      </c>
      <c r="I1093" s="378">
        <v>-13847</v>
      </c>
      <c r="J1093" s="266">
        <f t="shared" si="17"/>
        <v>6</v>
      </c>
    </row>
    <row r="1094" spans="1:10" ht="15.75" customHeight="1" x14ac:dyDescent="0.25">
      <c r="A1094" s="380">
        <v>42505003</v>
      </c>
      <c r="B1094" s="381" t="s">
        <v>321</v>
      </c>
      <c r="C1094" s="381" t="s">
        <v>1316</v>
      </c>
      <c r="D1094" s="381" t="s">
        <v>315</v>
      </c>
      <c r="E1094" s="381" t="s">
        <v>315</v>
      </c>
      <c r="F1094" s="378">
        <v>-11497</v>
      </c>
      <c r="G1094" s="378">
        <v>0</v>
      </c>
      <c r="H1094" s="378">
        <v>2350</v>
      </c>
      <c r="I1094" s="378">
        <v>-13847</v>
      </c>
      <c r="J1094" s="266">
        <f t="shared" si="17"/>
        <v>8</v>
      </c>
    </row>
    <row r="1095" spans="1:10" ht="15.75" customHeight="1" x14ac:dyDescent="0.25">
      <c r="A1095" s="380">
        <v>42505003</v>
      </c>
      <c r="B1095" s="381" t="s">
        <v>321</v>
      </c>
      <c r="C1095" s="381" t="s">
        <v>1316</v>
      </c>
      <c r="D1095" s="381" t="s">
        <v>1488</v>
      </c>
      <c r="E1095" s="381" t="s">
        <v>1682</v>
      </c>
      <c r="F1095" s="378">
        <v>-128</v>
      </c>
      <c r="G1095" s="378">
        <v>0</v>
      </c>
      <c r="H1095" s="378">
        <v>0</v>
      </c>
      <c r="I1095" s="378">
        <v>-128</v>
      </c>
      <c r="J1095" s="266">
        <f t="shared" si="17"/>
        <v>8</v>
      </c>
    </row>
    <row r="1096" spans="1:10" ht="15.75" customHeight="1" x14ac:dyDescent="0.25">
      <c r="A1096" s="380">
        <v>42505003</v>
      </c>
      <c r="B1096" s="381" t="s">
        <v>321</v>
      </c>
      <c r="C1096" s="381" t="s">
        <v>1316</v>
      </c>
      <c r="D1096" s="381" t="s">
        <v>1535</v>
      </c>
      <c r="E1096" s="381" t="s">
        <v>1536</v>
      </c>
      <c r="F1096" s="378">
        <v>-500</v>
      </c>
      <c r="G1096" s="378">
        <v>0</v>
      </c>
      <c r="H1096" s="378">
        <v>100</v>
      </c>
      <c r="I1096" s="378">
        <v>-600</v>
      </c>
      <c r="J1096" s="266">
        <f t="shared" si="17"/>
        <v>8</v>
      </c>
    </row>
    <row r="1097" spans="1:10" ht="15.75" customHeight="1" x14ac:dyDescent="0.25">
      <c r="A1097" s="380">
        <v>42505003</v>
      </c>
      <c r="B1097" s="381" t="s">
        <v>321</v>
      </c>
      <c r="C1097" s="381" t="s">
        <v>1316</v>
      </c>
      <c r="D1097" s="381" t="s">
        <v>1604</v>
      </c>
      <c r="E1097" s="381" t="s">
        <v>1605</v>
      </c>
      <c r="F1097" s="378">
        <v>-500</v>
      </c>
      <c r="G1097" s="378">
        <v>0</v>
      </c>
      <c r="H1097" s="378">
        <v>100</v>
      </c>
      <c r="I1097" s="378">
        <v>-600</v>
      </c>
      <c r="J1097" s="266">
        <f t="shared" si="17"/>
        <v>8</v>
      </c>
    </row>
    <row r="1098" spans="1:10" ht="15.75" customHeight="1" x14ac:dyDescent="0.25">
      <c r="A1098" s="380">
        <v>42505003</v>
      </c>
      <c r="B1098" s="381" t="s">
        <v>321</v>
      </c>
      <c r="C1098" s="381" t="s">
        <v>1316</v>
      </c>
      <c r="D1098" s="381" t="s">
        <v>1649</v>
      </c>
      <c r="E1098" s="381" t="s">
        <v>1650</v>
      </c>
      <c r="F1098" s="378">
        <v>-500</v>
      </c>
      <c r="G1098" s="378">
        <v>0</v>
      </c>
      <c r="H1098" s="378">
        <v>100</v>
      </c>
      <c r="I1098" s="378">
        <v>-600</v>
      </c>
      <c r="J1098" s="266">
        <f t="shared" si="17"/>
        <v>8</v>
      </c>
    </row>
    <row r="1099" spans="1:10" ht="15.75" customHeight="1" x14ac:dyDescent="0.25">
      <c r="A1099" s="380">
        <v>42505003</v>
      </c>
      <c r="B1099" s="381" t="s">
        <v>321</v>
      </c>
      <c r="C1099" s="381" t="s">
        <v>1316</v>
      </c>
      <c r="D1099" s="381" t="s">
        <v>1690</v>
      </c>
      <c r="E1099" s="381" t="s">
        <v>1691</v>
      </c>
      <c r="F1099" s="378">
        <v>-50</v>
      </c>
      <c r="G1099" s="378">
        <v>0</v>
      </c>
      <c r="H1099" s="378">
        <v>0</v>
      </c>
      <c r="I1099" s="378">
        <v>-50</v>
      </c>
      <c r="J1099" s="266">
        <f t="shared" si="17"/>
        <v>8</v>
      </c>
    </row>
    <row r="1100" spans="1:10" ht="15.75" customHeight="1" x14ac:dyDescent="0.25">
      <c r="A1100" s="380">
        <v>42505003</v>
      </c>
      <c r="B1100" s="381" t="s">
        <v>321</v>
      </c>
      <c r="C1100" s="381" t="s">
        <v>1316</v>
      </c>
      <c r="D1100" s="381" t="s">
        <v>1651</v>
      </c>
      <c r="E1100" s="381" t="s">
        <v>1652</v>
      </c>
      <c r="F1100" s="378">
        <v>-500</v>
      </c>
      <c r="G1100" s="378">
        <v>0</v>
      </c>
      <c r="H1100" s="378">
        <v>100</v>
      </c>
      <c r="I1100" s="378">
        <v>-600</v>
      </c>
      <c r="J1100" s="266">
        <f t="shared" ref="J1100:J1163" si="18">+LEN(A1100)</f>
        <v>8</v>
      </c>
    </row>
    <row r="1101" spans="1:10" ht="15.75" customHeight="1" x14ac:dyDescent="0.25">
      <c r="A1101" s="380">
        <v>42505003</v>
      </c>
      <c r="B1101" s="381" t="s">
        <v>321</v>
      </c>
      <c r="C1101" s="381" t="s">
        <v>1316</v>
      </c>
      <c r="D1101" s="381" t="s">
        <v>1443</v>
      </c>
      <c r="E1101" s="381" t="s">
        <v>1530</v>
      </c>
      <c r="F1101" s="378">
        <v>-500</v>
      </c>
      <c r="G1101" s="378">
        <v>0</v>
      </c>
      <c r="H1101" s="378">
        <v>100</v>
      </c>
      <c r="I1101" s="378">
        <v>-600</v>
      </c>
      <c r="J1101" s="266">
        <f t="shared" si="18"/>
        <v>8</v>
      </c>
    </row>
    <row r="1102" spans="1:10" ht="15.75" customHeight="1" x14ac:dyDescent="0.25">
      <c r="A1102" s="380">
        <v>42505003</v>
      </c>
      <c r="B1102" s="381" t="s">
        <v>321</v>
      </c>
      <c r="C1102" s="381" t="s">
        <v>1316</v>
      </c>
      <c r="D1102" s="381" t="s">
        <v>1653</v>
      </c>
      <c r="E1102" s="381" t="s">
        <v>1654</v>
      </c>
      <c r="F1102" s="378">
        <v>-495</v>
      </c>
      <c r="G1102" s="378">
        <v>0</v>
      </c>
      <c r="H1102" s="378">
        <v>100</v>
      </c>
      <c r="I1102" s="378">
        <v>-595</v>
      </c>
      <c r="J1102" s="266">
        <f t="shared" si="18"/>
        <v>8</v>
      </c>
    </row>
    <row r="1103" spans="1:10" ht="15.75" customHeight="1" x14ac:dyDescent="0.25">
      <c r="A1103" s="380">
        <v>42505003</v>
      </c>
      <c r="B1103" s="381" t="s">
        <v>321</v>
      </c>
      <c r="C1103" s="381" t="s">
        <v>1316</v>
      </c>
      <c r="D1103" s="381" t="s">
        <v>1683</v>
      </c>
      <c r="E1103" s="381" t="s">
        <v>1684</v>
      </c>
      <c r="F1103" s="378">
        <v>-200</v>
      </c>
      <c r="G1103" s="378">
        <v>0</v>
      </c>
      <c r="H1103" s="378">
        <v>0</v>
      </c>
      <c r="I1103" s="378">
        <v>-200</v>
      </c>
      <c r="J1103" s="266">
        <f t="shared" si="18"/>
        <v>8</v>
      </c>
    </row>
    <row r="1104" spans="1:10" ht="15.75" customHeight="1" x14ac:dyDescent="0.25">
      <c r="A1104" s="380">
        <v>42505003</v>
      </c>
      <c r="B1104" s="381" t="s">
        <v>321</v>
      </c>
      <c r="C1104" s="381" t="s">
        <v>1316</v>
      </c>
      <c r="D1104" s="381" t="s">
        <v>1606</v>
      </c>
      <c r="E1104" s="381" t="s">
        <v>1607</v>
      </c>
      <c r="F1104" s="378">
        <v>-500</v>
      </c>
      <c r="G1104" s="378">
        <v>0</v>
      </c>
      <c r="H1104" s="378">
        <v>100</v>
      </c>
      <c r="I1104" s="378">
        <v>-600</v>
      </c>
      <c r="J1104" s="266">
        <f t="shared" si="18"/>
        <v>8</v>
      </c>
    </row>
    <row r="1105" spans="1:10" ht="15.75" customHeight="1" x14ac:dyDescent="0.25">
      <c r="A1105" s="380">
        <v>42505003</v>
      </c>
      <c r="B1105" s="381" t="s">
        <v>321</v>
      </c>
      <c r="C1105" s="381" t="s">
        <v>1316</v>
      </c>
      <c r="D1105" s="381" t="s">
        <v>1686</v>
      </c>
      <c r="E1105" s="381" t="s">
        <v>1687</v>
      </c>
      <c r="F1105" s="378">
        <v>-300</v>
      </c>
      <c r="G1105" s="378">
        <v>0</v>
      </c>
      <c r="H1105" s="378">
        <v>0</v>
      </c>
      <c r="I1105" s="378">
        <v>-300</v>
      </c>
      <c r="J1105" s="266">
        <f t="shared" si="18"/>
        <v>8</v>
      </c>
    </row>
    <row r="1106" spans="1:10" ht="15.75" customHeight="1" x14ac:dyDescent="0.25">
      <c r="A1106" s="380">
        <v>42505003</v>
      </c>
      <c r="B1106" s="381" t="s">
        <v>321</v>
      </c>
      <c r="C1106" s="381" t="s">
        <v>1316</v>
      </c>
      <c r="D1106" s="381" t="s">
        <v>1655</v>
      </c>
      <c r="E1106" s="381" t="s">
        <v>1656</v>
      </c>
      <c r="F1106" s="378">
        <v>-200</v>
      </c>
      <c r="G1106" s="378">
        <v>0</v>
      </c>
      <c r="H1106" s="378">
        <v>100</v>
      </c>
      <c r="I1106" s="378">
        <v>-300</v>
      </c>
      <c r="J1106" s="266">
        <f t="shared" si="18"/>
        <v>8</v>
      </c>
    </row>
    <row r="1107" spans="1:10" ht="15.75" customHeight="1" x14ac:dyDescent="0.25">
      <c r="A1107" s="380">
        <v>42505003</v>
      </c>
      <c r="B1107" s="381" t="s">
        <v>321</v>
      </c>
      <c r="C1107" s="381" t="s">
        <v>1316</v>
      </c>
      <c r="D1107" s="381" t="s">
        <v>1657</v>
      </c>
      <c r="E1107" s="381" t="s">
        <v>1658</v>
      </c>
      <c r="F1107" s="378">
        <v>-500</v>
      </c>
      <c r="G1107" s="378">
        <v>0</v>
      </c>
      <c r="H1107" s="378">
        <v>100</v>
      </c>
      <c r="I1107" s="378">
        <v>-600</v>
      </c>
      <c r="J1107" s="266">
        <f t="shared" si="18"/>
        <v>8</v>
      </c>
    </row>
    <row r="1108" spans="1:10" ht="15.75" customHeight="1" x14ac:dyDescent="0.25">
      <c r="A1108" s="380">
        <v>42505003</v>
      </c>
      <c r="B1108" s="381" t="s">
        <v>321</v>
      </c>
      <c r="C1108" s="381" t="s">
        <v>1316</v>
      </c>
      <c r="D1108" s="381" t="s">
        <v>1659</v>
      </c>
      <c r="E1108" s="381" t="s">
        <v>1660</v>
      </c>
      <c r="F1108" s="378">
        <v>-500</v>
      </c>
      <c r="G1108" s="378">
        <v>0</v>
      </c>
      <c r="H1108" s="378">
        <v>50</v>
      </c>
      <c r="I1108" s="378">
        <v>-550</v>
      </c>
      <c r="J1108" s="266">
        <f t="shared" si="18"/>
        <v>8</v>
      </c>
    </row>
    <row r="1109" spans="1:10" ht="15.75" customHeight="1" x14ac:dyDescent="0.25">
      <c r="A1109" s="380">
        <v>42505003</v>
      </c>
      <c r="B1109" s="381" t="s">
        <v>321</v>
      </c>
      <c r="C1109" s="381" t="s">
        <v>1316</v>
      </c>
      <c r="D1109" s="381" t="s">
        <v>1527</v>
      </c>
      <c r="E1109" s="381" t="s">
        <v>1528</v>
      </c>
      <c r="F1109" s="378">
        <v>-500</v>
      </c>
      <c r="G1109" s="378">
        <v>0</v>
      </c>
      <c r="H1109" s="378">
        <v>100</v>
      </c>
      <c r="I1109" s="378">
        <v>-600</v>
      </c>
      <c r="J1109" s="266">
        <f t="shared" si="18"/>
        <v>8</v>
      </c>
    </row>
    <row r="1110" spans="1:10" ht="15.75" customHeight="1" x14ac:dyDescent="0.25">
      <c r="A1110" s="380">
        <v>42505003</v>
      </c>
      <c r="B1110" s="381" t="s">
        <v>321</v>
      </c>
      <c r="C1110" s="381" t="s">
        <v>1316</v>
      </c>
      <c r="D1110" s="381" t="s">
        <v>1444</v>
      </c>
      <c r="E1110" s="381" t="s">
        <v>1533</v>
      </c>
      <c r="F1110" s="378">
        <v>-501</v>
      </c>
      <c r="G1110" s="378">
        <v>0</v>
      </c>
      <c r="H1110" s="378">
        <v>100</v>
      </c>
      <c r="I1110" s="378">
        <v>-601</v>
      </c>
      <c r="J1110" s="266">
        <f t="shared" si="18"/>
        <v>8</v>
      </c>
    </row>
    <row r="1111" spans="1:10" ht="15.75" customHeight="1" x14ac:dyDescent="0.25">
      <c r="A1111" s="380">
        <v>42505003</v>
      </c>
      <c r="B1111" s="381" t="s">
        <v>321</v>
      </c>
      <c r="C1111" s="381" t="s">
        <v>1316</v>
      </c>
      <c r="D1111" s="381" t="s">
        <v>1661</v>
      </c>
      <c r="E1111" s="381" t="s">
        <v>1662</v>
      </c>
      <c r="F1111" s="378">
        <v>-500</v>
      </c>
      <c r="G1111" s="378">
        <v>0</v>
      </c>
      <c r="H1111" s="378">
        <v>100</v>
      </c>
      <c r="I1111" s="378">
        <v>-600</v>
      </c>
      <c r="J1111" s="266">
        <f t="shared" si="18"/>
        <v>8</v>
      </c>
    </row>
    <row r="1112" spans="1:10" ht="15.75" customHeight="1" x14ac:dyDescent="0.25">
      <c r="A1112" s="380">
        <v>42505003</v>
      </c>
      <c r="B1112" s="381" t="s">
        <v>321</v>
      </c>
      <c r="C1112" s="381" t="s">
        <v>1316</v>
      </c>
      <c r="D1112" s="381" t="s">
        <v>1663</v>
      </c>
      <c r="E1112" s="381" t="s">
        <v>1664</v>
      </c>
      <c r="F1112" s="378">
        <v>-400</v>
      </c>
      <c r="G1112" s="378">
        <v>0</v>
      </c>
      <c r="H1112" s="378">
        <v>100</v>
      </c>
      <c r="I1112" s="378">
        <v>-500</v>
      </c>
      <c r="J1112" s="266">
        <f t="shared" si="18"/>
        <v>8</v>
      </c>
    </row>
    <row r="1113" spans="1:10" ht="15.75" customHeight="1" x14ac:dyDescent="0.25">
      <c r="A1113" s="380">
        <v>42505003</v>
      </c>
      <c r="B1113" s="381" t="s">
        <v>321</v>
      </c>
      <c r="C1113" s="381" t="s">
        <v>1316</v>
      </c>
      <c r="D1113" s="381" t="s">
        <v>1609</v>
      </c>
      <c r="E1113" s="381" t="s">
        <v>1610</v>
      </c>
      <c r="F1113" s="378">
        <v>-500</v>
      </c>
      <c r="G1113" s="378">
        <v>0</v>
      </c>
      <c r="H1113" s="378">
        <v>100</v>
      </c>
      <c r="I1113" s="378">
        <v>-600</v>
      </c>
      <c r="J1113" s="266">
        <f t="shared" si="18"/>
        <v>8</v>
      </c>
    </row>
    <row r="1114" spans="1:10" ht="15.75" customHeight="1" x14ac:dyDescent="0.25">
      <c r="A1114" s="380">
        <v>42505003</v>
      </c>
      <c r="B1114" s="381" t="s">
        <v>321</v>
      </c>
      <c r="C1114" s="381" t="s">
        <v>1316</v>
      </c>
      <c r="D1114" s="381" t="s">
        <v>1490</v>
      </c>
      <c r="E1114" s="381" t="s">
        <v>1491</v>
      </c>
      <c r="F1114" s="378">
        <v>-200</v>
      </c>
      <c r="G1114" s="378">
        <v>0</v>
      </c>
      <c r="H1114" s="378">
        <v>0</v>
      </c>
      <c r="I1114" s="378">
        <v>-200</v>
      </c>
      <c r="J1114" s="266">
        <f t="shared" si="18"/>
        <v>8</v>
      </c>
    </row>
    <row r="1115" spans="1:10" ht="15.75" customHeight="1" x14ac:dyDescent="0.25">
      <c r="A1115" s="380">
        <v>42505003</v>
      </c>
      <c r="B1115" s="381" t="s">
        <v>321</v>
      </c>
      <c r="C1115" s="381" t="s">
        <v>1316</v>
      </c>
      <c r="D1115" s="381" t="s">
        <v>1210</v>
      </c>
      <c r="E1115" s="381" t="s">
        <v>1611</v>
      </c>
      <c r="F1115" s="378">
        <v>-300</v>
      </c>
      <c r="G1115" s="378">
        <v>0</v>
      </c>
      <c r="H1115" s="378">
        <v>100</v>
      </c>
      <c r="I1115" s="378">
        <v>-400</v>
      </c>
      <c r="J1115" s="266">
        <f t="shared" si="18"/>
        <v>8</v>
      </c>
    </row>
    <row r="1116" spans="1:10" ht="15.75" customHeight="1" x14ac:dyDescent="0.25">
      <c r="A1116" s="380">
        <v>42505003</v>
      </c>
      <c r="B1116" s="381" t="s">
        <v>321</v>
      </c>
      <c r="C1116" s="381" t="s">
        <v>1316</v>
      </c>
      <c r="D1116" s="381" t="s">
        <v>1523</v>
      </c>
      <c r="E1116" s="381" t="s">
        <v>1524</v>
      </c>
      <c r="F1116" s="378">
        <v>-500</v>
      </c>
      <c r="G1116" s="378">
        <v>0</v>
      </c>
      <c r="H1116" s="378">
        <v>100</v>
      </c>
      <c r="I1116" s="378">
        <v>-600</v>
      </c>
      <c r="J1116" s="266">
        <f t="shared" si="18"/>
        <v>8</v>
      </c>
    </row>
    <row r="1117" spans="1:10" ht="15.75" customHeight="1" x14ac:dyDescent="0.25">
      <c r="A1117" s="380">
        <v>42505003</v>
      </c>
      <c r="B1117" s="381" t="s">
        <v>321</v>
      </c>
      <c r="C1117" s="381" t="s">
        <v>1316</v>
      </c>
      <c r="D1117" s="381" t="s">
        <v>1665</v>
      </c>
      <c r="E1117" s="381" t="s">
        <v>1666</v>
      </c>
      <c r="F1117" s="378">
        <v>-50</v>
      </c>
      <c r="G1117" s="378">
        <v>0</v>
      </c>
      <c r="H1117" s="378">
        <v>100</v>
      </c>
      <c r="I1117" s="378">
        <v>-150</v>
      </c>
      <c r="J1117" s="266">
        <f t="shared" si="18"/>
        <v>8</v>
      </c>
    </row>
    <row r="1118" spans="1:10" ht="15.75" customHeight="1" x14ac:dyDescent="0.25">
      <c r="A1118" s="380">
        <v>42505003</v>
      </c>
      <c r="B1118" s="381" t="s">
        <v>321</v>
      </c>
      <c r="C1118" s="381" t="s">
        <v>1316</v>
      </c>
      <c r="D1118" s="381" t="s">
        <v>792</v>
      </c>
      <c r="E1118" s="381" t="s">
        <v>1534</v>
      </c>
      <c r="F1118" s="378">
        <v>-500</v>
      </c>
      <c r="G1118" s="378">
        <v>0</v>
      </c>
      <c r="H1118" s="378">
        <v>100</v>
      </c>
      <c r="I1118" s="378">
        <v>-600</v>
      </c>
      <c r="J1118" s="266">
        <f t="shared" si="18"/>
        <v>8</v>
      </c>
    </row>
    <row r="1119" spans="1:10" ht="15.75" customHeight="1" x14ac:dyDescent="0.25">
      <c r="A1119" s="380">
        <v>42505003</v>
      </c>
      <c r="B1119" s="381" t="s">
        <v>321</v>
      </c>
      <c r="C1119" s="381" t="s">
        <v>1316</v>
      </c>
      <c r="D1119" s="381" t="s">
        <v>1688</v>
      </c>
      <c r="E1119" s="381" t="s">
        <v>1689</v>
      </c>
      <c r="F1119" s="378">
        <v>-250</v>
      </c>
      <c r="G1119" s="378">
        <v>0</v>
      </c>
      <c r="H1119" s="378">
        <v>0</v>
      </c>
      <c r="I1119" s="378">
        <v>-250</v>
      </c>
      <c r="J1119" s="266">
        <f t="shared" si="18"/>
        <v>8</v>
      </c>
    </row>
    <row r="1120" spans="1:10" ht="15.75" customHeight="1" x14ac:dyDescent="0.25">
      <c r="A1120" s="380">
        <v>42505003</v>
      </c>
      <c r="B1120" s="381" t="s">
        <v>321</v>
      </c>
      <c r="C1120" s="381" t="s">
        <v>1316</v>
      </c>
      <c r="D1120" s="381" t="s">
        <v>1492</v>
      </c>
      <c r="E1120" s="381" t="s">
        <v>1493</v>
      </c>
      <c r="F1120" s="378">
        <v>-250</v>
      </c>
      <c r="G1120" s="378">
        <v>0</v>
      </c>
      <c r="H1120" s="378">
        <v>0</v>
      </c>
      <c r="I1120" s="378">
        <v>-250</v>
      </c>
      <c r="J1120" s="266">
        <f t="shared" si="18"/>
        <v>8</v>
      </c>
    </row>
    <row r="1121" spans="1:10" ht="15.75" customHeight="1" x14ac:dyDescent="0.25">
      <c r="A1121" s="380">
        <v>42505003</v>
      </c>
      <c r="B1121" s="381" t="s">
        <v>321</v>
      </c>
      <c r="C1121" s="381" t="s">
        <v>1316</v>
      </c>
      <c r="D1121" s="381" t="s">
        <v>1412</v>
      </c>
      <c r="E1121" s="381" t="s">
        <v>1413</v>
      </c>
      <c r="F1121" s="378">
        <v>-100</v>
      </c>
      <c r="G1121" s="378">
        <v>0</v>
      </c>
      <c r="H1121" s="378">
        <v>0</v>
      </c>
      <c r="I1121" s="378">
        <v>-100</v>
      </c>
      <c r="J1121" s="266">
        <f t="shared" si="18"/>
        <v>8</v>
      </c>
    </row>
    <row r="1122" spans="1:10" ht="15.75" customHeight="1" x14ac:dyDescent="0.25">
      <c r="A1122" s="380">
        <v>42505003</v>
      </c>
      <c r="B1122" s="381" t="s">
        <v>321</v>
      </c>
      <c r="C1122" s="381" t="s">
        <v>1316</v>
      </c>
      <c r="D1122" s="381" t="s">
        <v>1667</v>
      </c>
      <c r="E1122" s="381" t="s">
        <v>1668</v>
      </c>
      <c r="F1122" s="378">
        <v>-373</v>
      </c>
      <c r="G1122" s="378">
        <v>0</v>
      </c>
      <c r="H1122" s="378">
        <v>100</v>
      </c>
      <c r="I1122" s="378">
        <v>-473</v>
      </c>
      <c r="J1122" s="266">
        <f t="shared" si="18"/>
        <v>8</v>
      </c>
    </row>
    <row r="1123" spans="1:10" ht="15.75" customHeight="1" x14ac:dyDescent="0.25">
      <c r="A1123" s="380">
        <v>42505003</v>
      </c>
      <c r="B1123" s="381" t="s">
        <v>321</v>
      </c>
      <c r="C1123" s="381" t="s">
        <v>1316</v>
      </c>
      <c r="D1123" s="381" t="s">
        <v>1669</v>
      </c>
      <c r="E1123" s="381" t="s">
        <v>1670</v>
      </c>
      <c r="F1123" s="378">
        <v>-500</v>
      </c>
      <c r="G1123" s="378">
        <v>0</v>
      </c>
      <c r="H1123" s="378">
        <v>100</v>
      </c>
      <c r="I1123" s="378">
        <v>-600</v>
      </c>
      <c r="J1123" s="266">
        <f t="shared" si="18"/>
        <v>8</v>
      </c>
    </row>
    <row r="1124" spans="1:10" ht="15.75" customHeight="1" x14ac:dyDescent="0.25">
      <c r="A1124" s="380">
        <v>42505003</v>
      </c>
      <c r="B1124" s="381" t="s">
        <v>321</v>
      </c>
      <c r="C1124" s="381" t="s">
        <v>1316</v>
      </c>
      <c r="D1124" s="381" t="s">
        <v>1671</v>
      </c>
      <c r="E1124" s="381" t="s">
        <v>1672</v>
      </c>
      <c r="F1124" s="378">
        <v>-200</v>
      </c>
      <c r="G1124" s="378">
        <v>0</v>
      </c>
      <c r="H1124" s="378">
        <v>100</v>
      </c>
      <c r="I1124" s="378">
        <v>-300</v>
      </c>
      <c r="J1124" s="266">
        <f t="shared" si="18"/>
        <v>8</v>
      </c>
    </row>
    <row r="1125" spans="1:10" ht="15.75" customHeight="1" x14ac:dyDescent="0.25">
      <c r="A1125" s="380">
        <v>42505003</v>
      </c>
      <c r="B1125" s="381" t="s">
        <v>321</v>
      </c>
      <c r="C1125" s="381" t="s">
        <v>1316</v>
      </c>
      <c r="D1125" s="381" t="s">
        <v>1673</v>
      </c>
      <c r="E1125" s="381" t="s">
        <v>1674</v>
      </c>
      <c r="F1125" s="378">
        <v>-500</v>
      </c>
      <c r="G1125" s="378">
        <v>0</v>
      </c>
      <c r="H1125" s="378">
        <v>100</v>
      </c>
      <c r="I1125" s="378">
        <v>-600</v>
      </c>
      <c r="J1125" s="266">
        <f t="shared" si="18"/>
        <v>8</v>
      </c>
    </row>
    <row r="1126" spans="1:10" ht="15.75" customHeight="1" x14ac:dyDescent="0.25">
      <c r="A1126" s="380">
        <v>42505003</v>
      </c>
      <c r="B1126" s="381" t="s">
        <v>321</v>
      </c>
      <c r="C1126" s="381" t="s">
        <v>1316</v>
      </c>
      <c r="D1126" s="381" t="s">
        <v>1675</v>
      </c>
      <c r="E1126" s="381" t="s">
        <v>1676</v>
      </c>
      <c r="F1126" s="378">
        <v>0</v>
      </c>
      <c r="G1126" s="378">
        <v>0</v>
      </c>
      <c r="H1126" s="378">
        <v>50</v>
      </c>
      <c r="I1126" s="378">
        <v>-50</v>
      </c>
      <c r="J1126" s="266">
        <f t="shared" si="18"/>
        <v>8</v>
      </c>
    </row>
    <row r="1127" spans="1:10" ht="15.75" customHeight="1" x14ac:dyDescent="0.25">
      <c r="A1127" s="380">
        <v>42505003</v>
      </c>
      <c r="B1127" s="381" t="s">
        <v>321</v>
      </c>
      <c r="C1127" s="381" t="s">
        <v>1316</v>
      </c>
      <c r="D1127" s="381" t="s">
        <v>1677</v>
      </c>
      <c r="E1127" s="381" t="s">
        <v>1678</v>
      </c>
      <c r="F1127" s="378">
        <v>0</v>
      </c>
      <c r="G1127" s="378">
        <v>0</v>
      </c>
      <c r="H1127" s="378">
        <v>50</v>
      </c>
      <c r="I1127" s="378">
        <v>-50</v>
      </c>
      <c r="J1127" s="266">
        <f t="shared" si="18"/>
        <v>8</v>
      </c>
    </row>
    <row r="1128" spans="1:10" ht="15.75" customHeight="1" x14ac:dyDescent="0.25">
      <c r="A1128" s="380">
        <v>4255</v>
      </c>
      <c r="B1128" s="381" t="s">
        <v>321</v>
      </c>
      <c r="C1128" s="381" t="s">
        <v>168</v>
      </c>
      <c r="D1128" s="381" t="s">
        <v>315</v>
      </c>
      <c r="E1128" s="381" t="s">
        <v>315</v>
      </c>
      <c r="F1128" s="378">
        <v>-6244246</v>
      </c>
      <c r="G1128" s="378">
        <v>0</v>
      </c>
      <c r="H1128" s="378">
        <v>1587204</v>
      </c>
      <c r="I1128" s="378">
        <v>-7831450</v>
      </c>
      <c r="J1128" s="266">
        <f t="shared" si="18"/>
        <v>4</v>
      </c>
    </row>
    <row r="1129" spans="1:10" ht="15.75" customHeight="1" x14ac:dyDescent="0.25">
      <c r="A1129" s="380">
        <v>425540</v>
      </c>
      <c r="B1129" s="381" t="s">
        <v>315</v>
      </c>
      <c r="C1129" s="381" t="s">
        <v>479</v>
      </c>
      <c r="D1129" s="381" t="s">
        <v>315</v>
      </c>
      <c r="E1129" s="381" t="s">
        <v>315</v>
      </c>
      <c r="F1129" s="378">
        <v>-6244246</v>
      </c>
      <c r="G1129" s="378">
        <v>0</v>
      </c>
      <c r="H1129" s="378">
        <v>1587204</v>
      </c>
      <c r="I1129" s="378">
        <v>-7831450</v>
      </c>
      <c r="J1129" s="266">
        <f t="shared" si="18"/>
        <v>6</v>
      </c>
    </row>
    <row r="1130" spans="1:10" ht="15.75" customHeight="1" x14ac:dyDescent="0.25">
      <c r="A1130" s="380">
        <v>42554001</v>
      </c>
      <c r="B1130" s="381" t="s">
        <v>315</v>
      </c>
      <c r="C1130" s="381" t="s">
        <v>479</v>
      </c>
      <c r="D1130" s="381" t="s">
        <v>315</v>
      </c>
      <c r="E1130" s="381" t="s">
        <v>315</v>
      </c>
      <c r="F1130" s="378">
        <v>-6244246</v>
      </c>
      <c r="G1130" s="378">
        <v>0</v>
      </c>
      <c r="H1130" s="378">
        <v>1587204</v>
      </c>
      <c r="I1130" s="378">
        <v>-7831450</v>
      </c>
      <c r="J1130" s="266">
        <f t="shared" si="18"/>
        <v>8</v>
      </c>
    </row>
    <row r="1131" spans="1:10" ht="15.75" customHeight="1" x14ac:dyDescent="0.25">
      <c r="A1131" s="380">
        <v>42554001</v>
      </c>
      <c r="B1131" s="381" t="s">
        <v>315</v>
      </c>
      <c r="C1131" s="381" t="s">
        <v>479</v>
      </c>
      <c r="D1131" s="381" t="s">
        <v>1690</v>
      </c>
      <c r="E1131" s="381" t="s">
        <v>1691</v>
      </c>
      <c r="F1131" s="378">
        <v>-142490</v>
      </c>
      <c r="G1131" s="378">
        <v>0</v>
      </c>
      <c r="H1131" s="378">
        <v>0</v>
      </c>
      <c r="I1131" s="378">
        <v>-142490</v>
      </c>
      <c r="J1131" s="266">
        <f t="shared" si="18"/>
        <v>8</v>
      </c>
    </row>
    <row r="1132" spans="1:10" ht="15.75" customHeight="1" x14ac:dyDescent="0.25">
      <c r="A1132" s="380">
        <v>42554001</v>
      </c>
      <c r="B1132" s="381" t="s">
        <v>315</v>
      </c>
      <c r="C1132" s="381" t="s">
        <v>479</v>
      </c>
      <c r="D1132" s="381" t="s">
        <v>452</v>
      </c>
      <c r="E1132" s="381" t="s">
        <v>453</v>
      </c>
      <c r="F1132" s="378">
        <v>-2021056</v>
      </c>
      <c r="G1132" s="378">
        <v>0</v>
      </c>
      <c r="H1132" s="378">
        <v>1587204</v>
      </c>
      <c r="I1132" s="378">
        <v>-3608260</v>
      </c>
      <c r="J1132" s="266">
        <f t="shared" si="18"/>
        <v>8</v>
      </c>
    </row>
    <row r="1133" spans="1:10" ht="15.75" customHeight="1" x14ac:dyDescent="0.25">
      <c r="A1133" s="380">
        <v>42554001</v>
      </c>
      <c r="B1133" s="381" t="s">
        <v>315</v>
      </c>
      <c r="C1133" s="381" t="s">
        <v>479</v>
      </c>
      <c r="D1133" s="381" t="s">
        <v>1667</v>
      </c>
      <c r="E1133" s="381" t="s">
        <v>1668</v>
      </c>
      <c r="F1133" s="378">
        <v>-4080700</v>
      </c>
      <c r="G1133" s="378">
        <v>0</v>
      </c>
      <c r="H1133" s="378">
        <v>0</v>
      </c>
      <c r="I1133" s="378">
        <v>-4080700</v>
      </c>
      <c r="J1133" s="266">
        <f t="shared" si="18"/>
        <v>8</v>
      </c>
    </row>
    <row r="1134" spans="1:10" ht="15.75" customHeight="1" x14ac:dyDescent="0.25">
      <c r="A1134" s="380">
        <v>4295</v>
      </c>
      <c r="B1134" s="381" t="s">
        <v>315</v>
      </c>
      <c r="C1134" s="381" t="s">
        <v>172</v>
      </c>
      <c r="D1134" s="381" t="s">
        <v>315</v>
      </c>
      <c r="E1134" s="381" t="s">
        <v>315</v>
      </c>
      <c r="F1134" s="378">
        <v>-2713015</v>
      </c>
      <c r="G1134" s="378">
        <v>0</v>
      </c>
      <c r="H1134" s="378">
        <v>454098</v>
      </c>
      <c r="I1134" s="378">
        <v>-3167113</v>
      </c>
      <c r="J1134" s="266">
        <f t="shared" si="18"/>
        <v>4</v>
      </c>
    </row>
    <row r="1135" spans="1:10" ht="15.75" customHeight="1" x14ac:dyDescent="0.25">
      <c r="A1135" s="380">
        <v>429505</v>
      </c>
      <c r="B1135" s="381" t="s">
        <v>315</v>
      </c>
      <c r="C1135" s="381" t="s">
        <v>477</v>
      </c>
      <c r="D1135" s="381" t="s">
        <v>315</v>
      </c>
      <c r="E1135" s="381" t="s">
        <v>315</v>
      </c>
      <c r="F1135" s="378">
        <v>-110100</v>
      </c>
      <c r="G1135" s="378">
        <v>0</v>
      </c>
      <c r="H1135" s="378">
        <v>0</v>
      </c>
      <c r="I1135" s="378">
        <v>-110100</v>
      </c>
      <c r="J1135" s="266">
        <f t="shared" si="18"/>
        <v>6</v>
      </c>
    </row>
    <row r="1136" spans="1:10" ht="15.75" customHeight="1" x14ac:dyDescent="0.25">
      <c r="A1136" s="380">
        <v>42950501</v>
      </c>
      <c r="B1136" s="381" t="s">
        <v>315</v>
      </c>
      <c r="C1136" s="381" t="s">
        <v>477</v>
      </c>
      <c r="D1136" s="381" t="s">
        <v>315</v>
      </c>
      <c r="E1136" s="381" t="s">
        <v>315</v>
      </c>
      <c r="F1136" s="378">
        <v>-110100</v>
      </c>
      <c r="G1136" s="378">
        <v>0</v>
      </c>
      <c r="H1136" s="378">
        <v>0</v>
      </c>
      <c r="I1136" s="378">
        <v>-110100</v>
      </c>
      <c r="J1136" s="266">
        <f t="shared" si="18"/>
        <v>8</v>
      </c>
    </row>
    <row r="1137" spans="1:10" ht="15.75" customHeight="1" x14ac:dyDescent="0.25">
      <c r="A1137" s="380">
        <v>42950501</v>
      </c>
      <c r="B1137" s="381" t="s">
        <v>315</v>
      </c>
      <c r="C1137" s="381" t="s">
        <v>477</v>
      </c>
      <c r="D1137" s="381" t="s">
        <v>638</v>
      </c>
      <c r="E1137" s="381" t="s">
        <v>1317</v>
      </c>
      <c r="F1137" s="378">
        <v>-110100</v>
      </c>
      <c r="G1137" s="378">
        <v>0</v>
      </c>
      <c r="H1137" s="378">
        <v>0</v>
      </c>
      <c r="I1137" s="378">
        <v>-110100</v>
      </c>
      <c r="J1137" s="266">
        <f t="shared" si="18"/>
        <v>8</v>
      </c>
    </row>
    <row r="1138" spans="1:10" ht="15.75" customHeight="1" x14ac:dyDescent="0.25">
      <c r="A1138" s="380">
        <v>429516</v>
      </c>
      <c r="B1138" s="381" t="s">
        <v>321</v>
      </c>
      <c r="C1138" s="381" t="s">
        <v>1713</v>
      </c>
      <c r="D1138" s="381" t="s">
        <v>315</v>
      </c>
      <c r="E1138" s="381" t="s">
        <v>315</v>
      </c>
      <c r="F1138" s="378">
        <v>-2598360</v>
      </c>
      <c r="G1138" s="378">
        <v>0</v>
      </c>
      <c r="H1138" s="378">
        <v>454097</v>
      </c>
      <c r="I1138" s="378">
        <v>-3052457</v>
      </c>
      <c r="J1138" s="266">
        <f t="shared" si="18"/>
        <v>6</v>
      </c>
    </row>
    <row r="1139" spans="1:10" ht="15.75" customHeight="1" x14ac:dyDescent="0.25">
      <c r="A1139" s="380">
        <v>42951601</v>
      </c>
      <c r="B1139" s="381" t="s">
        <v>321</v>
      </c>
      <c r="C1139" s="381" t="s">
        <v>1713</v>
      </c>
      <c r="D1139" s="381" t="s">
        <v>315</v>
      </c>
      <c r="E1139" s="381" t="s">
        <v>315</v>
      </c>
      <c r="F1139" s="378">
        <v>-2598360</v>
      </c>
      <c r="G1139" s="378">
        <v>0</v>
      </c>
      <c r="H1139" s="378">
        <v>454097</v>
      </c>
      <c r="I1139" s="378">
        <v>-3052457</v>
      </c>
      <c r="J1139" s="266">
        <f t="shared" si="18"/>
        <v>8</v>
      </c>
    </row>
    <row r="1140" spans="1:10" ht="15.75" customHeight="1" x14ac:dyDescent="0.25">
      <c r="A1140" s="380">
        <v>42951601</v>
      </c>
      <c r="B1140" s="381" t="s">
        <v>321</v>
      </c>
      <c r="C1140" s="381" t="s">
        <v>1713</v>
      </c>
      <c r="D1140" s="381" t="s">
        <v>728</v>
      </c>
      <c r="E1140" s="381" t="s">
        <v>1714</v>
      </c>
      <c r="F1140" s="378">
        <v>-1700</v>
      </c>
      <c r="G1140" s="378">
        <v>0</v>
      </c>
      <c r="H1140" s="378">
        <v>0</v>
      </c>
      <c r="I1140" s="378">
        <v>-1700</v>
      </c>
      <c r="J1140" s="266">
        <f t="shared" si="18"/>
        <v>8</v>
      </c>
    </row>
    <row r="1141" spans="1:10" ht="15.75" customHeight="1" x14ac:dyDescent="0.25">
      <c r="A1141" s="380">
        <v>42951601</v>
      </c>
      <c r="B1141" s="381" t="s">
        <v>321</v>
      </c>
      <c r="C1141" s="381" t="s">
        <v>1713</v>
      </c>
      <c r="D1141" s="381" t="s">
        <v>742</v>
      </c>
      <c r="E1141" s="381" t="s">
        <v>1529</v>
      </c>
      <c r="F1141" s="378">
        <v>-681730</v>
      </c>
      <c r="G1141" s="378">
        <v>0</v>
      </c>
      <c r="H1141" s="378">
        <v>151057</v>
      </c>
      <c r="I1141" s="378">
        <v>-832787</v>
      </c>
      <c r="J1141" s="266">
        <f t="shared" si="18"/>
        <v>8</v>
      </c>
    </row>
    <row r="1142" spans="1:10" ht="15.75" customHeight="1" x14ac:dyDescent="0.25">
      <c r="A1142" s="380">
        <v>42951601</v>
      </c>
      <c r="B1142" s="381" t="s">
        <v>321</v>
      </c>
      <c r="C1142" s="381" t="s">
        <v>1713</v>
      </c>
      <c r="D1142" s="381" t="s">
        <v>1443</v>
      </c>
      <c r="E1142" s="381" t="s">
        <v>1530</v>
      </c>
      <c r="F1142" s="378">
        <v>-561461</v>
      </c>
      <c r="G1142" s="378">
        <v>0</v>
      </c>
      <c r="H1142" s="378">
        <v>80061</v>
      </c>
      <c r="I1142" s="378">
        <v>-641522</v>
      </c>
      <c r="J1142" s="266">
        <f t="shared" si="18"/>
        <v>8</v>
      </c>
    </row>
    <row r="1143" spans="1:10" ht="15.75" customHeight="1" x14ac:dyDescent="0.25">
      <c r="A1143" s="380">
        <v>42951601</v>
      </c>
      <c r="B1143" s="381" t="s">
        <v>321</v>
      </c>
      <c r="C1143" s="381" t="s">
        <v>1713</v>
      </c>
      <c r="D1143" s="381" t="s">
        <v>1444</v>
      </c>
      <c r="E1143" s="381" t="s">
        <v>1533</v>
      </c>
      <c r="F1143" s="378">
        <v>-436008</v>
      </c>
      <c r="G1143" s="378">
        <v>0</v>
      </c>
      <c r="H1143" s="378">
        <v>65396</v>
      </c>
      <c r="I1143" s="378">
        <v>-501404</v>
      </c>
      <c r="J1143" s="266">
        <f t="shared" si="18"/>
        <v>8</v>
      </c>
    </row>
    <row r="1144" spans="1:10" ht="15.75" customHeight="1" x14ac:dyDescent="0.25">
      <c r="A1144" s="380">
        <v>42951601</v>
      </c>
      <c r="B1144" s="381" t="s">
        <v>321</v>
      </c>
      <c r="C1144" s="381" t="s">
        <v>1713</v>
      </c>
      <c r="D1144" s="381" t="s">
        <v>792</v>
      </c>
      <c r="E1144" s="381" t="s">
        <v>1534</v>
      </c>
      <c r="F1144" s="378">
        <v>-917461</v>
      </c>
      <c r="G1144" s="378">
        <v>0</v>
      </c>
      <c r="H1144" s="378">
        <v>157583</v>
      </c>
      <c r="I1144" s="378">
        <v>-1075044</v>
      </c>
      <c r="J1144" s="266">
        <f t="shared" si="18"/>
        <v>8</v>
      </c>
    </row>
    <row r="1145" spans="1:10" ht="15.75" customHeight="1" x14ac:dyDescent="0.25">
      <c r="A1145" s="380">
        <v>429581</v>
      </c>
      <c r="B1145" s="381" t="s">
        <v>315</v>
      </c>
      <c r="C1145" s="381" t="s">
        <v>644</v>
      </c>
      <c r="D1145" s="381" t="s">
        <v>315</v>
      </c>
      <c r="E1145" s="381" t="s">
        <v>315</v>
      </c>
      <c r="F1145" s="378">
        <v>-4555</v>
      </c>
      <c r="G1145" s="378">
        <v>0</v>
      </c>
      <c r="H1145" s="378">
        <v>1</v>
      </c>
      <c r="I1145" s="378">
        <v>-4556</v>
      </c>
      <c r="J1145" s="266">
        <f t="shared" si="18"/>
        <v>6</v>
      </c>
    </row>
    <row r="1146" spans="1:10" ht="15.75" customHeight="1" x14ac:dyDescent="0.25">
      <c r="A1146" s="380">
        <v>42958101</v>
      </c>
      <c r="B1146" s="381" t="s">
        <v>315</v>
      </c>
      <c r="C1146" s="381" t="s">
        <v>644</v>
      </c>
      <c r="D1146" s="381" t="s">
        <v>315</v>
      </c>
      <c r="E1146" s="381" t="s">
        <v>315</v>
      </c>
      <c r="F1146" s="378">
        <v>-4555</v>
      </c>
      <c r="G1146" s="378">
        <v>0</v>
      </c>
      <c r="H1146" s="378">
        <v>1</v>
      </c>
      <c r="I1146" s="378">
        <v>-4556</v>
      </c>
      <c r="J1146" s="266">
        <f t="shared" si="18"/>
        <v>8</v>
      </c>
    </row>
    <row r="1147" spans="1:10" ht="15.75" customHeight="1" x14ac:dyDescent="0.25">
      <c r="A1147" s="380">
        <v>42958101</v>
      </c>
      <c r="B1147" s="381" t="s">
        <v>315</v>
      </c>
      <c r="C1147" s="381" t="s">
        <v>644</v>
      </c>
      <c r="D1147" s="381" t="s">
        <v>375</v>
      </c>
      <c r="E1147" s="381" t="s">
        <v>817</v>
      </c>
      <c r="F1147" s="378">
        <v>-30</v>
      </c>
      <c r="G1147" s="378">
        <v>0</v>
      </c>
      <c r="H1147" s="378">
        <v>0</v>
      </c>
      <c r="I1147" s="378">
        <v>-30</v>
      </c>
      <c r="J1147" s="266">
        <f t="shared" si="18"/>
        <v>8</v>
      </c>
    </row>
    <row r="1148" spans="1:10" ht="15.75" customHeight="1" x14ac:dyDescent="0.25">
      <c r="A1148" s="380">
        <v>42958101</v>
      </c>
      <c r="B1148" s="381" t="s">
        <v>315</v>
      </c>
      <c r="C1148" s="381" t="s">
        <v>644</v>
      </c>
      <c r="D1148" s="381" t="s">
        <v>717</v>
      </c>
      <c r="E1148" s="381" t="s">
        <v>718</v>
      </c>
      <c r="F1148" s="378">
        <v>-1119</v>
      </c>
      <c r="G1148" s="378">
        <v>0</v>
      </c>
      <c r="H1148" s="378">
        <v>1</v>
      </c>
      <c r="I1148" s="378">
        <v>-1120</v>
      </c>
      <c r="J1148" s="266">
        <f t="shared" si="18"/>
        <v>8</v>
      </c>
    </row>
    <row r="1149" spans="1:10" ht="15.75" customHeight="1" x14ac:dyDescent="0.25">
      <c r="A1149" s="380">
        <v>42958101</v>
      </c>
      <c r="B1149" s="381" t="s">
        <v>315</v>
      </c>
      <c r="C1149" s="381" t="s">
        <v>644</v>
      </c>
      <c r="D1149" s="381" t="s">
        <v>721</v>
      </c>
      <c r="E1149" s="381" t="s">
        <v>722</v>
      </c>
      <c r="F1149" s="378">
        <v>-800</v>
      </c>
      <c r="G1149" s="378">
        <v>0</v>
      </c>
      <c r="H1149" s="378">
        <v>0</v>
      </c>
      <c r="I1149" s="378">
        <v>-800</v>
      </c>
      <c r="J1149" s="266">
        <f t="shared" si="18"/>
        <v>8</v>
      </c>
    </row>
    <row r="1150" spans="1:10" ht="15.75" customHeight="1" x14ac:dyDescent="0.25">
      <c r="A1150" s="380">
        <v>42958101</v>
      </c>
      <c r="B1150" s="381" t="s">
        <v>315</v>
      </c>
      <c r="C1150" s="381" t="s">
        <v>644</v>
      </c>
      <c r="D1150" s="381" t="s">
        <v>792</v>
      </c>
      <c r="E1150" s="381" t="s">
        <v>1534</v>
      </c>
      <c r="F1150" s="378">
        <v>-2606</v>
      </c>
      <c r="G1150" s="378">
        <v>0</v>
      </c>
      <c r="H1150" s="378">
        <v>0</v>
      </c>
      <c r="I1150" s="378">
        <v>-2606</v>
      </c>
      <c r="J1150" s="266">
        <f t="shared" si="18"/>
        <v>8</v>
      </c>
    </row>
    <row r="1151" spans="1:10" ht="15.75" customHeight="1" x14ac:dyDescent="0.25">
      <c r="A1151" s="380">
        <v>43</v>
      </c>
      <c r="B1151" s="381" t="s">
        <v>321</v>
      </c>
      <c r="C1151" s="381" t="s">
        <v>1715</v>
      </c>
      <c r="D1151" s="381" t="s">
        <v>315</v>
      </c>
      <c r="E1151" s="381" t="s">
        <v>315</v>
      </c>
      <c r="F1151" s="378">
        <v>-2086685.81</v>
      </c>
      <c r="G1151" s="378">
        <v>0</v>
      </c>
      <c r="H1151" s="378">
        <v>365895.34</v>
      </c>
      <c r="I1151" s="378">
        <v>-2452581.15</v>
      </c>
      <c r="J1151" s="266">
        <f t="shared" si="18"/>
        <v>2</v>
      </c>
    </row>
    <row r="1152" spans="1:10" ht="15.75" customHeight="1" x14ac:dyDescent="0.25">
      <c r="A1152" s="380">
        <v>4310</v>
      </c>
      <c r="B1152" s="381" t="s">
        <v>321</v>
      </c>
      <c r="C1152" s="381" t="s">
        <v>175</v>
      </c>
      <c r="D1152" s="381" t="s">
        <v>315</v>
      </c>
      <c r="E1152" s="381" t="s">
        <v>315</v>
      </c>
      <c r="F1152" s="378">
        <v>-2086685.81</v>
      </c>
      <c r="G1152" s="378">
        <v>0</v>
      </c>
      <c r="H1152" s="378">
        <v>365895.34</v>
      </c>
      <c r="I1152" s="378">
        <v>-2452581.15</v>
      </c>
      <c r="J1152" s="266">
        <f t="shared" si="18"/>
        <v>4</v>
      </c>
    </row>
    <row r="1153" spans="1:10" ht="15.75" customHeight="1" x14ac:dyDescent="0.25">
      <c r="A1153" s="380">
        <v>431005</v>
      </c>
      <c r="B1153" s="381" t="s">
        <v>321</v>
      </c>
      <c r="C1153" s="381" t="s">
        <v>176</v>
      </c>
      <c r="D1153" s="381" t="s">
        <v>315</v>
      </c>
      <c r="E1153" s="381" t="s">
        <v>315</v>
      </c>
      <c r="F1153" s="378">
        <v>-1295137.81</v>
      </c>
      <c r="G1153" s="378">
        <v>0</v>
      </c>
      <c r="H1153" s="378">
        <v>304568.34000000003</v>
      </c>
      <c r="I1153" s="378">
        <v>-1599706.15</v>
      </c>
      <c r="J1153" s="266">
        <f t="shared" si="18"/>
        <v>6</v>
      </c>
    </row>
    <row r="1154" spans="1:10" ht="15.75" customHeight="1" x14ac:dyDescent="0.25">
      <c r="A1154" s="380">
        <v>431005</v>
      </c>
      <c r="B1154" s="381" t="s">
        <v>321</v>
      </c>
      <c r="C1154" s="381" t="s">
        <v>176</v>
      </c>
      <c r="D1154" s="381" t="s">
        <v>328</v>
      </c>
      <c r="E1154" s="381" t="s">
        <v>1521</v>
      </c>
      <c r="F1154" s="378">
        <v>-1283925.19</v>
      </c>
      <c r="G1154" s="378">
        <v>0</v>
      </c>
      <c r="H1154" s="378">
        <v>300920.44</v>
      </c>
      <c r="I1154" s="378">
        <v>-1584845.63</v>
      </c>
      <c r="J1154" s="266">
        <f t="shared" si="18"/>
        <v>6</v>
      </c>
    </row>
    <row r="1155" spans="1:10" ht="15.75" customHeight="1" x14ac:dyDescent="0.25">
      <c r="A1155" s="380">
        <v>431005</v>
      </c>
      <c r="B1155" s="381" t="s">
        <v>321</v>
      </c>
      <c r="C1155" s="381" t="s">
        <v>176</v>
      </c>
      <c r="D1155" s="381" t="s">
        <v>641</v>
      </c>
      <c r="E1155" s="381" t="s">
        <v>1519</v>
      </c>
      <c r="F1155" s="378">
        <v>-11212.62</v>
      </c>
      <c r="G1155" s="378">
        <v>0</v>
      </c>
      <c r="H1155" s="378">
        <v>3647.9</v>
      </c>
      <c r="I1155" s="378">
        <v>-14860.52</v>
      </c>
      <c r="J1155" s="266">
        <f t="shared" si="18"/>
        <v>6</v>
      </c>
    </row>
    <row r="1156" spans="1:10" ht="15.75" customHeight="1" x14ac:dyDescent="0.25">
      <c r="A1156" s="380">
        <v>431040</v>
      </c>
      <c r="B1156" s="381" t="s">
        <v>321</v>
      </c>
      <c r="C1156" s="381" t="s">
        <v>1716</v>
      </c>
      <c r="D1156" s="381" t="s">
        <v>315</v>
      </c>
      <c r="E1156" s="381" t="s">
        <v>315</v>
      </c>
      <c r="F1156" s="378">
        <v>-791548</v>
      </c>
      <c r="G1156" s="378">
        <v>0</v>
      </c>
      <c r="H1156" s="378">
        <v>61327</v>
      </c>
      <c r="I1156" s="378">
        <v>-852875</v>
      </c>
      <c r="J1156" s="266">
        <f t="shared" si="18"/>
        <v>6</v>
      </c>
    </row>
    <row r="1157" spans="1:10" ht="15.75" customHeight="1" x14ac:dyDescent="0.25">
      <c r="A1157" s="380">
        <v>431040</v>
      </c>
      <c r="B1157" s="381" t="s">
        <v>321</v>
      </c>
      <c r="C1157" s="381" t="s">
        <v>1716</v>
      </c>
      <c r="D1157" s="381" t="s">
        <v>329</v>
      </c>
      <c r="E1157" s="381" t="s">
        <v>330</v>
      </c>
      <c r="F1157" s="378">
        <v>-57083</v>
      </c>
      <c r="G1157" s="378">
        <v>0</v>
      </c>
      <c r="H1157" s="378">
        <v>60205</v>
      </c>
      <c r="I1157" s="378">
        <v>-117288</v>
      </c>
      <c r="J1157" s="266">
        <f t="shared" si="18"/>
        <v>6</v>
      </c>
    </row>
    <row r="1158" spans="1:10" ht="15.75" customHeight="1" x14ac:dyDescent="0.25">
      <c r="A1158" s="380">
        <v>431040</v>
      </c>
      <c r="B1158" s="381" t="s">
        <v>321</v>
      </c>
      <c r="C1158" s="381" t="s">
        <v>1716</v>
      </c>
      <c r="D1158" s="381" t="s">
        <v>1578</v>
      </c>
      <c r="E1158" s="381" t="s">
        <v>1579</v>
      </c>
      <c r="F1158" s="378">
        <v>-159688</v>
      </c>
      <c r="G1158" s="378">
        <v>0</v>
      </c>
      <c r="H1158" s="378">
        <v>0</v>
      </c>
      <c r="I1158" s="378">
        <v>-159688</v>
      </c>
      <c r="J1158" s="266">
        <f t="shared" si="18"/>
        <v>6</v>
      </c>
    </row>
    <row r="1159" spans="1:10" ht="15.75" customHeight="1" x14ac:dyDescent="0.25">
      <c r="A1159" s="380">
        <v>431040</v>
      </c>
      <c r="B1159" s="381" t="s">
        <v>321</v>
      </c>
      <c r="C1159" s="381" t="s">
        <v>1716</v>
      </c>
      <c r="D1159" s="381" t="s">
        <v>375</v>
      </c>
      <c r="E1159" s="381" t="s">
        <v>817</v>
      </c>
      <c r="F1159" s="378">
        <v>-690</v>
      </c>
      <c r="G1159" s="378">
        <v>0</v>
      </c>
      <c r="H1159" s="378">
        <v>0</v>
      </c>
      <c r="I1159" s="378">
        <v>-690</v>
      </c>
      <c r="J1159" s="266">
        <f t="shared" si="18"/>
        <v>6</v>
      </c>
    </row>
    <row r="1160" spans="1:10" ht="15.75" customHeight="1" x14ac:dyDescent="0.25">
      <c r="A1160" s="380">
        <v>431040</v>
      </c>
      <c r="B1160" s="381" t="s">
        <v>321</v>
      </c>
      <c r="C1160" s="381" t="s">
        <v>1716</v>
      </c>
      <c r="D1160" s="381" t="s">
        <v>717</v>
      </c>
      <c r="E1160" s="381" t="s">
        <v>718</v>
      </c>
      <c r="F1160" s="378">
        <v>-568907</v>
      </c>
      <c r="G1160" s="378">
        <v>0</v>
      </c>
      <c r="H1160" s="378">
        <v>1122</v>
      </c>
      <c r="I1160" s="378">
        <v>-570029</v>
      </c>
      <c r="J1160" s="266">
        <f t="shared" si="18"/>
        <v>6</v>
      </c>
    </row>
    <row r="1161" spans="1:10" ht="15.75" customHeight="1" x14ac:dyDescent="0.25">
      <c r="A1161" s="380">
        <v>431040</v>
      </c>
      <c r="B1161" s="381" t="s">
        <v>321</v>
      </c>
      <c r="C1161" s="381" t="s">
        <v>1716</v>
      </c>
      <c r="D1161" s="381" t="s">
        <v>721</v>
      </c>
      <c r="E1161" s="381" t="s">
        <v>722</v>
      </c>
      <c r="F1161" s="378">
        <v>-5180</v>
      </c>
      <c r="G1161" s="378">
        <v>0</v>
      </c>
      <c r="H1161" s="378">
        <v>0</v>
      </c>
      <c r="I1161" s="378">
        <v>-5180</v>
      </c>
      <c r="J1161" s="266">
        <f t="shared" si="18"/>
        <v>6</v>
      </c>
    </row>
    <row r="1162" spans="1:10" ht="15.75" customHeight="1" x14ac:dyDescent="0.25">
      <c r="A1162" s="380">
        <v>5</v>
      </c>
      <c r="B1162" s="381" t="s">
        <v>315</v>
      </c>
      <c r="C1162" s="381" t="s">
        <v>182</v>
      </c>
      <c r="D1162" s="381" t="s">
        <v>315</v>
      </c>
      <c r="E1162" s="381" t="s">
        <v>315</v>
      </c>
      <c r="F1162" s="378">
        <v>932195689.38999999</v>
      </c>
      <c r="G1162" s="378">
        <v>199563956.96000001</v>
      </c>
      <c r="H1162" s="378">
        <v>15185064</v>
      </c>
      <c r="I1162" s="378">
        <v>1116574582.3499999</v>
      </c>
      <c r="J1162" s="266">
        <f t="shared" si="18"/>
        <v>1</v>
      </c>
    </row>
    <row r="1163" spans="1:10" ht="15.75" customHeight="1" x14ac:dyDescent="0.25">
      <c r="A1163" s="380">
        <v>52</v>
      </c>
      <c r="B1163" s="381" t="s">
        <v>315</v>
      </c>
      <c r="C1163" s="381" t="s">
        <v>474</v>
      </c>
      <c r="D1163" s="381" t="s">
        <v>315</v>
      </c>
      <c r="E1163" s="381" t="s">
        <v>315</v>
      </c>
      <c r="F1163" s="378">
        <v>846463206.25</v>
      </c>
      <c r="G1163" s="378">
        <v>163706767.94999999</v>
      </c>
      <c r="H1163" s="378">
        <v>1266233</v>
      </c>
      <c r="I1163" s="378">
        <v>1008903741.2</v>
      </c>
      <c r="J1163" s="266">
        <f t="shared" si="18"/>
        <v>2</v>
      </c>
    </row>
    <row r="1164" spans="1:10" ht="15.75" customHeight="1" x14ac:dyDescent="0.25">
      <c r="A1164" s="380">
        <v>5204</v>
      </c>
      <c r="B1164" s="381" t="s">
        <v>321</v>
      </c>
      <c r="C1164" s="381" t="s">
        <v>1717</v>
      </c>
      <c r="D1164" s="381" t="s">
        <v>315</v>
      </c>
      <c r="E1164" s="381" t="s">
        <v>315</v>
      </c>
      <c r="F1164" s="378">
        <v>52525564</v>
      </c>
      <c r="G1164" s="378">
        <v>10707489</v>
      </c>
      <c r="H1164" s="378">
        <v>0</v>
      </c>
      <c r="I1164" s="378">
        <v>63233053</v>
      </c>
      <c r="J1164" s="266">
        <f t="shared" ref="J1164:J1227" si="19">+LEN(A1164)</f>
        <v>4</v>
      </c>
    </row>
    <row r="1165" spans="1:10" ht="15.75" customHeight="1" x14ac:dyDescent="0.25">
      <c r="A1165" s="380">
        <v>520468</v>
      </c>
      <c r="B1165" s="381" t="s">
        <v>321</v>
      </c>
      <c r="C1165" s="381" t="s">
        <v>1319</v>
      </c>
      <c r="D1165" s="381" t="s">
        <v>315</v>
      </c>
      <c r="E1165" s="381" t="s">
        <v>315</v>
      </c>
      <c r="F1165" s="378">
        <v>6455500</v>
      </c>
      <c r="G1165" s="378">
        <v>1377600</v>
      </c>
      <c r="H1165" s="378">
        <v>0</v>
      </c>
      <c r="I1165" s="378">
        <v>7833100</v>
      </c>
      <c r="J1165" s="266">
        <f t="shared" si="19"/>
        <v>6</v>
      </c>
    </row>
    <row r="1166" spans="1:10" ht="15.75" customHeight="1" x14ac:dyDescent="0.25">
      <c r="A1166" s="380">
        <v>52046801</v>
      </c>
      <c r="B1166" s="381" t="s">
        <v>321</v>
      </c>
      <c r="C1166" s="381" t="s">
        <v>1319</v>
      </c>
      <c r="D1166" s="381" t="s">
        <v>315</v>
      </c>
      <c r="E1166" s="381" t="s">
        <v>315</v>
      </c>
      <c r="F1166" s="378">
        <v>6455500</v>
      </c>
      <c r="G1166" s="378">
        <v>1377600</v>
      </c>
      <c r="H1166" s="378">
        <v>0</v>
      </c>
      <c r="I1166" s="378">
        <v>7833100</v>
      </c>
      <c r="J1166" s="266">
        <f t="shared" si="19"/>
        <v>8</v>
      </c>
    </row>
    <row r="1167" spans="1:10" ht="15.75" customHeight="1" x14ac:dyDescent="0.25">
      <c r="A1167" s="380">
        <v>52046801</v>
      </c>
      <c r="B1167" s="381" t="s">
        <v>321</v>
      </c>
      <c r="C1167" s="381" t="s">
        <v>1319</v>
      </c>
      <c r="D1167" s="381" t="s">
        <v>1488</v>
      </c>
      <c r="E1167" s="381" t="s">
        <v>1682</v>
      </c>
      <c r="F1167" s="378">
        <v>53300</v>
      </c>
      <c r="G1167" s="378">
        <v>0</v>
      </c>
      <c r="H1167" s="378">
        <v>0</v>
      </c>
      <c r="I1167" s="378">
        <v>53300</v>
      </c>
      <c r="J1167" s="266">
        <f t="shared" si="19"/>
        <v>8</v>
      </c>
    </row>
    <row r="1168" spans="1:10" ht="15.75" customHeight="1" x14ac:dyDescent="0.25">
      <c r="A1168" s="380">
        <v>52046801</v>
      </c>
      <c r="B1168" s="381" t="s">
        <v>321</v>
      </c>
      <c r="C1168" s="381" t="s">
        <v>1319</v>
      </c>
      <c r="D1168" s="381" t="s">
        <v>1535</v>
      </c>
      <c r="E1168" s="381" t="s">
        <v>1536</v>
      </c>
      <c r="F1168" s="378">
        <v>278600</v>
      </c>
      <c r="G1168" s="378">
        <v>56400</v>
      </c>
      <c r="H1168" s="378">
        <v>0</v>
      </c>
      <c r="I1168" s="378">
        <v>335000</v>
      </c>
      <c r="J1168" s="266">
        <f t="shared" si="19"/>
        <v>8</v>
      </c>
    </row>
    <row r="1169" spans="1:10" ht="15.75" customHeight="1" x14ac:dyDescent="0.25">
      <c r="A1169" s="380">
        <v>52046801</v>
      </c>
      <c r="B1169" s="381" t="s">
        <v>321</v>
      </c>
      <c r="C1169" s="381" t="s">
        <v>1319</v>
      </c>
      <c r="D1169" s="381" t="s">
        <v>1604</v>
      </c>
      <c r="E1169" s="381" t="s">
        <v>1605</v>
      </c>
      <c r="F1169" s="378">
        <v>305100</v>
      </c>
      <c r="G1169" s="378">
        <v>70400</v>
      </c>
      <c r="H1169" s="378">
        <v>0</v>
      </c>
      <c r="I1169" s="378">
        <v>375500</v>
      </c>
      <c r="J1169" s="266">
        <f t="shared" si="19"/>
        <v>8</v>
      </c>
    </row>
    <row r="1170" spans="1:10" ht="15.75" customHeight="1" x14ac:dyDescent="0.25">
      <c r="A1170" s="380">
        <v>52046801</v>
      </c>
      <c r="B1170" s="381" t="s">
        <v>321</v>
      </c>
      <c r="C1170" s="381" t="s">
        <v>1319</v>
      </c>
      <c r="D1170" s="381" t="s">
        <v>1649</v>
      </c>
      <c r="E1170" s="381" t="s">
        <v>1650</v>
      </c>
      <c r="F1170" s="378">
        <v>285100</v>
      </c>
      <c r="G1170" s="378">
        <v>56500</v>
      </c>
      <c r="H1170" s="378">
        <v>0</v>
      </c>
      <c r="I1170" s="378">
        <v>341600</v>
      </c>
      <c r="J1170" s="266">
        <f t="shared" si="19"/>
        <v>8</v>
      </c>
    </row>
    <row r="1171" spans="1:10" ht="15.75" customHeight="1" x14ac:dyDescent="0.25">
      <c r="A1171" s="380">
        <v>52046801</v>
      </c>
      <c r="B1171" s="381" t="s">
        <v>321</v>
      </c>
      <c r="C1171" s="381" t="s">
        <v>1319</v>
      </c>
      <c r="D1171" s="381" t="s">
        <v>1690</v>
      </c>
      <c r="E1171" s="381" t="s">
        <v>1691</v>
      </c>
      <c r="F1171" s="378">
        <v>1900</v>
      </c>
      <c r="G1171" s="378">
        <v>0</v>
      </c>
      <c r="H1171" s="378">
        <v>0</v>
      </c>
      <c r="I1171" s="378">
        <v>1900</v>
      </c>
      <c r="J1171" s="266">
        <f t="shared" si="19"/>
        <v>8</v>
      </c>
    </row>
    <row r="1172" spans="1:10" ht="15.75" customHeight="1" x14ac:dyDescent="0.25">
      <c r="A1172" s="380">
        <v>52046801</v>
      </c>
      <c r="B1172" s="381" t="s">
        <v>321</v>
      </c>
      <c r="C1172" s="381" t="s">
        <v>1319</v>
      </c>
      <c r="D1172" s="381" t="s">
        <v>1651</v>
      </c>
      <c r="E1172" s="381" t="s">
        <v>1652</v>
      </c>
      <c r="F1172" s="378">
        <v>242100</v>
      </c>
      <c r="G1172" s="378">
        <v>57200</v>
      </c>
      <c r="H1172" s="378">
        <v>0</v>
      </c>
      <c r="I1172" s="378">
        <v>299300</v>
      </c>
      <c r="J1172" s="266">
        <f t="shared" si="19"/>
        <v>8</v>
      </c>
    </row>
    <row r="1173" spans="1:10" ht="15.75" customHeight="1" x14ac:dyDescent="0.25">
      <c r="A1173" s="380">
        <v>52046801</v>
      </c>
      <c r="B1173" s="381" t="s">
        <v>321</v>
      </c>
      <c r="C1173" s="381" t="s">
        <v>1319</v>
      </c>
      <c r="D1173" s="381" t="s">
        <v>1443</v>
      </c>
      <c r="E1173" s="381" t="s">
        <v>1530</v>
      </c>
      <c r="F1173" s="378">
        <v>323200</v>
      </c>
      <c r="G1173" s="378">
        <v>70700</v>
      </c>
      <c r="H1173" s="378">
        <v>0</v>
      </c>
      <c r="I1173" s="378">
        <v>393900</v>
      </c>
      <c r="J1173" s="266">
        <f t="shared" si="19"/>
        <v>8</v>
      </c>
    </row>
    <row r="1174" spans="1:10" ht="15.75" customHeight="1" x14ac:dyDescent="0.25">
      <c r="A1174" s="380">
        <v>52046801</v>
      </c>
      <c r="B1174" s="381" t="s">
        <v>321</v>
      </c>
      <c r="C1174" s="381" t="s">
        <v>1319</v>
      </c>
      <c r="D1174" s="381" t="s">
        <v>1653</v>
      </c>
      <c r="E1174" s="381" t="s">
        <v>1654</v>
      </c>
      <c r="F1174" s="378">
        <v>290800</v>
      </c>
      <c r="G1174" s="378">
        <v>64100</v>
      </c>
      <c r="H1174" s="378">
        <v>0</v>
      </c>
      <c r="I1174" s="378">
        <v>354900</v>
      </c>
      <c r="J1174" s="266">
        <f t="shared" si="19"/>
        <v>8</v>
      </c>
    </row>
    <row r="1175" spans="1:10" ht="15.75" customHeight="1" x14ac:dyDescent="0.25">
      <c r="A1175" s="380">
        <v>52046801</v>
      </c>
      <c r="B1175" s="381" t="s">
        <v>321</v>
      </c>
      <c r="C1175" s="381" t="s">
        <v>1319</v>
      </c>
      <c r="D1175" s="381" t="s">
        <v>1683</v>
      </c>
      <c r="E1175" s="381" t="s">
        <v>1684</v>
      </c>
      <c r="F1175" s="378">
        <v>122600</v>
      </c>
      <c r="G1175" s="378">
        <v>0</v>
      </c>
      <c r="H1175" s="378">
        <v>0</v>
      </c>
      <c r="I1175" s="378">
        <v>122600</v>
      </c>
      <c r="J1175" s="266">
        <f t="shared" si="19"/>
        <v>8</v>
      </c>
    </row>
    <row r="1176" spans="1:10" ht="15.75" customHeight="1" x14ac:dyDescent="0.25">
      <c r="A1176" s="380">
        <v>52046801</v>
      </c>
      <c r="B1176" s="381" t="s">
        <v>321</v>
      </c>
      <c r="C1176" s="381" t="s">
        <v>1319</v>
      </c>
      <c r="D1176" s="381" t="s">
        <v>1606</v>
      </c>
      <c r="E1176" s="381" t="s">
        <v>1607</v>
      </c>
      <c r="F1176" s="378">
        <v>309700</v>
      </c>
      <c r="G1176" s="378">
        <v>60000</v>
      </c>
      <c r="H1176" s="378">
        <v>0</v>
      </c>
      <c r="I1176" s="378">
        <v>369700</v>
      </c>
      <c r="J1176" s="266">
        <f t="shared" si="19"/>
        <v>8</v>
      </c>
    </row>
    <row r="1177" spans="1:10" ht="15.75" customHeight="1" x14ac:dyDescent="0.25">
      <c r="A1177" s="380">
        <v>52046801</v>
      </c>
      <c r="B1177" s="381" t="s">
        <v>321</v>
      </c>
      <c r="C1177" s="381" t="s">
        <v>1319</v>
      </c>
      <c r="D1177" s="381" t="s">
        <v>1686</v>
      </c>
      <c r="E1177" s="381" t="s">
        <v>1687</v>
      </c>
      <c r="F1177" s="378">
        <v>141800</v>
      </c>
      <c r="G1177" s="378">
        <v>0</v>
      </c>
      <c r="H1177" s="378">
        <v>0</v>
      </c>
      <c r="I1177" s="378">
        <v>141800</v>
      </c>
      <c r="J1177" s="266">
        <f t="shared" si="19"/>
        <v>8</v>
      </c>
    </row>
    <row r="1178" spans="1:10" ht="15.75" customHeight="1" x14ac:dyDescent="0.25">
      <c r="A1178" s="380">
        <v>52046801</v>
      </c>
      <c r="B1178" s="381" t="s">
        <v>321</v>
      </c>
      <c r="C1178" s="381" t="s">
        <v>1319</v>
      </c>
      <c r="D1178" s="381" t="s">
        <v>1655</v>
      </c>
      <c r="E1178" s="381" t="s">
        <v>1656</v>
      </c>
      <c r="F1178" s="378">
        <v>81600</v>
      </c>
      <c r="G1178" s="378">
        <v>48400</v>
      </c>
      <c r="H1178" s="378">
        <v>0</v>
      </c>
      <c r="I1178" s="378">
        <v>130000</v>
      </c>
      <c r="J1178" s="266">
        <f t="shared" si="19"/>
        <v>8</v>
      </c>
    </row>
    <row r="1179" spans="1:10" ht="15.75" customHeight="1" x14ac:dyDescent="0.25">
      <c r="A1179" s="380">
        <v>52046801</v>
      </c>
      <c r="B1179" s="381" t="s">
        <v>321</v>
      </c>
      <c r="C1179" s="381" t="s">
        <v>1319</v>
      </c>
      <c r="D1179" s="381" t="s">
        <v>1657</v>
      </c>
      <c r="E1179" s="381" t="s">
        <v>1658</v>
      </c>
      <c r="F1179" s="378">
        <v>270300</v>
      </c>
      <c r="G1179" s="378">
        <v>55100</v>
      </c>
      <c r="H1179" s="378">
        <v>0</v>
      </c>
      <c r="I1179" s="378">
        <v>325400</v>
      </c>
      <c r="J1179" s="266">
        <f t="shared" si="19"/>
        <v>8</v>
      </c>
    </row>
    <row r="1180" spans="1:10" ht="15.75" customHeight="1" x14ac:dyDescent="0.25">
      <c r="A1180" s="380">
        <v>52046801</v>
      </c>
      <c r="B1180" s="381" t="s">
        <v>321</v>
      </c>
      <c r="C1180" s="381" t="s">
        <v>1319</v>
      </c>
      <c r="D1180" s="381" t="s">
        <v>1659</v>
      </c>
      <c r="E1180" s="381" t="s">
        <v>1660</v>
      </c>
      <c r="F1180" s="378">
        <v>291500</v>
      </c>
      <c r="G1180" s="378">
        <v>4800</v>
      </c>
      <c r="H1180" s="378">
        <v>0</v>
      </c>
      <c r="I1180" s="378">
        <v>296300</v>
      </c>
      <c r="J1180" s="266">
        <f t="shared" si="19"/>
        <v>8</v>
      </c>
    </row>
    <row r="1181" spans="1:10" ht="15.75" customHeight="1" x14ac:dyDescent="0.25">
      <c r="A1181" s="380">
        <v>52046801</v>
      </c>
      <c r="B1181" s="381" t="s">
        <v>321</v>
      </c>
      <c r="C1181" s="381" t="s">
        <v>1319</v>
      </c>
      <c r="D1181" s="381" t="s">
        <v>1527</v>
      </c>
      <c r="E1181" s="381" t="s">
        <v>1528</v>
      </c>
      <c r="F1181" s="378">
        <v>263500</v>
      </c>
      <c r="G1181" s="378">
        <v>28500</v>
      </c>
      <c r="H1181" s="378">
        <v>0</v>
      </c>
      <c r="I1181" s="378">
        <v>292000</v>
      </c>
      <c r="J1181" s="266">
        <f t="shared" si="19"/>
        <v>8</v>
      </c>
    </row>
    <row r="1182" spans="1:10" ht="15.75" customHeight="1" x14ac:dyDescent="0.25">
      <c r="A1182" s="380">
        <v>52046801</v>
      </c>
      <c r="B1182" s="381" t="s">
        <v>321</v>
      </c>
      <c r="C1182" s="381" t="s">
        <v>1319</v>
      </c>
      <c r="D1182" s="381" t="s">
        <v>1444</v>
      </c>
      <c r="E1182" s="381" t="s">
        <v>1533</v>
      </c>
      <c r="F1182" s="378">
        <v>327100</v>
      </c>
      <c r="G1182" s="378">
        <v>70500</v>
      </c>
      <c r="H1182" s="378">
        <v>0</v>
      </c>
      <c r="I1182" s="378">
        <v>397600</v>
      </c>
      <c r="J1182" s="266">
        <f t="shared" si="19"/>
        <v>8</v>
      </c>
    </row>
    <row r="1183" spans="1:10" ht="15.75" customHeight="1" x14ac:dyDescent="0.25">
      <c r="A1183" s="380">
        <v>52046801</v>
      </c>
      <c r="B1183" s="381" t="s">
        <v>321</v>
      </c>
      <c r="C1183" s="381" t="s">
        <v>1319</v>
      </c>
      <c r="D1183" s="381" t="s">
        <v>1661</v>
      </c>
      <c r="E1183" s="381" t="s">
        <v>1662</v>
      </c>
      <c r="F1183" s="378">
        <v>297800</v>
      </c>
      <c r="G1183" s="378">
        <v>51900</v>
      </c>
      <c r="H1183" s="378">
        <v>0</v>
      </c>
      <c r="I1183" s="378">
        <v>349700</v>
      </c>
      <c r="J1183" s="266">
        <f t="shared" si="19"/>
        <v>8</v>
      </c>
    </row>
    <row r="1184" spans="1:10" ht="15.75" customHeight="1" x14ac:dyDescent="0.25">
      <c r="A1184" s="380">
        <v>52046801</v>
      </c>
      <c r="B1184" s="381" t="s">
        <v>321</v>
      </c>
      <c r="C1184" s="381" t="s">
        <v>1319</v>
      </c>
      <c r="D1184" s="381" t="s">
        <v>1663</v>
      </c>
      <c r="E1184" s="381" t="s">
        <v>1664</v>
      </c>
      <c r="F1184" s="378">
        <v>251000</v>
      </c>
      <c r="G1184" s="378">
        <v>59900</v>
      </c>
      <c r="H1184" s="378">
        <v>0</v>
      </c>
      <c r="I1184" s="378">
        <v>310900</v>
      </c>
      <c r="J1184" s="266">
        <f t="shared" si="19"/>
        <v>8</v>
      </c>
    </row>
    <row r="1185" spans="1:10" ht="15.75" customHeight="1" x14ac:dyDescent="0.25">
      <c r="A1185" s="380">
        <v>52046801</v>
      </c>
      <c r="B1185" s="381" t="s">
        <v>321</v>
      </c>
      <c r="C1185" s="381" t="s">
        <v>1319</v>
      </c>
      <c r="D1185" s="381" t="s">
        <v>1609</v>
      </c>
      <c r="E1185" s="381" t="s">
        <v>1610</v>
      </c>
      <c r="F1185" s="378">
        <v>271600</v>
      </c>
      <c r="G1185" s="378">
        <v>59200</v>
      </c>
      <c r="H1185" s="378">
        <v>0</v>
      </c>
      <c r="I1185" s="378">
        <v>330800</v>
      </c>
      <c r="J1185" s="266">
        <f t="shared" si="19"/>
        <v>8</v>
      </c>
    </row>
    <row r="1186" spans="1:10" ht="15.75" customHeight="1" x14ac:dyDescent="0.25">
      <c r="A1186" s="380">
        <v>52046801</v>
      </c>
      <c r="B1186" s="381" t="s">
        <v>321</v>
      </c>
      <c r="C1186" s="381" t="s">
        <v>1319</v>
      </c>
      <c r="D1186" s="381" t="s">
        <v>1490</v>
      </c>
      <c r="E1186" s="381" t="s">
        <v>1491</v>
      </c>
      <c r="F1186" s="378">
        <v>107500</v>
      </c>
      <c r="G1186" s="378">
        <v>0</v>
      </c>
      <c r="H1186" s="378">
        <v>0</v>
      </c>
      <c r="I1186" s="378">
        <v>107500</v>
      </c>
      <c r="J1186" s="266">
        <f t="shared" si="19"/>
        <v>8</v>
      </c>
    </row>
    <row r="1187" spans="1:10" ht="15.75" customHeight="1" x14ac:dyDescent="0.25">
      <c r="A1187" s="380">
        <v>52046801</v>
      </c>
      <c r="B1187" s="381" t="s">
        <v>321</v>
      </c>
      <c r="C1187" s="381" t="s">
        <v>1319</v>
      </c>
      <c r="D1187" s="381" t="s">
        <v>1210</v>
      </c>
      <c r="E1187" s="381" t="s">
        <v>1611</v>
      </c>
      <c r="F1187" s="378">
        <v>159500</v>
      </c>
      <c r="G1187" s="378">
        <v>51300</v>
      </c>
      <c r="H1187" s="378">
        <v>0</v>
      </c>
      <c r="I1187" s="378">
        <v>210800</v>
      </c>
      <c r="J1187" s="266">
        <f t="shared" si="19"/>
        <v>8</v>
      </c>
    </row>
    <row r="1188" spans="1:10" ht="15.75" customHeight="1" x14ac:dyDescent="0.25">
      <c r="A1188" s="380">
        <v>52046801</v>
      </c>
      <c r="B1188" s="381" t="s">
        <v>321</v>
      </c>
      <c r="C1188" s="381" t="s">
        <v>1319</v>
      </c>
      <c r="D1188" s="381" t="s">
        <v>1523</v>
      </c>
      <c r="E1188" s="381" t="s">
        <v>1524</v>
      </c>
      <c r="F1188" s="378">
        <v>603500</v>
      </c>
      <c r="G1188" s="378">
        <v>133100</v>
      </c>
      <c r="H1188" s="378">
        <v>0</v>
      </c>
      <c r="I1188" s="378">
        <v>736600</v>
      </c>
      <c r="J1188" s="266">
        <f t="shared" si="19"/>
        <v>8</v>
      </c>
    </row>
    <row r="1189" spans="1:10" ht="15.75" customHeight="1" x14ac:dyDescent="0.25">
      <c r="A1189" s="380">
        <v>52046801</v>
      </c>
      <c r="B1189" s="381" t="s">
        <v>321</v>
      </c>
      <c r="C1189" s="381" t="s">
        <v>1319</v>
      </c>
      <c r="D1189" s="381" t="s">
        <v>1665</v>
      </c>
      <c r="E1189" s="381" t="s">
        <v>1666</v>
      </c>
      <c r="F1189" s="378">
        <v>25600</v>
      </c>
      <c r="G1189" s="378">
        <v>44100</v>
      </c>
      <c r="H1189" s="378">
        <v>0</v>
      </c>
      <c r="I1189" s="378">
        <v>69700</v>
      </c>
      <c r="J1189" s="266">
        <f t="shared" si="19"/>
        <v>8</v>
      </c>
    </row>
    <row r="1190" spans="1:10" ht="15.75" customHeight="1" x14ac:dyDescent="0.25">
      <c r="A1190" s="380">
        <v>52046801</v>
      </c>
      <c r="B1190" s="381" t="s">
        <v>321</v>
      </c>
      <c r="C1190" s="381" t="s">
        <v>1319</v>
      </c>
      <c r="D1190" s="381" t="s">
        <v>792</v>
      </c>
      <c r="E1190" s="381" t="s">
        <v>1534</v>
      </c>
      <c r="F1190" s="378">
        <v>244200</v>
      </c>
      <c r="G1190" s="378">
        <v>63000</v>
      </c>
      <c r="H1190" s="378">
        <v>0</v>
      </c>
      <c r="I1190" s="378">
        <v>307200</v>
      </c>
      <c r="J1190" s="266">
        <f t="shared" si="19"/>
        <v>8</v>
      </c>
    </row>
    <row r="1191" spans="1:10" ht="15.75" customHeight="1" x14ac:dyDescent="0.25">
      <c r="A1191" s="380">
        <v>52046801</v>
      </c>
      <c r="B1191" s="381" t="s">
        <v>321</v>
      </c>
      <c r="C1191" s="381" t="s">
        <v>1319</v>
      </c>
      <c r="D1191" s="381" t="s">
        <v>1688</v>
      </c>
      <c r="E1191" s="381" t="s">
        <v>1689</v>
      </c>
      <c r="F1191" s="378">
        <v>89000</v>
      </c>
      <c r="G1191" s="378">
        <v>0</v>
      </c>
      <c r="H1191" s="378">
        <v>0</v>
      </c>
      <c r="I1191" s="378">
        <v>89000</v>
      </c>
      <c r="J1191" s="266">
        <f t="shared" si="19"/>
        <v>8</v>
      </c>
    </row>
    <row r="1192" spans="1:10" ht="15.75" customHeight="1" x14ac:dyDescent="0.25">
      <c r="A1192" s="380">
        <v>52046801</v>
      </c>
      <c r="B1192" s="381" t="s">
        <v>321</v>
      </c>
      <c r="C1192" s="381" t="s">
        <v>1319</v>
      </c>
      <c r="D1192" s="381" t="s">
        <v>1492</v>
      </c>
      <c r="E1192" s="381" t="s">
        <v>1493</v>
      </c>
      <c r="F1192" s="378">
        <v>103400</v>
      </c>
      <c r="G1192" s="378">
        <v>0</v>
      </c>
      <c r="H1192" s="378">
        <v>0</v>
      </c>
      <c r="I1192" s="378">
        <v>103400</v>
      </c>
      <c r="J1192" s="266">
        <f t="shared" si="19"/>
        <v>8</v>
      </c>
    </row>
    <row r="1193" spans="1:10" ht="15.75" customHeight="1" x14ac:dyDescent="0.25">
      <c r="A1193" s="380">
        <v>52046801</v>
      </c>
      <c r="B1193" s="381" t="s">
        <v>321</v>
      </c>
      <c r="C1193" s="381" t="s">
        <v>1319</v>
      </c>
      <c r="D1193" s="381" t="s">
        <v>1412</v>
      </c>
      <c r="E1193" s="381" t="s">
        <v>1413</v>
      </c>
      <c r="F1193" s="378">
        <v>21400</v>
      </c>
      <c r="G1193" s="378">
        <v>0</v>
      </c>
      <c r="H1193" s="378">
        <v>0</v>
      </c>
      <c r="I1193" s="378">
        <v>21400</v>
      </c>
      <c r="J1193" s="266">
        <f t="shared" si="19"/>
        <v>8</v>
      </c>
    </row>
    <row r="1194" spans="1:10" ht="15.75" customHeight="1" x14ac:dyDescent="0.25">
      <c r="A1194" s="380">
        <v>52046801</v>
      </c>
      <c r="B1194" s="381" t="s">
        <v>321</v>
      </c>
      <c r="C1194" s="381" t="s">
        <v>1319</v>
      </c>
      <c r="D1194" s="381" t="s">
        <v>1667</v>
      </c>
      <c r="E1194" s="381" t="s">
        <v>1668</v>
      </c>
      <c r="F1194" s="378">
        <v>48300</v>
      </c>
      <c r="G1194" s="378">
        <v>46300</v>
      </c>
      <c r="H1194" s="378">
        <v>0</v>
      </c>
      <c r="I1194" s="378">
        <v>94600</v>
      </c>
      <c r="J1194" s="266">
        <f t="shared" si="19"/>
        <v>8</v>
      </c>
    </row>
    <row r="1195" spans="1:10" ht="15.75" customHeight="1" x14ac:dyDescent="0.25">
      <c r="A1195" s="380">
        <v>52046801</v>
      </c>
      <c r="B1195" s="381" t="s">
        <v>321</v>
      </c>
      <c r="C1195" s="381" t="s">
        <v>1319</v>
      </c>
      <c r="D1195" s="381" t="s">
        <v>1669</v>
      </c>
      <c r="E1195" s="381" t="s">
        <v>1670</v>
      </c>
      <c r="F1195" s="378">
        <v>259800</v>
      </c>
      <c r="G1195" s="378">
        <v>40200</v>
      </c>
      <c r="H1195" s="378">
        <v>0</v>
      </c>
      <c r="I1195" s="378">
        <v>300000</v>
      </c>
      <c r="J1195" s="266">
        <f t="shared" si="19"/>
        <v>8</v>
      </c>
    </row>
    <row r="1196" spans="1:10" ht="15.75" customHeight="1" x14ac:dyDescent="0.25">
      <c r="A1196" s="380">
        <v>52046801</v>
      </c>
      <c r="B1196" s="381" t="s">
        <v>321</v>
      </c>
      <c r="C1196" s="381" t="s">
        <v>1319</v>
      </c>
      <c r="D1196" s="381" t="s">
        <v>1671</v>
      </c>
      <c r="E1196" s="381" t="s">
        <v>1672</v>
      </c>
      <c r="F1196" s="378">
        <v>95100</v>
      </c>
      <c r="G1196" s="378">
        <v>57600</v>
      </c>
      <c r="H1196" s="378">
        <v>0</v>
      </c>
      <c r="I1196" s="378">
        <v>152700</v>
      </c>
      <c r="J1196" s="266">
        <f t="shared" si="19"/>
        <v>8</v>
      </c>
    </row>
    <row r="1197" spans="1:10" ht="15.75" customHeight="1" x14ac:dyDescent="0.25">
      <c r="A1197" s="380">
        <v>52046801</v>
      </c>
      <c r="B1197" s="381" t="s">
        <v>321</v>
      </c>
      <c r="C1197" s="381" t="s">
        <v>1319</v>
      </c>
      <c r="D1197" s="381" t="s">
        <v>1673</v>
      </c>
      <c r="E1197" s="381" t="s">
        <v>1674</v>
      </c>
      <c r="F1197" s="378">
        <v>289600</v>
      </c>
      <c r="G1197" s="378">
        <v>62900</v>
      </c>
      <c r="H1197" s="378">
        <v>0</v>
      </c>
      <c r="I1197" s="378">
        <v>352500</v>
      </c>
      <c r="J1197" s="266">
        <f t="shared" si="19"/>
        <v>8</v>
      </c>
    </row>
    <row r="1198" spans="1:10" ht="15.75" customHeight="1" x14ac:dyDescent="0.25">
      <c r="A1198" s="380">
        <v>52046801</v>
      </c>
      <c r="B1198" s="381" t="s">
        <v>321</v>
      </c>
      <c r="C1198" s="381" t="s">
        <v>1319</v>
      </c>
      <c r="D1198" s="381" t="s">
        <v>1675</v>
      </c>
      <c r="E1198" s="381" t="s">
        <v>1676</v>
      </c>
      <c r="F1198" s="378">
        <v>0</v>
      </c>
      <c r="G1198" s="378">
        <v>11400</v>
      </c>
      <c r="H1198" s="378">
        <v>0</v>
      </c>
      <c r="I1198" s="378">
        <v>11400</v>
      </c>
      <c r="J1198" s="266">
        <f t="shared" si="19"/>
        <v>8</v>
      </c>
    </row>
    <row r="1199" spans="1:10" ht="15.75" customHeight="1" x14ac:dyDescent="0.25">
      <c r="A1199" s="380">
        <v>52046801</v>
      </c>
      <c r="B1199" s="381" t="s">
        <v>321</v>
      </c>
      <c r="C1199" s="381" t="s">
        <v>1319</v>
      </c>
      <c r="D1199" s="381" t="s">
        <v>1677</v>
      </c>
      <c r="E1199" s="381" t="s">
        <v>1678</v>
      </c>
      <c r="F1199" s="378">
        <v>0</v>
      </c>
      <c r="G1199" s="378">
        <v>11400</v>
      </c>
      <c r="H1199" s="378">
        <v>0</v>
      </c>
      <c r="I1199" s="378">
        <v>11400</v>
      </c>
      <c r="J1199" s="266">
        <f t="shared" si="19"/>
        <v>8</v>
      </c>
    </row>
    <row r="1200" spans="1:10" ht="15.75" customHeight="1" x14ac:dyDescent="0.25">
      <c r="A1200" s="380">
        <v>52046801</v>
      </c>
      <c r="B1200" s="381" t="s">
        <v>321</v>
      </c>
      <c r="C1200" s="381" t="s">
        <v>1319</v>
      </c>
      <c r="D1200" s="381" t="s">
        <v>1679</v>
      </c>
      <c r="E1200" s="381" t="s">
        <v>1680</v>
      </c>
      <c r="F1200" s="378">
        <v>0</v>
      </c>
      <c r="G1200" s="378">
        <v>42700</v>
      </c>
      <c r="H1200" s="378">
        <v>0</v>
      </c>
      <c r="I1200" s="378">
        <v>42700</v>
      </c>
      <c r="J1200" s="266">
        <f t="shared" si="19"/>
        <v>8</v>
      </c>
    </row>
    <row r="1201" spans="1:10" ht="15.75" customHeight="1" x14ac:dyDescent="0.25">
      <c r="A1201" s="380">
        <v>520469</v>
      </c>
      <c r="B1201" s="381" t="s">
        <v>321</v>
      </c>
      <c r="C1201" s="381" t="s">
        <v>1320</v>
      </c>
      <c r="D1201" s="381" t="s">
        <v>315</v>
      </c>
      <c r="E1201" s="381" t="s">
        <v>315</v>
      </c>
      <c r="F1201" s="378">
        <v>168735</v>
      </c>
      <c r="G1201" s="378">
        <v>218900</v>
      </c>
      <c r="H1201" s="378">
        <v>0</v>
      </c>
      <c r="I1201" s="378">
        <v>387635</v>
      </c>
      <c r="J1201" s="266">
        <f t="shared" si="19"/>
        <v>6</v>
      </c>
    </row>
    <row r="1202" spans="1:10" ht="15.75" customHeight="1" x14ac:dyDescent="0.25">
      <c r="A1202" s="380">
        <v>52046901</v>
      </c>
      <c r="B1202" s="381" t="s">
        <v>321</v>
      </c>
      <c r="C1202" s="381" t="s">
        <v>1320</v>
      </c>
      <c r="D1202" s="381" t="s">
        <v>315</v>
      </c>
      <c r="E1202" s="381" t="s">
        <v>315</v>
      </c>
      <c r="F1202" s="378">
        <v>168735</v>
      </c>
      <c r="G1202" s="378">
        <v>218900</v>
      </c>
      <c r="H1202" s="378">
        <v>0</v>
      </c>
      <c r="I1202" s="378">
        <v>387635</v>
      </c>
      <c r="J1202" s="266">
        <f t="shared" si="19"/>
        <v>8</v>
      </c>
    </row>
    <row r="1203" spans="1:10" ht="15.75" customHeight="1" x14ac:dyDescent="0.25">
      <c r="A1203" s="380">
        <v>52046901</v>
      </c>
      <c r="B1203" s="381" t="s">
        <v>321</v>
      </c>
      <c r="C1203" s="381" t="s">
        <v>1320</v>
      </c>
      <c r="D1203" s="381" t="s">
        <v>1535</v>
      </c>
      <c r="E1203" s="381" t="s">
        <v>1536</v>
      </c>
      <c r="F1203" s="378">
        <v>194</v>
      </c>
      <c r="G1203" s="378">
        <v>0</v>
      </c>
      <c r="H1203" s="378">
        <v>0</v>
      </c>
      <c r="I1203" s="378">
        <v>194</v>
      </c>
      <c r="J1203" s="266">
        <f t="shared" si="19"/>
        <v>8</v>
      </c>
    </row>
    <row r="1204" spans="1:10" ht="15.75" customHeight="1" x14ac:dyDescent="0.25">
      <c r="A1204" s="380">
        <v>52046901</v>
      </c>
      <c r="B1204" s="381" t="s">
        <v>321</v>
      </c>
      <c r="C1204" s="381" t="s">
        <v>1320</v>
      </c>
      <c r="D1204" s="381" t="s">
        <v>1604</v>
      </c>
      <c r="E1204" s="381" t="s">
        <v>1605</v>
      </c>
      <c r="F1204" s="378">
        <v>73</v>
      </c>
      <c r="G1204" s="378">
        <v>0</v>
      </c>
      <c r="H1204" s="378">
        <v>0</v>
      </c>
      <c r="I1204" s="378">
        <v>73</v>
      </c>
      <c r="J1204" s="266">
        <f t="shared" si="19"/>
        <v>8</v>
      </c>
    </row>
    <row r="1205" spans="1:10" ht="15.75" customHeight="1" x14ac:dyDescent="0.25">
      <c r="A1205" s="380">
        <v>52046901</v>
      </c>
      <c r="B1205" s="381" t="s">
        <v>321</v>
      </c>
      <c r="C1205" s="381" t="s">
        <v>1320</v>
      </c>
      <c r="D1205" s="381" t="s">
        <v>1649</v>
      </c>
      <c r="E1205" s="381" t="s">
        <v>1650</v>
      </c>
      <c r="F1205" s="378">
        <v>154</v>
      </c>
      <c r="G1205" s="378">
        <v>0</v>
      </c>
      <c r="H1205" s="378">
        <v>0</v>
      </c>
      <c r="I1205" s="378">
        <v>154</v>
      </c>
      <c r="J1205" s="266">
        <f t="shared" si="19"/>
        <v>8</v>
      </c>
    </row>
    <row r="1206" spans="1:10" ht="15.75" customHeight="1" x14ac:dyDescent="0.25">
      <c r="A1206" s="380">
        <v>52046901</v>
      </c>
      <c r="B1206" s="381" t="s">
        <v>321</v>
      </c>
      <c r="C1206" s="381" t="s">
        <v>1320</v>
      </c>
      <c r="D1206" s="381" t="s">
        <v>1651</v>
      </c>
      <c r="E1206" s="381" t="s">
        <v>1652</v>
      </c>
      <c r="F1206" s="378">
        <v>-2203</v>
      </c>
      <c r="G1206" s="378">
        <v>0</v>
      </c>
      <c r="H1206" s="378">
        <v>0</v>
      </c>
      <c r="I1206" s="378">
        <v>-2203</v>
      </c>
      <c r="J1206" s="266">
        <f t="shared" si="19"/>
        <v>8</v>
      </c>
    </row>
    <row r="1207" spans="1:10" ht="15.75" customHeight="1" x14ac:dyDescent="0.25">
      <c r="A1207" s="380">
        <v>52046901</v>
      </c>
      <c r="B1207" s="381" t="s">
        <v>321</v>
      </c>
      <c r="C1207" s="381" t="s">
        <v>1320</v>
      </c>
      <c r="D1207" s="381" t="s">
        <v>1443</v>
      </c>
      <c r="E1207" s="381" t="s">
        <v>1530</v>
      </c>
      <c r="F1207" s="378">
        <v>22</v>
      </c>
      <c r="G1207" s="378">
        <v>0</v>
      </c>
      <c r="H1207" s="378">
        <v>0</v>
      </c>
      <c r="I1207" s="378">
        <v>22</v>
      </c>
      <c r="J1207" s="266">
        <f t="shared" si="19"/>
        <v>8</v>
      </c>
    </row>
    <row r="1208" spans="1:10" ht="15.75" customHeight="1" x14ac:dyDescent="0.25">
      <c r="A1208" s="380">
        <v>52046901</v>
      </c>
      <c r="B1208" s="381" t="s">
        <v>321</v>
      </c>
      <c r="C1208" s="381" t="s">
        <v>1320</v>
      </c>
      <c r="D1208" s="381" t="s">
        <v>1653</v>
      </c>
      <c r="E1208" s="381" t="s">
        <v>1654</v>
      </c>
      <c r="F1208" s="378">
        <v>107</v>
      </c>
      <c r="G1208" s="378">
        <v>0</v>
      </c>
      <c r="H1208" s="378">
        <v>0</v>
      </c>
      <c r="I1208" s="378">
        <v>107</v>
      </c>
      <c r="J1208" s="266">
        <f t="shared" si="19"/>
        <v>8</v>
      </c>
    </row>
    <row r="1209" spans="1:10" ht="15.75" customHeight="1" x14ac:dyDescent="0.25">
      <c r="A1209" s="380">
        <v>52046901</v>
      </c>
      <c r="B1209" s="381" t="s">
        <v>321</v>
      </c>
      <c r="C1209" s="381" t="s">
        <v>1320</v>
      </c>
      <c r="D1209" s="381" t="s">
        <v>1683</v>
      </c>
      <c r="E1209" s="381" t="s">
        <v>1684</v>
      </c>
      <c r="F1209" s="378">
        <v>58</v>
      </c>
      <c r="G1209" s="378">
        <v>0</v>
      </c>
      <c r="H1209" s="378">
        <v>0</v>
      </c>
      <c r="I1209" s="378">
        <v>58</v>
      </c>
      <c r="J1209" s="266">
        <f t="shared" si="19"/>
        <v>8</v>
      </c>
    </row>
    <row r="1210" spans="1:10" ht="15.75" customHeight="1" x14ac:dyDescent="0.25">
      <c r="A1210" s="380">
        <v>52046901</v>
      </c>
      <c r="B1210" s="381" t="s">
        <v>321</v>
      </c>
      <c r="C1210" s="381" t="s">
        <v>1320</v>
      </c>
      <c r="D1210" s="381" t="s">
        <v>1606</v>
      </c>
      <c r="E1210" s="381" t="s">
        <v>1607</v>
      </c>
      <c r="F1210" s="378">
        <v>125</v>
      </c>
      <c r="G1210" s="378">
        <v>0</v>
      </c>
      <c r="H1210" s="378">
        <v>0</v>
      </c>
      <c r="I1210" s="378">
        <v>125</v>
      </c>
      <c r="J1210" s="266">
        <f t="shared" si="19"/>
        <v>8</v>
      </c>
    </row>
    <row r="1211" spans="1:10" ht="15.75" customHeight="1" x14ac:dyDescent="0.25">
      <c r="A1211" s="380">
        <v>52046901</v>
      </c>
      <c r="B1211" s="381" t="s">
        <v>321</v>
      </c>
      <c r="C1211" s="381" t="s">
        <v>1320</v>
      </c>
      <c r="D1211" s="381" t="s">
        <v>1686</v>
      </c>
      <c r="E1211" s="381" t="s">
        <v>1687</v>
      </c>
      <c r="F1211" s="378">
        <v>159</v>
      </c>
      <c r="G1211" s="378">
        <v>0</v>
      </c>
      <c r="H1211" s="378">
        <v>0</v>
      </c>
      <c r="I1211" s="378">
        <v>159</v>
      </c>
      <c r="J1211" s="266">
        <f t="shared" si="19"/>
        <v>8</v>
      </c>
    </row>
    <row r="1212" spans="1:10" ht="15.75" customHeight="1" x14ac:dyDescent="0.25">
      <c r="A1212" s="380">
        <v>52046901</v>
      </c>
      <c r="B1212" s="381" t="s">
        <v>321</v>
      </c>
      <c r="C1212" s="381" t="s">
        <v>1320</v>
      </c>
      <c r="D1212" s="381" t="s">
        <v>1657</v>
      </c>
      <c r="E1212" s="381" t="s">
        <v>1658</v>
      </c>
      <c r="F1212" s="378">
        <v>159</v>
      </c>
      <c r="G1212" s="378">
        <v>0</v>
      </c>
      <c r="H1212" s="378">
        <v>0</v>
      </c>
      <c r="I1212" s="378">
        <v>159</v>
      </c>
      <c r="J1212" s="266">
        <f t="shared" si="19"/>
        <v>8</v>
      </c>
    </row>
    <row r="1213" spans="1:10" ht="15.75" customHeight="1" x14ac:dyDescent="0.25">
      <c r="A1213" s="380">
        <v>52046901</v>
      </c>
      <c r="B1213" s="381" t="s">
        <v>321</v>
      </c>
      <c r="C1213" s="381" t="s">
        <v>1320</v>
      </c>
      <c r="D1213" s="381" t="s">
        <v>1659</v>
      </c>
      <c r="E1213" s="381" t="s">
        <v>1660</v>
      </c>
      <c r="F1213" s="378">
        <v>66</v>
      </c>
      <c r="G1213" s="378">
        <v>0</v>
      </c>
      <c r="H1213" s="378">
        <v>0</v>
      </c>
      <c r="I1213" s="378">
        <v>66</v>
      </c>
      <c r="J1213" s="266">
        <f t="shared" si="19"/>
        <v>8</v>
      </c>
    </row>
    <row r="1214" spans="1:10" ht="15.75" customHeight="1" x14ac:dyDescent="0.25">
      <c r="A1214" s="380">
        <v>52046901</v>
      </c>
      <c r="B1214" s="381" t="s">
        <v>321</v>
      </c>
      <c r="C1214" s="381" t="s">
        <v>1320</v>
      </c>
      <c r="D1214" s="381" t="s">
        <v>1527</v>
      </c>
      <c r="E1214" s="381" t="s">
        <v>1528</v>
      </c>
      <c r="F1214" s="378">
        <v>165</v>
      </c>
      <c r="G1214" s="378">
        <v>0</v>
      </c>
      <c r="H1214" s="378">
        <v>0</v>
      </c>
      <c r="I1214" s="378">
        <v>165</v>
      </c>
      <c r="J1214" s="266">
        <f t="shared" si="19"/>
        <v>8</v>
      </c>
    </row>
    <row r="1215" spans="1:10" ht="15.75" customHeight="1" x14ac:dyDescent="0.25">
      <c r="A1215" s="380">
        <v>52046901</v>
      </c>
      <c r="B1215" s="381" t="s">
        <v>321</v>
      </c>
      <c r="C1215" s="381" t="s">
        <v>1320</v>
      </c>
      <c r="D1215" s="381" t="s">
        <v>1444</v>
      </c>
      <c r="E1215" s="381" t="s">
        <v>1533</v>
      </c>
      <c r="F1215" s="378">
        <v>103</v>
      </c>
      <c r="G1215" s="378">
        <v>0</v>
      </c>
      <c r="H1215" s="378">
        <v>0</v>
      </c>
      <c r="I1215" s="378">
        <v>103</v>
      </c>
      <c r="J1215" s="266">
        <f t="shared" si="19"/>
        <v>8</v>
      </c>
    </row>
    <row r="1216" spans="1:10" ht="15.75" customHeight="1" x14ac:dyDescent="0.25">
      <c r="A1216" s="380">
        <v>52046901</v>
      </c>
      <c r="B1216" s="381" t="s">
        <v>321</v>
      </c>
      <c r="C1216" s="381" t="s">
        <v>1320</v>
      </c>
      <c r="D1216" s="381" t="s">
        <v>1661</v>
      </c>
      <c r="E1216" s="381" t="s">
        <v>1662</v>
      </c>
      <c r="F1216" s="378">
        <v>50</v>
      </c>
      <c r="G1216" s="378">
        <v>0</v>
      </c>
      <c r="H1216" s="378">
        <v>0</v>
      </c>
      <c r="I1216" s="378">
        <v>50</v>
      </c>
      <c r="J1216" s="266">
        <f t="shared" si="19"/>
        <v>8</v>
      </c>
    </row>
    <row r="1217" spans="1:10" ht="15.75" customHeight="1" x14ac:dyDescent="0.25">
      <c r="A1217" s="380">
        <v>52046901</v>
      </c>
      <c r="B1217" s="381" t="s">
        <v>321</v>
      </c>
      <c r="C1217" s="381" t="s">
        <v>1320</v>
      </c>
      <c r="D1217" s="381" t="s">
        <v>1663</v>
      </c>
      <c r="E1217" s="381" t="s">
        <v>1664</v>
      </c>
      <c r="F1217" s="378">
        <v>63</v>
      </c>
      <c r="G1217" s="378">
        <v>0</v>
      </c>
      <c r="H1217" s="378">
        <v>0</v>
      </c>
      <c r="I1217" s="378">
        <v>63</v>
      </c>
      <c r="J1217" s="266">
        <f t="shared" si="19"/>
        <v>8</v>
      </c>
    </row>
    <row r="1218" spans="1:10" ht="15.75" customHeight="1" x14ac:dyDescent="0.25">
      <c r="A1218" s="380">
        <v>52046901</v>
      </c>
      <c r="B1218" s="381" t="s">
        <v>321</v>
      </c>
      <c r="C1218" s="381" t="s">
        <v>1320</v>
      </c>
      <c r="D1218" s="381" t="s">
        <v>1609</v>
      </c>
      <c r="E1218" s="381" t="s">
        <v>1610</v>
      </c>
      <c r="F1218" s="378">
        <v>115</v>
      </c>
      <c r="G1218" s="378">
        <v>0</v>
      </c>
      <c r="H1218" s="378">
        <v>0</v>
      </c>
      <c r="I1218" s="378">
        <v>115</v>
      </c>
      <c r="J1218" s="266">
        <f t="shared" si="19"/>
        <v>8</v>
      </c>
    </row>
    <row r="1219" spans="1:10" ht="15.75" customHeight="1" x14ac:dyDescent="0.25">
      <c r="A1219" s="380">
        <v>52046901</v>
      </c>
      <c r="B1219" s="381" t="s">
        <v>321</v>
      </c>
      <c r="C1219" s="381" t="s">
        <v>1320</v>
      </c>
      <c r="D1219" s="381" t="s">
        <v>1490</v>
      </c>
      <c r="E1219" s="381" t="s">
        <v>1491</v>
      </c>
      <c r="F1219" s="378">
        <v>97</v>
      </c>
      <c r="G1219" s="378">
        <v>0</v>
      </c>
      <c r="H1219" s="378">
        <v>0</v>
      </c>
      <c r="I1219" s="378">
        <v>97</v>
      </c>
      <c r="J1219" s="266">
        <f t="shared" si="19"/>
        <v>8</v>
      </c>
    </row>
    <row r="1220" spans="1:10" ht="15.75" customHeight="1" x14ac:dyDescent="0.25">
      <c r="A1220" s="380">
        <v>52046901</v>
      </c>
      <c r="B1220" s="381" t="s">
        <v>321</v>
      </c>
      <c r="C1220" s="381" t="s">
        <v>1320</v>
      </c>
      <c r="D1220" s="381" t="s">
        <v>1210</v>
      </c>
      <c r="E1220" s="381" t="s">
        <v>1611</v>
      </c>
      <c r="F1220" s="378">
        <v>118</v>
      </c>
      <c r="G1220" s="378">
        <v>0</v>
      </c>
      <c r="H1220" s="378">
        <v>0</v>
      </c>
      <c r="I1220" s="378">
        <v>118</v>
      </c>
      <c r="J1220" s="266">
        <f t="shared" si="19"/>
        <v>8</v>
      </c>
    </row>
    <row r="1221" spans="1:10" ht="15.75" customHeight="1" x14ac:dyDescent="0.25">
      <c r="A1221" s="380">
        <v>52046901</v>
      </c>
      <c r="B1221" s="381" t="s">
        <v>321</v>
      </c>
      <c r="C1221" s="381" t="s">
        <v>1320</v>
      </c>
      <c r="D1221" s="381" t="s">
        <v>1523</v>
      </c>
      <c r="E1221" s="381" t="s">
        <v>1524</v>
      </c>
      <c r="F1221" s="378">
        <v>100</v>
      </c>
      <c r="G1221" s="378">
        <v>0</v>
      </c>
      <c r="H1221" s="378">
        <v>0</v>
      </c>
      <c r="I1221" s="378">
        <v>100</v>
      </c>
      <c r="J1221" s="266">
        <f t="shared" si="19"/>
        <v>8</v>
      </c>
    </row>
    <row r="1222" spans="1:10" ht="15.75" customHeight="1" x14ac:dyDescent="0.25">
      <c r="A1222" s="380">
        <v>52046901</v>
      </c>
      <c r="B1222" s="381" t="s">
        <v>321</v>
      </c>
      <c r="C1222" s="381" t="s">
        <v>1320</v>
      </c>
      <c r="D1222" s="381" t="s">
        <v>792</v>
      </c>
      <c r="E1222" s="381" t="s">
        <v>1534</v>
      </c>
      <c r="F1222" s="378">
        <v>351</v>
      </c>
      <c r="G1222" s="378">
        <v>0</v>
      </c>
      <c r="H1222" s="378">
        <v>0</v>
      </c>
      <c r="I1222" s="378">
        <v>351</v>
      </c>
      <c r="J1222" s="266">
        <f t="shared" si="19"/>
        <v>8</v>
      </c>
    </row>
    <row r="1223" spans="1:10" ht="15.75" customHeight="1" x14ac:dyDescent="0.25">
      <c r="A1223" s="380">
        <v>52046901</v>
      </c>
      <c r="B1223" s="381" t="s">
        <v>321</v>
      </c>
      <c r="C1223" s="381" t="s">
        <v>1320</v>
      </c>
      <c r="D1223" s="381" t="s">
        <v>1688</v>
      </c>
      <c r="E1223" s="381" t="s">
        <v>1689</v>
      </c>
      <c r="F1223" s="378">
        <v>6469</v>
      </c>
      <c r="G1223" s="378">
        <v>0</v>
      </c>
      <c r="H1223" s="378">
        <v>0</v>
      </c>
      <c r="I1223" s="378">
        <v>6469</v>
      </c>
      <c r="J1223" s="266">
        <f t="shared" si="19"/>
        <v>8</v>
      </c>
    </row>
    <row r="1224" spans="1:10" ht="15.75" customHeight="1" x14ac:dyDescent="0.25">
      <c r="A1224" s="380">
        <v>52046901</v>
      </c>
      <c r="B1224" s="381" t="s">
        <v>321</v>
      </c>
      <c r="C1224" s="381" t="s">
        <v>1320</v>
      </c>
      <c r="D1224" s="381" t="s">
        <v>1492</v>
      </c>
      <c r="E1224" s="381" t="s">
        <v>1493</v>
      </c>
      <c r="F1224" s="378">
        <v>66</v>
      </c>
      <c r="G1224" s="378">
        <v>0</v>
      </c>
      <c r="H1224" s="378">
        <v>0</v>
      </c>
      <c r="I1224" s="378">
        <v>66</v>
      </c>
      <c r="J1224" s="266">
        <f t="shared" si="19"/>
        <v>8</v>
      </c>
    </row>
    <row r="1225" spans="1:10" ht="15.75" customHeight="1" x14ac:dyDescent="0.25">
      <c r="A1225" s="380">
        <v>52046901</v>
      </c>
      <c r="B1225" s="381" t="s">
        <v>321</v>
      </c>
      <c r="C1225" s="381" t="s">
        <v>1320</v>
      </c>
      <c r="D1225" s="381" t="s">
        <v>1667</v>
      </c>
      <c r="E1225" s="381" t="s">
        <v>1668</v>
      </c>
      <c r="F1225" s="378">
        <v>161647</v>
      </c>
      <c r="G1225" s="378">
        <v>0</v>
      </c>
      <c r="H1225" s="378">
        <v>0</v>
      </c>
      <c r="I1225" s="378">
        <v>161647</v>
      </c>
      <c r="J1225" s="266">
        <f t="shared" si="19"/>
        <v>8</v>
      </c>
    </row>
    <row r="1226" spans="1:10" ht="15.75" customHeight="1" x14ac:dyDescent="0.25">
      <c r="A1226" s="380">
        <v>52046901</v>
      </c>
      <c r="B1226" s="381" t="s">
        <v>321</v>
      </c>
      <c r="C1226" s="381" t="s">
        <v>1320</v>
      </c>
      <c r="D1226" s="381" t="s">
        <v>1669</v>
      </c>
      <c r="E1226" s="381" t="s">
        <v>1670</v>
      </c>
      <c r="F1226" s="378">
        <v>328</v>
      </c>
      <c r="G1226" s="378">
        <v>0</v>
      </c>
      <c r="H1226" s="378">
        <v>0</v>
      </c>
      <c r="I1226" s="378">
        <v>328</v>
      </c>
      <c r="J1226" s="266">
        <f t="shared" si="19"/>
        <v>8</v>
      </c>
    </row>
    <row r="1227" spans="1:10" ht="15.75" customHeight="1" x14ac:dyDescent="0.25">
      <c r="A1227" s="380">
        <v>52046901</v>
      </c>
      <c r="B1227" s="381" t="s">
        <v>321</v>
      </c>
      <c r="C1227" s="381" t="s">
        <v>1320</v>
      </c>
      <c r="D1227" s="381" t="s">
        <v>1673</v>
      </c>
      <c r="E1227" s="381" t="s">
        <v>1674</v>
      </c>
      <c r="F1227" s="378">
        <v>149</v>
      </c>
      <c r="G1227" s="378">
        <v>0</v>
      </c>
      <c r="H1227" s="378">
        <v>0</v>
      </c>
      <c r="I1227" s="378">
        <v>149</v>
      </c>
      <c r="J1227" s="266">
        <f t="shared" si="19"/>
        <v>8</v>
      </c>
    </row>
    <row r="1228" spans="1:10" ht="15.75" customHeight="1" x14ac:dyDescent="0.25">
      <c r="A1228" s="380">
        <v>52046901</v>
      </c>
      <c r="B1228" s="381" t="s">
        <v>321</v>
      </c>
      <c r="C1228" s="381" t="s">
        <v>1320</v>
      </c>
      <c r="D1228" s="381" t="s">
        <v>1679</v>
      </c>
      <c r="E1228" s="381" t="s">
        <v>1680</v>
      </c>
      <c r="F1228" s="378">
        <v>0</v>
      </c>
      <c r="G1228" s="378">
        <v>218900</v>
      </c>
      <c r="H1228" s="378">
        <v>0</v>
      </c>
      <c r="I1228" s="378">
        <v>218900</v>
      </c>
      <c r="J1228" s="266">
        <f t="shared" ref="J1228:J1291" si="20">+LEN(A1228)</f>
        <v>8</v>
      </c>
    </row>
    <row r="1229" spans="1:10" ht="15.75" customHeight="1" x14ac:dyDescent="0.25">
      <c r="A1229" s="380">
        <v>520470</v>
      </c>
      <c r="B1229" s="381" t="s">
        <v>321</v>
      </c>
      <c r="C1229" s="381" t="s">
        <v>1272</v>
      </c>
      <c r="D1229" s="381" t="s">
        <v>315</v>
      </c>
      <c r="E1229" s="381" t="s">
        <v>315</v>
      </c>
      <c r="F1229" s="378">
        <v>34769529</v>
      </c>
      <c r="G1229" s="378">
        <v>6773189</v>
      </c>
      <c r="H1229" s="378">
        <v>0</v>
      </c>
      <c r="I1229" s="378">
        <v>41542718</v>
      </c>
      <c r="J1229" s="266">
        <f t="shared" si="20"/>
        <v>6</v>
      </c>
    </row>
    <row r="1230" spans="1:10" ht="15.75" customHeight="1" x14ac:dyDescent="0.25">
      <c r="A1230" s="380">
        <v>52047001</v>
      </c>
      <c r="B1230" s="381" t="s">
        <v>321</v>
      </c>
      <c r="C1230" s="381" t="s">
        <v>1272</v>
      </c>
      <c r="D1230" s="381" t="s">
        <v>315</v>
      </c>
      <c r="E1230" s="381" t="s">
        <v>315</v>
      </c>
      <c r="F1230" s="378">
        <v>34769529</v>
      </c>
      <c r="G1230" s="378">
        <v>6773189</v>
      </c>
      <c r="H1230" s="378">
        <v>0</v>
      </c>
      <c r="I1230" s="378">
        <v>41542718</v>
      </c>
      <c r="J1230" s="266">
        <f t="shared" si="20"/>
        <v>8</v>
      </c>
    </row>
    <row r="1231" spans="1:10" ht="15.75" customHeight="1" x14ac:dyDescent="0.25">
      <c r="A1231" s="380">
        <v>52047001</v>
      </c>
      <c r="B1231" s="381" t="s">
        <v>321</v>
      </c>
      <c r="C1231" s="381" t="s">
        <v>1272</v>
      </c>
      <c r="D1231" s="381" t="s">
        <v>1488</v>
      </c>
      <c r="E1231" s="381" t="s">
        <v>1682</v>
      </c>
      <c r="F1231" s="378">
        <v>269456</v>
      </c>
      <c r="G1231" s="378">
        <v>0</v>
      </c>
      <c r="H1231" s="378">
        <v>0</v>
      </c>
      <c r="I1231" s="378">
        <v>269456</v>
      </c>
      <c r="J1231" s="266">
        <f t="shared" si="20"/>
        <v>8</v>
      </c>
    </row>
    <row r="1232" spans="1:10" ht="15.75" customHeight="1" x14ac:dyDescent="0.25">
      <c r="A1232" s="380">
        <v>52047001</v>
      </c>
      <c r="B1232" s="381" t="s">
        <v>321</v>
      </c>
      <c r="C1232" s="381" t="s">
        <v>1272</v>
      </c>
      <c r="D1232" s="381" t="s">
        <v>1535</v>
      </c>
      <c r="E1232" s="381" t="s">
        <v>1536</v>
      </c>
      <c r="F1232" s="378">
        <v>1389542</v>
      </c>
      <c r="G1232" s="378">
        <v>277576</v>
      </c>
      <c r="H1232" s="378">
        <v>0</v>
      </c>
      <c r="I1232" s="378">
        <v>1667118</v>
      </c>
      <c r="J1232" s="266">
        <f t="shared" si="20"/>
        <v>8</v>
      </c>
    </row>
    <row r="1233" spans="1:10" ht="15.75" customHeight="1" x14ac:dyDescent="0.25">
      <c r="A1233" s="380">
        <v>52047001</v>
      </c>
      <c r="B1233" s="381" t="s">
        <v>321</v>
      </c>
      <c r="C1233" s="381" t="s">
        <v>1272</v>
      </c>
      <c r="D1233" s="381" t="s">
        <v>1604</v>
      </c>
      <c r="E1233" s="381" t="s">
        <v>1605</v>
      </c>
      <c r="F1233" s="378">
        <v>1513734</v>
      </c>
      <c r="G1233" s="378">
        <v>346577</v>
      </c>
      <c r="H1233" s="378">
        <v>0</v>
      </c>
      <c r="I1233" s="378">
        <v>1860311</v>
      </c>
      <c r="J1233" s="266">
        <f t="shared" si="20"/>
        <v>8</v>
      </c>
    </row>
    <row r="1234" spans="1:10" ht="15.75" customHeight="1" x14ac:dyDescent="0.25">
      <c r="A1234" s="380">
        <v>52047001</v>
      </c>
      <c r="B1234" s="381" t="s">
        <v>321</v>
      </c>
      <c r="C1234" s="381" t="s">
        <v>1272</v>
      </c>
      <c r="D1234" s="381" t="s">
        <v>1649</v>
      </c>
      <c r="E1234" s="381" t="s">
        <v>1650</v>
      </c>
      <c r="F1234" s="378">
        <v>1439728</v>
      </c>
      <c r="G1234" s="378">
        <v>287441</v>
      </c>
      <c r="H1234" s="378">
        <v>0</v>
      </c>
      <c r="I1234" s="378">
        <v>1727169</v>
      </c>
      <c r="J1234" s="266">
        <f t="shared" si="20"/>
        <v>8</v>
      </c>
    </row>
    <row r="1235" spans="1:10" ht="15.75" customHeight="1" x14ac:dyDescent="0.25">
      <c r="A1235" s="380">
        <v>52047001</v>
      </c>
      <c r="B1235" s="381" t="s">
        <v>321</v>
      </c>
      <c r="C1235" s="381" t="s">
        <v>1272</v>
      </c>
      <c r="D1235" s="381" t="s">
        <v>1690</v>
      </c>
      <c r="E1235" s="381" t="s">
        <v>1691</v>
      </c>
      <c r="F1235" s="378">
        <v>9385</v>
      </c>
      <c r="G1235" s="378">
        <v>0</v>
      </c>
      <c r="H1235" s="378">
        <v>0</v>
      </c>
      <c r="I1235" s="378">
        <v>9385</v>
      </c>
      <c r="J1235" s="266">
        <f t="shared" si="20"/>
        <v>8</v>
      </c>
    </row>
    <row r="1236" spans="1:10" ht="15.75" customHeight="1" x14ac:dyDescent="0.25">
      <c r="A1236" s="380">
        <v>52047001</v>
      </c>
      <c r="B1236" s="381" t="s">
        <v>321</v>
      </c>
      <c r="C1236" s="381" t="s">
        <v>1272</v>
      </c>
      <c r="D1236" s="381" t="s">
        <v>1651</v>
      </c>
      <c r="E1236" s="381" t="s">
        <v>1652</v>
      </c>
      <c r="F1236" s="378">
        <v>1372952</v>
      </c>
      <c r="G1236" s="378">
        <v>281338</v>
      </c>
      <c r="H1236" s="378">
        <v>0</v>
      </c>
      <c r="I1236" s="378">
        <v>1654290</v>
      </c>
      <c r="J1236" s="266">
        <f t="shared" si="20"/>
        <v>8</v>
      </c>
    </row>
    <row r="1237" spans="1:10" ht="15.75" customHeight="1" x14ac:dyDescent="0.25">
      <c r="A1237" s="380">
        <v>52047001</v>
      </c>
      <c r="B1237" s="381" t="s">
        <v>321</v>
      </c>
      <c r="C1237" s="381" t="s">
        <v>1272</v>
      </c>
      <c r="D1237" s="381" t="s">
        <v>1443</v>
      </c>
      <c r="E1237" s="381" t="s">
        <v>1530</v>
      </c>
      <c r="F1237" s="378">
        <v>1712193</v>
      </c>
      <c r="G1237" s="378">
        <v>348087</v>
      </c>
      <c r="H1237" s="378">
        <v>0</v>
      </c>
      <c r="I1237" s="378">
        <v>2060280</v>
      </c>
      <c r="J1237" s="266">
        <f t="shared" si="20"/>
        <v>8</v>
      </c>
    </row>
    <row r="1238" spans="1:10" ht="15.75" customHeight="1" x14ac:dyDescent="0.25">
      <c r="A1238" s="380">
        <v>52047001</v>
      </c>
      <c r="B1238" s="381" t="s">
        <v>321</v>
      </c>
      <c r="C1238" s="381" t="s">
        <v>1272</v>
      </c>
      <c r="D1238" s="381" t="s">
        <v>1653</v>
      </c>
      <c r="E1238" s="381" t="s">
        <v>1654</v>
      </c>
      <c r="F1238" s="378">
        <v>1454709</v>
      </c>
      <c r="G1238" s="378">
        <v>324941</v>
      </c>
      <c r="H1238" s="378">
        <v>0</v>
      </c>
      <c r="I1238" s="378">
        <v>1779650</v>
      </c>
      <c r="J1238" s="266">
        <f t="shared" si="20"/>
        <v>8</v>
      </c>
    </row>
    <row r="1239" spans="1:10" ht="15.75" customHeight="1" x14ac:dyDescent="0.25">
      <c r="A1239" s="380">
        <v>52047001</v>
      </c>
      <c r="B1239" s="381" t="s">
        <v>321</v>
      </c>
      <c r="C1239" s="381" t="s">
        <v>1272</v>
      </c>
      <c r="D1239" s="381" t="s">
        <v>1683</v>
      </c>
      <c r="E1239" s="381" t="s">
        <v>1684</v>
      </c>
      <c r="F1239" s="378">
        <v>603623</v>
      </c>
      <c r="G1239" s="378">
        <v>0</v>
      </c>
      <c r="H1239" s="378">
        <v>0</v>
      </c>
      <c r="I1239" s="378">
        <v>603623</v>
      </c>
      <c r="J1239" s="266">
        <f t="shared" si="20"/>
        <v>8</v>
      </c>
    </row>
    <row r="1240" spans="1:10" ht="15.75" customHeight="1" x14ac:dyDescent="0.25">
      <c r="A1240" s="380">
        <v>52047001</v>
      </c>
      <c r="B1240" s="381" t="s">
        <v>321</v>
      </c>
      <c r="C1240" s="381" t="s">
        <v>1272</v>
      </c>
      <c r="D1240" s="381" t="s">
        <v>1606</v>
      </c>
      <c r="E1240" s="381" t="s">
        <v>1607</v>
      </c>
      <c r="F1240" s="378">
        <v>1524985</v>
      </c>
      <c r="G1240" s="378">
        <v>306400</v>
      </c>
      <c r="H1240" s="378">
        <v>0</v>
      </c>
      <c r="I1240" s="378">
        <v>1831385</v>
      </c>
      <c r="J1240" s="266">
        <f t="shared" si="20"/>
        <v>8</v>
      </c>
    </row>
    <row r="1241" spans="1:10" ht="15.75" customHeight="1" x14ac:dyDescent="0.25">
      <c r="A1241" s="380">
        <v>52047001</v>
      </c>
      <c r="B1241" s="381" t="s">
        <v>321</v>
      </c>
      <c r="C1241" s="381" t="s">
        <v>1272</v>
      </c>
      <c r="D1241" s="381" t="s">
        <v>1686</v>
      </c>
      <c r="E1241" s="381" t="s">
        <v>1687</v>
      </c>
      <c r="F1241" s="378">
        <v>698299</v>
      </c>
      <c r="G1241" s="378">
        <v>0</v>
      </c>
      <c r="H1241" s="378">
        <v>0</v>
      </c>
      <c r="I1241" s="378">
        <v>698299</v>
      </c>
      <c r="J1241" s="266">
        <f t="shared" si="20"/>
        <v>8</v>
      </c>
    </row>
    <row r="1242" spans="1:10" ht="15.75" customHeight="1" x14ac:dyDescent="0.25">
      <c r="A1242" s="380">
        <v>52047001</v>
      </c>
      <c r="B1242" s="381" t="s">
        <v>321</v>
      </c>
      <c r="C1242" s="381" t="s">
        <v>1272</v>
      </c>
      <c r="D1242" s="381" t="s">
        <v>1655</v>
      </c>
      <c r="E1242" s="381" t="s">
        <v>1656</v>
      </c>
      <c r="F1242" s="378">
        <v>401730</v>
      </c>
      <c r="G1242" s="378">
        <v>237983</v>
      </c>
      <c r="H1242" s="378">
        <v>0</v>
      </c>
      <c r="I1242" s="378">
        <v>639713</v>
      </c>
      <c r="J1242" s="266">
        <f t="shared" si="20"/>
        <v>8</v>
      </c>
    </row>
    <row r="1243" spans="1:10" ht="15.75" customHeight="1" x14ac:dyDescent="0.25">
      <c r="A1243" s="380">
        <v>52047001</v>
      </c>
      <c r="B1243" s="381" t="s">
        <v>321</v>
      </c>
      <c r="C1243" s="381" t="s">
        <v>1272</v>
      </c>
      <c r="D1243" s="381" t="s">
        <v>1657</v>
      </c>
      <c r="E1243" s="381" t="s">
        <v>1658</v>
      </c>
      <c r="F1243" s="378">
        <v>1360835</v>
      </c>
      <c r="G1243" s="378">
        <v>271436</v>
      </c>
      <c r="H1243" s="378">
        <v>0</v>
      </c>
      <c r="I1243" s="378">
        <v>1632271</v>
      </c>
      <c r="J1243" s="266">
        <f t="shared" si="20"/>
        <v>8</v>
      </c>
    </row>
    <row r="1244" spans="1:10" ht="15.75" customHeight="1" x14ac:dyDescent="0.25">
      <c r="A1244" s="380">
        <v>52047001</v>
      </c>
      <c r="B1244" s="381" t="s">
        <v>321</v>
      </c>
      <c r="C1244" s="381" t="s">
        <v>1272</v>
      </c>
      <c r="D1244" s="381" t="s">
        <v>1659</v>
      </c>
      <c r="E1244" s="381" t="s">
        <v>1660</v>
      </c>
      <c r="F1244" s="378">
        <v>1487641</v>
      </c>
      <c r="G1244" s="378">
        <v>23261</v>
      </c>
      <c r="H1244" s="378">
        <v>0</v>
      </c>
      <c r="I1244" s="378">
        <v>1510902</v>
      </c>
      <c r="J1244" s="266">
        <f t="shared" si="20"/>
        <v>8</v>
      </c>
    </row>
    <row r="1245" spans="1:10" ht="15.75" customHeight="1" x14ac:dyDescent="0.25">
      <c r="A1245" s="380">
        <v>52047001</v>
      </c>
      <c r="B1245" s="381" t="s">
        <v>321</v>
      </c>
      <c r="C1245" s="381" t="s">
        <v>1272</v>
      </c>
      <c r="D1245" s="381" t="s">
        <v>1527</v>
      </c>
      <c r="E1245" s="381" t="s">
        <v>1528</v>
      </c>
      <c r="F1245" s="378">
        <v>1332003</v>
      </c>
      <c r="G1245" s="378">
        <v>140269</v>
      </c>
      <c r="H1245" s="378">
        <v>0</v>
      </c>
      <c r="I1245" s="378">
        <v>1472272</v>
      </c>
      <c r="J1245" s="266">
        <f t="shared" si="20"/>
        <v>8</v>
      </c>
    </row>
    <row r="1246" spans="1:10" ht="15.75" customHeight="1" x14ac:dyDescent="0.25">
      <c r="A1246" s="380">
        <v>52047001</v>
      </c>
      <c r="B1246" s="381" t="s">
        <v>321</v>
      </c>
      <c r="C1246" s="381" t="s">
        <v>1272</v>
      </c>
      <c r="D1246" s="381" t="s">
        <v>1444</v>
      </c>
      <c r="E1246" s="381" t="s">
        <v>1533</v>
      </c>
      <c r="F1246" s="378">
        <v>1751182</v>
      </c>
      <c r="G1246" s="378">
        <v>346957</v>
      </c>
      <c r="H1246" s="378">
        <v>0</v>
      </c>
      <c r="I1246" s="378">
        <v>2098139</v>
      </c>
      <c r="J1246" s="266">
        <f t="shared" si="20"/>
        <v>8</v>
      </c>
    </row>
    <row r="1247" spans="1:10" ht="15.75" customHeight="1" x14ac:dyDescent="0.25">
      <c r="A1247" s="380">
        <v>52047001</v>
      </c>
      <c r="B1247" s="381" t="s">
        <v>321</v>
      </c>
      <c r="C1247" s="381" t="s">
        <v>1272</v>
      </c>
      <c r="D1247" s="381" t="s">
        <v>1661</v>
      </c>
      <c r="E1247" s="381" t="s">
        <v>1662</v>
      </c>
      <c r="F1247" s="378">
        <v>1476967</v>
      </c>
      <c r="G1247" s="378">
        <v>255460</v>
      </c>
      <c r="H1247" s="378">
        <v>0</v>
      </c>
      <c r="I1247" s="378">
        <v>1732427</v>
      </c>
      <c r="J1247" s="266">
        <f t="shared" si="20"/>
        <v>8</v>
      </c>
    </row>
    <row r="1248" spans="1:10" ht="15.75" customHeight="1" x14ac:dyDescent="0.25">
      <c r="A1248" s="380">
        <v>52047001</v>
      </c>
      <c r="B1248" s="381" t="s">
        <v>321</v>
      </c>
      <c r="C1248" s="381" t="s">
        <v>1272</v>
      </c>
      <c r="D1248" s="381" t="s">
        <v>1663</v>
      </c>
      <c r="E1248" s="381" t="s">
        <v>1664</v>
      </c>
      <c r="F1248" s="378">
        <v>1419738</v>
      </c>
      <c r="G1248" s="378">
        <v>294767</v>
      </c>
      <c r="H1248" s="378">
        <v>0</v>
      </c>
      <c r="I1248" s="378">
        <v>1714505</v>
      </c>
      <c r="J1248" s="266">
        <f t="shared" si="20"/>
        <v>8</v>
      </c>
    </row>
    <row r="1249" spans="1:10" ht="15.75" customHeight="1" x14ac:dyDescent="0.25">
      <c r="A1249" s="380">
        <v>52047001</v>
      </c>
      <c r="B1249" s="381" t="s">
        <v>321</v>
      </c>
      <c r="C1249" s="381" t="s">
        <v>1272</v>
      </c>
      <c r="D1249" s="381" t="s">
        <v>1609</v>
      </c>
      <c r="E1249" s="381" t="s">
        <v>1610</v>
      </c>
      <c r="F1249" s="378">
        <v>1406603</v>
      </c>
      <c r="G1249" s="378">
        <v>291309</v>
      </c>
      <c r="H1249" s="378">
        <v>0</v>
      </c>
      <c r="I1249" s="378">
        <v>1697912</v>
      </c>
      <c r="J1249" s="266">
        <f t="shared" si="20"/>
        <v>8</v>
      </c>
    </row>
    <row r="1250" spans="1:10" ht="15.75" customHeight="1" x14ac:dyDescent="0.25">
      <c r="A1250" s="380">
        <v>52047001</v>
      </c>
      <c r="B1250" s="381" t="s">
        <v>321</v>
      </c>
      <c r="C1250" s="381" t="s">
        <v>1272</v>
      </c>
      <c r="D1250" s="381" t="s">
        <v>1490</v>
      </c>
      <c r="E1250" s="381" t="s">
        <v>1491</v>
      </c>
      <c r="F1250" s="378">
        <v>529533</v>
      </c>
      <c r="G1250" s="378">
        <v>0</v>
      </c>
      <c r="H1250" s="378">
        <v>0</v>
      </c>
      <c r="I1250" s="378">
        <v>529533</v>
      </c>
      <c r="J1250" s="266">
        <f t="shared" si="20"/>
        <v>8</v>
      </c>
    </row>
    <row r="1251" spans="1:10" ht="15.75" customHeight="1" x14ac:dyDescent="0.25">
      <c r="A1251" s="380">
        <v>52047001</v>
      </c>
      <c r="B1251" s="381" t="s">
        <v>321</v>
      </c>
      <c r="C1251" s="381" t="s">
        <v>1272</v>
      </c>
      <c r="D1251" s="381" t="s">
        <v>1210</v>
      </c>
      <c r="E1251" s="381" t="s">
        <v>1611</v>
      </c>
      <c r="F1251" s="378">
        <v>834198</v>
      </c>
      <c r="G1251" s="378">
        <v>252382</v>
      </c>
      <c r="H1251" s="378">
        <v>0</v>
      </c>
      <c r="I1251" s="378">
        <v>1086580</v>
      </c>
      <c r="J1251" s="266">
        <f t="shared" si="20"/>
        <v>8</v>
      </c>
    </row>
    <row r="1252" spans="1:10" ht="15.75" customHeight="1" x14ac:dyDescent="0.25">
      <c r="A1252" s="380">
        <v>52047001</v>
      </c>
      <c r="B1252" s="381" t="s">
        <v>321</v>
      </c>
      <c r="C1252" s="381" t="s">
        <v>1272</v>
      </c>
      <c r="D1252" s="381" t="s">
        <v>1523</v>
      </c>
      <c r="E1252" s="381" t="s">
        <v>1524</v>
      </c>
      <c r="F1252" s="378">
        <v>3299850</v>
      </c>
      <c r="G1252" s="378">
        <v>655500</v>
      </c>
      <c r="H1252" s="378">
        <v>0</v>
      </c>
      <c r="I1252" s="378">
        <v>3955350</v>
      </c>
      <c r="J1252" s="266">
        <f t="shared" si="20"/>
        <v>8</v>
      </c>
    </row>
    <row r="1253" spans="1:10" ht="15.75" customHeight="1" x14ac:dyDescent="0.25">
      <c r="A1253" s="380">
        <v>52047001</v>
      </c>
      <c r="B1253" s="381" t="s">
        <v>321</v>
      </c>
      <c r="C1253" s="381" t="s">
        <v>1272</v>
      </c>
      <c r="D1253" s="381" t="s">
        <v>1665</v>
      </c>
      <c r="E1253" s="381" t="s">
        <v>1666</v>
      </c>
      <c r="F1253" s="378">
        <v>126078</v>
      </c>
      <c r="G1253" s="378">
        <v>230872</v>
      </c>
      <c r="H1253" s="378">
        <v>0</v>
      </c>
      <c r="I1253" s="378">
        <v>356950</v>
      </c>
      <c r="J1253" s="266">
        <f t="shared" si="20"/>
        <v>8</v>
      </c>
    </row>
    <row r="1254" spans="1:10" ht="15.75" customHeight="1" x14ac:dyDescent="0.25">
      <c r="A1254" s="380">
        <v>52047001</v>
      </c>
      <c r="B1254" s="381" t="s">
        <v>321</v>
      </c>
      <c r="C1254" s="381" t="s">
        <v>1272</v>
      </c>
      <c r="D1254" s="381" t="s">
        <v>792</v>
      </c>
      <c r="E1254" s="381" t="s">
        <v>1534</v>
      </c>
      <c r="F1254" s="378">
        <v>1356592</v>
      </c>
      <c r="G1254" s="378">
        <v>310068</v>
      </c>
      <c r="H1254" s="378">
        <v>0</v>
      </c>
      <c r="I1254" s="378">
        <v>1666660</v>
      </c>
      <c r="J1254" s="266">
        <f t="shared" si="20"/>
        <v>8</v>
      </c>
    </row>
    <row r="1255" spans="1:10" ht="15.75" customHeight="1" x14ac:dyDescent="0.25">
      <c r="A1255" s="380">
        <v>52047001</v>
      </c>
      <c r="B1255" s="381" t="s">
        <v>321</v>
      </c>
      <c r="C1255" s="381" t="s">
        <v>1272</v>
      </c>
      <c r="D1255" s="381" t="s">
        <v>1688</v>
      </c>
      <c r="E1255" s="381" t="s">
        <v>1689</v>
      </c>
      <c r="F1255" s="378">
        <v>444269</v>
      </c>
      <c r="G1255" s="378">
        <v>0</v>
      </c>
      <c r="H1255" s="378">
        <v>0</v>
      </c>
      <c r="I1255" s="378">
        <v>444269</v>
      </c>
      <c r="J1255" s="266">
        <f t="shared" si="20"/>
        <v>8</v>
      </c>
    </row>
    <row r="1256" spans="1:10" ht="15.75" customHeight="1" x14ac:dyDescent="0.25">
      <c r="A1256" s="380">
        <v>52047001</v>
      </c>
      <c r="B1256" s="381" t="s">
        <v>321</v>
      </c>
      <c r="C1256" s="381" t="s">
        <v>1272</v>
      </c>
      <c r="D1256" s="381" t="s">
        <v>1492</v>
      </c>
      <c r="E1256" s="381" t="s">
        <v>1493</v>
      </c>
      <c r="F1256" s="378">
        <v>811341</v>
      </c>
      <c r="G1256" s="378">
        <v>0</v>
      </c>
      <c r="H1256" s="378">
        <v>0</v>
      </c>
      <c r="I1256" s="378">
        <v>811341</v>
      </c>
      <c r="J1256" s="266">
        <f t="shared" si="20"/>
        <v>8</v>
      </c>
    </row>
    <row r="1257" spans="1:10" ht="15.75" customHeight="1" x14ac:dyDescent="0.25">
      <c r="A1257" s="380">
        <v>52047001</v>
      </c>
      <c r="B1257" s="381" t="s">
        <v>321</v>
      </c>
      <c r="C1257" s="381" t="s">
        <v>1272</v>
      </c>
      <c r="D1257" s="381" t="s">
        <v>1412</v>
      </c>
      <c r="E1257" s="381" t="s">
        <v>1413</v>
      </c>
      <c r="F1257" s="378">
        <v>147971</v>
      </c>
      <c r="G1257" s="378">
        <v>0</v>
      </c>
      <c r="H1257" s="378">
        <v>0</v>
      </c>
      <c r="I1257" s="378">
        <v>147971</v>
      </c>
      <c r="J1257" s="266">
        <f t="shared" si="20"/>
        <v>8</v>
      </c>
    </row>
    <row r="1258" spans="1:10" ht="15.75" customHeight="1" x14ac:dyDescent="0.25">
      <c r="A1258" s="380">
        <v>52047001</v>
      </c>
      <c r="B1258" s="381" t="s">
        <v>321</v>
      </c>
      <c r="C1258" s="381" t="s">
        <v>1272</v>
      </c>
      <c r="D1258" s="381" t="s">
        <v>1667</v>
      </c>
      <c r="E1258" s="381" t="s">
        <v>1668</v>
      </c>
      <c r="F1258" s="378">
        <v>1237256</v>
      </c>
      <c r="G1258" s="378">
        <v>264326</v>
      </c>
      <c r="H1258" s="378">
        <v>0</v>
      </c>
      <c r="I1258" s="378">
        <v>1501582</v>
      </c>
      <c r="J1258" s="266">
        <f t="shared" si="20"/>
        <v>8</v>
      </c>
    </row>
    <row r="1259" spans="1:10" ht="15.75" customHeight="1" x14ac:dyDescent="0.25">
      <c r="A1259" s="380">
        <v>52047001</v>
      </c>
      <c r="B1259" s="381" t="s">
        <v>321</v>
      </c>
      <c r="C1259" s="381" t="s">
        <v>1272</v>
      </c>
      <c r="D1259" s="381" t="s">
        <v>1669</v>
      </c>
      <c r="E1259" s="381" t="s">
        <v>1670</v>
      </c>
      <c r="F1259" s="378">
        <v>1463739</v>
      </c>
      <c r="G1259" s="378">
        <v>311091</v>
      </c>
      <c r="H1259" s="378">
        <v>0</v>
      </c>
      <c r="I1259" s="378">
        <v>1774830</v>
      </c>
      <c r="J1259" s="266">
        <f t="shared" si="20"/>
        <v>8</v>
      </c>
    </row>
    <row r="1260" spans="1:10" ht="15.75" customHeight="1" x14ac:dyDescent="0.25">
      <c r="A1260" s="380">
        <v>52047001</v>
      </c>
      <c r="B1260" s="381" t="s">
        <v>321</v>
      </c>
      <c r="C1260" s="381" t="s">
        <v>1272</v>
      </c>
      <c r="D1260" s="381" t="s">
        <v>1671</v>
      </c>
      <c r="E1260" s="381" t="s">
        <v>1672</v>
      </c>
      <c r="F1260" s="378">
        <v>468192</v>
      </c>
      <c r="G1260" s="378">
        <v>283374</v>
      </c>
      <c r="H1260" s="378">
        <v>0</v>
      </c>
      <c r="I1260" s="378">
        <v>751566</v>
      </c>
      <c r="J1260" s="266">
        <f t="shared" si="20"/>
        <v>8</v>
      </c>
    </row>
    <row r="1261" spans="1:10" ht="15.75" customHeight="1" x14ac:dyDescent="0.25">
      <c r="A1261" s="380">
        <v>52047001</v>
      </c>
      <c r="B1261" s="381" t="s">
        <v>321</v>
      </c>
      <c r="C1261" s="381" t="s">
        <v>1272</v>
      </c>
      <c r="D1261" s="381" t="s">
        <v>1673</v>
      </c>
      <c r="E1261" s="381" t="s">
        <v>1674</v>
      </c>
      <c r="F1261" s="378">
        <v>1425205</v>
      </c>
      <c r="G1261" s="378">
        <v>319526</v>
      </c>
      <c r="H1261" s="378">
        <v>0</v>
      </c>
      <c r="I1261" s="378">
        <v>1744731</v>
      </c>
      <c r="J1261" s="266">
        <f t="shared" si="20"/>
        <v>8</v>
      </c>
    </row>
    <row r="1262" spans="1:10" ht="15.75" customHeight="1" x14ac:dyDescent="0.25">
      <c r="A1262" s="380">
        <v>52047001</v>
      </c>
      <c r="B1262" s="381" t="s">
        <v>321</v>
      </c>
      <c r="C1262" s="381" t="s">
        <v>1272</v>
      </c>
      <c r="D1262" s="381" t="s">
        <v>1675</v>
      </c>
      <c r="E1262" s="381" t="s">
        <v>1676</v>
      </c>
      <c r="F1262" s="378">
        <v>0</v>
      </c>
      <c r="G1262" s="378">
        <v>56124</v>
      </c>
      <c r="H1262" s="378">
        <v>0</v>
      </c>
      <c r="I1262" s="378">
        <v>56124</v>
      </c>
      <c r="J1262" s="266">
        <f t="shared" si="20"/>
        <v>8</v>
      </c>
    </row>
    <row r="1263" spans="1:10" ht="15.75" customHeight="1" x14ac:dyDescent="0.25">
      <c r="A1263" s="380">
        <v>52047001</v>
      </c>
      <c r="B1263" s="381" t="s">
        <v>321</v>
      </c>
      <c r="C1263" s="381" t="s">
        <v>1272</v>
      </c>
      <c r="D1263" s="381" t="s">
        <v>1677</v>
      </c>
      <c r="E1263" s="381" t="s">
        <v>1678</v>
      </c>
      <c r="F1263" s="378">
        <v>0</v>
      </c>
      <c r="G1263" s="378">
        <v>56124</v>
      </c>
      <c r="H1263" s="378">
        <v>0</v>
      </c>
      <c r="I1263" s="378">
        <v>56124</v>
      </c>
      <c r="J1263" s="266">
        <f t="shared" si="20"/>
        <v>8</v>
      </c>
    </row>
    <row r="1264" spans="1:10" ht="15.75" customHeight="1" x14ac:dyDescent="0.25">
      <c r="A1264" s="380">
        <v>520472</v>
      </c>
      <c r="B1264" s="381" t="s">
        <v>321</v>
      </c>
      <c r="C1264" s="381" t="s">
        <v>1321</v>
      </c>
      <c r="D1264" s="381" t="s">
        <v>315</v>
      </c>
      <c r="E1264" s="381" t="s">
        <v>315</v>
      </c>
      <c r="F1264" s="378">
        <v>11131800</v>
      </c>
      <c r="G1264" s="378">
        <v>2337800</v>
      </c>
      <c r="H1264" s="378">
        <v>0</v>
      </c>
      <c r="I1264" s="378">
        <v>13469600</v>
      </c>
      <c r="J1264" s="266">
        <f t="shared" si="20"/>
        <v>6</v>
      </c>
    </row>
    <row r="1265" spans="1:10" ht="15.75" customHeight="1" x14ac:dyDescent="0.25">
      <c r="A1265" s="380">
        <v>52047201</v>
      </c>
      <c r="B1265" s="381" t="s">
        <v>321</v>
      </c>
      <c r="C1265" s="381" t="s">
        <v>1321</v>
      </c>
      <c r="D1265" s="381" t="s">
        <v>315</v>
      </c>
      <c r="E1265" s="381" t="s">
        <v>315</v>
      </c>
      <c r="F1265" s="378">
        <v>11131800</v>
      </c>
      <c r="G1265" s="378">
        <v>2337800</v>
      </c>
      <c r="H1265" s="378">
        <v>0</v>
      </c>
      <c r="I1265" s="378">
        <v>13469600</v>
      </c>
      <c r="J1265" s="266">
        <f t="shared" si="20"/>
        <v>8</v>
      </c>
    </row>
    <row r="1266" spans="1:10" ht="15.75" customHeight="1" x14ac:dyDescent="0.25">
      <c r="A1266" s="380">
        <v>52047201</v>
      </c>
      <c r="B1266" s="381" t="s">
        <v>321</v>
      </c>
      <c r="C1266" s="381" t="s">
        <v>1321</v>
      </c>
      <c r="D1266" s="381" t="s">
        <v>1488</v>
      </c>
      <c r="E1266" s="381" t="s">
        <v>1682</v>
      </c>
      <c r="F1266" s="378">
        <v>89900</v>
      </c>
      <c r="G1266" s="378">
        <v>0</v>
      </c>
      <c r="H1266" s="378">
        <v>0</v>
      </c>
      <c r="I1266" s="378">
        <v>89900</v>
      </c>
      <c r="J1266" s="266">
        <f t="shared" si="20"/>
        <v>8</v>
      </c>
    </row>
    <row r="1267" spans="1:10" ht="15.75" customHeight="1" x14ac:dyDescent="0.25">
      <c r="A1267" s="380">
        <v>52047201</v>
      </c>
      <c r="B1267" s="381" t="s">
        <v>321</v>
      </c>
      <c r="C1267" s="381" t="s">
        <v>1321</v>
      </c>
      <c r="D1267" s="381" t="s">
        <v>1535</v>
      </c>
      <c r="E1267" s="381" t="s">
        <v>1536</v>
      </c>
      <c r="F1267" s="378">
        <v>462200</v>
      </c>
      <c r="G1267" s="378">
        <v>92600</v>
      </c>
      <c r="H1267" s="378">
        <v>0</v>
      </c>
      <c r="I1267" s="378">
        <v>554800</v>
      </c>
      <c r="J1267" s="266">
        <f t="shared" si="20"/>
        <v>8</v>
      </c>
    </row>
    <row r="1268" spans="1:10" ht="15.75" customHeight="1" x14ac:dyDescent="0.25">
      <c r="A1268" s="380">
        <v>52047201</v>
      </c>
      <c r="B1268" s="381" t="s">
        <v>321</v>
      </c>
      <c r="C1268" s="381" t="s">
        <v>1321</v>
      </c>
      <c r="D1268" s="381" t="s">
        <v>1604</v>
      </c>
      <c r="E1268" s="381" t="s">
        <v>1605</v>
      </c>
      <c r="F1268" s="378">
        <v>503300</v>
      </c>
      <c r="G1268" s="378">
        <v>115600</v>
      </c>
      <c r="H1268" s="378">
        <v>0</v>
      </c>
      <c r="I1268" s="378">
        <v>618900</v>
      </c>
      <c r="J1268" s="266">
        <f t="shared" si="20"/>
        <v>8</v>
      </c>
    </row>
    <row r="1269" spans="1:10" ht="15.75" customHeight="1" x14ac:dyDescent="0.25">
      <c r="A1269" s="380">
        <v>52047201</v>
      </c>
      <c r="B1269" s="381" t="s">
        <v>321</v>
      </c>
      <c r="C1269" s="381" t="s">
        <v>1321</v>
      </c>
      <c r="D1269" s="381" t="s">
        <v>1649</v>
      </c>
      <c r="E1269" s="381" t="s">
        <v>1650</v>
      </c>
      <c r="F1269" s="378">
        <v>467900</v>
      </c>
      <c r="G1269" s="378">
        <v>95200</v>
      </c>
      <c r="H1269" s="378">
        <v>0</v>
      </c>
      <c r="I1269" s="378">
        <v>563100</v>
      </c>
      <c r="J1269" s="266">
        <f t="shared" si="20"/>
        <v>8</v>
      </c>
    </row>
    <row r="1270" spans="1:10" ht="15.75" customHeight="1" x14ac:dyDescent="0.25">
      <c r="A1270" s="380">
        <v>52047201</v>
      </c>
      <c r="B1270" s="381" t="s">
        <v>321</v>
      </c>
      <c r="C1270" s="381" t="s">
        <v>1321</v>
      </c>
      <c r="D1270" s="381" t="s">
        <v>1690</v>
      </c>
      <c r="E1270" s="381" t="s">
        <v>1691</v>
      </c>
      <c r="F1270" s="378">
        <v>39900</v>
      </c>
      <c r="G1270" s="378">
        <v>0</v>
      </c>
      <c r="H1270" s="378">
        <v>0</v>
      </c>
      <c r="I1270" s="378">
        <v>39900</v>
      </c>
      <c r="J1270" s="266">
        <f t="shared" si="20"/>
        <v>8</v>
      </c>
    </row>
    <row r="1271" spans="1:10" ht="15.75" customHeight="1" x14ac:dyDescent="0.25">
      <c r="A1271" s="380">
        <v>52047201</v>
      </c>
      <c r="B1271" s="381" t="s">
        <v>321</v>
      </c>
      <c r="C1271" s="381" t="s">
        <v>1321</v>
      </c>
      <c r="D1271" s="381" t="s">
        <v>1651</v>
      </c>
      <c r="E1271" s="381" t="s">
        <v>1652</v>
      </c>
      <c r="F1271" s="378">
        <v>439700</v>
      </c>
      <c r="G1271" s="378">
        <v>93800</v>
      </c>
      <c r="H1271" s="378">
        <v>0</v>
      </c>
      <c r="I1271" s="378">
        <v>533500</v>
      </c>
      <c r="J1271" s="266">
        <f t="shared" si="20"/>
        <v>8</v>
      </c>
    </row>
    <row r="1272" spans="1:10" ht="15.75" customHeight="1" x14ac:dyDescent="0.25">
      <c r="A1272" s="380">
        <v>52047201</v>
      </c>
      <c r="B1272" s="381" t="s">
        <v>321</v>
      </c>
      <c r="C1272" s="381" t="s">
        <v>1321</v>
      </c>
      <c r="D1272" s="381" t="s">
        <v>1443</v>
      </c>
      <c r="E1272" s="381" t="s">
        <v>1530</v>
      </c>
      <c r="F1272" s="378">
        <v>584600</v>
      </c>
      <c r="G1272" s="378">
        <v>116100</v>
      </c>
      <c r="H1272" s="378">
        <v>0</v>
      </c>
      <c r="I1272" s="378">
        <v>700700</v>
      </c>
      <c r="J1272" s="266">
        <f t="shared" si="20"/>
        <v>8</v>
      </c>
    </row>
    <row r="1273" spans="1:10" ht="15.75" customHeight="1" x14ac:dyDescent="0.25">
      <c r="A1273" s="380">
        <v>52047201</v>
      </c>
      <c r="B1273" s="381" t="s">
        <v>321</v>
      </c>
      <c r="C1273" s="381" t="s">
        <v>1321</v>
      </c>
      <c r="D1273" s="381" t="s">
        <v>1653</v>
      </c>
      <c r="E1273" s="381" t="s">
        <v>1654</v>
      </c>
      <c r="F1273" s="378">
        <v>482400</v>
      </c>
      <c r="G1273" s="378">
        <v>107600</v>
      </c>
      <c r="H1273" s="378">
        <v>0</v>
      </c>
      <c r="I1273" s="378">
        <v>590000</v>
      </c>
      <c r="J1273" s="266">
        <f t="shared" si="20"/>
        <v>8</v>
      </c>
    </row>
    <row r="1274" spans="1:10" ht="15.75" customHeight="1" x14ac:dyDescent="0.25">
      <c r="A1274" s="380">
        <v>52047201</v>
      </c>
      <c r="B1274" s="381" t="s">
        <v>321</v>
      </c>
      <c r="C1274" s="381" t="s">
        <v>1321</v>
      </c>
      <c r="D1274" s="381" t="s">
        <v>1683</v>
      </c>
      <c r="E1274" s="381" t="s">
        <v>1684</v>
      </c>
      <c r="F1274" s="378">
        <v>201300</v>
      </c>
      <c r="G1274" s="378">
        <v>0</v>
      </c>
      <c r="H1274" s="378">
        <v>0</v>
      </c>
      <c r="I1274" s="378">
        <v>201300</v>
      </c>
      <c r="J1274" s="266">
        <f t="shared" si="20"/>
        <v>8</v>
      </c>
    </row>
    <row r="1275" spans="1:10" ht="15.75" customHeight="1" x14ac:dyDescent="0.25">
      <c r="A1275" s="380">
        <v>52047201</v>
      </c>
      <c r="B1275" s="381" t="s">
        <v>321</v>
      </c>
      <c r="C1275" s="381" t="s">
        <v>1321</v>
      </c>
      <c r="D1275" s="381" t="s">
        <v>1606</v>
      </c>
      <c r="E1275" s="381" t="s">
        <v>1607</v>
      </c>
      <c r="F1275" s="378">
        <v>508500</v>
      </c>
      <c r="G1275" s="378">
        <v>100900</v>
      </c>
      <c r="H1275" s="378">
        <v>0</v>
      </c>
      <c r="I1275" s="378">
        <v>609400</v>
      </c>
      <c r="J1275" s="266">
        <f t="shared" si="20"/>
        <v>8</v>
      </c>
    </row>
    <row r="1276" spans="1:10" ht="15.75" customHeight="1" x14ac:dyDescent="0.25">
      <c r="A1276" s="380">
        <v>52047201</v>
      </c>
      <c r="B1276" s="381" t="s">
        <v>321</v>
      </c>
      <c r="C1276" s="381" t="s">
        <v>1321</v>
      </c>
      <c r="D1276" s="381" t="s">
        <v>1686</v>
      </c>
      <c r="E1276" s="381" t="s">
        <v>1687</v>
      </c>
      <c r="F1276" s="378">
        <v>243700</v>
      </c>
      <c r="G1276" s="378">
        <v>0</v>
      </c>
      <c r="H1276" s="378">
        <v>0</v>
      </c>
      <c r="I1276" s="378">
        <v>243700</v>
      </c>
      <c r="J1276" s="266">
        <f t="shared" si="20"/>
        <v>8</v>
      </c>
    </row>
    <row r="1277" spans="1:10" ht="15.75" customHeight="1" x14ac:dyDescent="0.25">
      <c r="A1277" s="380">
        <v>52047201</v>
      </c>
      <c r="B1277" s="381" t="s">
        <v>321</v>
      </c>
      <c r="C1277" s="381" t="s">
        <v>1321</v>
      </c>
      <c r="D1277" s="381" t="s">
        <v>1655</v>
      </c>
      <c r="E1277" s="381" t="s">
        <v>1656</v>
      </c>
      <c r="F1277" s="378">
        <v>133900</v>
      </c>
      <c r="G1277" s="378">
        <v>79400</v>
      </c>
      <c r="H1277" s="378">
        <v>0</v>
      </c>
      <c r="I1277" s="378">
        <v>213300</v>
      </c>
      <c r="J1277" s="266">
        <f t="shared" si="20"/>
        <v>8</v>
      </c>
    </row>
    <row r="1278" spans="1:10" ht="15.75" customHeight="1" x14ac:dyDescent="0.25">
      <c r="A1278" s="380">
        <v>52047201</v>
      </c>
      <c r="B1278" s="381" t="s">
        <v>321</v>
      </c>
      <c r="C1278" s="381" t="s">
        <v>1321</v>
      </c>
      <c r="D1278" s="381" t="s">
        <v>1657</v>
      </c>
      <c r="E1278" s="381" t="s">
        <v>1658</v>
      </c>
      <c r="F1278" s="378">
        <v>446000</v>
      </c>
      <c r="G1278" s="378">
        <v>90500</v>
      </c>
      <c r="H1278" s="378">
        <v>0</v>
      </c>
      <c r="I1278" s="378">
        <v>536500</v>
      </c>
      <c r="J1278" s="266">
        <f t="shared" si="20"/>
        <v>8</v>
      </c>
    </row>
    <row r="1279" spans="1:10" ht="15.75" customHeight="1" x14ac:dyDescent="0.25">
      <c r="A1279" s="380">
        <v>52047201</v>
      </c>
      <c r="B1279" s="381" t="s">
        <v>321</v>
      </c>
      <c r="C1279" s="381" t="s">
        <v>1321</v>
      </c>
      <c r="D1279" s="381" t="s">
        <v>1659</v>
      </c>
      <c r="E1279" s="381" t="s">
        <v>1660</v>
      </c>
      <c r="F1279" s="378">
        <v>480900</v>
      </c>
      <c r="G1279" s="378">
        <v>41700</v>
      </c>
      <c r="H1279" s="378">
        <v>0</v>
      </c>
      <c r="I1279" s="378">
        <v>522600</v>
      </c>
      <c r="J1279" s="266">
        <f t="shared" si="20"/>
        <v>8</v>
      </c>
    </row>
    <row r="1280" spans="1:10" ht="15.75" customHeight="1" x14ac:dyDescent="0.25">
      <c r="A1280" s="380">
        <v>52047201</v>
      </c>
      <c r="B1280" s="381" t="s">
        <v>321</v>
      </c>
      <c r="C1280" s="381" t="s">
        <v>1321</v>
      </c>
      <c r="D1280" s="381" t="s">
        <v>1527</v>
      </c>
      <c r="E1280" s="381" t="s">
        <v>1528</v>
      </c>
      <c r="F1280" s="378">
        <v>432400</v>
      </c>
      <c r="G1280" s="378">
        <v>101900</v>
      </c>
      <c r="H1280" s="378">
        <v>0</v>
      </c>
      <c r="I1280" s="378">
        <v>534300</v>
      </c>
      <c r="J1280" s="266">
        <f t="shared" si="20"/>
        <v>8</v>
      </c>
    </row>
    <row r="1281" spans="1:10" ht="15.75" customHeight="1" x14ac:dyDescent="0.25">
      <c r="A1281" s="380">
        <v>52047201</v>
      </c>
      <c r="B1281" s="381" t="s">
        <v>321</v>
      </c>
      <c r="C1281" s="381" t="s">
        <v>1321</v>
      </c>
      <c r="D1281" s="381" t="s">
        <v>1444</v>
      </c>
      <c r="E1281" s="381" t="s">
        <v>1533</v>
      </c>
      <c r="F1281" s="378">
        <v>603000</v>
      </c>
      <c r="G1281" s="378">
        <v>115700</v>
      </c>
      <c r="H1281" s="378">
        <v>0</v>
      </c>
      <c r="I1281" s="378">
        <v>718700</v>
      </c>
      <c r="J1281" s="266">
        <f t="shared" si="20"/>
        <v>8</v>
      </c>
    </row>
    <row r="1282" spans="1:10" ht="15.75" customHeight="1" x14ac:dyDescent="0.25">
      <c r="A1282" s="380">
        <v>52047201</v>
      </c>
      <c r="B1282" s="381" t="s">
        <v>321</v>
      </c>
      <c r="C1282" s="381" t="s">
        <v>1321</v>
      </c>
      <c r="D1282" s="381" t="s">
        <v>1661</v>
      </c>
      <c r="E1282" s="381" t="s">
        <v>1662</v>
      </c>
      <c r="F1282" s="378">
        <v>491200</v>
      </c>
      <c r="G1282" s="378">
        <v>85200</v>
      </c>
      <c r="H1282" s="378">
        <v>0</v>
      </c>
      <c r="I1282" s="378">
        <v>576400</v>
      </c>
      <c r="J1282" s="266">
        <f t="shared" si="20"/>
        <v>8</v>
      </c>
    </row>
    <row r="1283" spans="1:10" ht="15.75" customHeight="1" x14ac:dyDescent="0.25">
      <c r="A1283" s="380">
        <v>52047201</v>
      </c>
      <c r="B1283" s="381" t="s">
        <v>321</v>
      </c>
      <c r="C1283" s="381" t="s">
        <v>1321</v>
      </c>
      <c r="D1283" s="381" t="s">
        <v>1663</v>
      </c>
      <c r="E1283" s="381" t="s">
        <v>1664</v>
      </c>
      <c r="F1283" s="378">
        <v>461100</v>
      </c>
      <c r="G1283" s="378">
        <v>98300</v>
      </c>
      <c r="H1283" s="378">
        <v>0</v>
      </c>
      <c r="I1283" s="378">
        <v>559400</v>
      </c>
      <c r="J1283" s="266">
        <f t="shared" si="20"/>
        <v>8</v>
      </c>
    </row>
    <row r="1284" spans="1:10" ht="15.75" customHeight="1" x14ac:dyDescent="0.25">
      <c r="A1284" s="380">
        <v>52047201</v>
      </c>
      <c r="B1284" s="381" t="s">
        <v>321</v>
      </c>
      <c r="C1284" s="381" t="s">
        <v>1321</v>
      </c>
      <c r="D1284" s="381" t="s">
        <v>1609</v>
      </c>
      <c r="E1284" s="381" t="s">
        <v>1610</v>
      </c>
      <c r="F1284" s="378">
        <v>453000</v>
      </c>
      <c r="G1284" s="378">
        <v>97100</v>
      </c>
      <c r="H1284" s="378">
        <v>0</v>
      </c>
      <c r="I1284" s="378">
        <v>550100</v>
      </c>
      <c r="J1284" s="266">
        <f t="shared" si="20"/>
        <v>8</v>
      </c>
    </row>
    <row r="1285" spans="1:10" ht="15.75" customHeight="1" x14ac:dyDescent="0.25">
      <c r="A1285" s="380">
        <v>52047201</v>
      </c>
      <c r="B1285" s="381" t="s">
        <v>321</v>
      </c>
      <c r="C1285" s="381" t="s">
        <v>1321</v>
      </c>
      <c r="D1285" s="381" t="s">
        <v>1490</v>
      </c>
      <c r="E1285" s="381" t="s">
        <v>1491</v>
      </c>
      <c r="F1285" s="378">
        <v>176600</v>
      </c>
      <c r="G1285" s="378">
        <v>0</v>
      </c>
      <c r="H1285" s="378">
        <v>0</v>
      </c>
      <c r="I1285" s="378">
        <v>176600</v>
      </c>
      <c r="J1285" s="266">
        <f t="shared" si="20"/>
        <v>8</v>
      </c>
    </row>
    <row r="1286" spans="1:10" ht="15.75" customHeight="1" x14ac:dyDescent="0.25">
      <c r="A1286" s="380">
        <v>52047201</v>
      </c>
      <c r="B1286" s="381" t="s">
        <v>321</v>
      </c>
      <c r="C1286" s="381" t="s">
        <v>1321</v>
      </c>
      <c r="D1286" s="381" t="s">
        <v>1210</v>
      </c>
      <c r="E1286" s="381" t="s">
        <v>1611</v>
      </c>
      <c r="F1286" s="378">
        <v>275900</v>
      </c>
      <c r="G1286" s="378">
        <v>84200</v>
      </c>
      <c r="H1286" s="378">
        <v>0</v>
      </c>
      <c r="I1286" s="378">
        <v>360100</v>
      </c>
      <c r="J1286" s="266">
        <f t="shared" si="20"/>
        <v>8</v>
      </c>
    </row>
    <row r="1287" spans="1:10" ht="15.75" customHeight="1" x14ac:dyDescent="0.25">
      <c r="A1287" s="380">
        <v>52047201</v>
      </c>
      <c r="B1287" s="381" t="s">
        <v>321</v>
      </c>
      <c r="C1287" s="381" t="s">
        <v>1321</v>
      </c>
      <c r="D1287" s="381" t="s">
        <v>1523</v>
      </c>
      <c r="E1287" s="381" t="s">
        <v>1524</v>
      </c>
      <c r="F1287" s="378">
        <v>1093200</v>
      </c>
      <c r="G1287" s="378">
        <v>255000</v>
      </c>
      <c r="H1287" s="378">
        <v>0</v>
      </c>
      <c r="I1287" s="378">
        <v>1348200</v>
      </c>
      <c r="J1287" s="266">
        <f t="shared" si="20"/>
        <v>8</v>
      </c>
    </row>
    <row r="1288" spans="1:10" ht="15.75" customHeight="1" x14ac:dyDescent="0.25">
      <c r="A1288" s="380">
        <v>52047201</v>
      </c>
      <c r="B1288" s="381" t="s">
        <v>321</v>
      </c>
      <c r="C1288" s="381" t="s">
        <v>1321</v>
      </c>
      <c r="D1288" s="381" t="s">
        <v>1665</v>
      </c>
      <c r="E1288" s="381" t="s">
        <v>1666</v>
      </c>
      <c r="F1288" s="378">
        <v>42100</v>
      </c>
      <c r="G1288" s="378">
        <v>72300</v>
      </c>
      <c r="H1288" s="378">
        <v>0</v>
      </c>
      <c r="I1288" s="378">
        <v>114400</v>
      </c>
      <c r="J1288" s="266">
        <f t="shared" si="20"/>
        <v>8</v>
      </c>
    </row>
    <row r="1289" spans="1:10" ht="15.75" customHeight="1" x14ac:dyDescent="0.25">
      <c r="A1289" s="380">
        <v>52047201</v>
      </c>
      <c r="B1289" s="381" t="s">
        <v>321</v>
      </c>
      <c r="C1289" s="381" t="s">
        <v>1321</v>
      </c>
      <c r="D1289" s="381" t="s">
        <v>792</v>
      </c>
      <c r="E1289" s="381" t="s">
        <v>1534</v>
      </c>
      <c r="F1289" s="378">
        <v>400900</v>
      </c>
      <c r="G1289" s="378">
        <v>103400</v>
      </c>
      <c r="H1289" s="378">
        <v>0</v>
      </c>
      <c r="I1289" s="378">
        <v>504300</v>
      </c>
      <c r="J1289" s="266">
        <f t="shared" si="20"/>
        <v>8</v>
      </c>
    </row>
    <row r="1290" spans="1:10" ht="15.75" customHeight="1" x14ac:dyDescent="0.25">
      <c r="A1290" s="380">
        <v>52047201</v>
      </c>
      <c r="B1290" s="381" t="s">
        <v>321</v>
      </c>
      <c r="C1290" s="381" t="s">
        <v>1321</v>
      </c>
      <c r="D1290" s="381" t="s">
        <v>1688</v>
      </c>
      <c r="E1290" s="381" t="s">
        <v>1689</v>
      </c>
      <c r="F1290" s="378">
        <v>152100</v>
      </c>
      <c r="G1290" s="378">
        <v>0</v>
      </c>
      <c r="H1290" s="378">
        <v>0</v>
      </c>
      <c r="I1290" s="378">
        <v>152100</v>
      </c>
      <c r="J1290" s="266">
        <f t="shared" si="20"/>
        <v>8</v>
      </c>
    </row>
    <row r="1291" spans="1:10" ht="15.75" customHeight="1" x14ac:dyDescent="0.25">
      <c r="A1291" s="380">
        <v>52047201</v>
      </c>
      <c r="B1291" s="381" t="s">
        <v>321</v>
      </c>
      <c r="C1291" s="381" t="s">
        <v>1321</v>
      </c>
      <c r="D1291" s="381" t="s">
        <v>1492</v>
      </c>
      <c r="E1291" s="381" t="s">
        <v>1493</v>
      </c>
      <c r="F1291" s="378">
        <v>169500</v>
      </c>
      <c r="G1291" s="378">
        <v>0</v>
      </c>
      <c r="H1291" s="378">
        <v>0</v>
      </c>
      <c r="I1291" s="378">
        <v>169500</v>
      </c>
      <c r="J1291" s="266">
        <f t="shared" si="20"/>
        <v>8</v>
      </c>
    </row>
    <row r="1292" spans="1:10" ht="15.75" customHeight="1" x14ac:dyDescent="0.25">
      <c r="A1292" s="380">
        <v>52047201</v>
      </c>
      <c r="B1292" s="381" t="s">
        <v>321</v>
      </c>
      <c r="C1292" s="381" t="s">
        <v>1321</v>
      </c>
      <c r="D1292" s="381" t="s">
        <v>1412</v>
      </c>
      <c r="E1292" s="381" t="s">
        <v>1413</v>
      </c>
      <c r="F1292" s="378">
        <v>76500</v>
      </c>
      <c r="G1292" s="378">
        <v>0</v>
      </c>
      <c r="H1292" s="378">
        <v>0</v>
      </c>
      <c r="I1292" s="378">
        <v>76500</v>
      </c>
      <c r="J1292" s="266">
        <f t="shared" ref="J1292:J1355" si="21">+LEN(A1292)</f>
        <v>8</v>
      </c>
    </row>
    <row r="1293" spans="1:10" ht="15.75" customHeight="1" x14ac:dyDescent="0.25">
      <c r="A1293" s="380">
        <v>52047201</v>
      </c>
      <c r="B1293" s="381" t="s">
        <v>321</v>
      </c>
      <c r="C1293" s="381" t="s">
        <v>1321</v>
      </c>
      <c r="D1293" s="381" t="s">
        <v>1667</v>
      </c>
      <c r="E1293" s="381" t="s">
        <v>1668</v>
      </c>
      <c r="F1293" s="378">
        <v>119800</v>
      </c>
      <c r="G1293" s="378">
        <v>87700</v>
      </c>
      <c r="H1293" s="378">
        <v>0</v>
      </c>
      <c r="I1293" s="378">
        <v>207500</v>
      </c>
      <c r="J1293" s="266">
        <f t="shared" si="21"/>
        <v>8</v>
      </c>
    </row>
    <row r="1294" spans="1:10" ht="15.75" customHeight="1" x14ac:dyDescent="0.25">
      <c r="A1294" s="380">
        <v>52047201</v>
      </c>
      <c r="B1294" s="381" t="s">
        <v>321</v>
      </c>
      <c r="C1294" s="381" t="s">
        <v>1321</v>
      </c>
      <c r="D1294" s="381" t="s">
        <v>1669</v>
      </c>
      <c r="E1294" s="381" t="s">
        <v>1670</v>
      </c>
      <c r="F1294" s="378">
        <v>468900</v>
      </c>
      <c r="G1294" s="378">
        <v>66100</v>
      </c>
      <c r="H1294" s="378">
        <v>0</v>
      </c>
      <c r="I1294" s="378">
        <v>535000</v>
      </c>
      <c r="J1294" s="266">
        <f t="shared" si="21"/>
        <v>8</v>
      </c>
    </row>
    <row r="1295" spans="1:10" ht="15.75" customHeight="1" x14ac:dyDescent="0.25">
      <c r="A1295" s="380">
        <v>52047201</v>
      </c>
      <c r="B1295" s="381" t="s">
        <v>321</v>
      </c>
      <c r="C1295" s="381" t="s">
        <v>1321</v>
      </c>
      <c r="D1295" s="381" t="s">
        <v>1671</v>
      </c>
      <c r="E1295" s="381" t="s">
        <v>1672</v>
      </c>
      <c r="F1295" s="378">
        <v>156100</v>
      </c>
      <c r="G1295" s="378">
        <v>94500</v>
      </c>
      <c r="H1295" s="378">
        <v>0</v>
      </c>
      <c r="I1295" s="378">
        <v>250600</v>
      </c>
      <c r="J1295" s="266">
        <f t="shared" si="21"/>
        <v>8</v>
      </c>
    </row>
    <row r="1296" spans="1:10" ht="15.75" customHeight="1" x14ac:dyDescent="0.25">
      <c r="A1296" s="380">
        <v>52047201</v>
      </c>
      <c r="B1296" s="381" t="s">
        <v>321</v>
      </c>
      <c r="C1296" s="381" t="s">
        <v>1321</v>
      </c>
      <c r="D1296" s="381" t="s">
        <v>1673</v>
      </c>
      <c r="E1296" s="381" t="s">
        <v>1674</v>
      </c>
      <c r="F1296" s="378">
        <v>475300</v>
      </c>
      <c r="G1296" s="378">
        <v>105600</v>
      </c>
      <c r="H1296" s="378">
        <v>0</v>
      </c>
      <c r="I1296" s="378">
        <v>580900</v>
      </c>
      <c r="J1296" s="266">
        <f t="shared" si="21"/>
        <v>8</v>
      </c>
    </row>
    <row r="1297" spans="1:10" ht="15.75" customHeight="1" x14ac:dyDescent="0.25">
      <c r="A1297" s="380">
        <v>52047201</v>
      </c>
      <c r="B1297" s="381" t="s">
        <v>321</v>
      </c>
      <c r="C1297" s="381" t="s">
        <v>1321</v>
      </c>
      <c r="D1297" s="381" t="s">
        <v>1675</v>
      </c>
      <c r="E1297" s="381" t="s">
        <v>1676</v>
      </c>
      <c r="F1297" s="378">
        <v>0</v>
      </c>
      <c r="G1297" s="378">
        <v>18700</v>
      </c>
      <c r="H1297" s="378">
        <v>0</v>
      </c>
      <c r="I1297" s="378">
        <v>18700</v>
      </c>
      <c r="J1297" s="266">
        <f t="shared" si="21"/>
        <v>8</v>
      </c>
    </row>
    <row r="1298" spans="1:10" ht="15.75" customHeight="1" x14ac:dyDescent="0.25">
      <c r="A1298" s="380">
        <v>52047201</v>
      </c>
      <c r="B1298" s="381" t="s">
        <v>321</v>
      </c>
      <c r="C1298" s="381" t="s">
        <v>1321</v>
      </c>
      <c r="D1298" s="381" t="s">
        <v>1677</v>
      </c>
      <c r="E1298" s="381" t="s">
        <v>1678</v>
      </c>
      <c r="F1298" s="378">
        <v>0</v>
      </c>
      <c r="G1298" s="378">
        <v>18700</v>
      </c>
      <c r="H1298" s="378">
        <v>0</v>
      </c>
      <c r="I1298" s="378">
        <v>18700</v>
      </c>
      <c r="J1298" s="266">
        <f t="shared" si="21"/>
        <v>8</v>
      </c>
    </row>
    <row r="1299" spans="1:10" ht="15.75" customHeight="1" x14ac:dyDescent="0.25">
      <c r="A1299" s="380">
        <v>5205</v>
      </c>
      <c r="B1299" s="381" t="s">
        <v>315</v>
      </c>
      <c r="C1299" s="381" t="s">
        <v>476</v>
      </c>
      <c r="D1299" s="381" t="s">
        <v>315</v>
      </c>
      <c r="E1299" s="381" t="s">
        <v>315</v>
      </c>
      <c r="F1299" s="378">
        <v>387311604</v>
      </c>
      <c r="G1299" s="378">
        <v>78340486</v>
      </c>
      <c r="H1299" s="378">
        <v>1242233</v>
      </c>
      <c r="I1299" s="378">
        <v>464409857</v>
      </c>
      <c r="J1299" s="266">
        <f t="shared" si="21"/>
        <v>4</v>
      </c>
    </row>
    <row r="1300" spans="1:10" ht="15.75" customHeight="1" x14ac:dyDescent="0.25">
      <c r="A1300" s="380">
        <v>520506</v>
      </c>
      <c r="B1300" s="381" t="s">
        <v>315</v>
      </c>
      <c r="C1300" s="381" t="s">
        <v>1322</v>
      </c>
      <c r="D1300" s="381" t="s">
        <v>315</v>
      </c>
      <c r="E1300" s="381" t="s">
        <v>315</v>
      </c>
      <c r="F1300" s="378">
        <v>206806129</v>
      </c>
      <c r="G1300" s="378">
        <v>42928114</v>
      </c>
      <c r="H1300" s="378">
        <v>58363</v>
      </c>
      <c r="I1300" s="378">
        <v>249675880</v>
      </c>
      <c r="J1300" s="266">
        <f t="shared" si="21"/>
        <v>6</v>
      </c>
    </row>
    <row r="1301" spans="1:10" ht="15.75" customHeight="1" x14ac:dyDescent="0.25">
      <c r="A1301" s="380">
        <v>52050601</v>
      </c>
      <c r="B1301" s="381" t="s">
        <v>315</v>
      </c>
      <c r="C1301" s="381" t="s">
        <v>1322</v>
      </c>
      <c r="D1301" s="381" t="s">
        <v>315</v>
      </c>
      <c r="E1301" s="381" t="s">
        <v>315</v>
      </c>
      <c r="F1301" s="378">
        <v>206806129</v>
      </c>
      <c r="G1301" s="378">
        <v>42928114</v>
      </c>
      <c r="H1301" s="378">
        <v>58363</v>
      </c>
      <c r="I1301" s="378">
        <v>249675880</v>
      </c>
      <c r="J1301" s="266">
        <f t="shared" si="21"/>
        <v>8</v>
      </c>
    </row>
    <row r="1302" spans="1:10" ht="15.75" customHeight="1" x14ac:dyDescent="0.25">
      <c r="A1302" s="380">
        <v>52050601</v>
      </c>
      <c r="B1302" s="381" t="s">
        <v>315</v>
      </c>
      <c r="C1302" s="381" t="s">
        <v>1322</v>
      </c>
      <c r="D1302" s="381" t="s">
        <v>1488</v>
      </c>
      <c r="E1302" s="381" t="s">
        <v>1682</v>
      </c>
      <c r="F1302" s="378">
        <v>1750905</v>
      </c>
      <c r="G1302" s="378">
        <v>0</v>
      </c>
      <c r="H1302" s="378">
        <v>0</v>
      </c>
      <c r="I1302" s="378">
        <v>1750905</v>
      </c>
      <c r="J1302" s="266">
        <f t="shared" si="21"/>
        <v>8</v>
      </c>
    </row>
    <row r="1303" spans="1:10" ht="15.75" customHeight="1" x14ac:dyDescent="0.25">
      <c r="A1303" s="380">
        <v>52050601</v>
      </c>
      <c r="B1303" s="381" t="s">
        <v>315</v>
      </c>
      <c r="C1303" s="381" t="s">
        <v>1322</v>
      </c>
      <c r="D1303" s="381" t="s">
        <v>1535</v>
      </c>
      <c r="E1303" s="381" t="s">
        <v>1536</v>
      </c>
      <c r="F1303" s="378">
        <v>8754522</v>
      </c>
      <c r="G1303" s="378">
        <v>1750904</v>
      </c>
      <c r="H1303" s="378">
        <v>0</v>
      </c>
      <c r="I1303" s="378">
        <v>10505426</v>
      </c>
      <c r="J1303" s="266">
        <f t="shared" si="21"/>
        <v>8</v>
      </c>
    </row>
    <row r="1304" spans="1:10" ht="15.75" customHeight="1" x14ac:dyDescent="0.25">
      <c r="A1304" s="380">
        <v>52050601</v>
      </c>
      <c r="B1304" s="381" t="s">
        <v>315</v>
      </c>
      <c r="C1304" s="381" t="s">
        <v>1322</v>
      </c>
      <c r="D1304" s="381" t="s">
        <v>1604</v>
      </c>
      <c r="E1304" s="381" t="s">
        <v>1605</v>
      </c>
      <c r="F1304" s="378">
        <v>8754521</v>
      </c>
      <c r="G1304" s="378">
        <v>1750904</v>
      </c>
      <c r="H1304" s="378">
        <v>0</v>
      </c>
      <c r="I1304" s="378">
        <v>10505425</v>
      </c>
      <c r="J1304" s="266">
        <f t="shared" si="21"/>
        <v>8</v>
      </c>
    </row>
    <row r="1305" spans="1:10" ht="15.75" customHeight="1" x14ac:dyDescent="0.25">
      <c r="A1305" s="380">
        <v>52050601</v>
      </c>
      <c r="B1305" s="381" t="s">
        <v>315</v>
      </c>
      <c r="C1305" s="381" t="s">
        <v>1322</v>
      </c>
      <c r="D1305" s="381" t="s">
        <v>1649</v>
      </c>
      <c r="E1305" s="381" t="s">
        <v>1650</v>
      </c>
      <c r="F1305" s="378">
        <v>8462703</v>
      </c>
      <c r="G1305" s="378">
        <v>1750905</v>
      </c>
      <c r="H1305" s="378">
        <v>0</v>
      </c>
      <c r="I1305" s="378">
        <v>10213608</v>
      </c>
      <c r="J1305" s="266">
        <f t="shared" si="21"/>
        <v>8</v>
      </c>
    </row>
    <row r="1306" spans="1:10" ht="15.75" customHeight="1" x14ac:dyDescent="0.25">
      <c r="A1306" s="380">
        <v>52050601</v>
      </c>
      <c r="B1306" s="381" t="s">
        <v>315</v>
      </c>
      <c r="C1306" s="381" t="s">
        <v>1322</v>
      </c>
      <c r="D1306" s="381" t="s">
        <v>1651</v>
      </c>
      <c r="E1306" s="381" t="s">
        <v>1652</v>
      </c>
      <c r="F1306" s="378">
        <v>7470524</v>
      </c>
      <c r="G1306" s="378">
        <v>1750904</v>
      </c>
      <c r="H1306" s="378">
        <v>0</v>
      </c>
      <c r="I1306" s="378">
        <v>9221428</v>
      </c>
      <c r="J1306" s="266">
        <f t="shared" si="21"/>
        <v>8</v>
      </c>
    </row>
    <row r="1307" spans="1:10" ht="15.75" customHeight="1" x14ac:dyDescent="0.25">
      <c r="A1307" s="380">
        <v>52050601</v>
      </c>
      <c r="B1307" s="381" t="s">
        <v>315</v>
      </c>
      <c r="C1307" s="381" t="s">
        <v>1322</v>
      </c>
      <c r="D1307" s="381" t="s">
        <v>1443</v>
      </c>
      <c r="E1307" s="381" t="s">
        <v>1530</v>
      </c>
      <c r="F1307" s="378">
        <v>11237859</v>
      </c>
      <c r="G1307" s="378">
        <v>2391034</v>
      </c>
      <c r="H1307" s="378">
        <v>0</v>
      </c>
      <c r="I1307" s="378">
        <v>13628893</v>
      </c>
      <c r="J1307" s="266">
        <f t="shared" si="21"/>
        <v>8</v>
      </c>
    </row>
    <row r="1308" spans="1:10" ht="15.75" customHeight="1" x14ac:dyDescent="0.25">
      <c r="A1308" s="380">
        <v>52050601</v>
      </c>
      <c r="B1308" s="381" t="s">
        <v>315</v>
      </c>
      <c r="C1308" s="381" t="s">
        <v>1322</v>
      </c>
      <c r="D1308" s="381" t="s">
        <v>1653</v>
      </c>
      <c r="E1308" s="381" t="s">
        <v>1654</v>
      </c>
      <c r="F1308" s="378">
        <v>8696158</v>
      </c>
      <c r="G1308" s="378">
        <v>1750905</v>
      </c>
      <c r="H1308" s="378">
        <v>0</v>
      </c>
      <c r="I1308" s="378">
        <v>10447063</v>
      </c>
      <c r="J1308" s="266">
        <f t="shared" si="21"/>
        <v>8</v>
      </c>
    </row>
    <row r="1309" spans="1:10" ht="15.75" customHeight="1" x14ac:dyDescent="0.25">
      <c r="A1309" s="380">
        <v>52050601</v>
      </c>
      <c r="B1309" s="381" t="s">
        <v>315</v>
      </c>
      <c r="C1309" s="381" t="s">
        <v>1322</v>
      </c>
      <c r="D1309" s="381" t="s">
        <v>1683</v>
      </c>
      <c r="E1309" s="381" t="s">
        <v>1684</v>
      </c>
      <c r="F1309" s="378">
        <v>3501808</v>
      </c>
      <c r="G1309" s="378">
        <v>0</v>
      </c>
      <c r="H1309" s="378">
        <v>0</v>
      </c>
      <c r="I1309" s="378">
        <v>3501808</v>
      </c>
      <c r="J1309" s="266">
        <f t="shared" si="21"/>
        <v>8</v>
      </c>
    </row>
    <row r="1310" spans="1:10" ht="15.75" customHeight="1" x14ac:dyDescent="0.25">
      <c r="A1310" s="380">
        <v>52050601</v>
      </c>
      <c r="B1310" s="381" t="s">
        <v>315</v>
      </c>
      <c r="C1310" s="381" t="s">
        <v>1322</v>
      </c>
      <c r="D1310" s="381" t="s">
        <v>1606</v>
      </c>
      <c r="E1310" s="381" t="s">
        <v>1607</v>
      </c>
      <c r="F1310" s="378">
        <v>8754520</v>
      </c>
      <c r="G1310" s="378">
        <v>1750905</v>
      </c>
      <c r="H1310" s="378">
        <v>0</v>
      </c>
      <c r="I1310" s="378">
        <v>10505425</v>
      </c>
      <c r="J1310" s="266">
        <f t="shared" si="21"/>
        <v>8</v>
      </c>
    </row>
    <row r="1311" spans="1:10" ht="15.75" customHeight="1" x14ac:dyDescent="0.25">
      <c r="A1311" s="380">
        <v>52050601</v>
      </c>
      <c r="B1311" s="381" t="s">
        <v>315</v>
      </c>
      <c r="C1311" s="381" t="s">
        <v>1322</v>
      </c>
      <c r="D1311" s="381" t="s">
        <v>1686</v>
      </c>
      <c r="E1311" s="381" t="s">
        <v>1687</v>
      </c>
      <c r="F1311" s="378">
        <v>4552350</v>
      </c>
      <c r="G1311" s="378">
        <v>0</v>
      </c>
      <c r="H1311" s="378">
        <v>0</v>
      </c>
      <c r="I1311" s="378">
        <v>4552350</v>
      </c>
      <c r="J1311" s="266">
        <f t="shared" si="21"/>
        <v>8</v>
      </c>
    </row>
    <row r="1312" spans="1:10" ht="15.75" customHeight="1" x14ac:dyDescent="0.25">
      <c r="A1312" s="380">
        <v>52050601</v>
      </c>
      <c r="B1312" s="381" t="s">
        <v>315</v>
      </c>
      <c r="C1312" s="381" t="s">
        <v>1322</v>
      </c>
      <c r="D1312" s="381" t="s">
        <v>1655</v>
      </c>
      <c r="E1312" s="381" t="s">
        <v>1656</v>
      </c>
      <c r="F1312" s="378">
        <v>3093264</v>
      </c>
      <c r="G1312" s="378">
        <v>1750904</v>
      </c>
      <c r="H1312" s="378">
        <v>0</v>
      </c>
      <c r="I1312" s="378">
        <v>4844168</v>
      </c>
      <c r="J1312" s="266">
        <f t="shared" si="21"/>
        <v>8</v>
      </c>
    </row>
    <row r="1313" spans="1:10" ht="15.75" customHeight="1" x14ac:dyDescent="0.25">
      <c r="A1313" s="380">
        <v>52050601</v>
      </c>
      <c r="B1313" s="381" t="s">
        <v>315</v>
      </c>
      <c r="C1313" s="381" t="s">
        <v>1322</v>
      </c>
      <c r="D1313" s="381" t="s">
        <v>1657</v>
      </c>
      <c r="E1313" s="381" t="s">
        <v>1658</v>
      </c>
      <c r="F1313" s="378">
        <v>8579431</v>
      </c>
      <c r="G1313" s="378">
        <v>1750904</v>
      </c>
      <c r="H1313" s="378">
        <v>0</v>
      </c>
      <c r="I1313" s="378">
        <v>10330335</v>
      </c>
      <c r="J1313" s="266">
        <f t="shared" si="21"/>
        <v>8</v>
      </c>
    </row>
    <row r="1314" spans="1:10" ht="15.75" customHeight="1" x14ac:dyDescent="0.25">
      <c r="A1314" s="380">
        <v>52050601</v>
      </c>
      <c r="B1314" s="381" t="s">
        <v>315</v>
      </c>
      <c r="C1314" s="381" t="s">
        <v>1322</v>
      </c>
      <c r="D1314" s="381" t="s">
        <v>1659</v>
      </c>
      <c r="E1314" s="381" t="s">
        <v>1660</v>
      </c>
      <c r="F1314" s="378">
        <v>8521067</v>
      </c>
      <c r="G1314" s="378">
        <v>58363</v>
      </c>
      <c r="H1314" s="378">
        <v>0</v>
      </c>
      <c r="I1314" s="378">
        <v>8579430</v>
      </c>
      <c r="J1314" s="266">
        <f t="shared" si="21"/>
        <v>8</v>
      </c>
    </row>
    <row r="1315" spans="1:10" ht="15.75" customHeight="1" x14ac:dyDescent="0.25">
      <c r="A1315" s="380">
        <v>52050601</v>
      </c>
      <c r="B1315" s="381" t="s">
        <v>315</v>
      </c>
      <c r="C1315" s="381" t="s">
        <v>1322</v>
      </c>
      <c r="D1315" s="381" t="s">
        <v>1527</v>
      </c>
      <c r="E1315" s="381" t="s">
        <v>1528</v>
      </c>
      <c r="F1315" s="378">
        <v>8462703</v>
      </c>
      <c r="G1315" s="378">
        <v>875452</v>
      </c>
      <c r="H1315" s="378">
        <v>58363</v>
      </c>
      <c r="I1315" s="378">
        <v>9279792</v>
      </c>
      <c r="J1315" s="266">
        <f t="shared" si="21"/>
        <v>8</v>
      </c>
    </row>
    <row r="1316" spans="1:10" ht="15.75" customHeight="1" x14ac:dyDescent="0.25">
      <c r="A1316" s="380">
        <v>52050601</v>
      </c>
      <c r="B1316" s="381" t="s">
        <v>315</v>
      </c>
      <c r="C1316" s="381" t="s">
        <v>1322</v>
      </c>
      <c r="D1316" s="381" t="s">
        <v>1444</v>
      </c>
      <c r="E1316" s="381" t="s">
        <v>1533</v>
      </c>
      <c r="F1316" s="378">
        <v>10998756</v>
      </c>
      <c r="G1316" s="378">
        <v>2391034</v>
      </c>
      <c r="H1316" s="378">
        <v>0</v>
      </c>
      <c r="I1316" s="378">
        <v>13389790</v>
      </c>
      <c r="J1316" s="266">
        <f t="shared" si="21"/>
        <v>8</v>
      </c>
    </row>
    <row r="1317" spans="1:10" ht="15.75" customHeight="1" x14ac:dyDescent="0.25">
      <c r="A1317" s="380">
        <v>52050601</v>
      </c>
      <c r="B1317" s="381" t="s">
        <v>315</v>
      </c>
      <c r="C1317" s="381" t="s">
        <v>1322</v>
      </c>
      <c r="D1317" s="381" t="s">
        <v>1661</v>
      </c>
      <c r="E1317" s="381" t="s">
        <v>1662</v>
      </c>
      <c r="F1317" s="378">
        <v>8754521</v>
      </c>
      <c r="G1317" s="378">
        <v>1750904</v>
      </c>
      <c r="H1317" s="378">
        <v>0</v>
      </c>
      <c r="I1317" s="378">
        <v>10505425</v>
      </c>
      <c r="J1317" s="266">
        <f t="shared" si="21"/>
        <v>8</v>
      </c>
    </row>
    <row r="1318" spans="1:10" ht="15.75" customHeight="1" x14ac:dyDescent="0.25">
      <c r="A1318" s="380">
        <v>52050601</v>
      </c>
      <c r="B1318" s="381" t="s">
        <v>315</v>
      </c>
      <c r="C1318" s="381" t="s">
        <v>1322</v>
      </c>
      <c r="D1318" s="381" t="s">
        <v>1663</v>
      </c>
      <c r="E1318" s="381" t="s">
        <v>1664</v>
      </c>
      <c r="F1318" s="378">
        <v>7470525</v>
      </c>
      <c r="G1318" s="378">
        <v>1750904</v>
      </c>
      <c r="H1318" s="378">
        <v>0</v>
      </c>
      <c r="I1318" s="378">
        <v>9221429</v>
      </c>
      <c r="J1318" s="266">
        <f t="shared" si="21"/>
        <v>8</v>
      </c>
    </row>
    <row r="1319" spans="1:10" ht="15.75" customHeight="1" x14ac:dyDescent="0.25">
      <c r="A1319" s="380">
        <v>52050601</v>
      </c>
      <c r="B1319" s="381" t="s">
        <v>315</v>
      </c>
      <c r="C1319" s="381" t="s">
        <v>1322</v>
      </c>
      <c r="D1319" s="381" t="s">
        <v>1609</v>
      </c>
      <c r="E1319" s="381" t="s">
        <v>1610</v>
      </c>
      <c r="F1319" s="378">
        <v>8404342</v>
      </c>
      <c r="G1319" s="378">
        <v>1750904</v>
      </c>
      <c r="H1319" s="378">
        <v>0</v>
      </c>
      <c r="I1319" s="378">
        <v>10155246</v>
      </c>
      <c r="J1319" s="266">
        <f t="shared" si="21"/>
        <v>8</v>
      </c>
    </row>
    <row r="1320" spans="1:10" ht="15.75" customHeight="1" x14ac:dyDescent="0.25">
      <c r="A1320" s="380">
        <v>52050601</v>
      </c>
      <c r="B1320" s="381" t="s">
        <v>315</v>
      </c>
      <c r="C1320" s="381" t="s">
        <v>1322</v>
      </c>
      <c r="D1320" s="381" t="s">
        <v>1490</v>
      </c>
      <c r="E1320" s="381" t="s">
        <v>1491</v>
      </c>
      <c r="F1320" s="378">
        <v>3501808</v>
      </c>
      <c r="G1320" s="378">
        <v>0</v>
      </c>
      <c r="H1320" s="378">
        <v>0</v>
      </c>
      <c r="I1320" s="378">
        <v>3501808</v>
      </c>
      <c r="J1320" s="266">
        <f t="shared" si="21"/>
        <v>8</v>
      </c>
    </row>
    <row r="1321" spans="1:10" ht="15.75" customHeight="1" x14ac:dyDescent="0.25">
      <c r="A1321" s="380">
        <v>52050601</v>
      </c>
      <c r="B1321" s="381" t="s">
        <v>315</v>
      </c>
      <c r="C1321" s="381" t="s">
        <v>1322</v>
      </c>
      <c r="D1321" s="381" t="s">
        <v>1210</v>
      </c>
      <c r="E1321" s="381" t="s">
        <v>1611</v>
      </c>
      <c r="F1321" s="378">
        <v>5252714</v>
      </c>
      <c r="G1321" s="378">
        <v>1750904</v>
      </c>
      <c r="H1321" s="378">
        <v>0</v>
      </c>
      <c r="I1321" s="378">
        <v>7003618</v>
      </c>
      <c r="J1321" s="266">
        <f t="shared" si="21"/>
        <v>8</v>
      </c>
    </row>
    <row r="1322" spans="1:10" ht="15.75" customHeight="1" x14ac:dyDescent="0.25">
      <c r="A1322" s="380">
        <v>52050601</v>
      </c>
      <c r="B1322" s="381" t="s">
        <v>315</v>
      </c>
      <c r="C1322" s="381" t="s">
        <v>1322</v>
      </c>
      <c r="D1322" s="381" t="s">
        <v>1523</v>
      </c>
      <c r="E1322" s="381" t="s">
        <v>1524</v>
      </c>
      <c r="F1322" s="378">
        <v>24945416</v>
      </c>
      <c r="G1322" s="378">
        <v>5462500</v>
      </c>
      <c r="H1322" s="378">
        <v>0</v>
      </c>
      <c r="I1322" s="378">
        <v>30407916</v>
      </c>
      <c r="J1322" s="266">
        <f t="shared" si="21"/>
        <v>8</v>
      </c>
    </row>
    <row r="1323" spans="1:10" ht="15.75" customHeight="1" x14ac:dyDescent="0.25">
      <c r="A1323" s="380">
        <v>52050601</v>
      </c>
      <c r="B1323" s="381" t="s">
        <v>315</v>
      </c>
      <c r="C1323" s="381" t="s">
        <v>1322</v>
      </c>
      <c r="D1323" s="381" t="s">
        <v>1665</v>
      </c>
      <c r="E1323" s="381" t="s">
        <v>1666</v>
      </c>
      <c r="F1323" s="378">
        <v>1050542</v>
      </c>
      <c r="G1323" s="378">
        <v>1634177</v>
      </c>
      <c r="H1323" s="378">
        <v>0</v>
      </c>
      <c r="I1323" s="378">
        <v>2684719</v>
      </c>
      <c r="J1323" s="266">
        <f t="shared" si="21"/>
        <v>8</v>
      </c>
    </row>
    <row r="1324" spans="1:10" ht="15.75" customHeight="1" x14ac:dyDescent="0.25">
      <c r="A1324" s="380">
        <v>52050601</v>
      </c>
      <c r="B1324" s="381" t="s">
        <v>315</v>
      </c>
      <c r="C1324" s="381" t="s">
        <v>1322</v>
      </c>
      <c r="D1324" s="381" t="s">
        <v>792</v>
      </c>
      <c r="E1324" s="381" t="s">
        <v>1534</v>
      </c>
      <c r="F1324" s="378">
        <v>7470524</v>
      </c>
      <c r="G1324" s="378">
        <v>1750904</v>
      </c>
      <c r="H1324" s="378">
        <v>0</v>
      </c>
      <c r="I1324" s="378">
        <v>9221428</v>
      </c>
      <c r="J1324" s="266">
        <f t="shared" si="21"/>
        <v>8</v>
      </c>
    </row>
    <row r="1325" spans="1:10" ht="15.75" customHeight="1" x14ac:dyDescent="0.25">
      <c r="A1325" s="380">
        <v>52050601</v>
      </c>
      <c r="B1325" s="381" t="s">
        <v>315</v>
      </c>
      <c r="C1325" s="381" t="s">
        <v>1322</v>
      </c>
      <c r="D1325" s="381" t="s">
        <v>1688</v>
      </c>
      <c r="E1325" s="381" t="s">
        <v>1689</v>
      </c>
      <c r="F1325" s="378">
        <v>3034901</v>
      </c>
      <c r="G1325" s="378">
        <v>0</v>
      </c>
      <c r="H1325" s="378">
        <v>0</v>
      </c>
      <c r="I1325" s="378">
        <v>3034901</v>
      </c>
      <c r="J1325" s="266">
        <f t="shared" si="21"/>
        <v>8</v>
      </c>
    </row>
    <row r="1326" spans="1:10" ht="15.75" customHeight="1" x14ac:dyDescent="0.25">
      <c r="A1326" s="380">
        <v>52050601</v>
      </c>
      <c r="B1326" s="381" t="s">
        <v>315</v>
      </c>
      <c r="C1326" s="381" t="s">
        <v>1322</v>
      </c>
      <c r="D1326" s="381" t="s">
        <v>1492</v>
      </c>
      <c r="E1326" s="381" t="s">
        <v>1493</v>
      </c>
      <c r="F1326" s="378">
        <v>3560172</v>
      </c>
      <c r="G1326" s="378">
        <v>0</v>
      </c>
      <c r="H1326" s="378">
        <v>0</v>
      </c>
      <c r="I1326" s="378">
        <v>3560172</v>
      </c>
      <c r="J1326" s="266">
        <f t="shared" si="21"/>
        <v>8</v>
      </c>
    </row>
    <row r="1327" spans="1:10" ht="15.75" customHeight="1" x14ac:dyDescent="0.25">
      <c r="A1327" s="380">
        <v>52050601</v>
      </c>
      <c r="B1327" s="381" t="s">
        <v>315</v>
      </c>
      <c r="C1327" s="381" t="s">
        <v>1322</v>
      </c>
      <c r="D1327" s="381" t="s">
        <v>1412</v>
      </c>
      <c r="E1327" s="381" t="s">
        <v>1413</v>
      </c>
      <c r="F1327" s="378">
        <v>875452</v>
      </c>
      <c r="G1327" s="378">
        <v>0</v>
      </c>
      <c r="H1327" s="378">
        <v>0</v>
      </c>
      <c r="I1327" s="378">
        <v>875452</v>
      </c>
      <c r="J1327" s="266">
        <f t="shared" si="21"/>
        <v>8</v>
      </c>
    </row>
    <row r="1328" spans="1:10" ht="15.75" customHeight="1" x14ac:dyDescent="0.25">
      <c r="A1328" s="380">
        <v>52050601</v>
      </c>
      <c r="B1328" s="381" t="s">
        <v>315</v>
      </c>
      <c r="C1328" s="381" t="s">
        <v>1322</v>
      </c>
      <c r="D1328" s="381" t="s">
        <v>1667</v>
      </c>
      <c r="E1328" s="381" t="s">
        <v>1668</v>
      </c>
      <c r="F1328" s="378">
        <v>1167269</v>
      </c>
      <c r="G1328" s="378">
        <v>1750905</v>
      </c>
      <c r="H1328" s="378">
        <v>0</v>
      </c>
      <c r="I1328" s="378">
        <v>2918174</v>
      </c>
      <c r="J1328" s="266">
        <f t="shared" si="21"/>
        <v>8</v>
      </c>
    </row>
    <row r="1329" spans="1:10" ht="15.75" customHeight="1" x14ac:dyDescent="0.25">
      <c r="A1329" s="380">
        <v>52050601</v>
      </c>
      <c r="B1329" s="381" t="s">
        <v>315</v>
      </c>
      <c r="C1329" s="381" t="s">
        <v>1322</v>
      </c>
      <c r="D1329" s="381" t="s">
        <v>1669</v>
      </c>
      <c r="E1329" s="381" t="s">
        <v>1670</v>
      </c>
      <c r="F1329" s="378">
        <v>7762341</v>
      </c>
      <c r="G1329" s="378">
        <v>1167269</v>
      </c>
      <c r="H1329" s="378">
        <v>0</v>
      </c>
      <c r="I1329" s="378">
        <v>8929610</v>
      </c>
      <c r="J1329" s="266">
        <f t="shared" si="21"/>
        <v>8</v>
      </c>
    </row>
    <row r="1330" spans="1:10" ht="15.75" customHeight="1" x14ac:dyDescent="0.25">
      <c r="A1330" s="380">
        <v>52050601</v>
      </c>
      <c r="B1330" s="381" t="s">
        <v>315</v>
      </c>
      <c r="C1330" s="381" t="s">
        <v>1322</v>
      </c>
      <c r="D1330" s="381" t="s">
        <v>1671</v>
      </c>
      <c r="E1330" s="381" t="s">
        <v>1672</v>
      </c>
      <c r="F1330" s="378">
        <v>3209991</v>
      </c>
      <c r="G1330" s="378">
        <v>1750904</v>
      </c>
      <c r="H1330" s="378">
        <v>0</v>
      </c>
      <c r="I1330" s="378">
        <v>4960895</v>
      </c>
      <c r="J1330" s="266">
        <f t="shared" si="21"/>
        <v>8</v>
      </c>
    </row>
    <row r="1331" spans="1:10" ht="15.75" customHeight="1" x14ac:dyDescent="0.25">
      <c r="A1331" s="380">
        <v>52050601</v>
      </c>
      <c r="B1331" s="381" t="s">
        <v>315</v>
      </c>
      <c r="C1331" s="381" t="s">
        <v>1322</v>
      </c>
      <c r="D1331" s="381" t="s">
        <v>1673</v>
      </c>
      <c r="E1331" s="381" t="s">
        <v>1674</v>
      </c>
      <c r="F1331" s="378">
        <v>8754520</v>
      </c>
      <c r="G1331" s="378">
        <v>1750905</v>
      </c>
      <c r="H1331" s="378">
        <v>0</v>
      </c>
      <c r="I1331" s="378">
        <v>10505425</v>
      </c>
      <c r="J1331" s="266">
        <f t="shared" si="21"/>
        <v>8</v>
      </c>
    </row>
    <row r="1332" spans="1:10" ht="15.75" customHeight="1" x14ac:dyDescent="0.25">
      <c r="A1332" s="380">
        <v>52050601</v>
      </c>
      <c r="B1332" s="381" t="s">
        <v>315</v>
      </c>
      <c r="C1332" s="381" t="s">
        <v>1322</v>
      </c>
      <c r="D1332" s="381" t="s">
        <v>1675</v>
      </c>
      <c r="E1332" s="381" t="s">
        <v>1676</v>
      </c>
      <c r="F1332" s="378">
        <v>0</v>
      </c>
      <c r="G1332" s="378">
        <v>466908</v>
      </c>
      <c r="H1332" s="378">
        <v>0</v>
      </c>
      <c r="I1332" s="378">
        <v>466908</v>
      </c>
      <c r="J1332" s="266">
        <f t="shared" si="21"/>
        <v>8</v>
      </c>
    </row>
    <row r="1333" spans="1:10" ht="15.75" customHeight="1" x14ac:dyDescent="0.25">
      <c r="A1333" s="380">
        <v>52050601</v>
      </c>
      <c r="B1333" s="381" t="s">
        <v>315</v>
      </c>
      <c r="C1333" s="381" t="s">
        <v>1322</v>
      </c>
      <c r="D1333" s="381" t="s">
        <v>1677</v>
      </c>
      <c r="E1333" s="381" t="s">
        <v>1678</v>
      </c>
      <c r="F1333" s="378">
        <v>0</v>
      </c>
      <c r="G1333" s="378">
        <v>466908</v>
      </c>
      <c r="H1333" s="378">
        <v>0</v>
      </c>
      <c r="I1333" s="378">
        <v>466908</v>
      </c>
      <c r="J1333" s="266">
        <f t="shared" si="21"/>
        <v>8</v>
      </c>
    </row>
    <row r="1334" spans="1:10" ht="15.75" customHeight="1" x14ac:dyDescent="0.25">
      <c r="A1334" s="380">
        <v>520515</v>
      </c>
      <c r="B1334" s="381" t="s">
        <v>315</v>
      </c>
      <c r="C1334" s="381" t="s">
        <v>478</v>
      </c>
      <c r="D1334" s="381" t="s">
        <v>315</v>
      </c>
      <c r="E1334" s="381" t="s">
        <v>315</v>
      </c>
      <c r="F1334" s="378">
        <v>58788513</v>
      </c>
      <c r="G1334" s="378">
        <v>12397521</v>
      </c>
      <c r="H1334" s="378">
        <v>0</v>
      </c>
      <c r="I1334" s="378">
        <v>71186034</v>
      </c>
      <c r="J1334" s="266">
        <f t="shared" si="21"/>
        <v>6</v>
      </c>
    </row>
    <row r="1335" spans="1:10" ht="15.75" customHeight="1" x14ac:dyDescent="0.25">
      <c r="A1335" s="380">
        <v>52051501</v>
      </c>
      <c r="B1335" s="381" t="s">
        <v>315</v>
      </c>
      <c r="C1335" s="381" t="s">
        <v>478</v>
      </c>
      <c r="D1335" s="381" t="s">
        <v>315</v>
      </c>
      <c r="E1335" s="381" t="s">
        <v>315</v>
      </c>
      <c r="F1335" s="378">
        <v>58788513</v>
      </c>
      <c r="G1335" s="378">
        <v>12397521</v>
      </c>
      <c r="H1335" s="378">
        <v>0</v>
      </c>
      <c r="I1335" s="378">
        <v>71186034</v>
      </c>
      <c r="J1335" s="266">
        <f t="shared" si="21"/>
        <v>8</v>
      </c>
    </row>
    <row r="1336" spans="1:10" ht="15.75" customHeight="1" x14ac:dyDescent="0.25">
      <c r="A1336" s="380">
        <v>52051501</v>
      </c>
      <c r="B1336" s="381" t="s">
        <v>315</v>
      </c>
      <c r="C1336" s="381" t="s">
        <v>478</v>
      </c>
      <c r="D1336" s="381" t="s">
        <v>1488</v>
      </c>
      <c r="E1336" s="381" t="s">
        <v>1682</v>
      </c>
      <c r="F1336" s="378">
        <v>493257</v>
      </c>
      <c r="G1336" s="378">
        <v>0</v>
      </c>
      <c r="H1336" s="378">
        <v>0</v>
      </c>
      <c r="I1336" s="378">
        <v>493257</v>
      </c>
      <c r="J1336" s="266">
        <f t="shared" si="21"/>
        <v>8</v>
      </c>
    </row>
    <row r="1337" spans="1:10" ht="15.75" customHeight="1" x14ac:dyDescent="0.25">
      <c r="A1337" s="380">
        <v>52051501</v>
      </c>
      <c r="B1337" s="381" t="s">
        <v>315</v>
      </c>
      <c r="C1337" s="381" t="s">
        <v>478</v>
      </c>
      <c r="D1337" s="381" t="s">
        <v>1535</v>
      </c>
      <c r="E1337" s="381" t="s">
        <v>1536</v>
      </c>
      <c r="F1337" s="378">
        <v>2787741</v>
      </c>
      <c r="G1337" s="378">
        <v>562184</v>
      </c>
      <c r="H1337" s="378">
        <v>0</v>
      </c>
      <c r="I1337" s="378">
        <v>3349925</v>
      </c>
      <c r="J1337" s="266">
        <f t="shared" si="21"/>
        <v>8</v>
      </c>
    </row>
    <row r="1338" spans="1:10" ht="15.75" customHeight="1" x14ac:dyDescent="0.25">
      <c r="A1338" s="380">
        <v>52051501</v>
      </c>
      <c r="B1338" s="381" t="s">
        <v>315</v>
      </c>
      <c r="C1338" s="381" t="s">
        <v>478</v>
      </c>
      <c r="D1338" s="381" t="s">
        <v>1604</v>
      </c>
      <c r="E1338" s="381" t="s">
        <v>1605</v>
      </c>
      <c r="F1338" s="378">
        <v>3820444</v>
      </c>
      <c r="G1338" s="378">
        <v>1137162</v>
      </c>
      <c r="H1338" s="378">
        <v>0</v>
      </c>
      <c r="I1338" s="378">
        <v>4957606</v>
      </c>
      <c r="J1338" s="266">
        <f t="shared" si="21"/>
        <v>8</v>
      </c>
    </row>
    <row r="1339" spans="1:10" ht="15.75" customHeight="1" x14ac:dyDescent="0.25">
      <c r="A1339" s="380">
        <v>52051501</v>
      </c>
      <c r="B1339" s="381" t="s">
        <v>315</v>
      </c>
      <c r="C1339" s="381" t="s">
        <v>478</v>
      </c>
      <c r="D1339" s="381" t="s">
        <v>1649</v>
      </c>
      <c r="E1339" s="381" t="s">
        <v>1650</v>
      </c>
      <c r="F1339" s="378">
        <v>3228525</v>
      </c>
      <c r="G1339" s="378">
        <v>626357</v>
      </c>
      <c r="H1339" s="378">
        <v>0</v>
      </c>
      <c r="I1339" s="378">
        <v>3854882</v>
      </c>
      <c r="J1339" s="266">
        <f t="shared" si="21"/>
        <v>8</v>
      </c>
    </row>
    <row r="1340" spans="1:10" ht="15.75" customHeight="1" x14ac:dyDescent="0.25">
      <c r="A1340" s="380">
        <v>52051501</v>
      </c>
      <c r="B1340" s="381" t="s">
        <v>315</v>
      </c>
      <c r="C1340" s="381" t="s">
        <v>478</v>
      </c>
      <c r="D1340" s="381" t="s">
        <v>1690</v>
      </c>
      <c r="E1340" s="381" t="s">
        <v>1691</v>
      </c>
      <c r="F1340" s="378">
        <v>77870</v>
      </c>
      <c r="G1340" s="378">
        <v>0</v>
      </c>
      <c r="H1340" s="378">
        <v>0</v>
      </c>
      <c r="I1340" s="378">
        <v>77870</v>
      </c>
      <c r="J1340" s="266">
        <f t="shared" si="21"/>
        <v>8</v>
      </c>
    </row>
    <row r="1341" spans="1:10" ht="15.75" customHeight="1" x14ac:dyDescent="0.25">
      <c r="A1341" s="380">
        <v>52051501</v>
      </c>
      <c r="B1341" s="381" t="s">
        <v>315</v>
      </c>
      <c r="C1341" s="381" t="s">
        <v>478</v>
      </c>
      <c r="D1341" s="381" t="s">
        <v>1651</v>
      </c>
      <c r="E1341" s="381" t="s">
        <v>1652</v>
      </c>
      <c r="F1341" s="378">
        <v>2517955</v>
      </c>
      <c r="G1341" s="378">
        <v>593142</v>
      </c>
      <c r="H1341" s="378">
        <v>0</v>
      </c>
      <c r="I1341" s="378">
        <v>3111097</v>
      </c>
      <c r="J1341" s="266">
        <f t="shared" si="21"/>
        <v>8</v>
      </c>
    </row>
    <row r="1342" spans="1:10" ht="15.75" customHeight="1" x14ac:dyDescent="0.25">
      <c r="A1342" s="380">
        <v>52051501</v>
      </c>
      <c r="B1342" s="381" t="s">
        <v>315</v>
      </c>
      <c r="C1342" s="381" t="s">
        <v>478</v>
      </c>
      <c r="D1342" s="381" t="s">
        <v>1443</v>
      </c>
      <c r="E1342" s="381" t="s">
        <v>1530</v>
      </c>
      <c r="F1342" s="378">
        <v>2096387</v>
      </c>
      <c r="G1342" s="378">
        <v>509283</v>
      </c>
      <c r="H1342" s="378">
        <v>0</v>
      </c>
      <c r="I1342" s="378">
        <v>2605670</v>
      </c>
      <c r="J1342" s="266">
        <f t="shared" si="21"/>
        <v>8</v>
      </c>
    </row>
    <row r="1343" spans="1:10" ht="15.75" customHeight="1" x14ac:dyDescent="0.25">
      <c r="A1343" s="380">
        <v>52051501</v>
      </c>
      <c r="B1343" s="381" t="s">
        <v>315</v>
      </c>
      <c r="C1343" s="381" t="s">
        <v>478</v>
      </c>
      <c r="D1343" s="381" t="s">
        <v>1653</v>
      </c>
      <c r="E1343" s="381" t="s">
        <v>1654</v>
      </c>
      <c r="F1343" s="378">
        <v>3352561</v>
      </c>
      <c r="G1343" s="378">
        <v>936364</v>
      </c>
      <c r="H1343" s="378">
        <v>0</v>
      </c>
      <c r="I1343" s="378">
        <v>4288925</v>
      </c>
      <c r="J1343" s="266">
        <f t="shared" si="21"/>
        <v>8</v>
      </c>
    </row>
    <row r="1344" spans="1:10" ht="15.75" customHeight="1" x14ac:dyDescent="0.25">
      <c r="A1344" s="380">
        <v>52051501</v>
      </c>
      <c r="B1344" s="381" t="s">
        <v>315</v>
      </c>
      <c r="C1344" s="381" t="s">
        <v>478</v>
      </c>
      <c r="D1344" s="381" t="s">
        <v>1683</v>
      </c>
      <c r="E1344" s="381" t="s">
        <v>1684</v>
      </c>
      <c r="F1344" s="378">
        <v>1527615</v>
      </c>
      <c r="G1344" s="378">
        <v>0</v>
      </c>
      <c r="H1344" s="378">
        <v>0</v>
      </c>
      <c r="I1344" s="378">
        <v>1527615</v>
      </c>
      <c r="J1344" s="266">
        <f t="shared" si="21"/>
        <v>8</v>
      </c>
    </row>
    <row r="1345" spans="1:10" ht="15.75" customHeight="1" x14ac:dyDescent="0.25">
      <c r="A1345" s="380">
        <v>52051501</v>
      </c>
      <c r="B1345" s="381" t="s">
        <v>315</v>
      </c>
      <c r="C1345" s="381" t="s">
        <v>478</v>
      </c>
      <c r="D1345" s="381" t="s">
        <v>1606</v>
      </c>
      <c r="E1345" s="381" t="s">
        <v>1607</v>
      </c>
      <c r="F1345" s="378">
        <v>3950859</v>
      </c>
      <c r="G1345" s="378">
        <v>769659</v>
      </c>
      <c r="H1345" s="378">
        <v>0</v>
      </c>
      <c r="I1345" s="378">
        <v>4720518</v>
      </c>
      <c r="J1345" s="266">
        <f t="shared" si="21"/>
        <v>8</v>
      </c>
    </row>
    <row r="1346" spans="1:10" ht="15.75" customHeight="1" x14ac:dyDescent="0.25">
      <c r="A1346" s="380">
        <v>52051501</v>
      </c>
      <c r="B1346" s="381" t="s">
        <v>315</v>
      </c>
      <c r="C1346" s="381" t="s">
        <v>478</v>
      </c>
      <c r="D1346" s="381" t="s">
        <v>1686</v>
      </c>
      <c r="E1346" s="381" t="s">
        <v>1687</v>
      </c>
      <c r="F1346" s="378">
        <v>1265188</v>
      </c>
      <c r="G1346" s="378">
        <v>0</v>
      </c>
      <c r="H1346" s="378">
        <v>0</v>
      </c>
      <c r="I1346" s="378">
        <v>1265188</v>
      </c>
      <c r="J1346" s="266">
        <f t="shared" si="21"/>
        <v>8</v>
      </c>
    </row>
    <row r="1347" spans="1:10" ht="15.75" customHeight="1" x14ac:dyDescent="0.25">
      <c r="A1347" s="380">
        <v>52051501</v>
      </c>
      <c r="B1347" s="381" t="s">
        <v>315</v>
      </c>
      <c r="C1347" s="381" t="s">
        <v>478</v>
      </c>
      <c r="D1347" s="381" t="s">
        <v>1655</v>
      </c>
      <c r="E1347" s="381" t="s">
        <v>1656</v>
      </c>
      <c r="F1347" s="378">
        <v>253490</v>
      </c>
      <c r="G1347" s="378">
        <v>232023</v>
      </c>
      <c r="H1347" s="378">
        <v>0</v>
      </c>
      <c r="I1347" s="378">
        <v>485513</v>
      </c>
      <c r="J1347" s="266">
        <f t="shared" si="21"/>
        <v>8</v>
      </c>
    </row>
    <row r="1348" spans="1:10" ht="15.75" customHeight="1" x14ac:dyDescent="0.25">
      <c r="A1348" s="380">
        <v>52051501</v>
      </c>
      <c r="B1348" s="381" t="s">
        <v>315</v>
      </c>
      <c r="C1348" s="381" t="s">
        <v>478</v>
      </c>
      <c r="D1348" s="381" t="s">
        <v>1657</v>
      </c>
      <c r="E1348" s="381" t="s">
        <v>1658</v>
      </c>
      <c r="F1348" s="378">
        <v>2559826</v>
      </c>
      <c r="G1348" s="378">
        <v>510688</v>
      </c>
      <c r="H1348" s="378">
        <v>0</v>
      </c>
      <c r="I1348" s="378">
        <v>3070514</v>
      </c>
      <c r="J1348" s="266">
        <f t="shared" si="21"/>
        <v>8</v>
      </c>
    </row>
    <row r="1349" spans="1:10" ht="15.75" customHeight="1" x14ac:dyDescent="0.25">
      <c r="A1349" s="380">
        <v>52051501</v>
      </c>
      <c r="B1349" s="381" t="s">
        <v>315</v>
      </c>
      <c r="C1349" s="381" t="s">
        <v>478</v>
      </c>
      <c r="D1349" s="381" t="s">
        <v>1659</v>
      </c>
      <c r="E1349" s="381" t="s">
        <v>1660</v>
      </c>
      <c r="F1349" s="378">
        <v>3494014</v>
      </c>
      <c r="G1349" s="378">
        <v>135122</v>
      </c>
      <c r="H1349" s="378">
        <v>0</v>
      </c>
      <c r="I1349" s="378">
        <v>3629136</v>
      </c>
      <c r="J1349" s="266">
        <f t="shared" si="21"/>
        <v>8</v>
      </c>
    </row>
    <row r="1350" spans="1:10" ht="15.75" customHeight="1" x14ac:dyDescent="0.25">
      <c r="A1350" s="380">
        <v>52051501</v>
      </c>
      <c r="B1350" s="381" t="s">
        <v>315</v>
      </c>
      <c r="C1350" s="381" t="s">
        <v>478</v>
      </c>
      <c r="D1350" s="381" t="s">
        <v>1527</v>
      </c>
      <c r="E1350" s="381" t="s">
        <v>1528</v>
      </c>
      <c r="F1350" s="378">
        <v>2342904</v>
      </c>
      <c r="G1350" s="378">
        <v>351176</v>
      </c>
      <c r="H1350" s="378">
        <v>0</v>
      </c>
      <c r="I1350" s="378">
        <v>2694080</v>
      </c>
      <c r="J1350" s="266">
        <f t="shared" si="21"/>
        <v>8</v>
      </c>
    </row>
    <row r="1351" spans="1:10" ht="15.75" customHeight="1" x14ac:dyDescent="0.25">
      <c r="A1351" s="380">
        <v>52051501</v>
      </c>
      <c r="B1351" s="381" t="s">
        <v>315</v>
      </c>
      <c r="C1351" s="381" t="s">
        <v>478</v>
      </c>
      <c r="D1351" s="381" t="s">
        <v>1444</v>
      </c>
      <c r="E1351" s="381" t="s">
        <v>1533</v>
      </c>
      <c r="F1351" s="378">
        <v>2497427</v>
      </c>
      <c r="G1351" s="378">
        <v>500029</v>
      </c>
      <c r="H1351" s="378">
        <v>0</v>
      </c>
      <c r="I1351" s="378">
        <v>2997456</v>
      </c>
      <c r="J1351" s="266">
        <f t="shared" si="21"/>
        <v>8</v>
      </c>
    </row>
    <row r="1352" spans="1:10" ht="15.75" customHeight="1" x14ac:dyDescent="0.25">
      <c r="A1352" s="380">
        <v>52051501</v>
      </c>
      <c r="B1352" s="381" t="s">
        <v>315</v>
      </c>
      <c r="C1352" s="381" t="s">
        <v>478</v>
      </c>
      <c r="D1352" s="381" t="s">
        <v>1661</v>
      </c>
      <c r="E1352" s="381" t="s">
        <v>1662</v>
      </c>
      <c r="F1352" s="378">
        <v>3519612</v>
      </c>
      <c r="G1352" s="378">
        <v>377600</v>
      </c>
      <c r="H1352" s="378">
        <v>0</v>
      </c>
      <c r="I1352" s="378">
        <v>3897212</v>
      </c>
      <c r="J1352" s="266">
        <f t="shared" si="21"/>
        <v>8</v>
      </c>
    </row>
    <row r="1353" spans="1:10" ht="15.75" customHeight="1" x14ac:dyDescent="0.25">
      <c r="A1353" s="380">
        <v>52051501</v>
      </c>
      <c r="B1353" s="381" t="s">
        <v>315</v>
      </c>
      <c r="C1353" s="381" t="s">
        <v>478</v>
      </c>
      <c r="D1353" s="381" t="s">
        <v>1663</v>
      </c>
      <c r="E1353" s="381" t="s">
        <v>1664</v>
      </c>
      <c r="F1353" s="378">
        <v>2879687</v>
      </c>
      <c r="G1353" s="378">
        <v>704912</v>
      </c>
      <c r="H1353" s="378">
        <v>0</v>
      </c>
      <c r="I1353" s="378">
        <v>3584599</v>
      </c>
      <c r="J1353" s="266">
        <f t="shared" si="21"/>
        <v>8</v>
      </c>
    </row>
    <row r="1354" spans="1:10" ht="15.75" customHeight="1" x14ac:dyDescent="0.25">
      <c r="A1354" s="380">
        <v>52051501</v>
      </c>
      <c r="B1354" s="381" t="s">
        <v>315</v>
      </c>
      <c r="C1354" s="381" t="s">
        <v>478</v>
      </c>
      <c r="D1354" s="381" t="s">
        <v>1609</v>
      </c>
      <c r="E1354" s="381" t="s">
        <v>1610</v>
      </c>
      <c r="F1354" s="378">
        <v>2909205</v>
      </c>
      <c r="G1354" s="378">
        <v>676361</v>
      </c>
      <c r="H1354" s="378">
        <v>0</v>
      </c>
      <c r="I1354" s="378">
        <v>3585566</v>
      </c>
      <c r="J1354" s="266">
        <f t="shared" si="21"/>
        <v>8</v>
      </c>
    </row>
    <row r="1355" spans="1:10" ht="15.75" customHeight="1" x14ac:dyDescent="0.25">
      <c r="A1355" s="380">
        <v>52051501</v>
      </c>
      <c r="B1355" s="381" t="s">
        <v>315</v>
      </c>
      <c r="C1355" s="381" t="s">
        <v>478</v>
      </c>
      <c r="D1355" s="381" t="s">
        <v>1490</v>
      </c>
      <c r="E1355" s="381" t="s">
        <v>1491</v>
      </c>
      <c r="F1355" s="378">
        <v>909876</v>
      </c>
      <c r="G1355" s="378">
        <v>0</v>
      </c>
      <c r="H1355" s="378">
        <v>0</v>
      </c>
      <c r="I1355" s="378">
        <v>909876</v>
      </c>
      <c r="J1355" s="266">
        <f t="shared" si="21"/>
        <v>8</v>
      </c>
    </row>
    <row r="1356" spans="1:10" ht="15.75" customHeight="1" x14ac:dyDescent="0.25">
      <c r="A1356" s="380">
        <v>52051501</v>
      </c>
      <c r="B1356" s="381" t="s">
        <v>315</v>
      </c>
      <c r="C1356" s="381" t="s">
        <v>478</v>
      </c>
      <c r="D1356" s="381" t="s">
        <v>1210</v>
      </c>
      <c r="E1356" s="381" t="s">
        <v>1611</v>
      </c>
      <c r="F1356" s="378">
        <v>1639173</v>
      </c>
      <c r="G1356" s="378">
        <v>352046</v>
      </c>
      <c r="H1356" s="378">
        <v>0</v>
      </c>
      <c r="I1356" s="378">
        <v>1991219</v>
      </c>
      <c r="J1356" s="266">
        <f t="shared" ref="J1356:J1419" si="22">+LEN(A1356)</f>
        <v>8</v>
      </c>
    </row>
    <row r="1357" spans="1:10" ht="15.75" customHeight="1" x14ac:dyDescent="0.25">
      <c r="A1357" s="380">
        <v>52051501</v>
      </c>
      <c r="B1357" s="381" t="s">
        <v>315</v>
      </c>
      <c r="C1357" s="381" t="s">
        <v>478</v>
      </c>
      <c r="D1357" s="381" t="s">
        <v>1665</v>
      </c>
      <c r="E1357" s="381" t="s">
        <v>1666</v>
      </c>
      <c r="F1357" s="378">
        <v>0</v>
      </c>
      <c r="G1357" s="378">
        <v>172302</v>
      </c>
      <c r="H1357" s="378">
        <v>0</v>
      </c>
      <c r="I1357" s="378">
        <v>172302</v>
      </c>
      <c r="J1357" s="266">
        <f t="shared" si="22"/>
        <v>8</v>
      </c>
    </row>
    <row r="1358" spans="1:10" ht="15.75" customHeight="1" x14ac:dyDescent="0.25">
      <c r="A1358" s="380">
        <v>52051501</v>
      </c>
      <c r="B1358" s="381" t="s">
        <v>315</v>
      </c>
      <c r="C1358" s="381" t="s">
        <v>478</v>
      </c>
      <c r="D1358" s="381" t="s">
        <v>792</v>
      </c>
      <c r="E1358" s="381" t="s">
        <v>1534</v>
      </c>
      <c r="F1358" s="378">
        <v>2545654</v>
      </c>
      <c r="G1358" s="378">
        <v>832397</v>
      </c>
      <c r="H1358" s="378">
        <v>0</v>
      </c>
      <c r="I1358" s="378">
        <v>3378051</v>
      </c>
      <c r="J1358" s="266">
        <f t="shared" si="22"/>
        <v>8</v>
      </c>
    </row>
    <row r="1359" spans="1:10" ht="15.75" customHeight="1" x14ac:dyDescent="0.25">
      <c r="A1359" s="380">
        <v>52051501</v>
      </c>
      <c r="B1359" s="381" t="s">
        <v>315</v>
      </c>
      <c r="C1359" s="381" t="s">
        <v>478</v>
      </c>
      <c r="D1359" s="381" t="s">
        <v>1688</v>
      </c>
      <c r="E1359" s="381" t="s">
        <v>1689</v>
      </c>
      <c r="F1359" s="378">
        <v>612799</v>
      </c>
      <c r="G1359" s="378">
        <v>0</v>
      </c>
      <c r="H1359" s="378">
        <v>0</v>
      </c>
      <c r="I1359" s="378">
        <v>612799</v>
      </c>
      <c r="J1359" s="266">
        <f t="shared" si="22"/>
        <v>8</v>
      </c>
    </row>
    <row r="1360" spans="1:10" ht="15.75" customHeight="1" x14ac:dyDescent="0.25">
      <c r="A1360" s="380">
        <v>52051501</v>
      </c>
      <c r="B1360" s="381" t="s">
        <v>315</v>
      </c>
      <c r="C1360" s="381" t="s">
        <v>478</v>
      </c>
      <c r="D1360" s="381" t="s">
        <v>1492</v>
      </c>
      <c r="E1360" s="381" t="s">
        <v>1493</v>
      </c>
      <c r="F1360" s="378">
        <v>673819</v>
      </c>
      <c r="G1360" s="378">
        <v>0</v>
      </c>
      <c r="H1360" s="378">
        <v>0</v>
      </c>
      <c r="I1360" s="378">
        <v>673819</v>
      </c>
      <c r="J1360" s="266">
        <f t="shared" si="22"/>
        <v>8</v>
      </c>
    </row>
    <row r="1361" spans="1:10" ht="15.75" customHeight="1" x14ac:dyDescent="0.25">
      <c r="A1361" s="380">
        <v>52051501</v>
      </c>
      <c r="B1361" s="381" t="s">
        <v>315</v>
      </c>
      <c r="C1361" s="381" t="s">
        <v>478</v>
      </c>
      <c r="D1361" s="381" t="s">
        <v>1667</v>
      </c>
      <c r="E1361" s="381" t="s">
        <v>1668</v>
      </c>
      <c r="F1361" s="378">
        <v>68845</v>
      </c>
      <c r="G1361" s="378">
        <v>439460</v>
      </c>
      <c r="H1361" s="378">
        <v>0</v>
      </c>
      <c r="I1361" s="378">
        <v>508305</v>
      </c>
      <c r="J1361" s="266">
        <f t="shared" si="22"/>
        <v>8</v>
      </c>
    </row>
    <row r="1362" spans="1:10" ht="15.75" customHeight="1" x14ac:dyDescent="0.25">
      <c r="A1362" s="380">
        <v>52051501</v>
      </c>
      <c r="B1362" s="381" t="s">
        <v>315</v>
      </c>
      <c r="C1362" s="381" t="s">
        <v>478</v>
      </c>
      <c r="D1362" s="381" t="s">
        <v>1669</v>
      </c>
      <c r="E1362" s="381" t="s">
        <v>1670</v>
      </c>
      <c r="F1362" s="378">
        <v>2953225</v>
      </c>
      <c r="G1362" s="378">
        <v>482864</v>
      </c>
      <c r="H1362" s="378">
        <v>0</v>
      </c>
      <c r="I1362" s="378">
        <v>3436089</v>
      </c>
      <c r="J1362" s="266">
        <f t="shared" si="22"/>
        <v>8</v>
      </c>
    </row>
    <row r="1363" spans="1:10" ht="15.75" customHeight="1" x14ac:dyDescent="0.25">
      <c r="A1363" s="380">
        <v>52051501</v>
      </c>
      <c r="B1363" s="381" t="s">
        <v>315</v>
      </c>
      <c r="C1363" s="381" t="s">
        <v>478</v>
      </c>
      <c r="D1363" s="381" t="s">
        <v>1671</v>
      </c>
      <c r="E1363" s="381" t="s">
        <v>1672</v>
      </c>
      <c r="F1363" s="378">
        <v>690216</v>
      </c>
      <c r="G1363" s="378">
        <v>609758</v>
      </c>
      <c r="H1363" s="378">
        <v>0</v>
      </c>
      <c r="I1363" s="378">
        <v>1299974</v>
      </c>
      <c r="J1363" s="266">
        <f t="shared" si="22"/>
        <v>8</v>
      </c>
    </row>
    <row r="1364" spans="1:10" ht="15.75" customHeight="1" x14ac:dyDescent="0.25">
      <c r="A1364" s="380">
        <v>52051501</v>
      </c>
      <c r="B1364" s="381" t="s">
        <v>315</v>
      </c>
      <c r="C1364" s="381" t="s">
        <v>478</v>
      </c>
      <c r="D1364" s="381" t="s">
        <v>1673</v>
      </c>
      <c r="E1364" s="381" t="s">
        <v>1674</v>
      </c>
      <c r="F1364" s="378">
        <v>3120339</v>
      </c>
      <c r="G1364" s="378">
        <v>886632</v>
      </c>
      <c r="H1364" s="378">
        <v>0</v>
      </c>
      <c r="I1364" s="378">
        <v>4006971</v>
      </c>
      <c r="J1364" s="266">
        <f t="shared" si="22"/>
        <v>8</v>
      </c>
    </row>
    <row r="1365" spans="1:10" ht="15.75" customHeight="1" x14ac:dyDescent="0.25">
      <c r="A1365" s="380">
        <v>520524</v>
      </c>
      <c r="B1365" s="381" t="s">
        <v>315</v>
      </c>
      <c r="C1365" s="381" t="s">
        <v>479</v>
      </c>
      <c r="D1365" s="381" t="s">
        <v>315</v>
      </c>
      <c r="E1365" s="381" t="s">
        <v>315</v>
      </c>
      <c r="F1365" s="378">
        <v>5691617</v>
      </c>
      <c r="G1365" s="378">
        <v>291820</v>
      </c>
      <c r="H1365" s="378">
        <v>0</v>
      </c>
      <c r="I1365" s="378">
        <v>5983437</v>
      </c>
      <c r="J1365" s="266">
        <f t="shared" si="22"/>
        <v>6</v>
      </c>
    </row>
    <row r="1366" spans="1:10" ht="15.75" customHeight="1" x14ac:dyDescent="0.25">
      <c r="A1366" s="380">
        <v>52052401</v>
      </c>
      <c r="B1366" s="381" t="s">
        <v>315</v>
      </c>
      <c r="C1366" s="381" t="s">
        <v>479</v>
      </c>
      <c r="D1366" s="381" t="s">
        <v>315</v>
      </c>
      <c r="E1366" s="381" t="s">
        <v>315</v>
      </c>
      <c r="F1366" s="378">
        <v>5691617</v>
      </c>
      <c r="G1366" s="378">
        <v>291820</v>
      </c>
      <c r="H1366" s="378">
        <v>0</v>
      </c>
      <c r="I1366" s="378">
        <v>5983437</v>
      </c>
      <c r="J1366" s="266">
        <f t="shared" si="22"/>
        <v>8</v>
      </c>
    </row>
    <row r="1367" spans="1:10" ht="15.75" customHeight="1" x14ac:dyDescent="0.25">
      <c r="A1367" s="380">
        <v>52052401</v>
      </c>
      <c r="B1367" s="381" t="s">
        <v>315</v>
      </c>
      <c r="C1367" s="381" t="s">
        <v>479</v>
      </c>
      <c r="D1367" s="381" t="s">
        <v>1649</v>
      </c>
      <c r="E1367" s="381" t="s">
        <v>1650</v>
      </c>
      <c r="F1367" s="378">
        <v>322166</v>
      </c>
      <c r="G1367" s="378">
        <v>0</v>
      </c>
      <c r="H1367" s="378">
        <v>0</v>
      </c>
      <c r="I1367" s="378">
        <v>322166</v>
      </c>
      <c r="J1367" s="266">
        <f t="shared" si="22"/>
        <v>8</v>
      </c>
    </row>
    <row r="1368" spans="1:10" ht="15.75" customHeight="1" x14ac:dyDescent="0.25">
      <c r="A1368" s="380">
        <v>52052401</v>
      </c>
      <c r="B1368" s="381" t="s">
        <v>315</v>
      </c>
      <c r="C1368" s="381" t="s">
        <v>479</v>
      </c>
      <c r="D1368" s="381" t="s">
        <v>1651</v>
      </c>
      <c r="E1368" s="381" t="s">
        <v>1652</v>
      </c>
      <c r="F1368" s="378">
        <v>350182</v>
      </c>
      <c r="G1368" s="378">
        <v>0</v>
      </c>
      <c r="H1368" s="378">
        <v>0</v>
      </c>
      <c r="I1368" s="378">
        <v>350182</v>
      </c>
      <c r="J1368" s="266">
        <f t="shared" si="22"/>
        <v>8</v>
      </c>
    </row>
    <row r="1369" spans="1:10" ht="15.75" customHeight="1" x14ac:dyDescent="0.25">
      <c r="A1369" s="380">
        <v>52052401</v>
      </c>
      <c r="B1369" s="381" t="s">
        <v>315</v>
      </c>
      <c r="C1369" s="381" t="s">
        <v>479</v>
      </c>
      <c r="D1369" s="381" t="s">
        <v>1653</v>
      </c>
      <c r="E1369" s="381" t="s">
        <v>1654</v>
      </c>
      <c r="F1369" s="378">
        <v>58364</v>
      </c>
      <c r="G1369" s="378">
        <v>0</v>
      </c>
      <c r="H1369" s="378">
        <v>0</v>
      </c>
      <c r="I1369" s="378">
        <v>58364</v>
      </c>
      <c r="J1369" s="266">
        <f t="shared" si="22"/>
        <v>8</v>
      </c>
    </row>
    <row r="1370" spans="1:10" ht="15.75" customHeight="1" x14ac:dyDescent="0.25">
      <c r="A1370" s="380">
        <v>52052401</v>
      </c>
      <c r="B1370" s="381" t="s">
        <v>315</v>
      </c>
      <c r="C1370" s="381" t="s">
        <v>479</v>
      </c>
      <c r="D1370" s="381" t="s">
        <v>1657</v>
      </c>
      <c r="E1370" s="381" t="s">
        <v>1658</v>
      </c>
      <c r="F1370" s="378">
        <v>175092</v>
      </c>
      <c r="G1370" s="378">
        <v>0</v>
      </c>
      <c r="H1370" s="378">
        <v>0</v>
      </c>
      <c r="I1370" s="378">
        <v>175092</v>
      </c>
      <c r="J1370" s="266">
        <f t="shared" si="22"/>
        <v>8</v>
      </c>
    </row>
    <row r="1371" spans="1:10" ht="15.75" customHeight="1" x14ac:dyDescent="0.25">
      <c r="A1371" s="380">
        <v>52052401</v>
      </c>
      <c r="B1371" s="381" t="s">
        <v>315</v>
      </c>
      <c r="C1371" s="381" t="s">
        <v>479</v>
      </c>
      <c r="D1371" s="381" t="s">
        <v>1659</v>
      </c>
      <c r="E1371" s="381" t="s">
        <v>1660</v>
      </c>
      <c r="F1371" s="378">
        <v>116727</v>
      </c>
      <c r="G1371" s="378">
        <v>0</v>
      </c>
      <c r="H1371" s="378">
        <v>0</v>
      </c>
      <c r="I1371" s="378">
        <v>116727</v>
      </c>
      <c r="J1371" s="266">
        <f t="shared" si="22"/>
        <v>8</v>
      </c>
    </row>
    <row r="1372" spans="1:10" ht="15.75" customHeight="1" x14ac:dyDescent="0.25">
      <c r="A1372" s="380">
        <v>52052401</v>
      </c>
      <c r="B1372" s="381" t="s">
        <v>315</v>
      </c>
      <c r="C1372" s="381" t="s">
        <v>479</v>
      </c>
      <c r="D1372" s="381" t="s">
        <v>1527</v>
      </c>
      <c r="E1372" s="381" t="s">
        <v>1528</v>
      </c>
      <c r="F1372" s="378">
        <v>291819</v>
      </c>
      <c r="G1372" s="378">
        <v>0</v>
      </c>
      <c r="H1372" s="378">
        <v>0</v>
      </c>
      <c r="I1372" s="378">
        <v>291819</v>
      </c>
      <c r="J1372" s="266">
        <f t="shared" si="22"/>
        <v>8</v>
      </c>
    </row>
    <row r="1373" spans="1:10" ht="15.75" customHeight="1" x14ac:dyDescent="0.25">
      <c r="A1373" s="380">
        <v>52052401</v>
      </c>
      <c r="B1373" s="381" t="s">
        <v>315</v>
      </c>
      <c r="C1373" s="381" t="s">
        <v>479</v>
      </c>
      <c r="D1373" s="381" t="s">
        <v>1663</v>
      </c>
      <c r="E1373" s="381" t="s">
        <v>1664</v>
      </c>
      <c r="F1373" s="378">
        <v>116728</v>
      </c>
      <c r="G1373" s="378">
        <v>0</v>
      </c>
      <c r="H1373" s="378">
        <v>0</v>
      </c>
      <c r="I1373" s="378">
        <v>116728</v>
      </c>
      <c r="J1373" s="266">
        <f t="shared" si="22"/>
        <v>8</v>
      </c>
    </row>
    <row r="1374" spans="1:10" ht="15.75" customHeight="1" x14ac:dyDescent="0.25">
      <c r="A1374" s="380">
        <v>52052401</v>
      </c>
      <c r="B1374" s="381" t="s">
        <v>315</v>
      </c>
      <c r="C1374" s="381" t="s">
        <v>479</v>
      </c>
      <c r="D1374" s="381" t="s">
        <v>1609</v>
      </c>
      <c r="E1374" s="381" t="s">
        <v>1610</v>
      </c>
      <c r="F1374" s="378">
        <v>350181</v>
      </c>
      <c r="G1374" s="378">
        <v>0</v>
      </c>
      <c r="H1374" s="378">
        <v>0</v>
      </c>
      <c r="I1374" s="378">
        <v>350181</v>
      </c>
      <c r="J1374" s="266">
        <f t="shared" si="22"/>
        <v>8</v>
      </c>
    </row>
    <row r="1375" spans="1:10" ht="15.75" customHeight="1" x14ac:dyDescent="0.25">
      <c r="A1375" s="380">
        <v>52052401</v>
      </c>
      <c r="B1375" s="381" t="s">
        <v>315</v>
      </c>
      <c r="C1375" s="381" t="s">
        <v>479</v>
      </c>
      <c r="D1375" s="381" t="s">
        <v>1665</v>
      </c>
      <c r="E1375" s="381" t="s">
        <v>1666</v>
      </c>
      <c r="F1375" s="378">
        <v>0</v>
      </c>
      <c r="G1375" s="378">
        <v>116728</v>
      </c>
      <c r="H1375" s="378">
        <v>0</v>
      </c>
      <c r="I1375" s="378">
        <v>116728</v>
      </c>
      <c r="J1375" s="266">
        <f t="shared" si="22"/>
        <v>8</v>
      </c>
    </row>
    <row r="1376" spans="1:10" ht="15.75" customHeight="1" x14ac:dyDescent="0.25">
      <c r="A1376" s="380">
        <v>52052401</v>
      </c>
      <c r="B1376" s="381" t="s">
        <v>315</v>
      </c>
      <c r="C1376" s="381" t="s">
        <v>479</v>
      </c>
      <c r="D1376" s="381" t="s">
        <v>792</v>
      </c>
      <c r="E1376" s="381" t="s">
        <v>1534</v>
      </c>
      <c r="F1376" s="378">
        <v>1283997</v>
      </c>
      <c r="G1376" s="378">
        <v>0</v>
      </c>
      <c r="H1376" s="378">
        <v>0</v>
      </c>
      <c r="I1376" s="378">
        <v>1283997</v>
      </c>
      <c r="J1376" s="266">
        <f t="shared" si="22"/>
        <v>8</v>
      </c>
    </row>
    <row r="1377" spans="1:10" ht="15.75" customHeight="1" x14ac:dyDescent="0.25">
      <c r="A1377" s="380">
        <v>52052401</v>
      </c>
      <c r="B1377" s="381" t="s">
        <v>315</v>
      </c>
      <c r="C1377" s="381" t="s">
        <v>479</v>
      </c>
      <c r="D1377" s="381" t="s">
        <v>1412</v>
      </c>
      <c r="E1377" s="381" t="s">
        <v>1413</v>
      </c>
      <c r="F1377" s="378">
        <v>175094</v>
      </c>
      <c r="G1377" s="378">
        <v>0</v>
      </c>
      <c r="H1377" s="378">
        <v>0</v>
      </c>
      <c r="I1377" s="378">
        <v>175094</v>
      </c>
      <c r="J1377" s="266">
        <f t="shared" si="22"/>
        <v>8</v>
      </c>
    </row>
    <row r="1378" spans="1:10" ht="15.75" customHeight="1" x14ac:dyDescent="0.25">
      <c r="A1378" s="380">
        <v>52052401</v>
      </c>
      <c r="B1378" s="381" t="s">
        <v>315</v>
      </c>
      <c r="C1378" s="381" t="s">
        <v>479</v>
      </c>
      <c r="D1378" s="381" t="s">
        <v>1667</v>
      </c>
      <c r="E1378" s="381" t="s">
        <v>1668</v>
      </c>
      <c r="F1378" s="378">
        <v>2451267</v>
      </c>
      <c r="G1378" s="378">
        <v>0</v>
      </c>
      <c r="H1378" s="378">
        <v>0</v>
      </c>
      <c r="I1378" s="378">
        <v>2451267</v>
      </c>
      <c r="J1378" s="266">
        <f t="shared" si="22"/>
        <v>8</v>
      </c>
    </row>
    <row r="1379" spans="1:10" ht="15.75" customHeight="1" x14ac:dyDescent="0.25">
      <c r="A1379" s="380">
        <v>52052401</v>
      </c>
      <c r="B1379" s="381" t="s">
        <v>315</v>
      </c>
      <c r="C1379" s="381" t="s">
        <v>479</v>
      </c>
      <c r="D1379" s="381" t="s">
        <v>1669</v>
      </c>
      <c r="E1379" s="381" t="s">
        <v>1670</v>
      </c>
      <c r="F1379" s="378">
        <v>0</v>
      </c>
      <c r="G1379" s="378">
        <v>175092</v>
      </c>
      <c r="H1379" s="378">
        <v>0</v>
      </c>
      <c r="I1379" s="378">
        <v>175092</v>
      </c>
      <c r="J1379" s="266">
        <f t="shared" si="22"/>
        <v>8</v>
      </c>
    </row>
    <row r="1380" spans="1:10" ht="15.75" customHeight="1" x14ac:dyDescent="0.25">
      <c r="A1380" s="380">
        <v>520527</v>
      </c>
      <c r="B1380" s="381" t="s">
        <v>315</v>
      </c>
      <c r="C1380" s="381" t="s">
        <v>480</v>
      </c>
      <c r="D1380" s="381" t="s">
        <v>315</v>
      </c>
      <c r="E1380" s="381" t="s">
        <v>315</v>
      </c>
      <c r="F1380" s="378">
        <v>24852850</v>
      </c>
      <c r="G1380" s="378">
        <v>5073250</v>
      </c>
      <c r="H1380" s="378">
        <v>8303</v>
      </c>
      <c r="I1380" s="378">
        <v>29917797</v>
      </c>
      <c r="J1380" s="266">
        <f t="shared" si="22"/>
        <v>6</v>
      </c>
    </row>
    <row r="1381" spans="1:10" ht="15.75" customHeight="1" x14ac:dyDescent="0.25">
      <c r="A1381" s="380">
        <v>52052701</v>
      </c>
      <c r="B1381" s="381" t="s">
        <v>315</v>
      </c>
      <c r="C1381" s="381" t="s">
        <v>480</v>
      </c>
      <c r="D1381" s="381" t="s">
        <v>315</v>
      </c>
      <c r="E1381" s="381" t="s">
        <v>315</v>
      </c>
      <c r="F1381" s="378">
        <v>24852850</v>
      </c>
      <c r="G1381" s="378">
        <v>5073250</v>
      </c>
      <c r="H1381" s="378">
        <v>8303</v>
      </c>
      <c r="I1381" s="378">
        <v>29917797</v>
      </c>
      <c r="J1381" s="266">
        <f t="shared" si="22"/>
        <v>8</v>
      </c>
    </row>
    <row r="1382" spans="1:10" ht="15.75" customHeight="1" x14ac:dyDescent="0.25">
      <c r="A1382" s="380">
        <v>52052701</v>
      </c>
      <c r="B1382" s="381" t="s">
        <v>315</v>
      </c>
      <c r="C1382" s="381" t="s">
        <v>480</v>
      </c>
      <c r="D1382" s="381" t="s">
        <v>1488</v>
      </c>
      <c r="E1382" s="381" t="s">
        <v>1682</v>
      </c>
      <c r="F1382" s="378">
        <v>240792</v>
      </c>
      <c r="G1382" s="378">
        <v>0</v>
      </c>
      <c r="H1382" s="378">
        <v>0</v>
      </c>
      <c r="I1382" s="378">
        <v>240792</v>
      </c>
      <c r="J1382" s="266">
        <f t="shared" si="22"/>
        <v>8</v>
      </c>
    </row>
    <row r="1383" spans="1:10" ht="15.75" customHeight="1" x14ac:dyDescent="0.25">
      <c r="A1383" s="380">
        <v>52052701</v>
      </c>
      <c r="B1383" s="381" t="s">
        <v>315</v>
      </c>
      <c r="C1383" s="381" t="s">
        <v>480</v>
      </c>
      <c r="D1383" s="381" t="s">
        <v>1535</v>
      </c>
      <c r="E1383" s="381" t="s">
        <v>1536</v>
      </c>
      <c r="F1383" s="378">
        <v>1228872</v>
      </c>
      <c r="G1383" s="378">
        <v>249096</v>
      </c>
      <c r="H1383" s="378">
        <v>0</v>
      </c>
      <c r="I1383" s="378">
        <v>1477968</v>
      </c>
      <c r="J1383" s="266">
        <f t="shared" si="22"/>
        <v>8</v>
      </c>
    </row>
    <row r="1384" spans="1:10" ht="15.75" customHeight="1" x14ac:dyDescent="0.25">
      <c r="A1384" s="380">
        <v>52052701</v>
      </c>
      <c r="B1384" s="381" t="s">
        <v>315</v>
      </c>
      <c r="C1384" s="381" t="s">
        <v>480</v>
      </c>
      <c r="D1384" s="381" t="s">
        <v>1604</v>
      </c>
      <c r="E1384" s="381" t="s">
        <v>1605</v>
      </c>
      <c r="F1384" s="378">
        <v>1237176</v>
      </c>
      <c r="G1384" s="378">
        <v>249096</v>
      </c>
      <c r="H1384" s="378">
        <v>0</v>
      </c>
      <c r="I1384" s="378">
        <v>1486272</v>
      </c>
      <c r="J1384" s="266">
        <f t="shared" si="22"/>
        <v>8</v>
      </c>
    </row>
    <row r="1385" spans="1:10" ht="15.75" customHeight="1" x14ac:dyDescent="0.25">
      <c r="A1385" s="380">
        <v>52052701</v>
      </c>
      <c r="B1385" s="381" t="s">
        <v>315</v>
      </c>
      <c r="C1385" s="381" t="s">
        <v>480</v>
      </c>
      <c r="D1385" s="381" t="s">
        <v>1649</v>
      </c>
      <c r="E1385" s="381" t="s">
        <v>1650</v>
      </c>
      <c r="F1385" s="378">
        <v>1203964</v>
      </c>
      <c r="G1385" s="378">
        <v>240792</v>
      </c>
      <c r="H1385" s="378">
        <v>0</v>
      </c>
      <c r="I1385" s="378">
        <v>1444756</v>
      </c>
      <c r="J1385" s="266">
        <f t="shared" si="22"/>
        <v>8</v>
      </c>
    </row>
    <row r="1386" spans="1:10" ht="15.75" customHeight="1" x14ac:dyDescent="0.25">
      <c r="A1386" s="380">
        <v>52052701</v>
      </c>
      <c r="B1386" s="381" t="s">
        <v>315</v>
      </c>
      <c r="C1386" s="381" t="s">
        <v>480</v>
      </c>
      <c r="D1386" s="381" t="s">
        <v>1651</v>
      </c>
      <c r="E1386" s="381" t="s">
        <v>1652</v>
      </c>
      <c r="F1386" s="378">
        <v>1054505</v>
      </c>
      <c r="G1386" s="378">
        <v>249096</v>
      </c>
      <c r="H1386" s="378">
        <v>0</v>
      </c>
      <c r="I1386" s="378">
        <v>1303601</v>
      </c>
      <c r="J1386" s="266">
        <f t="shared" si="22"/>
        <v>8</v>
      </c>
    </row>
    <row r="1387" spans="1:10" ht="15.75" customHeight="1" x14ac:dyDescent="0.25">
      <c r="A1387" s="380">
        <v>52052701</v>
      </c>
      <c r="B1387" s="381" t="s">
        <v>315</v>
      </c>
      <c r="C1387" s="381" t="s">
        <v>480</v>
      </c>
      <c r="D1387" s="381" t="s">
        <v>1443</v>
      </c>
      <c r="E1387" s="381" t="s">
        <v>1530</v>
      </c>
      <c r="F1387" s="378">
        <v>1162447</v>
      </c>
      <c r="G1387" s="378">
        <v>249096</v>
      </c>
      <c r="H1387" s="378">
        <v>0</v>
      </c>
      <c r="I1387" s="378">
        <v>1411543</v>
      </c>
      <c r="J1387" s="266">
        <f t="shared" si="22"/>
        <v>8</v>
      </c>
    </row>
    <row r="1388" spans="1:10" ht="15.75" customHeight="1" x14ac:dyDescent="0.25">
      <c r="A1388" s="380">
        <v>52052701</v>
      </c>
      <c r="B1388" s="381" t="s">
        <v>315</v>
      </c>
      <c r="C1388" s="381" t="s">
        <v>480</v>
      </c>
      <c r="D1388" s="381" t="s">
        <v>1653</v>
      </c>
      <c r="E1388" s="381" t="s">
        <v>1654</v>
      </c>
      <c r="F1388" s="378">
        <v>1220569</v>
      </c>
      <c r="G1388" s="378">
        <v>240792</v>
      </c>
      <c r="H1388" s="378">
        <v>0</v>
      </c>
      <c r="I1388" s="378">
        <v>1461361</v>
      </c>
      <c r="J1388" s="266">
        <f t="shared" si="22"/>
        <v>8</v>
      </c>
    </row>
    <row r="1389" spans="1:10" ht="15.75" customHeight="1" x14ac:dyDescent="0.25">
      <c r="A1389" s="380">
        <v>52052701</v>
      </c>
      <c r="B1389" s="381" t="s">
        <v>315</v>
      </c>
      <c r="C1389" s="381" t="s">
        <v>480</v>
      </c>
      <c r="D1389" s="381" t="s">
        <v>1683</v>
      </c>
      <c r="E1389" s="381" t="s">
        <v>1684</v>
      </c>
      <c r="F1389" s="378">
        <v>498192</v>
      </c>
      <c r="G1389" s="378">
        <v>0</v>
      </c>
      <c r="H1389" s="378">
        <v>0</v>
      </c>
      <c r="I1389" s="378">
        <v>498192</v>
      </c>
      <c r="J1389" s="266">
        <f t="shared" si="22"/>
        <v>8</v>
      </c>
    </row>
    <row r="1390" spans="1:10" ht="15.75" customHeight="1" x14ac:dyDescent="0.25">
      <c r="A1390" s="380">
        <v>52052701</v>
      </c>
      <c r="B1390" s="381" t="s">
        <v>315</v>
      </c>
      <c r="C1390" s="381" t="s">
        <v>480</v>
      </c>
      <c r="D1390" s="381" t="s">
        <v>1606</v>
      </c>
      <c r="E1390" s="381" t="s">
        <v>1607</v>
      </c>
      <c r="F1390" s="378">
        <v>1245480</v>
      </c>
      <c r="G1390" s="378">
        <v>240792</v>
      </c>
      <c r="H1390" s="378">
        <v>0</v>
      </c>
      <c r="I1390" s="378">
        <v>1486272</v>
      </c>
      <c r="J1390" s="266">
        <f t="shared" si="22"/>
        <v>8</v>
      </c>
    </row>
    <row r="1391" spans="1:10" ht="15.75" customHeight="1" x14ac:dyDescent="0.25">
      <c r="A1391" s="380">
        <v>52052701</v>
      </c>
      <c r="B1391" s="381" t="s">
        <v>315</v>
      </c>
      <c r="C1391" s="381" t="s">
        <v>480</v>
      </c>
      <c r="D1391" s="381" t="s">
        <v>1686</v>
      </c>
      <c r="E1391" s="381" t="s">
        <v>1687</v>
      </c>
      <c r="F1391" s="378">
        <v>647650</v>
      </c>
      <c r="G1391" s="378">
        <v>0</v>
      </c>
      <c r="H1391" s="378">
        <v>0</v>
      </c>
      <c r="I1391" s="378">
        <v>647650</v>
      </c>
      <c r="J1391" s="266">
        <f t="shared" si="22"/>
        <v>8</v>
      </c>
    </row>
    <row r="1392" spans="1:10" ht="15.75" customHeight="1" x14ac:dyDescent="0.25">
      <c r="A1392" s="380">
        <v>52052701</v>
      </c>
      <c r="B1392" s="381" t="s">
        <v>315</v>
      </c>
      <c r="C1392" s="381" t="s">
        <v>480</v>
      </c>
      <c r="D1392" s="381" t="s">
        <v>1655</v>
      </c>
      <c r="E1392" s="381" t="s">
        <v>1656</v>
      </c>
      <c r="F1392" s="378">
        <v>440069</v>
      </c>
      <c r="G1392" s="378">
        <v>249096</v>
      </c>
      <c r="H1392" s="378">
        <v>0</v>
      </c>
      <c r="I1392" s="378">
        <v>689165</v>
      </c>
      <c r="J1392" s="266">
        <f t="shared" si="22"/>
        <v>8</v>
      </c>
    </row>
    <row r="1393" spans="1:10" ht="15.75" customHeight="1" x14ac:dyDescent="0.25">
      <c r="A1393" s="380">
        <v>52052701</v>
      </c>
      <c r="B1393" s="381" t="s">
        <v>315</v>
      </c>
      <c r="C1393" s="381" t="s">
        <v>480</v>
      </c>
      <c r="D1393" s="381" t="s">
        <v>1657</v>
      </c>
      <c r="E1393" s="381" t="s">
        <v>1658</v>
      </c>
      <c r="F1393" s="378">
        <v>1212266</v>
      </c>
      <c r="G1393" s="378">
        <v>249096</v>
      </c>
      <c r="H1393" s="378">
        <v>0</v>
      </c>
      <c r="I1393" s="378">
        <v>1461362</v>
      </c>
      <c r="J1393" s="266">
        <f t="shared" si="22"/>
        <v>8</v>
      </c>
    </row>
    <row r="1394" spans="1:10" ht="15.75" customHeight="1" x14ac:dyDescent="0.25">
      <c r="A1394" s="380">
        <v>52052701</v>
      </c>
      <c r="B1394" s="381" t="s">
        <v>315</v>
      </c>
      <c r="C1394" s="381" t="s">
        <v>480</v>
      </c>
      <c r="D1394" s="381" t="s">
        <v>1659</v>
      </c>
      <c r="E1394" s="381" t="s">
        <v>1660</v>
      </c>
      <c r="F1394" s="378">
        <v>1203962</v>
      </c>
      <c r="G1394" s="378">
        <v>8303</v>
      </c>
      <c r="H1394" s="378">
        <v>0</v>
      </c>
      <c r="I1394" s="378">
        <v>1212265</v>
      </c>
      <c r="J1394" s="266">
        <f t="shared" si="22"/>
        <v>8</v>
      </c>
    </row>
    <row r="1395" spans="1:10" ht="15.75" customHeight="1" x14ac:dyDescent="0.25">
      <c r="A1395" s="380">
        <v>52052701</v>
      </c>
      <c r="B1395" s="381" t="s">
        <v>315</v>
      </c>
      <c r="C1395" s="381" t="s">
        <v>480</v>
      </c>
      <c r="D1395" s="381" t="s">
        <v>1527</v>
      </c>
      <c r="E1395" s="381" t="s">
        <v>1528</v>
      </c>
      <c r="F1395" s="378">
        <v>1203963</v>
      </c>
      <c r="G1395" s="378">
        <v>124548</v>
      </c>
      <c r="H1395" s="378">
        <v>8303</v>
      </c>
      <c r="I1395" s="378">
        <v>1320208</v>
      </c>
      <c r="J1395" s="266">
        <f t="shared" si="22"/>
        <v>8</v>
      </c>
    </row>
    <row r="1396" spans="1:10" ht="15.75" customHeight="1" x14ac:dyDescent="0.25">
      <c r="A1396" s="380">
        <v>52052701</v>
      </c>
      <c r="B1396" s="381" t="s">
        <v>315</v>
      </c>
      <c r="C1396" s="381" t="s">
        <v>480</v>
      </c>
      <c r="D1396" s="381" t="s">
        <v>1444</v>
      </c>
      <c r="E1396" s="381" t="s">
        <v>1533</v>
      </c>
      <c r="F1396" s="378">
        <v>1137538</v>
      </c>
      <c r="G1396" s="378">
        <v>249096</v>
      </c>
      <c r="H1396" s="378">
        <v>0</v>
      </c>
      <c r="I1396" s="378">
        <v>1386634</v>
      </c>
      <c r="J1396" s="266">
        <f t="shared" si="22"/>
        <v>8</v>
      </c>
    </row>
    <row r="1397" spans="1:10" ht="15.75" customHeight="1" x14ac:dyDescent="0.25">
      <c r="A1397" s="380">
        <v>52052701</v>
      </c>
      <c r="B1397" s="381" t="s">
        <v>315</v>
      </c>
      <c r="C1397" s="381" t="s">
        <v>480</v>
      </c>
      <c r="D1397" s="381" t="s">
        <v>1661</v>
      </c>
      <c r="E1397" s="381" t="s">
        <v>1662</v>
      </c>
      <c r="F1397" s="378">
        <v>1237176</v>
      </c>
      <c r="G1397" s="378">
        <v>249096</v>
      </c>
      <c r="H1397" s="378">
        <v>0</v>
      </c>
      <c r="I1397" s="378">
        <v>1486272</v>
      </c>
      <c r="J1397" s="266">
        <f t="shared" si="22"/>
        <v>8</v>
      </c>
    </row>
    <row r="1398" spans="1:10" ht="15.75" customHeight="1" x14ac:dyDescent="0.25">
      <c r="A1398" s="380">
        <v>52052701</v>
      </c>
      <c r="B1398" s="381" t="s">
        <v>315</v>
      </c>
      <c r="C1398" s="381" t="s">
        <v>480</v>
      </c>
      <c r="D1398" s="381" t="s">
        <v>1663</v>
      </c>
      <c r="E1398" s="381" t="s">
        <v>1664</v>
      </c>
      <c r="F1398" s="378">
        <v>1054505</v>
      </c>
      <c r="G1398" s="378">
        <v>249096</v>
      </c>
      <c r="H1398" s="378">
        <v>0</v>
      </c>
      <c r="I1398" s="378">
        <v>1303601</v>
      </c>
      <c r="J1398" s="266">
        <f t="shared" si="22"/>
        <v>8</v>
      </c>
    </row>
    <row r="1399" spans="1:10" ht="15.75" customHeight="1" x14ac:dyDescent="0.25">
      <c r="A1399" s="380">
        <v>52052701</v>
      </c>
      <c r="B1399" s="381" t="s">
        <v>315</v>
      </c>
      <c r="C1399" s="381" t="s">
        <v>480</v>
      </c>
      <c r="D1399" s="381" t="s">
        <v>1609</v>
      </c>
      <c r="E1399" s="381" t="s">
        <v>1610</v>
      </c>
      <c r="F1399" s="378">
        <v>1170748</v>
      </c>
      <c r="G1399" s="378">
        <v>249096</v>
      </c>
      <c r="H1399" s="378">
        <v>0</v>
      </c>
      <c r="I1399" s="378">
        <v>1419844</v>
      </c>
      <c r="J1399" s="266">
        <f t="shared" si="22"/>
        <v>8</v>
      </c>
    </row>
    <row r="1400" spans="1:10" ht="15.75" customHeight="1" x14ac:dyDescent="0.25">
      <c r="A1400" s="380">
        <v>52052701</v>
      </c>
      <c r="B1400" s="381" t="s">
        <v>315</v>
      </c>
      <c r="C1400" s="381" t="s">
        <v>480</v>
      </c>
      <c r="D1400" s="381" t="s">
        <v>1490</v>
      </c>
      <c r="E1400" s="381" t="s">
        <v>1491</v>
      </c>
      <c r="F1400" s="378">
        <v>498192</v>
      </c>
      <c r="G1400" s="378">
        <v>0</v>
      </c>
      <c r="H1400" s="378">
        <v>0</v>
      </c>
      <c r="I1400" s="378">
        <v>498192</v>
      </c>
      <c r="J1400" s="266">
        <f t="shared" si="22"/>
        <v>8</v>
      </c>
    </row>
    <row r="1401" spans="1:10" ht="15.75" customHeight="1" x14ac:dyDescent="0.25">
      <c r="A1401" s="380">
        <v>52052701</v>
      </c>
      <c r="B1401" s="381" t="s">
        <v>315</v>
      </c>
      <c r="C1401" s="381" t="s">
        <v>480</v>
      </c>
      <c r="D1401" s="381" t="s">
        <v>1210</v>
      </c>
      <c r="E1401" s="381" t="s">
        <v>1611</v>
      </c>
      <c r="F1401" s="378">
        <v>697468</v>
      </c>
      <c r="G1401" s="378">
        <v>249096</v>
      </c>
      <c r="H1401" s="378">
        <v>0</v>
      </c>
      <c r="I1401" s="378">
        <v>946564</v>
      </c>
      <c r="J1401" s="266">
        <f t="shared" si="22"/>
        <v>8</v>
      </c>
    </row>
    <row r="1402" spans="1:10" ht="15.75" customHeight="1" x14ac:dyDescent="0.25">
      <c r="A1402" s="380">
        <v>52052701</v>
      </c>
      <c r="B1402" s="381" t="s">
        <v>315</v>
      </c>
      <c r="C1402" s="381" t="s">
        <v>480</v>
      </c>
      <c r="D1402" s="381" t="s">
        <v>1665</v>
      </c>
      <c r="E1402" s="381" t="s">
        <v>1666</v>
      </c>
      <c r="F1402" s="378">
        <v>149458</v>
      </c>
      <c r="G1402" s="378">
        <v>232489</v>
      </c>
      <c r="H1402" s="378">
        <v>0</v>
      </c>
      <c r="I1402" s="378">
        <v>381947</v>
      </c>
      <c r="J1402" s="266">
        <f t="shared" si="22"/>
        <v>8</v>
      </c>
    </row>
    <row r="1403" spans="1:10" ht="15.75" customHeight="1" x14ac:dyDescent="0.25">
      <c r="A1403" s="380">
        <v>52052701</v>
      </c>
      <c r="B1403" s="381" t="s">
        <v>315</v>
      </c>
      <c r="C1403" s="381" t="s">
        <v>480</v>
      </c>
      <c r="D1403" s="381" t="s">
        <v>792</v>
      </c>
      <c r="E1403" s="381" t="s">
        <v>1534</v>
      </c>
      <c r="F1403" s="378">
        <v>1062809</v>
      </c>
      <c r="G1403" s="378">
        <v>249096</v>
      </c>
      <c r="H1403" s="378">
        <v>0</v>
      </c>
      <c r="I1403" s="378">
        <v>1311905</v>
      </c>
      <c r="J1403" s="266">
        <f t="shared" si="22"/>
        <v>8</v>
      </c>
    </row>
    <row r="1404" spans="1:10" ht="15.75" customHeight="1" x14ac:dyDescent="0.25">
      <c r="A1404" s="380">
        <v>52052701</v>
      </c>
      <c r="B1404" s="381" t="s">
        <v>315</v>
      </c>
      <c r="C1404" s="381" t="s">
        <v>480</v>
      </c>
      <c r="D1404" s="381" t="s">
        <v>1688</v>
      </c>
      <c r="E1404" s="381" t="s">
        <v>1689</v>
      </c>
      <c r="F1404" s="378">
        <v>431765</v>
      </c>
      <c r="G1404" s="378">
        <v>0</v>
      </c>
      <c r="H1404" s="378">
        <v>0</v>
      </c>
      <c r="I1404" s="378">
        <v>431765</v>
      </c>
      <c r="J1404" s="266">
        <f t="shared" si="22"/>
        <v>8</v>
      </c>
    </row>
    <row r="1405" spans="1:10" ht="15.75" customHeight="1" x14ac:dyDescent="0.25">
      <c r="A1405" s="380">
        <v>52052701</v>
      </c>
      <c r="B1405" s="381" t="s">
        <v>315</v>
      </c>
      <c r="C1405" s="381" t="s">
        <v>480</v>
      </c>
      <c r="D1405" s="381" t="s">
        <v>1492</v>
      </c>
      <c r="E1405" s="381" t="s">
        <v>1493</v>
      </c>
      <c r="F1405" s="378">
        <v>506495</v>
      </c>
      <c r="G1405" s="378">
        <v>0</v>
      </c>
      <c r="H1405" s="378">
        <v>0</v>
      </c>
      <c r="I1405" s="378">
        <v>506495</v>
      </c>
      <c r="J1405" s="266">
        <f t="shared" si="22"/>
        <v>8</v>
      </c>
    </row>
    <row r="1406" spans="1:10" ht="15.75" customHeight="1" x14ac:dyDescent="0.25">
      <c r="A1406" s="380">
        <v>52052701</v>
      </c>
      <c r="B1406" s="381" t="s">
        <v>315</v>
      </c>
      <c r="C1406" s="381" t="s">
        <v>480</v>
      </c>
      <c r="D1406" s="381" t="s">
        <v>1412</v>
      </c>
      <c r="E1406" s="381" t="s">
        <v>1413</v>
      </c>
      <c r="F1406" s="378">
        <v>124547</v>
      </c>
      <c r="G1406" s="378">
        <v>0</v>
      </c>
      <c r="H1406" s="378">
        <v>0</v>
      </c>
      <c r="I1406" s="378">
        <v>124547</v>
      </c>
      <c r="J1406" s="266">
        <f t="shared" si="22"/>
        <v>8</v>
      </c>
    </row>
    <row r="1407" spans="1:10" ht="15.75" customHeight="1" x14ac:dyDescent="0.25">
      <c r="A1407" s="380">
        <v>52052701</v>
      </c>
      <c r="B1407" s="381" t="s">
        <v>315</v>
      </c>
      <c r="C1407" s="381" t="s">
        <v>480</v>
      </c>
      <c r="D1407" s="381" t="s">
        <v>1667</v>
      </c>
      <c r="E1407" s="381" t="s">
        <v>1668</v>
      </c>
      <c r="F1407" s="378">
        <v>184066</v>
      </c>
      <c r="G1407" s="378">
        <v>207580</v>
      </c>
      <c r="H1407" s="378">
        <v>0</v>
      </c>
      <c r="I1407" s="378">
        <v>391646</v>
      </c>
      <c r="J1407" s="266">
        <f t="shared" si="22"/>
        <v>8</v>
      </c>
    </row>
    <row r="1408" spans="1:10" ht="15.75" customHeight="1" x14ac:dyDescent="0.25">
      <c r="A1408" s="380">
        <v>52052701</v>
      </c>
      <c r="B1408" s="381" t="s">
        <v>315</v>
      </c>
      <c r="C1408" s="381" t="s">
        <v>480</v>
      </c>
      <c r="D1408" s="381" t="s">
        <v>1669</v>
      </c>
      <c r="E1408" s="381" t="s">
        <v>1670</v>
      </c>
      <c r="F1408" s="378">
        <v>1096020</v>
      </c>
      <c r="G1408" s="378">
        <v>166064</v>
      </c>
      <c r="H1408" s="378">
        <v>0</v>
      </c>
      <c r="I1408" s="378">
        <v>1262084</v>
      </c>
      <c r="J1408" s="266">
        <f t="shared" si="22"/>
        <v>8</v>
      </c>
    </row>
    <row r="1409" spans="1:10" ht="15.75" customHeight="1" x14ac:dyDescent="0.25">
      <c r="A1409" s="380">
        <v>52052701</v>
      </c>
      <c r="B1409" s="381" t="s">
        <v>315</v>
      </c>
      <c r="C1409" s="381" t="s">
        <v>480</v>
      </c>
      <c r="D1409" s="381" t="s">
        <v>1671</v>
      </c>
      <c r="E1409" s="381" t="s">
        <v>1672</v>
      </c>
      <c r="F1409" s="378">
        <v>456676</v>
      </c>
      <c r="G1409" s="378">
        <v>249096</v>
      </c>
      <c r="H1409" s="378">
        <v>0</v>
      </c>
      <c r="I1409" s="378">
        <v>705772</v>
      </c>
      <c r="J1409" s="266">
        <f t="shared" si="22"/>
        <v>8</v>
      </c>
    </row>
    <row r="1410" spans="1:10" ht="15.75" customHeight="1" x14ac:dyDescent="0.25">
      <c r="A1410" s="380">
        <v>52052701</v>
      </c>
      <c r="B1410" s="381" t="s">
        <v>315</v>
      </c>
      <c r="C1410" s="381" t="s">
        <v>480</v>
      </c>
      <c r="D1410" s="381" t="s">
        <v>1673</v>
      </c>
      <c r="E1410" s="381" t="s">
        <v>1674</v>
      </c>
      <c r="F1410" s="378">
        <v>1245480</v>
      </c>
      <c r="G1410" s="378">
        <v>240792</v>
      </c>
      <c r="H1410" s="378">
        <v>0</v>
      </c>
      <c r="I1410" s="378">
        <v>1486272</v>
      </c>
      <c r="J1410" s="266">
        <f t="shared" si="22"/>
        <v>8</v>
      </c>
    </row>
    <row r="1411" spans="1:10" ht="15.75" customHeight="1" x14ac:dyDescent="0.25">
      <c r="A1411" s="380">
        <v>52052701</v>
      </c>
      <c r="B1411" s="381" t="s">
        <v>315</v>
      </c>
      <c r="C1411" s="381" t="s">
        <v>480</v>
      </c>
      <c r="D1411" s="381" t="s">
        <v>1675</v>
      </c>
      <c r="E1411" s="381" t="s">
        <v>1676</v>
      </c>
      <c r="F1411" s="378">
        <v>0</v>
      </c>
      <c r="G1411" s="378">
        <v>66425</v>
      </c>
      <c r="H1411" s="378">
        <v>0</v>
      </c>
      <c r="I1411" s="378">
        <v>66425</v>
      </c>
      <c r="J1411" s="266">
        <f t="shared" si="22"/>
        <v>8</v>
      </c>
    </row>
    <row r="1412" spans="1:10" ht="15.75" customHeight="1" x14ac:dyDescent="0.25">
      <c r="A1412" s="380">
        <v>52052701</v>
      </c>
      <c r="B1412" s="381" t="s">
        <v>315</v>
      </c>
      <c r="C1412" s="381" t="s">
        <v>480</v>
      </c>
      <c r="D1412" s="381" t="s">
        <v>1677</v>
      </c>
      <c r="E1412" s="381" t="s">
        <v>1678</v>
      </c>
      <c r="F1412" s="378">
        <v>0</v>
      </c>
      <c r="G1412" s="378">
        <v>66425</v>
      </c>
      <c r="H1412" s="378">
        <v>0</v>
      </c>
      <c r="I1412" s="378">
        <v>66425</v>
      </c>
      <c r="J1412" s="266">
        <f t="shared" si="22"/>
        <v>8</v>
      </c>
    </row>
    <row r="1413" spans="1:10" ht="15.75" customHeight="1" x14ac:dyDescent="0.25">
      <c r="A1413" s="380">
        <v>520530</v>
      </c>
      <c r="B1413" s="381" t="s">
        <v>315</v>
      </c>
      <c r="C1413" s="381" t="s">
        <v>99</v>
      </c>
      <c r="D1413" s="381" t="s">
        <v>315</v>
      </c>
      <c r="E1413" s="381" t="s">
        <v>315</v>
      </c>
      <c r="F1413" s="378">
        <v>25661096</v>
      </c>
      <c r="G1413" s="378">
        <v>4989939</v>
      </c>
      <c r="H1413" s="378">
        <v>0</v>
      </c>
      <c r="I1413" s="378">
        <v>30651035</v>
      </c>
      <c r="J1413" s="266">
        <f t="shared" si="22"/>
        <v>6</v>
      </c>
    </row>
    <row r="1414" spans="1:10" ht="15.75" customHeight="1" x14ac:dyDescent="0.25">
      <c r="A1414" s="380">
        <v>52053001</v>
      </c>
      <c r="B1414" s="381" t="s">
        <v>315</v>
      </c>
      <c r="C1414" s="381" t="s">
        <v>99</v>
      </c>
      <c r="D1414" s="381" t="s">
        <v>315</v>
      </c>
      <c r="E1414" s="381" t="s">
        <v>315</v>
      </c>
      <c r="F1414" s="378">
        <v>25661096</v>
      </c>
      <c r="G1414" s="378">
        <v>4989939</v>
      </c>
      <c r="H1414" s="378">
        <v>0</v>
      </c>
      <c r="I1414" s="378">
        <v>30651035</v>
      </c>
      <c r="J1414" s="266">
        <f t="shared" si="22"/>
        <v>8</v>
      </c>
    </row>
    <row r="1415" spans="1:10" ht="15.75" customHeight="1" x14ac:dyDescent="0.25">
      <c r="A1415" s="380">
        <v>52053001</v>
      </c>
      <c r="B1415" s="381" t="s">
        <v>315</v>
      </c>
      <c r="C1415" s="381" t="s">
        <v>99</v>
      </c>
      <c r="D1415" s="381" t="s">
        <v>1488</v>
      </c>
      <c r="E1415" s="381" t="s">
        <v>1682</v>
      </c>
      <c r="F1415" s="378">
        <v>207080</v>
      </c>
      <c r="G1415" s="378">
        <v>0</v>
      </c>
      <c r="H1415" s="378">
        <v>0</v>
      </c>
      <c r="I1415" s="378">
        <v>207080</v>
      </c>
      <c r="J1415" s="266">
        <f t="shared" si="22"/>
        <v>8</v>
      </c>
    </row>
    <row r="1416" spans="1:10" ht="15.75" customHeight="1" x14ac:dyDescent="0.25">
      <c r="A1416" s="380">
        <v>52053001</v>
      </c>
      <c r="B1416" s="381" t="s">
        <v>315</v>
      </c>
      <c r="C1416" s="381" t="s">
        <v>99</v>
      </c>
      <c r="D1416" s="381" t="s">
        <v>1535</v>
      </c>
      <c r="E1416" s="381" t="s">
        <v>1536</v>
      </c>
      <c r="F1416" s="378">
        <v>1064261</v>
      </c>
      <c r="G1416" s="378">
        <v>213516</v>
      </c>
      <c r="H1416" s="378">
        <v>0</v>
      </c>
      <c r="I1416" s="378">
        <v>1277777</v>
      </c>
      <c r="J1416" s="266">
        <f t="shared" si="22"/>
        <v>8</v>
      </c>
    </row>
    <row r="1417" spans="1:10" ht="15.75" customHeight="1" x14ac:dyDescent="0.25">
      <c r="A1417" s="380">
        <v>52053001</v>
      </c>
      <c r="B1417" s="381" t="s">
        <v>315</v>
      </c>
      <c r="C1417" s="381" t="s">
        <v>99</v>
      </c>
      <c r="D1417" s="381" t="s">
        <v>1604</v>
      </c>
      <c r="E1417" s="381" t="s">
        <v>1605</v>
      </c>
      <c r="F1417" s="378">
        <v>1151012</v>
      </c>
      <c r="G1417" s="378">
        <v>261430</v>
      </c>
      <c r="H1417" s="378">
        <v>0</v>
      </c>
      <c r="I1417" s="378">
        <v>1412442</v>
      </c>
      <c r="J1417" s="266">
        <f t="shared" si="22"/>
        <v>8</v>
      </c>
    </row>
    <row r="1418" spans="1:10" ht="15.75" customHeight="1" x14ac:dyDescent="0.25">
      <c r="A1418" s="380">
        <v>52053001</v>
      </c>
      <c r="B1418" s="381" t="s">
        <v>315</v>
      </c>
      <c r="C1418" s="381" t="s">
        <v>99</v>
      </c>
      <c r="D1418" s="381" t="s">
        <v>1649</v>
      </c>
      <c r="E1418" s="381" t="s">
        <v>1650</v>
      </c>
      <c r="F1418" s="378">
        <v>1101447</v>
      </c>
      <c r="G1418" s="378">
        <v>218171</v>
      </c>
      <c r="H1418" s="378">
        <v>0</v>
      </c>
      <c r="I1418" s="378">
        <v>1319618</v>
      </c>
      <c r="J1418" s="266">
        <f t="shared" si="22"/>
        <v>8</v>
      </c>
    </row>
    <row r="1419" spans="1:10" ht="15.75" customHeight="1" x14ac:dyDescent="0.25">
      <c r="A1419" s="380">
        <v>52053001</v>
      </c>
      <c r="B1419" s="381" t="s">
        <v>315</v>
      </c>
      <c r="C1419" s="381" t="s">
        <v>99</v>
      </c>
      <c r="D1419" s="381" t="s">
        <v>1651</v>
      </c>
      <c r="E1419" s="381" t="s">
        <v>1652</v>
      </c>
      <c r="F1419" s="378">
        <v>1032112</v>
      </c>
      <c r="G1419" s="378">
        <v>216096</v>
      </c>
      <c r="H1419" s="378">
        <v>0</v>
      </c>
      <c r="I1419" s="378">
        <v>1248208</v>
      </c>
      <c r="J1419" s="266">
        <f t="shared" si="22"/>
        <v>8</v>
      </c>
    </row>
    <row r="1420" spans="1:10" ht="15.75" customHeight="1" x14ac:dyDescent="0.25">
      <c r="A1420" s="380">
        <v>52053001</v>
      </c>
      <c r="B1420" s="381" t="s">
        <v>315</v>
      </c>
      <c r="C1420" s="381" t="s">
        <v>99</v>
      </c>
      <c r="D1420" s="381" t="s">
        <v>1443</v>
      </c>
      <c r="E1420" s="381" t="s">
        <v>1530</v>
      </c>
      <c r="F1420" s="378">
        <v>1267834</v>
      </c>
      <c r="G1420" s="378">
        <v>262451</v>
      </c>
      <c r="H1420" s="378">
        <v>0</v>
      </c>
      <c r="I1420" s="378">
        <v>1530285</v>
      </c>
      <c r="J1420" s="266">
        <f t="shared" ref="J1420:J1483" si="23">+LEN(A1420)</f>
        <v>8</v>
      </c>
    </row>
    <row r="1421" spans="1:10" ht="15.75" customHeight="1" x14ac:dyDescent="0.25">
      <c r="A1421" s="380">
        <v>52053001</v>
      </c>
      <c r="B1421" s="381" t="s">
        <v>315</v>
      </c>
      <c r="C1421" s="381" t="s">
        <v>99</v>
      </c>
      <c r="D1421" s="381" t="s">
        <v>1653</v>
      </c>
      <c r="E1421" s="381" t="s">
        <v>1654</v>
      </c>
      <c r="F1421" s="378">
        <v>1110638</v>
      </c>
      <c r="G1421" s="378">
        <v>244005</v>
      </c>
      <c r="H1421" s="378">
        <v>0</v>
      </c>
      <c r="I1421" s="378">
        <v>1354643</v>
      </c>
      <c r="J1421" s="266">
        <f t="shared" si="23"/>
        <v>8</v>
      </c>
    </row>
    <row r="1422" spans="1:10" ht="15.75" customHeight="1" x14ac:dyDescent="0.25">
      <c r="A1422" s="380">
        <v>52053001</v>
      </c>
      <c r="B1422" s="381" t="s">
        <v>315</v>
      </c>
      <c r="C1422" s="381" t="s">
        <v>99</v>
      </c>
      <c r="D1422" s="381" t="s">
        <v>1683</v>
      </c>
      <c r="E1422" s="381" t="s">
        <v>1684</v>
      </c>
      <c r="F1422" s="378">
        <v>460635</v>
      </c>
      <c r="G1422" s="378">
        <v>0</v>
      </c>
      <c r="H1422" s="378">
        <v>0</v>
      </c>
      <c r="I1422" s="378">
        <v>460635</v>
      </c>
      <c r="J1422" s="266">
        <f t="shared" si="23"/>
        <v>8</v>
      </c>
    </row>
    <row r="1423" spans="1:10" ht="15.75" customHeight="1" x14ac:dyDescent="0.25">
      <c r="A1423" s="380">
        <v>52053001</v>
      </c>
      <c r="B1423" s="381" t="s">
        <v>315</v>
      </c>
      <c r="C1423" s="381" t="s">
        <v>99</v>
      </c>
      <c r="D1423" s="381" t="s">
        <v>1606</v>
      </c>
      <c r="E1423" s="381" t="s">
        <v>1607</v>
      </c>
      <c r="F1423" s="378">
        <v>1162572</v>
      </c>
      <c r="G1423" s="378">
        <v>230113</v>
      </c>
      <c r="H1423" s="378">
        <v>0</v>
      </c>
      <c r="I1423" s="378">
        <v>1392685</v>
      </c>
      <c r="J1423" s="266">
        <f t="shared" si="23"/>
        <v>8</v>
      </c>
    </row>
    <row r="1424" spans="1:10" ht="15.75" customHeight="1" x14ac:dyDescent="0.25">
      <c r="A1424" s="380">
        <v>52053001</v>
      </c>
      <c r="B1424" s="381" t="s">
        <v>315</v>
      </c>
      <c r="C1424" s="381" t="s">
        <v>99</v>
      </c>
      <c r="D1424" s="381" t="s">
        <v>1686</v>
      </c>
      <c r="E1424" s="381" t="s">
        <v>1687</v>
      </c>
      <c r="F1424" s="378">
        <v>538766</v>
      </c>
      <c r="G1424" s="378">
        <v>0</v>
      </c>
      <c r="H1424" s="378">
        <v>0</v>
      </c>
      <c r="I1424" s="378">
        <v>538766</v>
      </c>
      <c r="J1424" s="266">
        <f t="shared" si="23"/>
        <v>8</v>
      </c>
    </row>
    <row r="1425" spans="1:10" ht="15.75" customHeight="1" x14ac:dyDescent="0.25">
      <c r="A1425" s="380">
        <v>52053001</v>
      </c>
      <c r="B1425" s="381" t="s">
        <v>315</v>
      </c>
      <c r="C1425" s="381" t="s">
        <v>99</v>
      </c>
      <c r="D1425" s="381" t="s">
        <v>1655</v>
      </c>
      <c r="E1425" s="381" t="s">
        <v>1656</v>
      </c>
      <c r="F1425" s="378">
        <v>315807</v>
      </c>
      <c r="G1425" s="378">
        <v>186005</v>
      </c>
      <c r="H1425" s="378">
        <v>0</v>
      </c>
      <c r="I1425" s="378">
        <v>501812</v>
      </c>
      <c r="J1425" s="266">
        <f t="shared" si="23"/>
        <v>8</v>
      </c>
    </row>
    <row r="1426" spans="1:10" ht="15.75" customHeight="1" x14ac:dyDescent="0.25">
      <c r="A1426" s="380">
        <v>52053001</v>
      </c>
      <c r="B1426" s="381" t="s">
        <v>315</v>
      </c>
      <c r="C1426" s="381" t="s">
        <v>99</v>
      </c>
      <c r="D1426" s="381" t="s">
        <v>1657</v>
      </c>
      <c r="E1426" s="381" t="s">
        <v>1658</v>
      </c>
      <c r="F1426" s="378">
        <v>1043885</v>
      </c>
      <c r="G1426" s="378">
        <v>209224</v>
      </c>
      <c r="H1426" s="378">
        <v>0</v>
      </c>
      <c r="I1426" s="378">
        <v>1253109</v>
      </c>
      <c r="J1426" s="266">
        <f t="shared" si="23"/>
        <v>8</v>
      </c>
    </row>
    <row r="1427" spans="1:10" ht="15.75" customHeight="1" x14ac:dyDescent="0.25">
      <c r="A1427" s="380">
        <v>52053001</v>
      </c>
      <c r="B1427" s="381" t="s">
        <v>315</v>
      </c>
      <c r="C1427" s="381" t="s">
        <v>99</v>
      </c>
      <c r="D1427" s="381" t="s">
        <v>1659</v>
      </c>
      <c r="E1427" s="381" t="s">
        <v>1660</v>
      </c>
      <c r="F1427" s="378">
        <v>1111314</v>
      </c>
      <c r="G1427" s="378">
        <v>16813</v>
      </c>
      <c r="H1427" s="378">
        <v>0</v>
      </c>
      <c r="I1427" s="378">
        <v>1128127</v>
      </c>
      <c r="J1427" s="266">
        <f t="shared" si="23"/>
        <v>8</v>
      </c>
    </row>
    <row r="1428" spans="1:10" ht="15.75" customHeight="1" x14ac:dyDescent="0.25">
      <c r="A1428" s="380">
        <v>52053001</v>
      </c>
      <c r="B1428" s="381" t="s">
        <v>315</v>
      </c>
      <c r="C1428" s="381" t="s">
        <v>99</v>
      </c>
      <c r="D1428" s="381" t="s">
        <v>1527</v>
      </c>
      <c r="E1428" s="381" t="s">
        <v>1528</v>
      </c>
      <c r="F1428" s="378">
        <v>1025116</v>
      </c>
      <c r="G1428" s="378">
        <v>107039</v>
      </c>
      <c r="H1428" s="378">
        <v>0</v>
      </c>
      <c r="I1428" s="378">
        <v>1132155</v>
      </c>
      <c r="J1428" s="266">
        <f t="shared" si="23"/>
        <v>8</v>
      </c>
    </row>
    <row r="1429" spans="1:10" ht="15.75" customHeight="1" x14ac:dyDescent="0.25">
      <c r="A1429" s="380">
        <v>52053001</v>
      </c>
      <c r="B1429" s="381" t="s">
        <v>315</v>
      </c>
      <c r="C1429" s="381" t="s">
        <v>99</v>
      </c>
      <c r="D1429" s="381" t="s">
        <v>1444</v>
      </c>
      <c r="E1429" s="381" t="s">
        <v>1533</v>
      </c>
      <c r="F1429" s="378">
        <v>1303893</v>
      </c>
      <c r="G1429" s="378">
        <v>261680</v>
      </c>
      <c r="H1429" s="378">
        <v>0</v>
      </c>
      <c r="I1429" s="378">
        <v>1565573</v>
      </c>
      <c r="J1429" s="266">
        <f t="shared" si="23"/>
        <v>8</v>
      </c>
    </row>
    <row r="1430" spans="1:10" ht="15.75" customHeight="1" x14ac:dyDescent="0.25">
      <c r="A1430" s="380">
        <v>52053001</v>
      </c>
      <c r="B1430" s="381" t="s">
        <v>315</v>
      </c>
      <c r="C1430" s="381" t="s">
        <v>99</v>
      </c>
      <c r="D1430" s="381" t="s">
        <v>1661</v>
      </c>
      <c r="E1430" s="381" t="s">
        <v>1662</v>
      </c>
      <c r="F1430" s="378">
        <v>1125943</v>
      </c>
      <c r="G1430" s="378">
        <v>198133</v>
      </c>
      <c r="H1430" s="378">
        <v>0</v>
      </c>
      <c r="I1430" s="378">
        <v>1324076</v>
      </c>
      <c r="J1430" s="266">
        <f t="shared" si="23"/>
        <v>8</v>
      </c>
    </row>
    <row r="1431" spans="1:10" ht="15.75" customHeight="1" x14ac:dyDescent="0.25">
      <c r="A1431" s="380">
        <v>52053001</v>
      </c>
      <c r="B1431" s="381" t="s">
        <v>315</v>
      </c>
      <c r="C1431" s="381" t="s">
        <v>99</v>
      </c>
      <c r="D1431" s="381" t="s">
        <v>1663</v>
      </c>
      <c r="E1431" s="381" t="s">
        <v>1664</v>
      </c>
      <c r="F1431" s="378">
        <v>1057393</v>
      </c>
      <c r="G1431" s="378">
        <v>225410</v>
      </c>
      <c r="H1431" s="378">
        <v>0</v>
      </c>
      <c r="I1431" s="378">
        <v>1282803</v>
      </c>
      <c r="J1431" s="266">
        <f t="shared" si="23"/>
        <v>8</v>
      </c>
    </row>
    <row r="1432" spans="1:10" ht="15.75" customHeight="1" x14ac:dyDescent="0.25">
      <c r="A1432" s="380">
        <v>52053001</v>
      </c>
      <c r="B1432" s="381" t="s">
        <v>315</v>
      </c>
      <c r="C1432" s="381" t="s">
        <v>99</v>
      </c>
      <c r="D1432" s="381" t="s">
        <v>1609</v>
      </c>
      <c r="E1432" s="381" t="s">
        <v>1610</v>
      </c>
      <c r="F1432" s="378">
        <v>1069540</v>
      </c>
      <c r="G1432" s="378">
        <v>223030</v>
      </c>
      <c r="H1432" s="378">
        <v>0</v>
      </c>
      <c r="I1432" s="378">
        <v>1292570</v>
      </c>
      <c r="J1432" s="266">
        <f t="shared" si="23"/>
        <v>8</v>
      </c>
    </row>
    <row r="1433" spans="1:10" ht="15.75" customHeight="1" x14ac:dyDescent="0.25">
      <c r="A1433" s="380">
        <v>52053001</v>
      </c>
      <c r="B1433" s="381" t="s">
        <v>315</v>
      </c>
      <c r="C1433" s="381" t="s">
        <v>99</v>
      </c>
      <c r="D1433" s="381" t="s">
        <v>1490</v>
      </c>
      <c r="E1433" s="381" t="s">
        <v>1491</v>
      </c>
      <c r="F1433" s="378">
        <v>409156</v>
      </c>
      <c r="G1433" s="378">
        <v>0</v>
      </c>
      <c r="H1433" s="378">
        <v>0</v>
      </c>
      <c r="I1433" s="378">
        <v>409156</v>
      </c>
      <c r="J1433" s="266">
        <f t="shared" si="23"/>
        <v>8</v>
      </c>
    </row>
    <row r="1434" spans="1:10" ht="15.75" customHeight="1" x14ac:dyDescent="0.25">
      <c r="A1434" s="380">
        <v>52053001</v>
      </c>
      <c r="B1434" s="381" t="s">
        <v>315</v>
      </c>
      <c r="C1434" s="381" t="s">
        <v>99</v>
      </c>
      <c r="D1434" s="381" t="s">
        <v>1210</v>
      </c>
      <c r="E1434" s="381" t="s">
        <v>1611</v>
      </c>
      <c r="F1434" s="378">
        <v>480770</v>
      </c>
      <c r="G1434" s="378">
        <v>166667</v>
      </c>
      <c r="H1434" s="378">
        <v>0</v>
      </c>
      <c r="I1434" s="378">
        <v>647437</v>
      </c>
      <c r="J1434" s="266">
        <f t="shared" si="23"/>
        <v>8</v>
      </c>
    </row>
    <row r="1435" spans="1:10" ht="15.75" customHeight="1" x14ac:dyDescent="0.25">
      <c r="A1435" s="380">
        <v>52053001</v>
      </c>
      <c r="B1435" s="381" t="s">
        <v>315</v>
      </c>
      <c r="C1435" s="381" t="s">
        <v>99</v>
      </c>
      <c r="D1435" s="381" t="s">
        <v>1523</v>
      </c>
      <c r="E1435" s="381" t="s">
        <v>1524</v>
      </c>
      <c r="F1435" s="378">
        <v>2276852</v>
      </c>
      <c r="G1435" s="378">
        <v>455209</v>
      </c>
      <c r="H1435" s="378">
        <v>0</v>
      </c>
      <c r="I1435" s="378">
        <v>2732061</v>
      </c>
      <c r="J1435" s="266">
        <f t="shared" si="23"/>
        <v>8</v>
      </c>
    </row>
    <row r="1436" spans="1:10" ht="15.75" customHeight="1" x14ac:dyDescent="0.25">
      <c r="A1436" s="380">
        <v>52053001</v>
      </c>
      <c r="B1436" s="381" t="s">
        <v>315</v>
      </c>
      <c r="C1436" s="381" t="s">
        <v>99</v>
      </c>
      <c r="D1436" s="381" t="s">
        <v>1665</v>
      </c>
      <c r="E1436" s="381" t="s">
        <v>1666</v>
      </c>
      <c r="F1436" s="378">
        <v>100000</v>
      </c>
      <c r="G1436" s="378">
        <v>179641</v>
      </c>
      <c r="H1436" s="378">
        <v>0</v>
      </c>
      <c r="I1436" s="378">
        <v>279641</v>
      </c>
      <c r="J1436" s="266">
        <f t="shared" si="23"/>
        <v>8</v>
      </c>
    </row>
    <row r="1437" spans="1:10" ht="15.75" customHeight="1" x14ac:dyDescent="0.25">
      <c r="A1437" s="380">
        <v>52053001</v>
      </c>
      <c r="B1437" s="381" t="s">
        <v>315</v>
      </c>
      <c r="C1437" s="381" t="s">
        <v>99</v>
      </c>
      <c r="D1437" s="381" t="s">
        <v>792</v>
      </c>
      <c r="E1437" s="381" t="s">
        <v>1534</v>
      </c>
      <c r="F1437" s="378">
        <v>1030249</v>
      </c>
      <c r="G1437" s="378">
        <v>236033</v>
      </c>
      <c r="H1437" s="378">
        <v>0</v>
      </c>
      <c r="I1437" s="378">
        <v>1266282</v>
      </c>
      <c r="J1437" s="266">
        <f t="shared" si="23"/>
        <v>8</v>
      </c>
    </row>
    <row r="1438" spans="1:10" ht="15.75" customHeight="1" x14ac:dyDescent="0.25">
      <c r="A1438" s="380">
        <v>52053001</v>
      </c>
      <c r="B1438" s="381" t="s">
        <v>315</v>
      </c>
      <c r="C1438" s="381" t="s">
        <v>99</v>
      </c>
      <c r="D1438" s="381" t="s">
        <v>1688</v>
      </c>
      <c r="E1438" s="381" t="s">
        <v>1689</v>
      </c>
      <c r="F1438" s="378">
        <v>339953</v>
      </c>
      <c r="G1438" s="378">
        <v>0</v>
      </c>
      <c r="H1438" s="378">
        <v>0</v>
      </c>
      <c r="I1438" s="378">
        <v>339953</v>
      </c>
      <c r="J1438" s="266">
        <f t="shared" si="23"/>
        <v>8</v>
      </c>
    </row>
    <row r="1439" spans="1:10" ht="15.75" customHeight="1" x14ac:dyDescent="0.25">
      <c r="A1439" s="380">
        <v>52053001</v>
      </c>
      <c r="B1439" s="381" t="s">
        <v>315</v>
      </c>
      <c r="C1439" s="381" t="s">
        <v>99</v>
      </c>
      <c r="D1439" s="381" t="s">
        <v>1492</v>
      </c>
      <c r="E1439" s="381" t="s">
        <v>1493</v>
      </c>
      <c r="F1439" s="378">
        <v>401625</v>
      </c>
      <c r="G1439" s="378">
        <v>0</v>
      </c>
      <c r="H1439" s="378">
        <v>0</v>
      </c>
      <c r="I1439" s="378">
        <v>401625</v>
      </c>
      <c r="J1439" s="266">
        <f t="shared" si="23"/>
        <v>8</v>
      </c>
    </row>
    <row r="1440" spans="1:10" ht="15.75" customHeight="1" x14ac:dyDescent="0.25">
      <c r="A1440" s="380">
        <v>52053001</v>
      </c>
      <c r="B1440" s="381" t="s">
        <v>315</v>
      </c>
      <c r="C1440" s="381" t="s">
        <v>99</v>
      </c>
      <c r="D1440" s="381" t="s">
        <v>1412</v>
      </c>
      <c r="E1440" s="381" t="s">
        <v>1413</v>
      </c>
      <c r="F1440" s="378">
        <v>116666</v>
      </c>
      <c r="G1440" s="378">
        <v>0</v>
      </c>
      <c r="H1440" s="378">
        <v>0</v>
      </c>
      <c r="I1440" s="378">
        <v>116666</v>
      </c>
      <c r="J1440" s="266">
        <f t="shared" si="23"/>
        <v>8</v>
      </c>
    </row>
    <row r="1441" spans="1:10" ht="15.75" customHeight="1" x14ac:dyDescent="0.25">
      <c r="A1441" s="380">
        <v>52053001</v>
      </c>
      <c r="B1441" s="381" t="s">
        <v>315</v>
      </c>
      <c r="C1441" s="381" t="s">
        <v>99</v>
      </c>
      <c r="D1441" s="381" t="s">
        <v>1667</v>
      </c>
      <c r="E1441" s="381" t="s">
        <v>1668</v>
      </c>
      <c r="F1441" s="378">
        <v>833333</v>
      </c>
      <c r="G1441" s="378">
        <v>166667</v>
      </c>
      <c r="H1441" s="378">
        <v>0</v>
      </c>
      <c r="I1441" s="378">
        <v>1000000</v>
      </c>
      <c r="J1441" s="266">
        <f t="shared" si="23"/>
        <v>8</v>
      </c>
    </row>
    <row r="1442" spans="1:10" ht="15.75" customHeight="1" x14ac:dyDescent="0.25">
      <c r="A1442" s="380">
        <v>52053001</v>
      </c>
      <c r="B1442" s="381" t="s">
        <v>315</v>
      </c>
      <c r="C1442" s="381" t="s">
        <v>99</v>
      </c>
      <c r="D1442" s="381" t="s">
        <v>1669</v>
      </c>
      <c r="E1442" s="381" t="s">
        <v>1670</v>
      </c>
      <c r="F1442" s="378">
        <v>1067072</v>
      </c>
      <c r="G1442" s="378">
        <v>165941</v>
      </c>
      <c r="H1442" s="378">
        <v>0</v>
      </c>
      <c r="I1442" s="378">
        <v>1233013</v>
      </c>
      <c r="J1442" s="266">
        <f t="shared" si="23"/>
        <v>8</v>
      </c>
    </row>
    <row r="1443" spans="1:10" ht="15.75" customHeight="1" x14ac:dyDescent="0.25">
      <c r="A1443" s="380">
        <v>52053001</v>
      </c>
      <c r="B1443" s="381" t="s">
        <v>315</v>
      </c>
      <c r="C1443" s="381" t="s">
        <v>99</v>
      </c>
      <c r="D1443" s="381" t="s">
        <v>1671</v>
      </c>
      <c r="E1443" s="381" t="s">
        <v>1672</v>
      </c>
      <c r="F1443" s="378">
        <v>362810</v>
      </c>
      <c r="G1443" s="378">
        <v>217470</v>
      </c>
      <c r="H1443" s="378">
        <v>0</v>
      </c>
      <c r="I1443" s="378">
        <v>580280</v>
      </c>
      <c r="J1443" s="266">
        <f t="shared" si="23"/>
        <v>8</v>
      </c>
    </row>
    <row r="1444" spans="1:10" ht="15.75" customHeight="1" x14ac:dyDescent="0.25">
      <c r="A1444" s="380">
        <v>52053001</v>
      </c>
      <c r="B1444" s="381" t="s">
        <v>315</v>
      </c>
      <c r="C1444" s="381" t="s">
        <v>99</v>
      </c>
      <c r="D1444" s="381" t="s">
        <v>1673</v>
      </c>
      <c r="E1444" s="381" t="s">
        <v>1674</v>
      </c>
      <c r="F1444" s="378">
        <v>1093362</v>
      </c>
      <c r="G1444" s="378">
        <v>239861</v>
      </c>
      <c r="H1444" s="378">
        <v>0</v>
      </c>
      <c r="I1444" s="378">
        <v>1333223</v>
      </c>
      <c r="J1444" s="266">
        <f t="shared" si="23"/>
        <v>8</v>
      </c>
    </row>
    <row r="1445" spans="1:10" ht="15.75" customHeight="1" x14ac:dyDescent="0.25">
      <c r="A1445" s="380">
        <v>52053001</v>
      </c>
      <c r="B1445" s="381" t="s">
        <v>315</v>
      </c>
      <c r="C1445" s="381" t="s">
        <v>99</v>
      </c>
      <c r="D1445" s="381" t="s">
        <v>1675</v>
      </c>
      <c r="E1445" s="381" t="s">
        <v>1676</v>
      </c>
      <c r="F1445" s="378">
        <v>0</v>
      </c>
      <c r="G1445" s="378">
        <v>44667</v>
      </c>
      <c r="H1445" s="378">
        <v>0</v>
      </c>
      <c r="I1445" s="378">
        <v>44667</v>
      </c>
      <c r="J1445" s="266">
        <f t="shared" si="23"/>
        <v>8</v>
      </c>
    </row>
    <row r="1446" spans="1:10" ht="15.75" customHeight="1" x14ac:dyDescent="0.25">
      <c r="A1446" s="380">
        <v>52053001</v>
      </c>
      <c r="B1446" s="381" t="s">
        <v>315</v>
      </c>
      <c r="C1446" s="381" t="s">
        <v>99</v>
      </c>
      <c r="D1446" s="381" t="s">
        <v>1677</v>
      </c>
      <c r="E1446" s="381" t="s">
        <v>1678</v>
      </c>
      <c r="F1446" s="378">
        <v>0</v>
      </c>
      <c r="G1446" s="378">
        <v>44667</v>
      </c>
      <c r="H1446" s="378">
        <v>0</v>
      </c>
      <c r="I1446" s="378">
        <v>44667</v>
      </c>
      <c r="J1446" s="266">
        <f t="shared" si="23"/>
        <v>8</v>
      </c>
    </row>
    <row r="1447" spans="1:10" ht="15.75" customHeight="1" x14ac:dyDescent="0.25">
      <c r="A1447" s="380">
        <v>520533</v>
      </c>
      <c r="B1447" s="381" t="s">
        <v>315</v>
      </c>
      <c r="C1447" s="381" t="s">
        <v>451</v>
      </c>
      <c r="D1447" s="381" t="s">
        <v>315</v>
      </c>
      <c r="E1447" s="381" t="s">
        <v>315</v>
      </c>
      <c r="F1447" s="378">
        <v>1196072</v>
      </c>
      <c r="G1447" s="378">
        <v>491546</v>
      </c>
      <c r="H1447" s="378">
        <v>0</v>
      </c>
      <c r="I1447" s="378">
        <v>1687618</v>
      </c>
      <c r="J1447" s="266">
        <f t="shared" si="23"/>
        <v>6</v>
      </c>
    </row>
    <row r="1448" spans="1:10" ht="15" customHeight="1" x14ac:dyDescent="0.25">
      <c r="A1448" s="380">
        <v>52053301</v>
      </c>
      <c r="B1448" s="381" t="s">
        <v>315</v>
      </c>
      <c r="C1448" s="381" t="s">
        <v>451</v>
      </c>
      <c r="D1448" s="381" t="s">
        <v>315</v>
      </c>
      <c r="E1448" s="381" t="s">
        <v>315</v>
      </c>
      <c r="F1448" s="378">
        <v>1196072</v>
      </c>
      <c r="G1448" s="378">
        <v>491546</v>
      </c>
      <c r="H1448" s="378">
        <v>0</v>
      </c>
      <c r="I1448" s="378">
        <v>1687618</v>
      </c>
      <c r="J1448" s="267">
        <f t="shared" si="23"/>
        <v>8</v>
      </c>
    </row>
    <row r="1449" spans="1:10" ht="15" customHeight="1" x14ac:dyDescent="0.25">
      <c r="A1449" s="380">
        <v>52053301</v>
      </c>
      <c r="B1449" s="381" t="s">
        <v>315</v>
      </c>
      <c r="C1449" s="381" t="s">
        <v>451</v>
      </c>
      <c r="D1449" s="381" t="s">
        <v>1488</v>
      </c>
      <c r="E1449" s="381" t="s">
        <v>1682</v>
      </c>
      <c r="F1449" s="378">
        <v>2071</v>
      </c>
      <c r="G1449" s="378">
        <v>0</v>
      </c>
      <c r="H1449" s="378">
        <v>0</v>
      </c>
      <c r="I1449" s="378">
        <v>2071</v>
      </c>
      <c r="J1449" s="267">
        <f t="shared" si="23"/>
        <v>8</v>
      </c>
    </row>
    <row r="1450" spans="1:10" ht="15" customHeight="1" x14ac:dyDescent="0.25">
      <c r="A1450" s="380">
        <v>52053301</v>
      </c>
      <c r="B1450" s="381" t="s">
        <v>315</v>
      </c>
      <c r="C1450" s="381" t="s">
        <v>451</v>
      </c>
      <c r="D1450" s="381" t="s">
        <v>1535</v>
      </c>
      <c r="E1450" s="381" t="s">
        <v>1536</v>
      </c>
      <c r="F1450" s="378">
        <v>53213</v>
      </c>
      <c r="G1450" s="378">
        <v>23454</v>
      </c>
      <c r="H1450" s="378">
        <v>0</v>
      </c>
      <c r="I1450" s="378">
        <v>76667</v>
      </c>
      <c r="J1450" s="267">
        <f t="shared" si="23"/>
        <v>8</v>
      </c>
    </row>
    <row r="1451" spans="1:10" ht="15" customHeight="1" x14ac:dyDescent="0.25">
      <c r="A1451" s="380">
        <v>52053301</v>
      </c>
      <c r="B1451" s="381" t="s">
        <v>315</v>
      </c>
      <c r="C1451" s="381" t="s">
        <v>451</v>
      </c>
      <c r="D1451" s="381" t="s">
        <v>1604</v>
      </c>
      <c r="E1451" s="381" t="s">
        <v>1605</v>
      </c>
      <c r="F1451" s="378">
        <v>57551</v>
      </c>
      <c r="G1451" s="378">
        <v>27196</v>
      </c>
      <c r="H1451" s="378">
        <v>0</v>
      </c>
      <c r="I1451" s="378">
        <v>84747</v>
      </c>
      <c r="J1451" s="267">
        <f t="shared" si="23"/>
        <v>8</v>
      </c>
    </row>
    <row r="1452" spans="1:10" ht="15" customHeight="1" x14ac:dyDescent="0.25">
      <c r="A1452" s="380">
        <v>52053301</v>
      </c>
      <c r="B1452" s="381" t="s">
        <v>315</v>
      </c>
      <c r="C1452" s="381" t="s">
        <v>451</v>
      </c>
      <c r="D1452" s="381" t="s">
        <v>1649</v>
      </c>
      <c r="E1452" s="381" t="s">
        <v>1650</v>
      </c>
      <c r="F1452" s="378">
        <v>55072</v>
      </c>
      <c r="G1452" s="378">
        <v>24105</v>
      </c>
      <c r="H1452" s="378">
        <v>0</v>
      </c>
      <c r="I1452" s="378">
        <v>79177</v>
      </c>
      <c r="J1452" s="267">
        <f t="shared" si="23"/>
        <v>8</v>
      </c>
    </row>
    <row r="1453" spans="1:10" ht="15" customHeight="1" x14ac:dyDescent="0.25">
      <c r="A1453" s="380">
        <v>52053301</v>
      </c>
      <c r="B1453" s="381" t="s">
        <v>315</v>
      </c>
      <c r="C1453" s="381" t="s">
        <v>451</v>
      </c>
      <c r="D1453" s="381" t="s">
        <v>1651</v>
      </c>
      <c r="E1453" s="381" t="s">
        <v>1652</v>
      </c>
      <c r="F1453" s="378">
        <v>51606</v>
      </c>
      <c r="G1453" s="378">
        <v>23286</v>
      </c>
      <c r="H1453" s="378">
        <v>0</v>
      </c>
      <c r="I1453" s="378">
        <v>74892</v>
      </c>
      <c r="J1453" s="267">
        <f t="shared" si="23"/>
        <v>8</v>
      </c>
    </row>
    <row r="1454" spans="1:10" ht="15" customHeight="1" x14ac:dyDescent="0.25">
      <c r="A1454" s="380">
        <v>52053301</v>
      </c>
      <c r="B1454" s="381" t="s">
        <v>315</v>
      </c>
      <c r="C1454" s="381" t="s">
        <v>451</v>
      </c>
      <c r="D1454" s="381" t="s">
        <v>1443</v>
      </c>
      <c r="E1454" s="381" t="s">
        <v>1530</v>
      </c>
      <c r="F1454" s="378">
        <v>63392</v>
      </c>
      <c r="G1454" s="378">
        <v>28425</v>
      </c>
      <c r="H1454" s="378">
        <v>0</v>
      </c>
      <c r="I1454" s="378">
        <v>91817</v>
      </c>
      <c r="J1454" s="267">
        <f t="shared" si="23"/>
        <v>8</v>
      </c>
    </row>
    <row r="1455" spans="1:10" ht="15" customHeight="1" x14ac:dyDescent="0.25">
      <c r="A1455" s="380">
        <v>52053301</v>
      </c>
      <c r="B1455" s="381" t="s">
        <v>315</v>
      </c>
      <c r="C1455" s="381" t="s">
        <v>451</v>
      </c>
      <c r="D1455" s="381" t="s">
        <v>1653</v>
      </c>
      <c r="E1455" s="381" t="s">
        <v>1654</v>
      </c>
      <c r="F1455" s="378">
        <v>55532</v>
      </c>
      <c r="G1455" s="378">
        <v>25747</v>
      </c>
      <c r="H1455" s="378">
        <v>0</v>
      </c>
      <c r="I1455" s="378">
        <v>81279</v>
      </c>
      <c r="J1455" s="267">
        <f t="shared" si="23"/>
        <v>8</v>
      </c>
    </row>
    <row r="1456" spans="1:10" ht="15" customHeight="1" x14ac:dyDescent="0.25">
      <c r="A1456" s="380">
        <v>52053301</v>
      </c>
      <c r="B1456" s="381" t="s">
        <v>315</v>
      </c>
      <c r="C1456" s="381" t="s">
        <v>451</v>
      </c>
      <c r="D1456" s="381" t="s">
        <v>1683</v>
      </c>
      <c r="E1456" s="381" t="s">
        <v>1684</v>
      </c>
      <c r="F1456" s="378">
        <v>9213</v>
      </c>
      <c r="G1456" s="378">
        <v>0</v>
      </c>
      <c r="H1456" s="378">
        <v>0</v>
      </c>
      <c r="I1456" s="378">
        <v>9213</v>
      </c>
      <c r="J1456" s="267">
        <f t="shared" si="23"/>
        <v>8</v>
      </c>
    </row>
    <row r="1457" spans="1:10" ht="15" customHeight="1" x14ac:dyDescent="0.25">
      <c r="A1457" s="380">
        <v>52053301</v>
      </c>
      <c r="B1457" s="381" t="s">
        <v>315</v>
      </c>
      <c r="C1457" s="381" t="s">
        <v>451</v>
      </c>
      <c r="D1457" s="381" t="s">
        <v>1606</v>
      </c>
      <c r="E1457" s="381" t="s">
        <v>1607</v>
      </c>
      <c r="F1457" s="378">
        <v>58129</v>
      </c>
      <c r="G1457" s="378">
        <v>25432</v>
      </c>
      <c r="H1457" s="378">
        <v>0</v>
      </c>
      <c r="I1457" s="378">
        <v>83561</v>
      </c>
      <c r="J1457" s="267">
        <f t="shared" si="23"/>
        <v>8</v>
      </c>
    </row>
    <row r="1458" spans="1:10" ht="15" customHeight="1" x14ac:dyDescent="0.25">
      <c r="A1458" s="380">
        <v>52053301</v>
      </c>
      <c r="B1458" s="381" t="s">
        <v>315</v>
      </c>
      <c r="C1458" s="381" t="s">
        <v>451</v>
      </c>
      <c r="D1458" s="381" t="s">
        <v>1686</v>
      </c>
      <c r="E1458" s="381" t="s">
        <v>1687</v>
      </c>
      <c r="F1458" s="378">
        <v>14008</v>
      </c>
      <c r="G1458" s="378">
        <v>0</v>
      </c>
      <c r="H1458" s="378">
        <v>0</v>
      </c>
      <c r="I1458" s="378">
        <v>14008</v>
      </c>
      <c r="J1458" s="267">
        <f t="shared" si="23"/>
        <v>8</v>
      </c>
    </row>
    <row r="1459" spans="1:10" ht="15" customHeight="1" x14ac:dyDescent="0.25">
      <c r="A1459" s="380">
        <v>52053301</v>
      </c>
      <c r="B1459" s="381" t="s">
        <v>315</v>
      </c>
      <c r="C1459" s="381" t="s">
        <v>451</v>
      </c>
      <c r="D1459" s="381" t="s">
        <v>1655</v>
      </c>
      <c r="E1459" s="381" t="s">
        <v>1656</v>
      </c>
      <c r="F1459" s="378">
        <v>5590</v>
      </c>
      <c r="G1459" s="378">
        <v>8310</v>
      </c>
      <c r="H1459" s="378">
        <v>0</v>
      </c>
      <c r="I1459" s="378">
        <v>13900</v>
      </c>
      <c r="J1459" s="267">
        <f t="shared" si="23"/>
        <v>8</v>
      </c>
    </row>
    <row r="1460" spans="1:10" ht="15" customHeight="1" x14ac:dyDescent="0.25">
      <c r="A1460" s="380">
        <v>52053301</v>
      </c>
      <c r="B1460" s="381" t="s">
        <v>315</v>
      </c>
      <c r="C1460" s="381" t="s">
        <v>451</v>
      </c>
      <c r="D1460" s="381" t="s">
        <v>1657</v>
      </c>
      <c r="E1460" s="381" t="s">
        <v>1658</v>
      </c>
      <c r="F1460" s="378">
        <v>52194</v>
      </c>
      <c r="G1460" s="378">
        <v>22993</v>
      </c>
      <c r="H1460" s="378">
        <v>0</v>
      </c>
      <c r="I1460" s="378">
        <v>75187</v>
      </c>
      <c r="J1460" s="267">
        <f t="shared" si="23"/>
        <v>8</v>
      </c>
    </row>
    <row r="1461" spans="1:10" ht="15" customHeight="1" x14ac:dyDescent="0.25">
      <c r="A1461" s="380">
        <v>52053301</v>
      </c>
      <c r="B1461" s="381" t="s">
        <v>315</v>
      </c>
      <c r="C1461" s="381" t="s">
        <v>451</v>
      </c>
      <c r="D1461" s="381" t="s">
        <v>1659</v>
      </c>
      <c r="E1461" s="381" t="s">
        <v>1660</v>
      </c>
      <c r="F1461" s="378">
        <v>55566</v>
      </c>
      <c r="G1461" s="378">
        <v>1216</v>
      </c>
      <c r="H1461" s="378">
        <v>0</v>
      </c>
      <c r="I1461" s="378">
        <v>56782</v>
      </c>
      <c r="J1461" s="267">
        <f t="shared" si="23"/>
        <v>8</v>
      </c>
    </row>
    <row r="1462" spans="1:10" ht="15" customHeight="1" x14ac:dyDescent="0.25">
      <c r="A1462" s="380">
        <v>52053301</v>
      </c>
      <c r="B1462" s="381" t="s">
        <v>315</v>
      </c>
      <c r="C1462" s="381" t="s">
        <v>451</v>
      </c>
      <c r="D1462" s="381" t="s">
        <v>1527</v>
      </c>
      <c r="E1462" s="381" t="s">
        <v>1528</v>
      </c>
      <c r="F1462" s="378">
        <v>51256</v>
      </c>
      <c r="G1462" s="378">
        <v>10257</v>
      </c>
      <c r="H1462" s="378">
        <v>0</v>
      </c>
      <c r="I1462" s="378">
        <v>61513</v>
      </c>
      <c r="J1462" s="267">
        <f t="shared" si="23"/>
        <v>8</v>
      </c>
    </row>
    <row r="1463" spans="1:10" ht="15" customHeight="1" x14ac:dyDescent="0.25">
      <c r="A1463" s="380">
        <v>52053301</v>
      </c>
      <c r="B1463" s="381" t="s">
        <v>315</v>
      </c>
      <c r="C1463" s="381" t="s">
        <v>451</v>
      </c>
      <c r="D1463" s="381" t="s">
        <v>1444</v>
      </c>
      <c r="E1463" s="381" t="s">
        <v>1533</v>
      </c>
      <c r="F1463" s="378">
        <v>65195</v>
      </c>
      <c r="G1463" s="378">
        <v>28739</v>
      </c>
      <c r="H1463" s="378">
        <v>0</v>
      </c>
      <c r="I1463" s="378">
        <v>93934</v>
      </c>
      <c r="J1463" s="267">
        <f t="shared" si="23"/>
        <v>8</v>
      </c>
    </row>
    <row r="1464" spans="1:10" ht="15" customHeight="1" x14ac:dyDescent="0.25">
      <c r="A1464" s="380">
        <v>52053301</v>
      </c>
      <c r="B1464" s="381" t="s">
        <v>315</v>
      </c>
      <c r="C1464" s="381" t="s">
        <v>451</v>
      </c>
      <c r="D1464" s="381" t="s">
        <v>1661</v>
      </c>
      <c r="E1464" s="381" t="s">
        <v>1662</v>
      </c>
      <c r="F1464" s="378">
        <v>56297</v>
      </c>
      <c r="G1464" s="378">
        <v>23148</v>
      </c>
      <c r="H1464" s="378">
        <v>0</v>
      </c>
      <c r="I1464" s="378">
        <v>79445</v>
      </c>
      <c r="J1464" s="267">
        <f t="shared" si="23"/>
        <v>8</v>
      </c>
    </row>
    <row r="1465" spans="1:10" ht="15" customHeight="1" x14ac:dyDescent="0.25">
      <c r="A1465" s="380">
        <v>52053301</v>
      </c>
      <c r="B1465" s="381" t="s">
        <v>315</v>
      </c>
      <c r="C1465" s="381" t="s">
        <v>451</v>
      </c>
      <c r="D1465" s="381" t="s">
        <v>1663</v>
      </c>
      <c r="E1465" s="381" t="s">
        <v>1664</v>
      </c>
      <c r="F1465" s="378">
        <v>52870</v>
      </c>
      <c r="G1465" s="378">
        <v>24098</v>
      </c>
      <c r="H1465" s="378">
        <v>0</v>
      </c>
      <c r="I1465" s="378">
        <v>76968</v>
      </c>
      <c r="J1465" s="267">
        <f t="shared" si="23"/>
        <v>8</v>
      </c>
    </row>
    <row r="1466" spans="1:10" ht="15" customHeight="1" x14ac:dyDescent="0.25">
      <c r="A1466" s="380">
        <v>52053301</v>
      </c>
      <c r="B1466" s="381" t="s">
        <v>315</v>
      </c>
      <c r="C1466" s="381" t="s">
        <v>451</v>
      </c>
      <c r="D1466" s="381" t="s">
        <v>1609</v>
      </c>
      <c r="E1466" s="381" t="s">
        <v>1610</v>
      </c>
      <c r="F1466" s="378">
        <v>53477</v>
      </c>
      <c r="G1466" s="378">
        <v>24077</v>
      </c>
      <c r="H1466" s="378">
        <v>0</v>
      </c>
      <c r="I1466" s="378">
        <v>77554</v>
      </c>
      <c r="J1466" s="267">
        <f t="shared" si="23"/>
        <v>8</v>
      </c>
    </row>
    <row r="1467" spans="1:10" ht="15" customHeight="1" x14ac:dyDescent="0.25">
      <c r="A1467" s="380">
        <v>52053301</v>
      </c>
      <c r="B1467" s="381" t="s">
        <v>315</v>
      </c>
      <c r="C1467" s="381" t="s">
        <v>451</v>
      </c>
      <c r="D1467" s="381" t="s">
        <v>1490</v>
      </c>
      <c r="E1467" s="381" t="s">
        <v>1491</v>
      </c>
      <c r="F1467" s="378">
        <v>8183</v>
      </c>
      <c r="G1467" s="378">
        <v>0</v>
      </c>
      <c r="H1467" s="378">
        <v>0</v>
      </c>
      <c r="I1467" s="378">
        <v>8183</v>
      </c>
      <c r="J1467" s="267">
        <f t="shared" si="23"/>
        <v>8</v>
      </c>
    </row>
    <row r="1468" spans="1:10" ht="15" customHeight="1" x14ac:dyDescent="0.25">
      <c r="A1468" s="380">
        <v>52053301</v>
      </c>
      <c r="B1468" s="381" t="s">
        <v>315</v>
      </c>
      <c r="C1468" s="381" t="s">
        <v>451</v>
      </c>
      <c r="D1468" s="381" t="s">
        <v>1210</v>
      </c>
      <c r="E1468" s="381" t="s">
        <v>1611</v>
      </c>
      <c r="F1468" s="378">
        <v>34616</v>
      </c>
      <c r="G1468" s="378">
        <v>18333</v>
      </c>
      <c r="H1468" s="378">
        <v>0</v>
      </c>
      <c r="I1468" s="378">
        <v>52949</v>
      </c>
      <c r="J1468" s="267">
        <f t="shared" si="23"/>
        <v>8</v>
      </c>
    </row>
    <row r="1469" spans="1:10" ht="15" customHeight="1" x14ac:dyDescent="0.25">
      <c r="A1469" s="380">
        <v>52053301</v>
      </c>
      <c r="B1469" s="381" t="s">
        <v>315</v>
      </c>
      <c r="C1469" s="381" t="s">
        <v>451</v>
      </c>
      <c r="D1469" s="381" t="s">
        <v>1523</v>
      </c>
      <c r="E1469" s="381" t="s">
        <v>1524</v>
      </c>
      <c r="F1469" s="378">
        <v>113843</v>
      </c>
      <c r="G1469" s="378">
        <v>50081</v>
      </c>
      <c r="H1469" s="378">
        <v>0</v>
      </c>
      <c r="I1469" s="378">
        <v>163924</v>
      </c>
      <c r="J1469" s="267">
        <f t="shared" si="23"/>
        <v>8</v>
      </c>
    </row>
    <row r="1470" spans="1:10" ht="15" customHeight="1" x14ac:dyDescent="0.25">
      <c r="A1470" s="380">
        <v>52053301</v>
      </c>
      <c r="B1470" s="381" t="s">
        <v>315</v>
      </c>
      <c r="C1470" s="381" t="s">
        <v>451</v>
      </c>
      <c r="D1470" s="381" t="s">
        <v>1665</v>
      </c>
      <c r="E1470" s="381" t="s">
        <v>1666</v>
      </c>
      <c r="F1470" s="378">
        <v>600</v>
      </c>
      <c r="G1470" s="378">
        <v>3874</v>
      </c>
      <c r="H1470" s="378">
        <v>0</v>
      </c>
      <c r="I1470" s="378">
        <v>4474</v>
      </c>
      <c r="J1470" s="267">
        <f t="shared" si="23"/>
        <v>8</v>
      </c>
    </row>
    <row r="1471" spans="1:10" ht="15" customHeight="1" x14ac:dyDescent="0.25">
      <c r="A1471" s="380">
        <v>52053301</v>
      </c>
      <c r="B1471" s="381" t="s">
        <v>315</v>
      </c>
      <c r="C1471" s="381" t="s">
        <v>451</v>
      </c>
      <c r="D1471" s="381" t="s">
        <v>792</v>
      </c>
      <c r="E1471" s="381" t="s">
        <v>1534</v>
      </c>
      <c r="F1471" s="378">
        <v>51512</v>
      </c>
      <c r="G1471" s="378">
        <v>24465</v>
      </c>
      <c r="H1471" s="378">
        <v>0</v>
      </c>
      <c r="I1471" s="378">
        <v>75977</v>
      </c>
      <c r="J1471" s="267">
        <f t="shared" si="23"/>
        <v>8</v>
      </c>
    </row>
    <row r="1472" spans="1:10" ht="15" customHeight="1" x14ac:dyDescent="0.25">
      <c r="A1472" s="380">
        <v>52053301</v>
      </c>
      <c r="B1472" s="381" t="s">
        <v>315</v>
      </c>
      <c r="C1472" s="381" t="s">
        <v>451</v>
      </c>
      <c r="D1472" s="381" t="s">
        <v>1688</v>
      </c>
      <c r="E1472" s="381" t="s">
        <v>1689</v>
      </c>
      <c r="F1472" s="378">
        <v>5892</v>
      </c>
      <c r="G1472" s="378">
        <v>0</v>
      </c>
      <c r="H1472" s="378">
        <v>0</v>
      </c>
      <c r="I1472" s="378">
        <v>5892</v>
      </c>
      <c r="J1472" s="267">
        <f t="shared" si="23"/>
        <v>8</v>
      </c>
    </row>
    <row r="1473" spans="1:10" ht="15" customHeight="1" x14ac:dyDescent="0.25">
      <c r="A1473" s="380">
        <v>52053301</v>
      </c>
      <c r="B1473" s="381" t="s">
        <v>315</v>
      </c>
      <c r="C1473" s="381" t="s">
        <v>451</v>
      </c>
      <c r="D1473" s="381" t="s">
        <v>1492</v>
      </c>
      <c r="E1473" s="381" t="s">
        <v>1493</v>
      </c>
      <c r="F1473" s="378">
        <v>12049</v>
      </c>
      <c r="G1473" s="378">
        <v>0</v>
      </c>
      <c r="H1473" s="378">
        <v>0</v>
      </c>
      <c r="I1473" s="378">
        <v>12049</v>
      </c>
      <c r="J1473" s="267">
        <f t="shared" si="23"/>
        <v>8</v>
      </c>
    </row>
    <row r="1474" spans="1:10" ht="15" customHeight="1" x14ac:dyDescent="0.25">
      <c r="A1474" s="380">
        <v>52053301</v>
      </c>
      <c r="B1474" s="381" t="s">
        <v>315</v>
      </c>
      <c r="C1474" s="381" t="s">
        <v>451</v>
      </c>
      <c r="D1474" s="381" t="s">
        <v>1412</v>
      </c>
      <c r="E1474" s="381" t="s">
        <v>1413</v>
      </c>
      <c r="F1474" s="378">
        <v>817</v>
      </c>
      <c r="G1474" s="378">
        <v>0</v>
      </c>
      <c r="H1474" s="378">
        <v>0</v>
      </c>
      <c r="I1474" s="378">
        <v>817</v>
      </c>
      <c r="J1474" s="267">
        <f t="shared" si="23"/>
        <v>8</v>
      </c>
    </row>
    <row r="1475" spans="1:10" ht="15" customHeight="1" x14ac:dyDescent="0.25">
      <c r="A1475" s="380">
        <v>52053301</v>
      </c>
      <c r="B1475" s="381" t="s">
        <v>315</v>
      </c>
      <c r="C1475" s="381" t="s">
        <v>451</v>
      </c>
      <c r="D1475" s="381" t="s">
        <v>1667</v>
      </c>
      <c r="E1475" s="381" t="s">
        <v>1668</v>
      </c>
      <c r="F1475" s="378">
        <v>41667</v>
      </c>
      <c r="G1475" s="378">
        <v>18333</v>
      </c>
      <c r="H1475" s="378">
        <v>0</v>
      </c>
      <c r="I1475" s="378">
        <v>60000</v>
      </c>
      <c r="J1475" s="267">
        <f t="shared" si="23"/>
        <v>8</v>
      </c>
    </row>
    <row r="1476" spans="1:10" ht="15" customHeight="1" x14ac:dyDescent="0.25">
      <c r="A1476" s="380">
        <v>52053301</v>
      </c>
      <c r="B1476" s="381" t="s">
        <v>315</v>
      </c>
      <c r="C1476" s="381" t="s">
        <v>451</v>
      </c>
      <c r="D1476" s="381" t="s">
        <v>1669</v>
      </c>
      <c r="E1476" s="381" t="s">
        <v>1670</v>
      </c>
      <c r="F1476" s="378">
        <v>53354</v>
      </c>
      <c r="G1476" s="378">
        <v>20627</v>
      </c>
      <c r="H1476" s="378">
        <v>0</v>
      </c>
      <c r="I1476" s="378">
        <v>73981</v>
      </c>
      <c r="J1476" s="267">
        <f t="shared" si="23"/>
        <v>8</v>
      </c>
    </row>
    <row r="1477" spans="1:10" ht="15" customHeight="1" x14ac:dyDescent="0.25">
      <c r="A1477" s="380">
        <v>52053301</v>
      </c>
      <c r="B1477" s="381" t="s">
        <v>315</v>
      </c>
      <c r="C1477" s="381" t="s">
        <v>451</v>
      </c>
      <c r="D1477" s="381" t="s">
        <v>1671</v>
      </c>
      <c r="E1477" s="381" t="s">
        <v>1672</v>
      </c>
      <c r="F1477" s="378">
        <v>6639</v>
      </c>
      <c r="G1477" s="378">
        <v>9783</v>
      </c>
      <c r="H1477" s="378">
        <v>0</v>
      </c>
      <c r="I1477" s="378">
        <v>16422</v>
      </c>
      <c r="J1477" s="267">
        <f t="shared" si="23"/>
        <v>8</v>
      </c>
    </row>
    <row r="1478" spans="1:10" ht="15" customHeight="1" x14ac:dyDescent="0.25">
      <c r="A1478" s="380">
        <v>52053301</v>
      </c>
      <c r="B1478" s="381" t="s">
        <v>315</v>
      </c>
      <c r="C1478" s="381" t="s">
        <v>451</v>
      </c>
      <c r="D1478" s="381" t="s">
        <v>1673</v>
      </c>
      <c r="E1478" s="381" t="s">
        <v>1674</v>
      </c>
      <c r="F1478" s="378">
        <v>54668</v>
      </c>
      <c r="G1478" s="378">
        <v>25325</v>
      </c>
      <c r="H1478" s="378">
        <v>0</v>
      </c>
      <c r="I1478" s="378">
        <v>79993</v>
      </c>
      <c r="J1478" s="267">
        <f t="shared" si="23"/>
        <v>8</v>
      </c>
    </row>
    <row r="1479" spans="1:10" ht="15" customHeight="1" x14ac:dyDescent="0.25">
      <c r="A1479" s="380">
        <v>52053301</v>
      </c>
      <c r="B1479" s="381" t="s">
        <v>315</v>
      </c>
      <c r="C1479" s="381" t="s">
        <v>451</v>
      </c>
      <c r="D1479" s="381" t="s">
        <v>1675</v>
      </c>
      <c r="E1479" s="381" t="s">
        <v>1676</v>
      </c>
      <c r="F1479" s="378">
        <v>0</v>
      </c>
      <c r="G1479" s="378">
        <v>121</v>
      </c>
      <c r="H1479" s="378">
        <v>0</v>
      </c>
      <c r="I1479" s="378">
        <v>121</v>
      </c>
      <c r="J1479" s="267">
        <f t="shared" si="23"/>
        <v>8</v>
      </c>
    </row>
    <row r="1480" spans="1:10" ht="15" customHeight="1" x14ac:dyDescent="0.25">
      <c r="A1480" s="380">
        <v>52053301</v>
      </c>
      <c r="B1480" s="381" t="s">
        <v>315</v>
      </c>
      <c r="C1480" s="381" t="s">
        <v>451</v>
      </c>
      <c r="D1480" s="381" t="s">
        <v>1677</v>
      </c>
      <c r="E1480" s="381" t="s">
        <v>1678</v>
      </c>
      <c r="F1480" s="378">
        <v>0</v>
      </c>
      <c r="G1480" s="378">
        <v>121</v>
      </c>
      <c r="H1480" s="378">
        <v>0</v>
      </c>
      <c r="I1480" s="378">
        <v>121</v>
      </c>
      <c r="J1480" s="267">
        <f t="shared" si="23"/>
        <v>8</v>
      </c>
    </row>
    <row r="1481" spans="1:10" ht="15" customHeight="1" x14ac:dyDescent="0.25">
      <c r="A1481" s="380">
        <v>520536</v>
      </c>
      <c r="B1481" s="381" t="s">
        <v>315</v>
      </c>
      <c r="C1481" s="381" t="s">
        <v>106</v>
      </c>
      <c r="D1481" s="381" t="s">
        <v>315</v>
      </c>
      <c r="E1481" s="381" t="s">
        <v>315</v>
      </c>
      <c r="F1481" s="378">
        <v>25286388</v>
      </c>
      <c r="G1481" s="378">
        <v>4829182</v>
      </c>
      <c r="H1481" s="378">
        <v>1120105</v>
      </c>
      <c r="I1481" s="378">
        <v>28995465</v>
      </c>
      <c r="J1481" s="267">
        <f t="shared" si="23"/>
        <v>6</v>
      </c>
    </row>
    <row r="1482" spans="1:10" ht="15" customHeight="1" x14ac:dyDescent="0.25">
      <c r="A1482" s="380">
        <v>52053601</v>
      </c>
      <c r="B1482" s="381" t="s">
        <v>315</v>
      </c>
      <c r="C1482" s="381" t="s">
        <v>106</v>
      </c>
      <c r="D1482" s="381" t="s">
        <v>315</v>
      </c>
      <c r="E1482" s="381" t="s">
        <v>315</v>
      </c>
      <c r="F1482" s="378">
        <v>25286388</v>
      </c>
      <c r="G1482" s="378">
        <v>4829182</v>
      </c>
      <c r="H1482" s="378">
        <v>1120105</v>
      </c>
      <c r="I1482" s="378">
        <v>28995465</v>
      </c>
      <c r="J1482" s="267">
        <f t="shared" si="23"/>
        <v>8</v>
      </c>
    </row>
    <row r="1483" spans="1:10" ht="15" customHeight="1" x14ac:dyDescent="0.25">
      <c r="A1483" s="380">
        <v>52053601</v>
      </c>
      <c r="B1483" s="381" t="s">
        <v>315</v>
      </c>
      <c r="C1483" s="381" t="s">
        <v>106</v>
      </c>
      <c r="D1483" s="381" t="s">
        <v>356</v>
      </c>
      <c r="E1483" s="381" t="s">
        <v>357</v>
      </c>
      <c r="F1483" s="378">
        <v>0</v>
      </c>
      <c r="G1483" s="378">
        <v>0</v>
      </c>
      <c r="H1483" s="378">
        <v>1120105</v>
      </c>
      <c r="I1483" s="378">
        <v>-1120105</v>
      </c>
      <c r="J1483" s="267">
        <f t="shared" si="23"/>
        <v>8</v>
      </c>
    </row>
    <row r="1484" spans="1:10" ht="15" customHeight="1" x14ac:dyDescent="0.25">
      <c r="A1484" s="380">
        <v>52053601</v>
      </c>
      <c r="B1484" s="381" t="s">
        <v>315</v>
      </c>
      <c r="C1484" s="381" t="s">
        <v>106</v>
      </c>
      <c r="D1484" s="381" t="s">
        <v>1488</v>
      </c>
      <c r="E1484" s="381" t="s">
        <v>1682</v>
      </c>
      <c r="F1484" s="378">
        <v>207080</v>
      </c>
      <c r="G1484" s="378">
        <v>0</v>
      </c>
      <c r="H1484" s="378">
        <v>0</v>
      </c>
      <c r="I1484" s="378">
        <v>207080</v>
      </c>
      <c r="J1484" s="267">
        <f t="shared" ref="J1484:J1547" si="24">+LEN(A1484)</f>
        <v>8</v>
      </c>
    </row>
    <row r="1485" spans="1:10" ht="15" customHeight="1" x14ac:dyDescent="0.25">
      <c r="A1485" s="380">
        <v>52053601</v>
      </c>
      <c r="B1485" s="381" t="s">
        <v>315</v>
      </c>
      <c r="C1485" s="381" t="s">
        <v>106</v>
      </c>
      <c r="D1485" s="381" t="s">
        <v>1535</v>
      </c>
      <c r="E1485" s="381" t="s">
        <v>1536</v>
      </c>
      <c r="F1485" s="378">
        <v>1022602</v>
      </c>
      <c r="G1485" s="378">
        <v>204520</v>
      </c>
      <c r="H1485" s="378">
        <v>0</v>
      </c>
      <c r="I1485" s="378">
        <v>1227122</v>
      </c>
      <c r="J1485" s="267">
        <f t="shared" si="24"/>
        <v>8</v>
      </c>
    </row>
    <row r="1486" spans="1:10" ht="15" customHeight="1" x14ac:dyDescent="0.25">
      <c r="A1486" s="380">
        <v>52053601</v>
      </c>
      <c r="B1486" s="381" t="s">
        <v>315</v>
      </c>
      <c r="C1486" s="381" t="s">
        <v>106</v>
      </c>
      <c r="D1486" s="381" t="s">
        <v>1604</v>
      </c>
      <c r="E1486" s="381" t="s">
        <v>1605</v>
      </c>
      <c r="F1486" s="378">
        <v>1113697</v>
      </c>
      <c r="G1486" s="378">
        <v>222739</v>
      </c>
      <c r="H1486" s="378">
        <v>0</v>
      </c>
      <c r="I1486" s="378">
        <v>1336436</v>
      </c>
      <c r="J1486" s="267">
        <f t="shared" si="24"/>
        <v>8</v>
      </c>
    </row>
    <row r="1487" spans="1:10" ht="15" customHeight="1" x14ac:dyDescent="0.25">
      <c r="A1487" s="380">
        <v>52053601</v>
      </c>
      <c r="B1487" s="381" t="s">
        <v>315</v>
      </c>
      <c r="C1487" s="381" t="s">
        <v>106</v>
      </c>
      <c r="D1487" s="381" t="s">
        <v>1649</v>
      </c>
      <c r="E1487" s="381" t="s">
        <v>1650</v>
      </c>
      <c r="F1487" s="378">
        <v>1069158</v>
      </c>
      <c r="G1487" s="378">
        <v>213832</v>
      </c>
      <c r="H1487" s="378">
        <v>0</v>
      </c>
      <c r="I1487" s="378">
        <v>1282990</v>
      </c>
      <c r="J1487" s="267">
        <f t="shared" si="24"/>
        <v>8</v>
      </c>
    </row>
    <row r="1488" spans="1:10" ht="15" customHeight="1" x14ac:dyDescent="0.25">
      <c r="A1488" s="380">
        <v>52053601</v>
      </c>
      <c r="B1488" s="381" t="s">
        <v>315</v>
      </c>
      <c r="C1488" s="381" t="s">
        <v>106</v>
      </c>
      <c r="D1488" s="381" t="s">
        <v>1690</v>
      </c>
      <c r="E1488" s="381" t="s">
        <v>1691</v>
      </c>
      <c r="F1488" s="378">
        <v>-46712</v>
      </c>
      <c r="G1488" s="378">
        <v>0</v>
      </c>
      <c r="H1488" s="378">
        <v>0</v>
      </c>
      <c r="I1488" s="378">
        <v>-46712</v>
      </c>
      <c r="J1488" s="267">
        <f t="shared" si="24"/>
        <v>8</v>
      </c>
    </row>
    <row r="1489" spans="1:10" ht="15" customHeight="1" x14ac:dyDescent="0.25">
      <c r="A1489" s="380">
        <v>52053601</v>
      </c>
      <c r="B1489" s="381" t="s">
        <v>315</v>
      </c>
      <c r="C1489" s="381" t="s">
        <v>106</v>
      </c>
      <c r="D1489" s="381" t="s">
        <v>1651</v>
      </c>
      <c r="E1489" s="381" t="s">
        <v>1652</v>
      </c>
      <c r="F1489" s="378">
        <v>1008951</v>
      </c>
      <c r="G1489" s="378">
        <v>201791</v>
      </c>
      <c r="H1489" s="378">
        <v>0</v>
      </c>
      <c r="I1489" s="378">
        <v>1210742</v>
      </c>
      <c r="J1489" s="267">
        <f t="shared" si="24"/>
        <v>8</v>
      </c>
    </row>
    <row r="1490" spans="1:10" ht="15" customHeight="1" x14ac:dyDescent="0.25">
      <c r="A1490" s="380">
        <v>52053601</v>
      </c>
      <c r="B1490" s="381" t="s">
        <v>315</v>
      </c>
      <c r="C1490" s="381" t="s">
        <v>106</v>
      </c>
      <c r="D1490" s="381" t="s">
        <v>1443</v>
      </c>
      <c r="E1490" s="381" t="s">
        <v>1530</v>
      </c>
      <c r="F1490" s="378">
        <v>1265324</v>
      </c>
      <c r="G1490" s="378">
        <v>253065</v>
      </c>
      <c r="H1490" s="378">
        <v>0</v>
      </c>
      <c r="I1490" s="378">
        <v>1518389</v>
      </c>
      <c r="J1490" s="267">
        <f t="shared" si="24"/>
        <v>8</v>
      </c>
    </row>
    <row r="1491" spans="1:10" ht="15" customHeight="1" x14ac:dyDescent="0.25">
      <c r="A1491" s="380">
        <v>52053601</v>
      </c>
      <c r="B1491" s="381" t="s">
        <v>315</v>
      </c>
      <c r="C1491" s="381" t="s">
        <v>106</v>
      </c>
      <c r="D1491" s="381" t="s">
        <v>1653</v>
      </c>
      <c r="E1491" s="381" t="s">
        <v>1654</v>
      </c>
      <c r="F1491" s="378">
        <v>1076507</v>
      </c>
      <c r="G1491" s="378">
        <v>215301</v>
      </c>
      <c r="H1491" s="378">
        <v>0</v>
      </c>
      <c r="I1491" s="378">
        <v>1291808</v>
      </c>
      <c r="J1491" s="267">
        <f t="shared" si="24"/>
        <v>8</v>
      </c>
    </row>
    <row r="1492" spans="1:10" ht="15" customHeight="1" x14ac:dyDescent="0.25">
      <c r="A1492" s="380">
        <v>52053601</v>
      </c>
      <c r="B1492" s="381" t="s">
        <v>315</v>
      </c>
      <c r="C1492" s="381" t="s">
        <v>106</v>
      </c>
      <c r="D1492" s="381" t="s">
        <v>1683</v>
      </c>
      <c r="E1492" s="381" t="s">
        <v>1684</v>
      </c>
      <c r="F1492" s="378">
        <v>426374</v>
      </c>
      <c r="G1492" s="378">
        <v>0</v>
      </c>
      <c r="H1492" s="378">
        <v>0</v>
      </c>
      <c r="I1492" s="378">
        <v>426374</v>
      </c>
      <c r="J1492" s="267">
        <f t="shared" si="24"/>
        <v>8</v>
      </c>
    </row>
    <row r="1493" spans="1:10" ht="15" customHeight="1" x14ac:dyDescent="0.25">
      <c r="A1493" s="380">
        <v>52053601</v>
      </c>
      <c r="B1493" s="381" t="s">
        <v>315</v>
      </c>
      <c r="C1493" s="381" t="s">
        <v>106</v>
      </c>
      <c r="D1493" s="381" t="s">
        <v>1606</v>
      </c>
      <c r="E1493" s="381" t="s">
        <v>1607</v>
      </c>
      <c r="F1493" s="378">
        <v>1119746</v>
      </c>
      <c r="G1493" s="378">
        <v>223950</v>
      </c>
      <c r="H1493" s="378">
        <v>0</v>
      </c>
      <c r="I1493" s="378">
        <v>1343696</v>
      </c>
      <c r="J1493" s="267">
        <f t="shared" si="24"/>
        <v>8</v>
      </c>
    </row>
    <row r="1494" spans="1:10" ht="15" customHeight="1" x14ac:dyDescent="0.25">
      <c r="A1494" s="380">
        <v>52053601</v>
      </c>
      <c r="B1494" s="381" t="s">
        <v>315</v>
      </c>
      <c r="C1494" s="381" t="s">
        <v>106</v>
      </c>
      <c r="D1494" s="381" t="s">
        <v>1686</v>
      </c>
      <c r="E1494" s="381" t="s">
        <v>1687</v>
      </c>
      <c r="F1494" s="378">
        <v>508603</v>
      </c>
      <c r="G1494" s="378">
        <v>0</v>
      </c>
      <c r="H1494" s="378">
        <v>0</v>
      </c>
      <c r="I1494" s="378">
        <v>508603</v>
      </c>
      <c r="J1494" s="267">
        <f t="shared" si="24"/>
        <v>8</v>
      </c>
    </row>
    <row r="1495" spans="1:10" ht="15" customHeight="1" x14ac:dyDescent="0.25">
      <c r="A1495" s="380">
        <v>52053601</v>
      </c>
      <c r="B1495" s="381" t="s">
        <v>315</v>
      </c>
      <c r="C1495" s="381" t="s">
        <v>106</v>
      </c>
      <c r="D1495" s="381" t="s">
        <v>1655</v>
      </c>
      <c r="E1495" s="381" t="s">
        <v>1656</v>
      </c>
      <c r="F1495" s="378">
        <v>315807</v>
      </c>
      <c r="G1495" s="378">
        <v>178385</v>
      </c>
      <c r="H1495" s="378">
        <v>0</v>
      </c>
      <c r="I1495" s="378">
        <v>494192</v>
      </c>
      <c r="J1495" s="267">
        <f t="shared" si="24"/>
        <v>8</v>
      </c>
    </row>
    <row r="1496" spans="1:10" ht="15" customHeight="1" x14ac:dyDescent="0.25">
      <c r="A1496" s="380">
        <v>52053601</v>
      </c>
      <c r="B1496" s="381" t="s">
        <v>315</v>
      </c>
      <c r="C1496" s="381" t="s">
        <v>106</v>
      </c>
      <c r="D1496" s="381" t="s">
        <v>1657</v>
      </c>
      <c r="E1496" s="381" t="s">
        <v>1658</v>
      </c>
      <c r="F1496" s="378">
        <v>1023303</v>
      </c>
      <c r="G1496" s="378">
        <v>204661</v>
      </c>
      <c r="H1496" s="378">
        <v>0</v>
      </c>
      <c r="I1496" s="378">
        <v>1227964</v>
      </c>
      <c r="J1496" s="267">
        <f t="shared" si="24"/>
        <v>8</v>
      </c>
    </row>
    <row r="1497" spans="1:10" ht="15" customHeight="1" x14ac:dyDescent="0.25">
      <c r="A1497" s="380">
        <v>52053601</v>
      </c>
      <c r="B1497" s="381" t="s">
        <v>315</v>
      </c>
      <c r="C1497" s="381" t="s">
        <v>106</v>
      </c>
      <c r="D1497" s="381" t="s">
        <v>1659</v>
      </c>
      <c r="E1497" s="381" t="s">
        <v>1660</v>
      </c>
      <c r="F1497" s="378">
        <v>1086755</v>
      </c>
      <c r="G1497" s="378">
        <v>15229</v>
      </c>
      <c r="H1497" s="378">
        <v>0</v>
      </c>
      <c r="I1497" s="378">
        <v>1101984</v>
      </c>
      <c r="J1497" s="267">
        <f t="shared" si="24"/>
        <v>8</v>
      </c>
    </row>
    <row r="1498" spans="1:10" ht="15" customHeight="1" x14ac:dyDescent="0.25">
      <c r="A1498" s="380">
        <v>52053601</v>
      </c>
      <c r="B1498" s="381" t="s">
        <v>315</v>
      </c>
      <c r="C1498" s="381" t="s">
        <v>106</v>
      </c>
      <c r="D1498" s="381" t="s">
        <v>1527</v>
      </c>
      <c r="E1498" s="381" t="s">
        <v>1528</v>
      </c>
      <c r="F1498" s="378">
        <v>992750</v>
      </c>
      <c r="G1498" s="378">
        <v>103779</v>
      </c>
      <c r="H1498" s="378">
        <v>0</v>
      </c>
      <c r="I1498" s="378">
        <v>1096529</v>
      </c>
      <c r="J1498" s="267">
        <f t="shared" si="24"/>
        <v>8</v>
      </c>
    </row>
    <row r="1499" spans="1:10" ht="15" customHeight="1" x14ac:dyDescent="0.25">
      <c r="A1499" s="380">
        <v>52053601</v>
      </c>
      <c r="B1499" s="381" t="s">
        <v>315</v>
      </c>
      <c r="C1499" s="381" t="s">
        <v>106</v>
      </c>
      <c r="D1499" s="381" t="s">
        <v>1444</v>
      </c>
      <c r="E1499" s="381" t="s">
        <v>1533</v>
      </c>
      <c r="F1499" s="378">
        <v>1278019</v>
      </c>
      <c r="G1499" s="378">
        <v>255603</v>
      </c>
      <c r="H1499" s="378">
        <v>0</v>
      </c>
      <c r="I1499" s="378">
        <v>1533622</v>
      </c>
      <c r="J1499" s="267">
        <f t="shared" si="24"/>
        <v>8</v>
      </c>
    </row>
    <row r="1500" spans="1:10" ht="15" customHeight="1" x14ac:dyDescent="0.25">
      <c r="A1500" s="380">
        <v>52053601</v>
      </c>
      <c r="B1500" s="381" t="s">
        <v>315</v>
      </c>
      <c r="C1500" s="381" t="s">
        <v>106</v>
      </c>
      <c r="D1500" s="381" t="s">
        <v>1661</v>
      </c>
      <c r="E1500" s="381" t="s">
        <v>1662</v>
      </c>
      <c r="F1500" s="378">
        <v>1094176</v>
      </c>
      <c r="G1500" s="378">
        <v>218836</v>
      </c>
      <c r="H1500" s="378">
        <v>0</v>
      </c>
      <c r="I1500" s="378">
        <v>1313012</v>
      </c>
      <c r="J1500" s="267">
        <f t="shared" si="24"/>
        <v>8</v>
      </c>
    </row>
    <row r="1501" spans="1:10" ht="15" customHeight="1" x14ac:dyDescent="0.25">
      <c r="A1501" s="380">
        <v>52053601</v>
      </c>
      <c r="B1501" s="381" t="s">
        <v>315</v>
      </c>
      <c r="C1501" s="381" t="s">
        <v>106</v>
      </c>
      <c r="D1501" s="381" t="s">
        <v>1663</v>
      </c>
      <c r="E1501" s="381" t="s">
        <v>1664</v>
      </c>
      <c r="F1501" s="378">
        <v>1034037</v>
      </c>
      <c r="G1501" s="378">
        <v>206807</v>
      </c>
      <c r="H1501" s="378">
        <v>0</v>
      </c>
      <c r="I1501" s="378">
        <v>1240844</v>
      </c>
      <c r="J1501" s="267">
        <f t="shared" si="24"/>
        <v>8</v>
      </c>
    </row>
    <row r="1502" spans="1:10" ht="15" customHeight="1" x14ac:dyDescent="0.25">
      <c r="A1502" s="380">
        <v>52053601</v>
      </c>
      <c r="B1502" s="381" t="s">
        <v>315</v>
      </c>
      <c r="C1502" s="381" t="s">
        <v>106</v>
      </c>
      <c r="D1502" s="381" t="s">
        <v>1609</v>
      </c>
      <c r="E1502" s="381" t="s">
        <v>1610</v>
      </c>
      <c r="F1502" s="378">
        <v>1022410</v>
      </c>
      <c r="G1502" s="378">
        <v>204482</v>
      </c>
      <c r="H1502" s="378">
        <v>0</v>
      </c>
      <c r="I1502" s="378">
        <v>1226892</v>
      </c>
      <c r="J1502" s="267">
        <f t="shared" si="24"/>
        <v>8</v>
      </c>
    </row>
    <row r="1503" spans="1:10" ht="15" customHeight="1" x14ac:dyDescent="0.25">
      <c r="A1503" s="380">
        <v>52053601</v>
      </c>
      <c r="B1503" s="381" t="s">
        <v>315</v>
      </c>
      <c r="C1503" s="381" t="s">
        <v>106</v>
      </c>
      <c r="D1503" s="381" t="s">
        <v>1490</v>
      </c>
      <c r="E1503" s="381" t="s">
        <v>1491</v>
      </c>
      <c r="F1503" s="378">
        <v>386624</v>
      </c>
      <c r="G1503" s="378">
        <v>0</v>
      </c>
      <c r="H1503" s="378">
        <v>0</v>
      </c>
      <c r="I1503" s="378">
        <v>386624</v>
      </c>
      <c r="J1503" s="267">
        <f t="shared" si="24"/>
        <v>8</v>
      </c>
    </row>
    <row r="1504" spans="1:10" ht="15" customHeight="1" x14ac:dyDescent="0.25">
      <c r="A1504" s="380">
        <v>52053601</v>
      </c>
      <c r="B1504" s="381" t="s">
        <v>315</v>
      </c>
      <c r="C1504" s="381" t="s">
        <v>106</v>
      </c>
      <c r="D1504" s="381" t="s">
        <v>1210</v>
      </c>
      <c r="E1504" s="381" t="s">
        <v>1611</v>
      </c>
      <c r="F1504" s="378">
        <v>609831</v>
      </c>
      <c r="G1504" s="378">
        <v>188199</v>
      </c>
      <c r="H1504" s="378">
        <v>0</v>
      </c>
      <c r="I1504" s="378">
        <v>798030</v>
      </c>
      <c r="J1504" s="267">
        <f t="shared" si="24"/>
        <v>8</v>
      </c>
    </row>
    <row r="1505" spans="1:10" ht="15" customHeight="1" x14ac:dyDescent="0.25">
      <c r="A1505" s="380">
        <v>52053601</v>
      </c>
      <c r="B1505" s="381" t="s">
        <v>315</v>
      </c>
      <c r="C1505" s="381" t="s">
        <v>106</v>
      </c>
      <c r="D1505" s="381" t="s">
        <v>1523</v>
      </c>
      <c r="E1505" s="381" t="s">
        <v>1524</v>
      </c>
      <c r="F1505" s="378">
        <v>2331405</v>
      </c>
      <c r="G1505" s="378">
        <v>466281</v>
      </c>
      <c r="H1505" s="378">
        <v>0</v>
      </c>
      <c r="I1505" s="378">
        <v>2797686</v>
      </c>
      <c r="J1505" s="267">
        <f t="shared" si="24"/>
        <v>8</v>
      </c>
    </row>
    <row r="1506" spans="1:10" ht="15" customHeight="1" x14ac:dyDescent="0.25">
      <c r="A1506" s="380">
        <v>52053601</v>
      </c>
      <c r="B1506" s="381" t="s">
        <v>315</v>
      </c>
      <c r="C1506" s="381" t="s">
        <v>106</v>
      </c>
      <c r="D1506" s="381" t="s">
        <v>1665</v>
      </c>
      <c r="E1506" s="381" t="s">
        <v>1666</v>
      </c>
      <c r="F1506" s="378">
        <v>100000</v>
      </c>
      <c r="G1506" s="378">
        <v>166667</v>
      </c>
      <c r="H1506" s="378">
        <v>0</v>
      </c>
      <c r="I1506" s="378">
        <v>266667</v>
      </c>
      <c r="J1506" s="267">
        <f t="shared" si="24"/>
        <v>8</v>
      </c>
    </row>
    <row r="1507" spans="1:10" ht="15" customHeight="1" x14ac:dyDescent="0.25">
      <c r="A1507" s="380">
        <v>52053601</v>
      </c>
      <c r="B1507" s="381" t="s">
        <v>315</v>
      </c>
      <c r="C1507" s="381" t="s">
        <v>106</v>
      </c>
      <c r="D1507" s="381" t="s">
        <v>792</v>
      </c>
      <c r="E1507" s="381" t="s">
        <v>1534</v>
      </c>
      <c r="F1507" s="378">
        <v>1025931</v>
      </c>
      <c r="G1507" s="378">
        <v>205186</v>
      </c>
      <c r="H1507" s="378">
        <v>0</v>
      </c>
      <c r="I1507" s="378">
        <v>1231117</v>
      </c>
      <c r="J1507" s="267">
        <f t="shared" si="24"/>
        <v>8</v>
      </c>
    </row>
    <row r="1508" spans="1:10" ht="15" customHeight="1" x14ac:dyDescent="0.25">
      <c r="A1508" s="380">
        <v>52053601</v>
      </c>
      <c r="B1508" s="381" t="s">
        <v>315</v>
      </c>
      <c r="C1508" s="381" t="s">
        <v>106</v>
      </c>
      <c r="D1508" s="381" t="s">
        <v>1688</v>
      </c>
      <c r="E1508" s="381" t="s">
        <v>1689</v>
      </c>
      <c r="F1508" s="378">
        <v>339956</v>
      </c>
      <c r="G1508" s="378">
        <v>0</v>
      </c>
      <c r="H1508" s="378">
        <v>0</v>
      </c>
      <c r="I1508" s="378">
        <v>339956</v>
      </c>
      <c r="J1508" s="267">
        <f t="shared" si="24"/>
        <v>8</v>
      </c>
    </row>
    <row r="1509" spans="1:10" ht="15" customHeight="1" x14ac:dyDescent="0.25">
      <c r="A1509" s="380">
        <v>52053601</v>
      </c>
      <c r="B1509" s="381" t="s">
        <v>315</v>
      </c>
      <c r="C1509" s="381" t="s">
        <v>106</v>
      </c>
      <c r="D1509" s="381" t="s">
        <v>1492</v>
      </c>
      <c r="E1509" s="381" t="s">
        <v>1493</v>
      </c>
      <c r="F1509" s="378">
        <v>431194</v>
      </c>
      <c r="G1509" s="378">
        <v>0</v>
      </c>
      <c r="H1509" s="378">
        <v>0</v>
      </c>
      <c r="I1509" s="378">
        <v>431194</v>
      </c>
      <c r="J1509" s="267">
        <f t="shared" si="24"/>
        <v>8</v>
      </c>
    </row>
    <row r="1510" spans="1:10" ht="15" customHeight="1" x14ac:dyDescent="0.25">
      <c r="A1510" s="380">
        <v>52053601</v>
      </c>
      <c r="B1510" s="381" t="s">
        <v>315</v>
      </c>
      <c r="C1510" s="381" t="s">
        <v>106</v>
      </c>
      <c r="D1510" s="381" t="s">
        <v>1412</v>
      </c>
      <c r="E1510" s="381" t="s">
        <v>1413</v>
      </c>
      <c r="F1510" s="378">
        <v>116666</v>
      </c>
      <c r="G1510" s="378">
        <v>0</v>
      </c>
      <c r="H1510" s="378">
        <v>0</v>
      </c>
      <c r="I1510" s="378">
        <v>116666</v>
      </c>
      <c r="J1510" s="267">
        <f t="shared" si="24"/>
        <v>8</v>
      </c>
    </row>
    <row r="1511" spans="1:10" ht="15" customHeight="1" x14ac:dyDescent="0.25">
      <c r="A1511" s="380">
        <v>52053601</v>
      </c>
      <c r="B1511" s="381" t="s">
        <v>315</v>
      </c>
      <c r="C1511" s="381" t="s">
        <v>106</v>
      </c>
      <c r="D1511" s="381" t="s">
        <v>1667</v>
      </c>
      <c r="E1511" s="381" t="s">
        <v>1668</v>
      </c>
      <c r="F1511" s="378">
        <v>833333</v>
      </c>
      <c r="G1511" s="378">
        <v>166667</v>
      </c>
      <c r="H1511" s="378">
        <v>0</v>
      </c>
      <c r="I1511" s="378">
        <v>1000000</v>
      </c>
      <c r="J1511" s="267">
        <f t="shared" si="24"/>
        <v>8</v>
      </c>
    </row>
    <row r="1512" spans="1:10" ht="15" customHeight="1" x14ac:dyDescent="0.25">
      <c r="A1512" s="380">
        <v>52053601</v>
      </c>
      <c r="B1512" s="381" t="s">
        <v>315</v>
      </c>
      <c r="C1512" s="381" t="s">
        <v>106</v>
      </c>
      <c r="D1512" s="381" t="s">
        <v>1669</v>
      </c>
      <c r="E1512" s="381" t="s">
        <v>1670</v>
      </c>
      <c r="F1512" s="378">
        <v>1053025</v>
      </c>
      <c r="G1512" s="378">
        <v>210605</v>
      </c>
      <c r="H1512" s="378">
        <v>0</v>
      </c>
      <c r="I1512" s="378">
        <v>1263630</v>
      </c>
      <c r="J1512" s="267">
        <f t="shared" si="24"/>
        <v>8</v>
      </c>
    </row>
    <row r="1513" spans="1:10" ht="15" customHeight="1" x14ac:dyDescent="0.25">
      <c r="A1513" s="380">
        <v>52053601</v>
      </c>
      <c r="B1513" s="381" t="s">
        <v>315</v>
      </c>
      <c r="C1513" s="381" t="s">
        <v>106</v>
      </c>
      <c r="D1513" s="381" t="s">
        <v>1671</v>
      </c>
      <c r="E1513" s="381" t="s">
        <v>1672</v>
      </c>
      <c r="F1513" s="378">
        <v>362810</v>
      </c>
      <c r="G1513" s="378">
        <v>198304</v>
      </c>
      <c r="H1513" s="378">
        <v>0</v>
      </c>
      <c r="I1513" s="378">
        <v>561114</v>
      </c>
      <c r="J1513" s="267">
        <f t="shared" si="24"/>
        <v>8</v>
      </c>
    </row>
    <row r="1514" spans="1:10" ht="15" customHeight="1" x14ac:dyDescent="0.25">
      <c r="A1514" s="380">
        <v>52053601</v>
      </c>
      <c r="B1514" s="381" t="s">
        <v>315</v>
      </c>
      <c r="C1514" s="381" t="s">
        <v>106</v>
      </c>
      <c r="D1514" s="381" t="s">
        <v>1673</v>
      </c>
      <c r="E1514" s="381" t="s">
        <v>1674</v>
      </c>
      <c r="F1514" s="378">
        <v>1077026</v>
      </c>
      <c r="G1514" s="378">
        <v>215405</v>
      </c>
      <c r="H1514" s="378">
        <v>0</v>
      </c>
      <c r="I1514" s="378">
        <v>1292431</v>
      </c>
      <c r="J1514" s="267">
        <f t="shared" si="24"/>
        <v>8</v>
      </c>
    </row>
    <row r="1515" spans="1:10" ht="15" customHeight="1" x14ac:dyDescent="0.25">
      <c r="A1515" s="380">
        <v>52053601</v>
      </c>
      <c r="B1515" s="381" t="s">
        <v>315</v>
      </c>
      <c r="C1515" s="381" t="s">
        <v>106</v>
      </c>
      <c r="D1515" s="381" t="s">
        <v>1675</v>
      </c>
      <c r="E1515" s="381" t="s">
        <v>1676</v>
      </c>
      <c r="F1515" s="378">
        <v>0</v>
      </c>
      <c r="G1515" s="378">
        <v>44444</v>
      </c>
      <c r="H1515" s="378">
        <v>0</v>
      </c>
      <c r="I1515" s="378">
        <v>44444</v>
      </c>
      <c r="J1515" s="267">
        <f t="shared" si="24"/>
        <v>8</v>
      </c>
    </row>
    <row r="1516" spans="1:10" ht="15" customHeight="1" x14ac:dyDescent="0.25">
      <c r="A1516" s="380">
        <v>52053601</v>
      </c>
      <c r="B1516" s="381" t="s">
        <v>315</v>
      </c>
      <c r="C1516" s="381" t="s">
        <v>106</v>
      </c>
      <c r="D1516" s="381" t="s">
        <v>1677</v>
      </c>
      <c r="E1516" s="381" t="s">
        <v>1678</v>
      </c>
      <c r="F1516" s="378">
        <v>0</v>
      </c>
      <c r="G1516" s="378">
        <v>44444</v>
      </c>
      <c r="H1516" s="378">
        <v>0</v>
      </c>
      <c r="I1516" s="378">
        <v>44444</v>
      </c>
      <c r="J1516" s="267">
        <f t="shared" si="24"/>
        <v>8</v>
      </c>
    </row>
    <row r="1517" spans="1:10" ht="15" customHeight="1" x14ac:dyDescent="0.25">
      <c r="A1517" s="380">
        <v>520539</v>
      </c>
      <c r="B1517" s="381" t="s">
        <v>315</v>
      </c>
      <c r="C1517" s="381" t="s">
        <v>104</v>
      </c>
      <c r="D1517" s="381" t="s">
        <v>315</v>
      </c>
      <c r="E1517" s="381" t="s">
        <v>315</v>
      </c>
      <c r="F1517" s="378">
        <v>13068254</v>
      </c>
      <c r="G1517" s="378">
        <v>1983301</v>
      </c>
      <c r="H1517" s="378">
        <v>0</v>
      </c>
      <c r="I1517" s="378">
        <v>15051555</v>
      </c>
      <c r="J1517" s="267">
        <f t="shared" si="24"/>
        <v>6</v>
      </c>
    </row>
    <row r="1518" spans="1:10" ht="15" customHeight="1" x14ac:dyDescent="0.25">
      <c r="A1518" s="380">
        <v>52053901</v>
      </c>
      <c r="B1518" s="381" t="s">
        <v>315</v>
      </c>
      <c r="C1518" s="381" t="s">
        <v>104</v>
      </c>
      <c r="D1518" s="381" t="s">
        <v>315</v>
      </c>
      <c r="E1518" s="381" t="s">
        <v>315</v>
      </c>
      <c r="F1518" s="378">
        <v>13068254</v>
      </c>
      <c r="G1518" s="378">
        <v>1983301</v>
      </c>
      <c r="H1518" s="378">
        <v>0</v>
      </c>
      <c r="I1518" s="378">
        <v>15051555</v>
      </c>
      <c r="J1518" s="267">
        <f t="shared" si="24"/>
        <v>8</v>
      </c>
    </row>
    <row r="1519" spans="1:10" ht="15" customHeight="1" x14ac:dyDescent="0.25">
      <c r="A1519" s="380">
        <v>52053901</v>
      </c>
      <c r="B1519" s="381" t="s">
        <v>315</v>
      </c>
      <c r="C1519" s="381" t="s">
        <v>104</v>
      </c>
      <c r="D1519" s="381" t="s">
        <v>1488</v>
      </c>
      <c r="E1519" s="381" t="s">
        <v>1682</v>
      </c>
      <c r="F1519" s="378">
        <v>134100</v>
      </c>
      <c r="G1519" s="378">
        <v>0</v>
      </c>
      <c r="H1519" s="378">
        <v>0</v>
      </c>
      <c r="I1519" s="378">
        <v>134100</v>
      </c>
      <c r="J1519" s="267">
        <f t="shared" si="24"/>
        <v>8</v>
      </c>
    </row>
    <row r="1520" spans="1:10" ht="15" customHeight="1" x14ac:dyDescent="0.25">
      <c r="A1520" s="380">
        <v>52053901</v>
      </c>
      <c r="B1520" s="381" t="s">
        <v>315</v>
      </c>
      <c r="C1520" s="381" t="s">
        <v>104</v>
      </c>
      <c r="D1520" s="381" t="s">
        <v>1535</v>
      </c>
      <c r="E1520" s="381" t="s">
        <v>1536</v>
      </c>
      <c r="F1520" s="378">
        <v>387044</v>
      </c>
      <c r="G1520" s="378">
        <v>79729</v>
      </c>
      <c r="H1520" s="378">
        <v>0</v>
      </c>
      <c r="I1520" s="378">
        <v>466773</v>
      </c>
      <c r="J1520" s="267">
        <f t="shared" si="24"/>
        <v>8</v>
      </c>
    </row>
    <row r="1521" spans="1:10" ht="15" customHeight="1" x14ac:dyDescent="0.25">
      <c r="A1521" s="380">
        <v>52053901</v>
      </c>
      <c r="B1521" s="381" t="s">
        <v>315</v>
      </c>
      <c r="C1521" s="381" t="s">
        <v>104</v>
      </c>
      <c r="D1521" s="381" t="s">
        <v>1604</v>
      </c>
      <c r="E1521" s="381" t="s">
        <v>1605</v>
      </c>
      <c r="F1521" s="378">
        <v>449806</v>
      </c>
      <c r="G1521" s="378">
        <v>72954</v>
      </c>
      <c r="H1521" s="378">
        <v>0</v>
      </c>
      <c r="I1521" s="378">
        <v>522760</v>
      </c>
      <c r="J1521" s="267">
        <f t="shared" si="24"/>
        <v>8</v>
      </c>
    </row>
    <row r="1522" spans="1:10" ht="15" customHeight="1" x14ac:dyDescent="0.25">
      <c r="A1522" s="380">
        <v>52053901</v>
      </c>
      <c r="B1522" s="381" t="s">
        <v>315</v>
      </c>
      <c r="C1522" s="381" t="s">
        <v>104</v>
      </c>
      <c r="D1522" s="381" t="s">
        <v>1649</v>
      </c>
      <c r="E1522" s="381" t="s">
        <v>1650</v>
      </c>
      <c r="F1522" s="378">
        <v>511386</v>
      </c>
      <c r="G1522" s="378">
        <v>110056</v>
      </c>
      <c r="H1522" s="378">
        <v>0</v>
      </c>
      <c r="I1522" s="378">
        <v>621442</v>
      </c>
      <c r="J1522" s="267">
        <f t="shared" si="24"/>
        <v>8</v>
      </c>
    </row>
    <row r="1523" spans="1:10" ht="15" customHeight="1" x14ac:dyDescent="0.25">
      <c r="A1523" s="380">
        <v>52053901</v>
      </c>
      <c r="B1523" s="381" t="s">
        <v>315</v>
      </c>
      <c r="C1523" s="381" t="s">
        <v>104</v>
      </c>
      <c r="D1523" s="381" t="s">
        <v>1690</v>
      </c>
      <c r="E1523" s="381" t="s">
        <v>1691</v>
      </c>
      <c r="F1523" s="378">
        <v>59345</v>
      </c>
      <c r="G1523" s="378">
        <v>0</v>
      </c>
      <c r="H1523" s="378">
        <v>0</v>
      </c>
      <c r="I1523" s="378">
        <v>59345</v>
      </c>
      <c r="J1523" s="267">
        <f t="shared" si="24"/>
        <v>8</v>
      </c>
    </row>
    <row r="1524" spans="1:10" ht="15" customHeight="1" x14ac:dyDescent="0.25">
      <c r="A1524" s="380">
        <v>52053901</v>
      </c>
      <c r="B1524" s="381" t="s">
        <v>315</v>
      </c>
      <c r="C1524" s="381" t="s">
        <v>104</v>
      </c>
      <c r="D1524" s="381" t="s">
        <v>1651</v>
      </c>
      <c r="E1524" s="381" t="s">
        <v>1652</v>
      </c>
      <c r="F1524" s="378">
        <v>501959</v>
      </c>
      <c r="G1524" s="378">
        <v>83393</v>
      </c>
      <c r="H1524" s="378">
        <v>0</v>
      </c>
      <c r="I1524" s="378">
        <v>585352</v>
      </c>
      <c r="J1524" s="267">
        <f t="shared" si="24"/>
        <v>8</v>
      </c>
    </row>
    <row r="1525" spans="1:10" ht="15" customHeight="1" x14ac:dyDescent="0.25">
      <c r="A1525" s="380">
        <v>52053901</v>
      </c>
      <c r="B1525" s="381" t="s">
        <v>315</v>
      </c>
      <c r="C1525" s="381" t="s">
        <v>104</v>
      </c>
      <c r="D1525" s="381" t="s">
        <v>1443</v>
      </c>
      <c r="E1525" s="381" t="s">
        <v>1530</v>
      </c>
      <c r="F1525" s="378">
        <v>555238</v>
      </c>
      <c r="G1525" s="378">
        <v>99627</v>
      </c>
      <c r="H1525" s="378">
        <v>0</v>
      </c>
      <c r="I1525" s="378">
        <v>654865</v>
      </c>
      <c r="J1525" s="267">
        <f t="shared" si="24"/>
        <v>8</v>
      </c>
    </row>
    <row r="1526" spans="1:10" ht="15" customHeight="1" x14ac:dyDescent="0.25">
      <c r="A1526" s="380">
        <v>52053901</v>
      </c>
      <c r="B1526" s="381" t="s">
        <v>315</v>
      </c>
      <c r="C1526" s="381" t="s">
        <v>104</v>
      </c>
      <c r="D1526" s="381" t="s">
        <v>1653</v>
      </c>
      <c r="E1526" s="381" t="s">
        <v>1654</v>
      </c>
      <c r="F1526" s="378">
        <v>398022</v>
      </c>
      <c r="G1526" s="378">
        <v>72954</v>
      </c>
      <c r="H1526" s="378">
        <v>0</v>
      </c>
      <c r="I1526" s="378">
        <v>470976</v>
      </c>
      <c r="J1526" s="267">
        <f t="shared" si="24"/>
        <v>8</v>
      </c>
    </row>
    <row r="1527" spans="1:10" ht="15" customHeight="1" x14ac:dyDescent="0.25">
      <c r="A1527" s="380">
        <v>52053901</v>
      </c>
      <c r="B1527" s="381" t="s">
        <v>315</v>
      </c>
      <c r="C1527" s="381" t="s">
        <v>104</v>
      </c>
      <c r="D1527" s="381" t="s">
        <v>1683</v>
      </c>
      <c r="E1527" s="381" t="s">
        <v>1684</v>
      </c>
      <c r="F1527" s="378">
        <v>345922</v>
      </c>
      <c r="G1527" s="378">
        <v>0</v>
      </c>
      <c r="H1527" s="378">
        <v>0</v>
      </c>
      <c r="I1527" s="378">
        <v>345922</v>
      </c>
      <c r="J1527" s="267">
        <f t="shared" si="24"/>
        <v>8</v>
      </c>
    </row>
    <row r="1528" spans="1:10" ht="15" customHeight="1" x14ac:dyDescent="0.25">
      <c r="A1528" s="380">
        <v>52053901</v>
      </c>
      <c r="B1528" s="381" t="s">
        <v>315</v>
      </c>
      <c r="C1528" s="381" t="s">
        <v>104</v>
      </c>
      <c r="D1528" s="381" t="s">
        <v>1606</v>
      </c>
      <c r="E1528" s="381" t="s">
        <v>1607</v>
      </c>
      <c r="F1528" s="378">
        <v>495186</v>
      </c>
      <c r="G1528" s="378">
        <v>95159</v>
      </c>
      <c r="H1528" s="378">
        <v>0</v>
      </c>
      <c r="I1528" s="378">
        <v>590345</v>
      </c>
      <c r="J1528" s="267">
        <f t="shared" si="24"/>
        <v>8</v>
      </c>
    </row>
    <row r="1529" spans="1:10" ht="15" customHeight="1" x14ac:dyDescent="0.25">
      <c r="A1529" s="380">
        <v>52053901</v>
      </c>
      <c r="B1529" s="381" t="s">
        <v>315</v>
      </c>
      <c r="C1529" s="381" t="s">
        <v>104</v>
      </c>
      <c r="D1529" s="381" t="s">
        <v>1686</v>
      </c>
      <c r="E1529" s="381" t="s">
        <v>1687</v>
      </c>
      <c r="F1529" s="378">
        <v>242398</v>
      </c>
      <c r="G1529" s="378">
        <v>0</v>
      </c>
      <c r="H1529" s="378">
        <v>0</v>
      </c>
      <c r="I1529" s="378">
        <v>242398</v>
      </c>
      <c r="J1529" s="267">
        <f t="shared" si="24"/>
        <v>8</v>
      </c>
    </row>
    <row r="1530" spans="1:10" ht="15" customHeight="1" x14ac:dyDescent="0.25">
      <c r="A1530" s="380">
        <v>52053901</v>
      </c>
      <c r="B1530" s="381" t="s">
        <v>315</v>
      </c>
      <c r="C1530" s="381" t="s">
        <v>104</v>
      </c>
      <c r="D1530" s="381" t="s">
        <v>1655</v>
      </c>
      <c r="E1530" s="381" t="s">
        <v>1656</v>
      </c>
      <c r="F1530" s="378">
        <v>130695</v>
      </c>
      <c r="G1530" s="378">
        <v>73497</v>
      </c>
      <c r="H1530" s="378">
        <v>0</v>
      </c>
      <c r="I1530" s="378">
        <v>204192</v>
      </c>
      <c r="J1530" s="267">
        <f t="shared" si="24"/>
        <v>8</v>
      </c>
    </row>
    <row r="1531" spans="1:10" ht="15" customHeight="1" x14ac:dyDescent="0.25">
      <c r="A1531" s="380">
        <v>52053901</v>
      </c>
      <c r="B1531" s="381" t="s">
        <v>315</v>
      </c>
      <c r="C1531" s="381" t="s">
        <v>104</v>
      </c>
      <c r="D1531" s="381" t="s">
        <v>1657</v>
      </c>
      <c r="E1531" s="381" t="s">
        <v>1658</v>
      </c>
      <c r="F1531" s="378">
        <v>408116</v>
      </c>
      <c r="G1531" s="378">
        <v>78415</v>
      </c>
      <c r="H1531" s="378">
        <v>0</v>
      </c>
      <c r="I1531" s="378">
        <v>486531</v>
      </c>
      <c r="J1531" s="267">
        <f t="shared" si="24"/>
        <v>8</v>
      </c>
    </row>
    <row r="1532" spans="1:10" ht="15" customHeight="1" x14ac:dyDescent="0.25">
      <c r="A1532" s="380">
        <v>52053901</v>
      </c>
      <c r="B1532" s="381" t="s">
        <v>315</v>
      </c>
      <c r="C1532" s="381" t="s">
        <v>104</v>
      </c>
      <c r="D1532" s="381" t="s">
        <v>1659</v>
      </c>
      <c r="E1532" s="381" t="s">
        <v>1660</v>
      </c>
      <c r="F1532" s="378">
        <v>449806</v>
      </c>
      <c r="G1532" s="378">
        <v>29385</v>
      </c>
      <c r="H1532" s="378">
        <v>0</v>
      </c>
      <c r="I1532" s="378">
        <v>479191</v>
      </c>
      <c r="J1532" s="267">
        <f t="shared" si="24"/>
        <v>8</v>
      </c>
    </row>
    <row r="1533" spans="1:10" ht="15" customHeight="1" x14ac:dyDescent="0.25">
      <c r="A1533" s="380">
        <v>52053901</v>
      </c>
      <c r="B1533" s="381" t="s">
        <v>315</v>
      </c>
      <c r="C1533" s="381" t="s">
        <v>104</v>
      </c>
      <c r="D1533" s="381" t="s">
        <v>1527</v>
      </c>
      <c r="E1533" s="381" t="s">
        <v>1528</v>
      </c>
      <c r="F1533" s="378">
        <v>404918</v>
      </c>
      <c r="G1533" s="378">
        <v>31905</v>
      </c>
      <c r="H1533" s="378">
        <v>0</v>
      </c>
      <c r="I1533" s="378">
        <v>436823</v>
      </c>
      <c r="J1533" s="267">
        <f t="shared" si="24"/>
        <v>8</v>
      </c>
    </row>
    <row r="1534" spans="1:10" ht="15" customHeight="1" x14ac:dyDescent="0.25">
      <c r="A1534" s="380">
        <v>52053901</v>
      </c>
      <c r="B1534" s="381" t="s">
        <v>315</v>
      </c>
      <c r="C1534" s="381" t="s">
        <v>104</v>
      </c>
      <c r="D1534" s="381" t="s">
        <v>1444</v>
      </c>
      <c r="E1534" s="381" t="s">
        <v>1533</v>
      </c>
      <c r="F1534" s="378">
        <v>1080460</v>
      </c>
      <c r="G1534" s="378">
        <v>99627</v>
      </c>
      <c r="H1534" s="378">
        <v>0</v>
      </c>
      <c r="I1534" s="378">
        <v>1180087</v>
      </c>
      <c r="J1534" s="267">
        <f t="shared" si="24"/>
        <v>8</v>
      </c>
    </row>
    <row r="1535" spans="1:10" ht="15" customHeight="1" x14ac:dyDescent="0.25">
      <c r="A1535" s="380">
        <v>52053901</v>
      </c>
      <c r="B1535" s="381" t="s">
        <v>315</v>
      </c>
      <c r="C1535" s="381" t="s">
        <v>104</v>
      </c>
      <c r="D1535" s="381" t="s">
        <v>1661</v>
      </c>
      <c r="E1535" s="381" t="s">
        <v>1662</v>
      </c>
      <c r="F1535" s="378">
        <v>239547</v>
      </c>
      <c r="G1535" s="378">
        <v>79779</v>
      </c>
      <c r="H1535" s="378">
        <v>0</v>
      </c>
      <c r="I1535" s="378">
        <v>319326</v>
      </c>
      <c r="J1535" s="267">
        <f t="shared" si="24"/>
        <v>8</v>
      </c>
    </row>
    <row r="1536" spans="1:10" ht="15" customHeight="1" x14ac:dyDescent="0.25">
      <c r="A1536" s="380">
        <v>52053901</v>
      </c>
      <c r="B1536" s="381" t="s">
        <v>315</v>
      </c>
      <c r="C1536" s="381" t="s">
        <v>104</v>
      </c>
      <c r="D1536" s="381" t="s">
        <v>1663</v>
      </c>
      <c r="E1536" s="381" t="s">
        <v>1664</v>
      </c>
      <c r="F1536" s="378">
        <v>818616</v>
      </c>
      <c r="G1536" s="378">
        <v>87685</v>
      </c>
      <c r="H1536" s="378">
        <v>0</v>
      </c>
      <c r="I1536" s="378">
        <v>906301</v>
      </c>
      <c r="J1536" s="267">
        <f t="shared" si="24"/>
        <v>8</v>
      </c>
    </row>
    <row r="1537" spans="1:10" ht="15" customHeight="1" x14ac:dyDescent="0.25">
      <c r="A1537" s="380">
        <v>52053901</v>
      </c>
      <c r="B1537" s="381" t="s">
        <v>315</v>
      </c>
      <c r="C1537" s="381" t="s">
        <v>104</v>
      </c>
      <c r="D1537" s="381" t="s">
        <v>1609</v>
      </c>
      <c r="E1537" s="381" t="s">
        <v>1610</v>
      </c>
      <c r="F1537" s="378">
        <v>434633</v>
      </c>
      <c r="G1537" s="378">
        <v>79136</v>
      </c>
      <c r="H1537" s="378">
        <v>0</v>
      </c>
      <c r="I1537" s="378">
        <v>513769</v>
      </c>
      <c r="J1537" s="267">
        <f t="shared" si="24"/>
        <v>8</v>
      </c>
    </row>
    <row r="1538" spans="1:10" ht="15" customHeight="1" x14ac:dyDescent="0.25">
      <c r="A1538" s="380">
        <v>52053901</v>
      </c>
      <c r="B1538" s="381" t="s">
        <v>315</v>
      </c>
      <c r="C1538" s="381" t="s">
        <v>104</v>
      </c>
      <c r="D1538" s="381" t="s">
        <v>1490</v>
      </c>
      <c r="E1538" s="381" t="s">
        <v>1491</v>
      </c>
      <c r="F1538" s="378">
        <v>187059</v>
      </c>
      <c r="G1538" s="378">
        <v>0</v>
      </c>
      <c r="H1538" s="378">
        <v>0</v>
      </c>
      <c r="I1538" s="378">
        <v>187059</v>
      </c>
      <c r="J1538" s="267">
        <f t="shared" si="24"/>
        <v>8</v>
      </c>
    </row>
    <row r="1539" spans="1:10" ht="15" customHeight="1" x14ac:dyDescent="0.25">
      <c r="A1539" s="380">
        <v>52053901</v>
      </c>
      <c r="B1539" s="381" t="s">
        <v>315</v>
      </c>
      <c r="C1539" s="381" t="s">
        <v>104</v>
      </c>
      <c r="D1539" s="381" t="s">
        <v>1210</v>
      </c>
      <c r="E1539" s="381" t="s">
        <v>1611</v>
      </c>
      <c r="F1539" s="378">
        <v>286651</v>
      </c>
      <c r="G1539" s="378">
        <v>72954</v>
      </c>
      <c r="H1539" s="378">
        <v>0</v>
      </c>
      <c r="I1539" s="378">
        <v>359605</v>
      </c>
      <c r="J1539" s="267">
        <f t="shared" si="24"/>
        <v>8</v>
      </c>
    </row>
    <row r="1540" spans="1:10" ht="15" customHeight="1" x14ac:dyDescent="0.25">
      <c r="A1540" s="380">
        <v>52053901</v>
      </c>
      <c r="B1540" s="381" t="s">
        <v>315</v>
      </c>
      <c r="C1540" s="381" t="s">
        <v>104</v>
      </c>
      <c r="D1540" s="381" t="s">
        <v>1523</v>
      </c>
      <c r="E1540" s="381" t="s">
        <v>1524</v>
      </c>
      <c r="F1540" s="378">
        <v>2451555</v>
      </c>
      <c r="G1540" s="378">
        <v>246347</v>
      </c>
      <c r="H1540" s="378">
        <v>0</v>
      </c>
      <c r="I1540" s="378">
        <v>2697902</v>
      </c>
      <c r="J1540" s="267">
        <f t="shared" si="24"/>
        <v>8</v>
      </c>
    </row>
    <row r="1541" spans="1:10" ht="15" customHeight="1" x14ac:dyDescent="0.25">
      <c r="A1541" s="380">
        <v>52053901</v>
      </c>
      <c r="B1541" s="381" t="s">
        <v>315</v>
      </c>
      <c r="C1541" s="381" t="s">
        <v>104</v>
      </c>
      <c r="D1541" s="381" t="s">
        <v>1665</v>
      </c>
      <c r="E1541" s="381" t="s">
        <v>1666</v>
      </c>
      <c r="F1541" s="378">
        <v>43773</v>
      </c>
      <c r="G1541" s="378">
        <v>73234</v>
      </c>
      <c r="H1541" s="378">
        <v>0</v>
      </c>
      <c r="I1541" s="378">
        <v>117007</v>
      </c>
      <c r="J1541" s="267">
        <f t="shared" si="24"/>
        <v>8</v>
      </c>
    </row>
    <row r="1542" spans="1:10" ht="15" customHeight="1" x14ac:dyDescent="0.25">
      <c r="A1542" s="380">
        <v>52053901</v>
      </c>
      <c r="B1542" s="381" t="s">
        <v>315</v>
      </c>
      <c r="C1542" s="381" t="s">
        <v>104</v>
      </c>
      <c r="D1542" s="381" t="s">
        <v>792</v>
      </c>
      <c r="E1542" s="381" t="s">
        <v>1534</v>
      </c>
      <c r="F1542" s="378">
        <v>230679</v>
      </c>
      <c r="G1542" s="378">
        <v>72954</v>
      </c>
      <c r="H1542" s="378">
        <v>0</v>
      </c>
      <c r="I1542" s="378">
        <v>303633</v>
      </c>
      <c r="J1542" s="267">
        <f t="shared" si="24"/>
        <v>8</v>
      </c>
    </row>
    <row r="1543" spans="1:10" ht="15" customHeight="1" x14ac:dyDescent="0.25">
      <c r="A1543" s="380">
        <v>52053901</v>
      </c>
      <c r="B1543" s="381" t="s">
        <v>315</v>
      </c>
      <c r="C1543" s="381" t="s">
        <v>104</v>
      </c>
      <c r="D1543" s="381" t="s">
        <v>1688</v>
      </c>
      <c r="E1543" s="381" t="s">
        <v>1689</v>
      </c>
      <c r="F1543" s="378">
        <v>151987</v>
      </c>
      <c r="G1543" s="378">
        <v>0</v>
      </c>
      <c r="H1543" s="378">
        <v>0</v>
      </c>
      <c r="I1543" s="378">
        <v>151987</v>
      </c>
      <c r="J1543" s="267">
        <f t="shared" si="24"/>
        <v>8</v>
      </c>
    </row>
    <row r="1544" spans="1:10" ht="15" customHeight="1" x14ac:dyDescent="0.25">
      <c r="A1544" s="380">
        <v>52053901</v>
      </c>
      <c r="B1544" s="381" t="s">
        <v>315</v>
      </c>
      <c r="C1544" s="381" t="s">
        <v>104</v>
      </c>
      <c r="D1544" s="381" t="s">
        <v>1492</v>
      </c>
      <c r="E1544" s="381" t="s">
        <v>1493</v>
      </c>
      <c r="F1544" s="378">
        <v>315712</v>
      </c>
      <c r="G1544" s="378">
        <v>0</v>
      </c>
      <c r="H1544" s="378">
        <v>0</v>
      </c>
      <c r="I1544" s="378">
        <v>315712</v>
      </c>
      <c r="J1544" s="267">
        <f t="shared" si="24"/>
        <v>8</v>
      </c>
    </row>
    <row r="1545" spans="1:10" ht="15" customHeight="1" x14ac:dyDescent="0.25">
      <c r="A1545" s="380">
        <v>52053901</v>
      </c>
      <c r="B1545" s="381" t="s">
        <v>315</v>
      </c>
      <c r="C1545" s="381" t="s">
        <v>104</v>
      </c>
      <c r="D1545" s="381" t="s">
        <v>1412</v>
      </c>
      <c r="E1545" s="381" t="s">
        <v>1413</v>
      </c>
      <c r="F1545" s="378">
        <v>247408</v>
      </c>
      <c r="G1545" s="378">
        <v>0</v>
      </c>
      <c r="H1545" s="378">
        <v>0</v>
      </c>
      <c r="I1545" s="378">
        <v>247408</v>
      </c>
      <c r="J1545" s="267">
        <f t="shared" si="24"/>
        <v>8</v>
      </c>
    </row>
    <row r="1546" spans="1:10" ht="15" customHeight="1" x14ac:dyDescent="0.25">
      <c r="A1546" s="380">
        <v>52053901</v>
      </c>
      <c r="B1546" s="381" t="s">
        <v>315</v>
      </c>
      <c r="C1546" s="381" t="s">
        <v>104</v>
      </c>
      <c r="D1546" s="381" t="s">
        <v>1667</v>
      </c>
      <c r="E1546" s="381" t="s">
        <v>1668</v>
      </c>
      <c r="F1546" s="378">
        <v>-104757</v>
      </c>
      <c r="G1546" s="378">
        <v>72955</v>
      </c>
      <c r="H1546" s="378">
        <v>0</v>
      </c>
      <c r="I1546" s="378">
        <v>-31802</v>
      </c>
      <c r="J1546" s="267">
        <f t="shared" si="24"/>
        <v>8</v>
      </c>
    </row>
    <row r="1547" spans="1:10" ht="15" customHeight="1" x14ac:dyDescent="0.25">
      <c r="A1547" s="380">
        <v>52053901</v>
      </c>
      <c r="B1547" s="381" t="s">
        <v>315</v>
      </c>
      <c r="C1547" s="381" t="s">
        <v>104</v>
      </c>
      <c r="D1547" s="381" t="s">
        <v>1669</v>
      </c>
      <c r="E1547" s="381" t="s">
        <v>1670</v>
      </c>
      <c r="F1547" s="378">
        <v>672076</v>
      </c>
      <c r="G1547" s="378">
        <v>75306</v>
      </c>
      <c r="H1547" s="378">
        <v>0</v>
      </c>
      <c r="I1547" s="378">
        <v>747382</v>
      </c>
      <c r="J1547" s="267">
        <f t="shared" si="24"/>
        <v>8</v>
      </c>
    </row>
    <row r="1548" spans="1:10" ht="15" customHeight="1" x14ac:dyDescent="0.25">
      <c r="A1548" s="380">
        <v>52053901</v>
      </c>
      <c r="B1548" s="381" t="s">
        <v>315</v>
      </c>
      <c r="C1548" s="381" t="s">
        <v>104</v>
      </c>
      <c r="D1548" s="381" t="s">
        <v>1671</v>
      </c>
      <c r="E1548" s="381" t="s">
        <v>1672</v>
      </c>
      <c r="F1548" s="378">
        <v>134136</v>
      </c>
      <c r="G1548" s="378">
        <v>73340</v>
      </c>
      <c r="H1548" s="378">
        <v>0</v>
      </c>
      <c r="I1548" s="378">
        <v>207476</v>
      </c>
      <c r="J1548" s="267">
        <f t="shared" ref="J1548:J1611" si="25">+LEN(A1548)</f>
        <v>8</v>
      </c>
    </row>
    <row r="1549" spans="1:10" ht="15" customHeight="1" x14ac:dyDescent="0.25">
      <c r="A1549" s="380">
        <v>52053901</v>
      </c>
      <c r="B1549" s="381" t="s">
        <v>315</v>
      </c>
      <c r="C1549" s="381" t="s">
        <v>104</v>
      </c>
      <c r="D1549" s="381" t="s">
        <v>1673</v>
      </c>
      <c r="E1549" s="381" t="s">
        <v>1674</v>
      </c>
      <c r="F1549" s="378">
        <v>404778</v>
      </c>
      <c r="G1549" s="378">
        <v>84390</v>
      </c>
      <c r="H1549" s="378">
        <v>0</v>
      </c>
      <c r="I1549" s="378">
        <v>489168</v>
      </c>
      <c r="J1549" s="267">
        <f t="shared" si="25"/>
        <v>8</v>
      </c>
    </row>
    <row r="1550" spans="1:10" ht="15" customHeight="1" x14ac:dyDescent="0.25">
      <c r="A1550" s="380">
        <v>52053901</v>
      </c>
      <c r="B1550" s="381" t="s">
        <v>315</v>
      </c>
      <c r="C1550" s="381" t="s">
        <v>104</v>
      </c>
      <c r="D1550" s="381" t="s">
        <v>1675</v>
      </c>
      <c r="E1550" s="381" t="s">
        <v>1676</v>
      </c>
      <c r="F1550" s="378">
        <v>0</v>
      </c>
      <c r="G1550" s="378">
        <v>19260</v>
      </c>
      <c r="H1550" s="378">
        <v>0</v>
      </c>
      <c r="I1550" s="378">
        <v>19260</v>
      </c>
      <c r="J1550" s="267">
        <f t="shared" si="25"/>
        <v>8</v>
      </c>
    </row>
    <row r="1551" spans="1:10" ht="15" customHeight="1" x14ac:dyDescent="0.25">
      <c r="A1551" s="380">
        <v>52053901</v>
      </c>
      <c r="B1551" s="381" t="s">
        <v>315</v>
      </c>
      <c r="C1551" s="381" t="s">
        <v>104</v>
      </c>
      <c r="D1551" s="381" t="s">
        <v>1677</v>
      </c>
      <c r="E1551" s="381" t="s">
        <v>1678</v>
      </c>
      <c r="F1551" s="378">
        <v>0</v>
      </c>
      <c r="G1551" s="378">
        <v>19260</v>
      </c>
      <c r="H1551" s="378">
        <v>0</v>
      </c>
      <c r="I1551" s="378">
        <v>19260</v>
      </c>
      <c r="J1551" s="267">
        <f t="shared" si="25"/>
        <v>8</v>
      </c>
    </row>
    <row r="1552" spans="1:10" ht="15" customHeight="1" x14ac:dyDescent="0.25">
      <c r="A1552" s="380">
        <v>520548</v>
      </c>
      <c r="B1552" s="381" t="s">
        <v>315</v>
      </c>
      <c r="C1552" s="381" t="s">
        <v>1325</v>
      </c>
      <c r="D1552" s="381" t="s">
        <v>315</v>
      </c>
      <c r="E1552" s="381" t="s">
        <v>315</v>
      </c>
      <c r="F1552" s="378">
        <v>6636496</v>
      </c>
      <c r="G1552" s="378">
        <v>693320</v>
      </c>
      <c r="H1552" s="378">
        <v>0</v>
      </c>
      <c r="I1552" s="378">
        <v>7329816</v>
      </c>
      <c r="J1552" s="267">
        <f t="shared" si="25"/>
        <v>6</v>
      </c>
    </row>
    <row r="1553" spans="1:10" ht="15" customHeight="1" x14ac:dyDescent="0.25">
      <c r="A1553" s="380">
        <v>52054801</v>
      </c>
      <c r="B1553" s="381" t="s">
        <v>315</v>
      </c>
      <c r="C1553" s="381" t="s">
        <v>1325</v>
      </c>
      <c r="D1553" s="381" t="s">
        <v>315</v>
      </c>
      <c r="E1553" s="381" t="s">
        <v>315</v>
      </c>
      <c r="F1553" s="378">
        <v>2336000</v>
      </c>
      <c r="G1553" s="378">
        <v>510000</v>
      </c>
      <c r="H1553" s="378">
        <v>0</v>
      </c>
      <c r="I1553" s="378">
        <v>2846000</v>
      </c>
      <c r="J1553" s="267">
        <f t="shared" si="25"/>
        <v>8</v>
      </c>
    </row>
    <row r="1554" spans="1:10" ht="15" customHeight="1" x14ac:dyDescent="0.25">
      <c r="A1554" s="380">
        <v>52054801</v>
      </c>
      <c r="B1554" s="381" t="s">
        <v>315</v>
      </c>
      <c r="C1554" s="381" t="s">
        <v>1325</v>
      </c>
      <c r="D1554" s="381" t="s">
        <v>1535</v>
      </c>
      <c r="E1554" s="381" t="s">
        <v>1536</v>
      </c>
      <c r="F1554" s="378">
        <v>120000</v>
      </c>
      <c r="G1554" s="378">
        <v>0</v>
      </c>
      <c r="H1554" s="378">
        <v>0</v>
      </c>
      <c r="I1554" s="378">
        <v>120000</v>
      </c>
      <c r="J1554" s="267">
        <f t="shared" si="25"/>
        <v>8</v>
      </c>
    </row>
    <row r="1555" spans="1:10" ht="15" customHeight="1" x14ac:dyDescent="0.25">
      <c r="A1555" s="380">
        <v>52054801</v>
      </c>
      <c r="B1555" s="381" t="s">
        <v>315</v>
      </c>
      <c r="C1555" s="381" t="s">
        <v>1325</v>
      </c>
      <c r="D1555" s="381" t="s">
        <v>1604</v>
      </c>
      <c r="E1555" s="381" t="s">
        <v>1605</v>
      </c>
      <c r="F1555" s="378">
        <v>120000</v>
      </c>
      <c r="G1555" s="378">
        <v>150000</v>
      </c>
      <c r="H1555" s="378">
        <v>0</v>
      </c>
      <c r="I1555" s="378">
        <v>270000</v>
      </c>
      <c r="J1555" s="267">
        <f t="shared" si="25"/>
        <v>8</v>
      </c>
    </row>
    <row r="1556" spans="1:10" ht="15" customHeight="1" x14ac:dyDescent="0.25">
      <c r="A1556" s="380">
        <v>52054801</v>
      </c>
      <c r="B1556" s="381" t="s">
        <v>315</v>
      </c>
      <c r="C1556" s="381" t="s">
        <v>1325</v>
      </c>
      <c r="D1556" s="381" t="s">
        <v>1649</v>
      </c>
      <c r="E1556" s="381" t="s">
        <v>1650</v>
      </c>
      <c r="F1556" s="378">
        <v>120000</v>
      </c>
      <c r="G1556" s="378">
        <v>0</v>
      </c>
      <c r="H1556" s="378">
        <v>0</v>
      </c>
      <c r="I1556" s="378">
        <v>120000</v>
      </c>
      <c r="J1556" s="267">
        <f t="shared" si="25"/>
        <v>8</v>
      </c>
    </row>
    <row r="1557" spans="1:10" ht="15" customHeight="1" x14ac:dyDescent="0.25">
      <c r="A1557" s="380">
        <v>52054801</v>
      </c>
      <c r="B1557" s="381" t="s">
        <v>315</v>
      </c>
      <c r="C1557" s="381" t="s">
        <v>1325</v>
      </c>
      <c r="D1557" s="381" t="s">
        <v>1651</v>
      </c>
      <c r="E1557" s="381" t="s">
        <v>1652</v>
      </c>
      <c r="F1557" s="378">
        <v>104000</v>
      </c>
      <c r="G1557" s="378">
        <v>0</v>
      </c>
      <c r="H1557" s="378">
        <v>0</v>
      </c>
      <c r="I1557" s="378">
        <v>104000</v>
      </c>
      <c r="J1557" s="267">
        <f t="shared" si="25"/>
        <v>8</v>
      </c>
    </row>
    <row r="1558" spans="1:10" ht="15" customHeight="1" x14ac:dyDescent="0.25">
      <c r="A1558" s="380">
        <v>52054801</v>
      </c>
      <c r="B1558" s="381" t="s">
        <v>315</v>
      </c>
      <c r="C1558" s="381" t="s">
        <v>1325</v>
      </c>
      <c r="D1558" s="381" t="s">
        <v>1443</v>
      </c>
      <c r="E1558" s="381" t="s">
        <v>1530</v>
      </c>
      <c r="F1558" s="378">
        <v>150000</v>
      </c>
      <c r="G1558" s="378">
        <v>0</v>
      </c>
      <c r="H1558" s="378">
        <v>0</v>
      </c>
      <c r="I1558" s="378">
        <v>150000</v>
      </c>
      <c r="J1558" s="267">
        <f t="shared" si="25"/>
        <v>8</v>
      </c>
    </row>
    <row r="1559" spans="1:10" ht="15" customHeight="1" x14ac:dyDescent="0.25">
      <c r="A1559" s="380">
        <v>52054801</v>
      </c>
      <c r="B1559" s="381" t="s">
        <v>315</v>
      </c>
      <c r="C1559" s="381" t="s">
        <v>1325</v>
      </c>
      <c r="D1559" s="381" t="s">
        <v>1653</v>
      </c>
      <c r="E1559" s="381" t="s">
        <v>1654</v>
      </c>
      <c r="F1559" s="378">
        <v>120000</v>
      </c>
      <c r="G1559" s="378">
        <v>120000</v>
      </c>
      <c r="H1559" s="378">
        <v>0</v>
      </c>
      <c r="I1559" s="378">
        <v>240000</v>
      </c>
      <c r="J1559" s="267">
        <f t="shared" si="25"/>
        <v>8</v>
      </c>
    </row>
    <row r="1560" spans="1:10" ht="15" customHeight="1" x14ac:dyDescent="0.25">
      <c r="A1560" s="380">
        <v>52054801</v>
      </c>
      <c r="B1560" s="381" t="s">
        <v>315</v>
      </c>
      <c r="C1560" s="381" t="s">
        <v>1325</v>
      </c>
      <c r="D1560" s="381" t="s">
        <v>1606</v>
      </c>
      <c r="E1560" s="381" t="s">
        <v>1607</v>
      </c>
      <c r="F1560" s="378">
        <v>120000</v>
      </c>
      <c r="G1560" s="378">
        <v>0</v>
      </c>
      <c r="H1560" s="378">
        <v>0</v>
      </c>
      <c r="I1560" s="378">
        <v>120000</v>
      </c>
      <c r="J1560" s="267">
        <f t="shared" si="25"/>
        <v>8</v>
      </c>
    </row>
    <row r="1561" spans="1:10" ht="15" customHeight="1" x14ac:dyDescent="0.25">
      <c r="A1561" s="380">
        <v>52054801</v>
      </c>
      <c r="B1561" s="381" t="s">
        <v>315</v>
      </c>
      <c r="C1561" s="381" t="s">
        <v>1325</v>
      </c>
      <c r="D1561" s="381" t="s">
        <v>1657</v>
      </c>
      <c r="E1561" s="381" t="s">
        <v>1658</v>
      </c>
      <c r="F1561" s="378">
        <v>120000</v>
      </c>
      <c r="G1561" s="378">
        <v>0</v>
      </c>
      <c r="H1561" s="378">
        <v>0</v>
      </c>
      <c r="I1561" s="378">
        <v>120000</v>
      </c>
      <c r="J1561" s="267">
        <f t="shared" si="25"/>
        <v>8</v>
      </c>
    </row>
    <row r="1562" spans="1:10" ht="15" customHeight="1" x14ac:dyDescent="0.25">
      <c r="A1562" s="380">
        <v>52054801</v>
      </c>
      <c r="B1562" s="381" t="s">
        <v>315</v>
      </c>
      <c r="C1562" s="381" t="s">
        <v>1325</v>
      </c>
      <c r="D1562" s="381" t="s">
        <v>1659</v>
      </c>
      <c r="E1562" s="381" t="s">
        <v>1660</v>
      </c>
      <c r="F1562" s="378">
        <v>150000</v>
      </c>
      <c r="G1562" s="378">
        <v>120000</v>
      </c>
      <c r="H1562" s="378">
        <v>0</v>
      </c>
      <c r="I1562" s="378">
        <v>270000</v>
      </c>
      <c r="J1562" s="267">
        <f t="shared" si="25"/>
        <v>8</v>
      </c>
    </row>
    <row r="1563" spans="1:10" ht="15" customHeight="1" x14ac:dyDescent="0.25">
      <c r="A1563" s="380">
        <v>52054801</v>
      </c>
      <c r="B1563" s="381" t="s">
        <v>315</v>
      </c>
      <c r="C1563" s="381" t="s">
        <v>1325</v>
      </c>
      <c r="D1563" s="381" t="s">
        <v>1527</v>
      </c>
      <c r="E1563" s="381" t="s">
        <v>1528</v>
      </c>
      <c r="F1563" s="378">
        <v>120000</v>
      </c>
      <c r="G1563" s="378">
        <v>0</v>
      </c>
      <c r="H1563" s="378">
        <v>0</v>
      </c>
      <c r="I1563" s="378">
        <v>120000</v>
      </c>
      <c r="J1563" s="267">
        <f t="shared" si="25"/>
        <v>8</v>
      </c>
    </row>
    <row r="1564" spans="1:10" ht="15" customHeight="1" x14ac:dyDescent="0.25">
      <c r="A1564" s="380">
        <v>52054801</v>
      </c>
      <c r="B1564" s="381" t="s">
        <v>315</v>
      </c>
      <c r="C1564" s="381" t="s">
        <v>1325</v>
      </c>
      <c r="D1564" s="381" t="s">
        <v>1444</v>
      </c>
      <c r="E1564" s="381" t="s">
        <v>1533</v>
      </c>
      <c r="F1564" s="378">
        <v>150000</v>
      </c>
      <c r="G1564" s="378">
        <v>0</v>
      </c>
      <c r="H1564" s="378">
        <v>0</v>
      </c>
      <c r="I1564" s="378">
        <v>150000</v>
      </c>
      <c r="J1564" s="267">
        <f t="shared" si="25"/>
        <v>8</v>
      </c>
    </row>
    <row r="1565" spans="1:10" ht="15" customHeight="1" x14ac:dyDescent="0.25">
      <c r="A1565" s="380">
        <v>52054801</v>
      </c>
      <c r="B1565" s="381" t="s">
        <v>315</v>
      </c>
      <c r="C1565" s="381" t="s">
        <v>1325</v>
      </c>
      <c r="D1565" s="381" t="s">
        <v>1661</v>
      </c>
      <c r="E1565" s="381" t="s">
        <v>1662</v>
      </c>
      <c r="F1565" s="378">
        <v>120000</v>
      </c>
      <c r="G1565" s="378">
        <v>0</v>
      </c>
      <c r="H1565" s="378">
        <v>0</v>
      </c>
      <c r="I1565" s="378">
        <v>120000</v>
      </c>
      <c r="J1565" s="267">
        <f t="shared" si="25"/>
        <v>8</v>
      </c>
    </row>
    <row r="1566" spans="1:10" ht="15" customHeight="1" x14ac:dyDescent="0.25">
      <c r="A1566" s="380">
        <v>52054801</v>
      </c>
      <c r="B1566" s="381" t="s">
        <v>315</v>
      </c>
      <c r="C1566" s="381" t="s">
        <v>1325</v>
      </c>
      <c r="D1566" s="381" t="s">
        <v>1663</v>
      </c>
      <c r="E1566" s="381" t="s">
        <v>1664</v>
      </c>
      <c r="F1566" s="378">
        <v>120000</v>
      </c>
      <c r="G1566" s="378">
        <v>0</v>
      </c>
      <c r="H1566" s="378">
        <v>0</v>
      </c>
      <c r="I1566" s="378">
        <v>120000</v>
      </c>
      <c r="J1566" s="267">
        <f t="shared" si="25"/>
        <v>8</v>
      </c>
    </row>
    <row r="1567" spans="1:10" ht="15" customHeight="1" x14ac:dyDescent="0.25">
      <c r="A1567" s="380">
        <v>52054801</v>
      </c>
      <c r="B1567" s="381" t="s">
        <v>315</v>
      </c>
      <c r="C1567" s="381" t="s">
        <v>1325</v>
      </c>
      <c r="D1567" s="381" t="s">
        <v>1609</v>
      </c>
      <c r="E1567" s="381" t="s">
        <v>1610</v>
      </c>
      <c r="F1567" s="378">
        <v>96000</v>
      </c>
      <c r="G1567" s="378">
        <v>0</v>
      </c>
      <c r="H1567" s="378">
        <v>0</v>
      </c>
      <c r="I1567" s="378">
        <v>96000</v>
      </c>
      <c r="J1567" s="267">
        <f t="shared" si="25"/>
        <v>8</v>
      </c>
    </row>
    <row r="1568" spans="1:10" ht="15" customHeight="1" x14ac:dyDescent="0.25">
      <c r="A1568" s="380">
        <v>52054801</v>
      </c>
      <c r="B1568" s="381" t="s">
        <v>315</v>
      </c>
      <c r="C1568" s="381" t="s">
        <v>1325</v>
      </c>
      <c r="D1568" s="381" t="s">
        <v>1210</v>
      </c>
      <c r="E1568" s="381" t="s">
        <v>1611</v>
      </c>
      <c r="F1568" s="378">
        <v>120000</v>
      </c>
      <c r="G1568" s="378">
        <v>0</v>
      </c>
      <c r="H1568" s="378">
        <v>0</v>
      </c>
      <c r="I1568" s="378">
        <v>120000</v>
      </c>
      <c r="J1568" s="267">
        <f t="shared" si="25"/>
        <v>8</v>
      </c>
    </row>
    <row r="1569" spans="1:10" ht="15" customHeight="1" x14ac:dyDescent="0.25">
      <c r="A1569" s="380">
        <v>52054801</v>
      </c>
      <c r="B1569" s="381" t="s">
        <v>315</v>
      </c>
      <c r="C1569" s="381" t="s">
        <v>1325</v>
      </c>
      <c r="D1569" s="381" t="s">
        <v>792</v>
      </c>
      <c r="E1569" s="381" t="s">
        <v>1534</v>
      </c>
      <c r="F1569" s="378">
        <v>150000</v>
      </c>
      <c r="G1569" s="378">
        <v>0</v>
      </c>
      <c r="H1569" s="378">
        <v>0</v>
      </c>
      <c r="I1569" s="378">
        <v>150000</v>
      </c>
      <c r="J1569" s="267">
        <f t="shared" si="25"/>
        <v>8</v>
      </c>
    </row>
    <row r="1570" spans="1:10" ht="15" customHeight="1" x14ac:dyDescent="0.25">
      <c r="A1570" s="380">
        <v>52054801</v>
      </c>
      <c r="B1570" s="381" t="s">
        <v>315</v>
      </c>
      <c r="C1570" s="381" t="s">
        <v>1325</v>
      </c>
      <c r="D1570" s="381" t="s">
        <v>1688</v>
      </c>
      <c r="E1570" s="381" t="s">
        <v>1689</v>
      </c>
      <c r="F1570" s="378">
        <v>96000</v>
      </c>
      <c r="G1570" s="378">
        <v>0</v>
      </c>
      <c r="H1570" s="378">
        <v>0</v>
      </c>
      <c r="I1570" s="378">
        <v>96000</v>
      </c>
      <c r="J1570" s="267">
        <f t="shared" si="25"/>
        <v>8</v>
      </c>
    </row>
    <row r="1571" spans="1:10" ht="15" customHeight="1" x14ac:dyDescent="0.25">
      <c r="A1571" s="380">
        <v>52054801</v>
      </c>
      <c r="B1571" s="381" t="s">
        <v>315</v>
      </c>
      <c r="C1571" s="381" t="s">
        <v>1325</v>
      </c>
      <c r="D1571" s="381" t="s">
        <v>1669</v>
      </c>
      <c r="E1571" s="381" t="s">
        <v>1670</v>
      </c>
      <c r="F1571" s="378">
        <v>120000</v>
      </c>
      <c r="G1571" s="378">
        <v>0</v>
      </c>
      <c r="H1571" s="378">
        <v>0</v>
      </c>
      <c r="I1571" s="378">
        <v>120000</v>
      </c>
      <c r="J1571" s="267">
        <f t="shared" si="25"/>
        <v>8</v>
      </c>
    </row>
    <row r="1572" spans="1:10" ht="15" customHeight="1" x14ac:dyDescent="0.25">
      <c r="A1572" s="380">
        <v>52054801</v>
      </c>
      <c r="B1572" s="381" t="s">
        <v>315</v>
      </c>
      <c r="C1572" s="381" t="s">
        <v>1325</v>
      </c>
      <c r="D1572" s="381" t="s">
        <v>1671</v>
      </c>
      <c r="E1572" s="381" t="s">
        <v>1672</v>
      </c>
      <c r="F1572" s="378">
        <v>0</v>
      </c>
      <c r="G1572" s="378">
        <v>120000</v>
      </c>
      <c r="H1572" s="378">
        <v>0</v>
      </c>
      <c r="I1572" s="378">
        <v>120000</v>
      </c>
      <c r="J1572" s="267">
        <f t="shared" si="25"/>
        <v>8</v>
      </c>
    </row>
    <row r="1573" spans="1:10" ht="15" customHeight="1" x14ac:dyDescent="0.25">
      <c r="A1573" s="380">
        <v>52054801</v>
      </c>
      <c r="B1573" s="381" t="s">
        <v>315</v>
      </c>
      <c r="C1573" s="381" t="s">
        <v>1325</v>
      </c>
      <c r="D1573" s="381" t="s">
        <v>1673</v>
      </c>
      <c r="E1573" s="381" t="s">
        <v>1674</v>
      </c>
      <c r="F1573" s="378">
        <v>120000</v>
      </c>
      <c r="G1573" s="378">
        <v>0</v>
      </c>
      <c r="H1573" s="378">
        <v>0</v>
      </c>
      <c r="I1573" s="378">
        <v>120000</v>
      </c>
      <c r="J1573" s="267">
        <f t="shared" si="25"/>
        <v>8</v>
      </c>
    </row>
    <row r="1574" spans="1:10" ht="15" customHeight="1" x14ac:dyDescent="0.25">
      <c r="A1574" s="380">
        <v>52054802</v>
      </c>
      <c r="B1574" s="381" t="s">
        <v>321</v>
      </c>
      <c r="C1574" s="381" t="s">
        <v>1326</v>
      </c>
      <c r="D1574" s="381" t="s">
        <v>315</v>
      </c>
      <c r="E1574" s="381" t="s">
        <v>315</v>
      </c>
      <c r="F1574" s="378">
        <v>4300496</v>
      </c>
      <c r="G1574" s="378">
        <v>183320</v>
      </c>
      <c r="H1574" s="378">
        <v>0</v>
      </c>
      <c r="I1574" s="378">
        <v>4483816</v>
      </c>
      <c r="J1574" s="267">
        <f t="shared" si="25"/>
        <v>8</v>
      </c>
    </row>
    <row r="1575" spans="1:10" ht="15" customHeight="1" x14ac:dyDescent="0.25">
      <c r="A1575" s="380">
        <v>52054802</v>
      </c>
      <c r="B1575" s="381" t="s">
        <v>321</v>
      </c>
      <c r="C1575" s="381" t="s">
        <v>1326</v>
      </c>
      <c r="D1575" s="381" t="s">
        <v>1488</v>
      </c>
      <c r="E1575" s="381" t="s">
        <v>1682</v>
      </c>
      <c r="F1575" s="378">
        <v>60000</v>
      </c>
      <c r="G1575" s="378">
        <v>0</v>
      </c>
      <c r="H1575" s="378">
        <v>0</v>
      </c>
      <c r="I1575" s="378">
        <v>60000</v>
      </c>
      <c r="J1575" s="267">
        <f t="shared" si="25"/>
        <v>8</v>
      </c>
    </row>
    <row r="1576" spans="1:10" ht="15" customHeight="1" x14ac:dyDescent="0.25">
      <c r="A1576" s="380">
        <v>52054802</v>
      </c>
      <c r="B1576" s="381" t="s">
        <v>321</v>
      </c>
      <c r="C1576" s="381" t="s">
        <v>1326</v>
      </c>
      <c r="D1576" s="381" t="s">
        <v>1535</v>
      </c>
      <c r="E1576" s="381" t="s">
        <v>1536</v>
      </c>
      <c r="F1576" s="378">
        <v>264000</v>
      </c>
      <c r="G1576" s="378">
        <v>0</v>
      </c>
      <c r="H1576" s="378">
        <v>0</v>
      </c>
      <c r="I1576" s="378">
        <v>264000</v>
      </c>
      <c r="J1576" s="267">
        <f t="shared" si="25"/>
        <v>8</v>
      </c>
    </row>
    <row r="1577" spans="1:10" ht="15" customHeight="1" x14ac:dyDescent="0.25">
      <c r="A1577" s="380">
        <v>52054802</v>
      </c>
      <c r="B1577" s="381" t="s">
        <v>321</v>
      </c>
      <c r="C1577" s="381" t="s">
        <v>1326</v>
      </c>
      <c r="D1577" s="381" t="s">
        <v>1604</v>
      </c>
      <c r="E1577" s="381" t="s">
        <v>1605</v>
      </c>
      <c r="F1577" s="378">
        <v>120000</v>
      </c>
      <c r="G1577" s="378">
        <v>0</v>
      </c>
      <c r="H1577" s="378">
        <v>0</v>
      </c>
      <c r="I1577" s="378">
        <v>120000</v>
      </c>
      <c r="J1577" s="267">
        <f t="shared" si="25"/>
        <v>8</v>
      </c>
    </row>
    <row r="1578" spans="1:10" ht="15" customHeight="1" x14ac:dyDescent="0.25">
      <c r="A1578" s="380">
        <v>52054802</v>
      </c>
      <c r="B1578" s="381" t="s">
        <v>321</v>
      </c>
      <c r="C1578" s="381" t="s">
        <v>1326</v>
      </c>
      <c r="D1578" s="381" t="s">
        <v>781</v>
      </c>
      <c r="E1578" s="381" t="s">
        <v>1718</v>
      </c>
      <c r="F1578" s="378">
        <v>0</v>
      </c>
      <c r="G1578" s="378">
        <v>73066</v>
      </c>
      <c r="H1578" s="378">
        <v>0</v>
      </c>
      <c r="I1578" s="378">
        <v>73066</v>
      </c>
      <c r="J1578" s="267">
        <f t="shared" si="25"/>
        <v>8</v>
      </c>
    </row>
    <row r="1579" spans="1:10" ht="15" customHeight="1" x14ac:dyDescent="0.25">
      <c r="A1579" s="380">
        <v>52054802</v>
      </c>
      <c r="B1579" s="381" t="s">
        <v>321</v>
      </c>
      <c r="C1579" s="381" t="s">
        <v>1326</v>
      </c>
      <c r="D1579" s="381" t="s">
        <v>1649</v>
      </c>
      <c r="E1579" s="381" t="s">
        <v>1650</v>
      </c>
      <c r="F1579" s="378">
        <v>264000</v>
      </c>
      <c r="G1579" s="378">
        <v>0</v>
      </c>
      <c r="H1579" s="378">
        <v>0</v>
      </c>
      <c r="I1579" s="378">
        <v>264000</v>
      </c>
      <c r="J1579" s="267">
        <f t="shared" si="25"/>
        <v>8</v>
      </c>
    </row>
    <row r="1580" spans="1:10" ht="15" customHeight="1" x14ac:dyDescent="0.25">
      <c r="A1580" s="380">
        <v>52054802</v>
      </c>
      <c r="B1580" s="381" t="s">
        <v>321</v>
      </c>
      <c r="C1580" s="381" t="s">
        <v>1326</v>
      </c>
      <c r="D1580" s="381" t="s">
        <v>1690</v>
      </c>
      <c r="E1580" s="381" t="s">
        <v>1691</v>
      </c>
      <c r="F1580" s="378">
        <v>60000</v>
      </c>
      <c r="G1580" s="378">
        <v>0</v>
      </c>
      <c r="H1580" s="378">
        <v>0</v>
      </c>
      <c r="I1580" s="378">
        <v>60000</v>
      </c>
      <c r="J1580" s="267">
        <f t="shared" si="25"/>
        <v>8</v>
      </c>
    </row>
    <row r="1581" spans="1:10" ht="15" customHeight="1" x14ac:dyDescent="0.25">
      <c r="A1581" s="380">
        <v>52054802</v>
      </c>
      <c r="B1581" s="381" t="s">
        <v>321</v>
      </c>
      <c r="C1581" s="381" t="s">
        <v>1326</v>
      </c>
      <c r="D1581" s="381" t="s">
        <v>1651</v>
      </c>
      <c r="E1581" s="381" t="s">
        <v>1652</v>
      </c>
      <c r="F1581" s="378">
        <v>244000</v>
      </c>
      <c r="G1581" s="378">
        <v>0</v>
      </c>
      <c r="H1581" s="378">
        <v>0</v>
      </c>
      <c r="I1581" s="378">
        <v>244000</v>
      </c>
      <c r="J1581" s="267">
        <f t="shared" si="25"/>
        <v>8</v>
      </c>
    </row>
    <row r="1582" spans="1:10" ht="15" customHeight="1" x14ac:dyDescent="0.25">
      <c r="A1582" s="380">
        <v>52054802</v>
      </c>
      <c r="B1582" s="381" t="s">
        <v>321</v>
      </c>
      <c r="C1582" s="381" t="s">
        <v>1326</v>
      </c>
      <c r="D1582" s="381" t="s">
        <v>1443</v>
      </c>
      <c r="E1582" s="381" t="s">
        <v>1530</v>
      </c>
      <c r="F1582" s="378">
        <v>671954</v>
      </c>
      <c r="G1582" s="378">
        <v>0</v>
      </c>
      <c r="H1582" s="378">
        <v>0</v>
      </c>
      <c r="I1582" s="378">
        <v>671954</v>
      </c>
      <c r="J1582" s="267">
        <f t="shared" si="25"/>
        <v>8</v>
      </c>
    </row>
    <row r="1583" spans="1:10" ht="15" customHeight="1" x14ac:dyDescent="0.25">
      <c r="A1583" s="380">
        <v>52054802</v>
      </c>
      <c r="B1583" s="381" t="s">
        <v>321</v>
      </c>
      <c r="C1583" s="381" t="s">
        <v>1326</v>
      </c>
      <c r="D1583" s="381" t="s">
        <v>1653</v>
      </c>
      <c r="E1583" s="381" t="s">
        <v>1654</v>
      </c>
      <c r="F1583" s="378">
        <v>120000</v>
      </c>
      <c r="G1583" s="378">
        <v>0</v>
      </c>
      <c r="H1583" s="378">
        <v>0</v>
      </c>
      <c r="I1583" s="378">
        <v>120000</v>
      </c>
      <c r="J1583" s="267">
        <f t="shared" si="25"/>
        <v>8</v>
      </c>
    </row>
    <row r="1584" spans="1:10" ht="15" customHeight="1" x14ac:dyDescent="0.25">
      <c r="A1584" s="380">
        <v>52054802</v>
      </c>
      <c r="B1584" s="381" t="s">
        <v>321</v>
      </c>
      <c r="C1584" s="381" t="s">
        <v>1326</v>
      </c>
      <c r="D1584" s="381" t="s">
        <v>1683</v>
      </c>
      <c r="E1584" s="381" t="s">
        <v>1684</v>
      </c>
      <c r="F1584" s="378">
        <v>120000</v>
      </c>
      <c r="G1584" s="378">
        <v>0</v>
      </c>
      <c r="H1584" s="378">
        <v>0</v>
      </c>
      <c r="I1584" s="378">
        <v>120000</v>
      </c>
      <c r="J1584" s="267">
        <f t="shared" si="25"/>
        <v>8</v>
      </c>
    </row>
    <row r="1585" spans="1:10" ht="15" customHeight="1" x14ac:dyDescent="0.25">
      <c r="A1585" s="380">
        <v>52054802</v>
      </c>
      <c r="B1585" s="381" t="s">
        <v>321</v>
      </c>
      <c r="C1585" s="381" t="s">
        <v>1326</v>
      </c>
      <c r="D1585" s="381" t="s">
        <v>1606</v>
      </c>
      <c r="E1585" s="381" t="s">
        <v>1607</v>
      </c>
      <c r="F1585" s="378">
        <v>120000</v>
      </c>
      <c r="G1585" s="378">
        <v>0</v>
      </c>
      <c r="H1585" s="378">
        <v>0</v>
      </c>
      <c r="I1585" s="378">
        <v>120000</v>
      </c>
      <c r="J1585" s="267">
        <f t="shared" si="25"/>
        <v>8</v>
      </c>
    </row>
    <row r="1586" spans="1:10" ht="15" customHeight="1" x14ac:dyDescent="0.25">
      <c r="A1586" s="380">
        <v>52054802</v>
      </c>
      <c r="B1586" s="381" t="s">
        <v>321</v>
      </c>
      <c r="C1586" s="381" t="s">
        <v>1326</v>
      </c>
      <c r="D1586" s="381" t="s">
        <v>1657</v>
      </c>
      <c r="E1586" s="381" t="s">
        <v>1658</v>
      </c>
      <c r="F1586" s="378">
        <v>120000</v>
      </c>
      <c r="G1586" s="378">
        <v>0</v>
      </c>
      <c r="H1586" s="378">
        <v>0</v>
      </c>
      <c r="I1586" s="378">
        <v>120000</v>
      </c>
      <c r="J1586" s="267">
        <f t="shared" si="25"/>
        <v>8</v>
      </c>
    </row>
    <row r="1587" spans="1:10" ht="15" customHeight="1" x14ac:dyDescent="0.25">
      <c r="A1587" s="380">
        <v>52054802</v>
      </c>
      <c r="B1587" s="381" t="s">
        <v>321</v>
      </c>
      <c r="C1587" s="381" t="s">
        <v>1326</v>
      </c>
      <c r="D1587" s="381" t="s">
        <v>1659</v>
      </c>
      <c r="E1587" s="381" t="s">
        <v>1660</v>
      </c>
      <c r="F1587" s="378">
        <v>150000</v>
      </c>
      <c r="G1587" s="378">
        <v>0</v>
      </c>
      <c r="H1587" s="378">
        <v>0</v>
      </c>
      <c r="I1587" s="378">
        <v>150000</v>
      </c>
      <c r="J1587" s="267">
        <f t="shared" si="25"/>
        <v>8</v>
      </c>
    </row>
    <row r="1588" spans="1:10" ht="15" customHeight="1" x14ac:dyDescent="0.25">
      <c r="A1588" s="380">
        <v>52054802</v>
      </c>
      <c r="B1588" s="381" t="s">
        <v>321</v>
      </c>
      <c r="C1588" s="381" t="s">
        <v>1326</v>
      </c>
      <c r="D1588" s="381" t="s">
        <v>1527</v>
      </c>
      <c r="E1588" s="381" t="s">
        <v>1528</v>
      </c>
      <c r="F1588" s="378">
        <v>120000</v>
      </c>
      <c r="G1588" s="378">
        <v>0</v>
      </c>
      <c r="H1588" s="378">
        <v>0</v>
      </c>
      <c r="I1588" s="378">
        <v>120000</v>
      </c>
      <c r="J1588" s="267">
        <f t="shared" si="25"/>
        <v>8</v>
      </c>
    </row>
    <row r="1589" spans="1:10" ht="15" customHeight="1" x14ac:dyDescent="0.25">
      <c r="A1589" s="380">
        <v>52054802</v>
      </c>
      <c r="B1589" s="381" t="s">
        <v>321</v>
      </c>
      <c r="C1589" s="381" t="s">
        <v>1326</v>
      </c>
      <c r="D1589" s="381" t="s">
        <v>1444</v>
      </c>
      <c r="E1589" s="381" t="s">
        <v>1533</v>
      </c>
      <c r="F1589" s="378">
        <v>622542</v>
      </c>
      <c r="G1589" s="378">
        <v>110254</v>
      </c>
      <c r="H1589" s="378">
        <v>0</v>
      </c>
      <c r="I1589" s="378">
        <v>732796</v>
      </c>
      <c r="J1589" s="267">
        <f t="shared" si="25"/>
        <v>8</v>
      </c>
    </row>
    <row r="1590" spans="1:10" ht="15" customHeight="1" x14ac:dyDescent="0.25">
      <c r="A1590" s="380">
        <v>52054802</v>
      </c>
      <c r="B1590" s="381" t="s">
        <v>321</v>
      </c>
      <c r="C1590" s="381" t="s">
        <v>1326</v>
      </c>
      <c r="D1590" s="381" t="s">
        <v>1661</v>
      </c>
      <c r="E1590" s="381" t="s">
        <v>1662</v>
      </c>
      <c r="F1590" s="378">
        <v>264000</v>
      </c>
      <c r="G1590" s="378">
        <v>0</v>
      </c>
      <c r="H1590" s="378">
        <v>0</v>
      </c>
      <c r="I1590" s="378">
        <v>264000</v>
      </c>
      <c r="J1590" s="267">
        <f t="shared" si="25"/>
        <v>8</v>
      </c>
    </row>
    <row r="1591" spans="1:10" ht="15" customHeight="1" x14ac:dyDescent="0.25">
      <c r="A1591" s="380">
        <v>52054802</v>
      </c>
      <c r="B1591" s="381" t="s">
        <v>321</v>
      </c>
      <c r="C1591" s="381" t="s">
        <v>1326</v>
      </c>
      <c r="D1591" s="381" t="s">
        <v>1663</v>
      </c>
      <c r="E1591" s="381" t="s">
        <v>1664</v>
      </c>
      <c r="F1591" s="378">
        <v>120000</v>
      </c>
      <c r="G1591" s="378">
        <v>0</v>
      </c>
      <c r="H1591" s="378">
        <v>0</v>
      </c>
      <c r="I1591" s="378">
        <v>120000</v>
      </c>
      <c r="J1591" s="267">
        <f t="shared" si="25"/>
        <v>8</v>
      </c>
    </row>
    <row r="1592" spans="1:10" ht="15" customHeight="1" x14ac:dyDescent="0.25">
      <c r="A1592" s="380">
        <v>52054802</v>
      </c>
      <c r="B1592" s="381" t="s">
        <v>321</v>
      </c>
      <c r="C1592" s="381" t="s">
        <v>1326</v>
      </c>
      <c r="D1592" s="381" t="s">
        <v>1609</v>
      </c>
      <c r="E1592" s="381" t="s">
        <v>1610</v>
      </c>
      <c r="F1592" s="378">
        <v>144000</v>
      </c>
      <c r="G1592" s="378">
        <v>0</v>
      </c>
      <c r="H1592" s="378">
        <v>0</v>
      </c>
      <c r="I1592" s="378">
        <v>144000</v>
      </c>
      <c r="J1592" s="267">
        <f t="shared" si="25"/>
        <v>8</v>
      </c>
    </row>
    <row r="1593" spans="1:10" ht="15" customHeight="1" x14ac:dyDescent="0.25">
      <c r="A1593" s="380">
        <v>52054802</v>
      </c>
      <c r="B1593" s="381" t="s">
        <v>321</v>
      </c>
      <c r="C1593" s="381" t="s">
        <v>1326</v>
      </c>
      <c r="D1593" s="381" t="s">
        <v>1210</v>
      </c>
      <c r="E1593" s="381" t="s">
        <v>1611</v>
      </c>
      <c r="F1593" s="378">
        <v>72000</v>
      </c>
      <c r="G1593" s="378">
        <v>0</v>
      </c>
      <c r="H1593" s="378">
        <v>0</v>
      </c>
      <c r="I1593" s="378">
        <v>72000</v>
      </c>
      <c r="J1593" s="267">
        <f t="shared" si="25"/>
        <v>8</v>
      </c>
    </row>
    <row r="1594" spans="1:10" ht="15" customHeight="1" x14ac:dyDescent="0.25">
      <c r="A1594" s="380">
        <v>52054802</v>
      </c>
      <c r="B1594" s="381" t="s">
        <v>321</v>
      </c>
      <c r="C1594" s="381" t="s">
        <v>1326</v>
      </c>
      <c r="D1594" s="381" t="s">
        <v>792</v>
      </c>
      <c r="E1594" s="381" t="s">
        <v>1534</v>
      </c>
      <c r="F1594" s="378">
        <v>150000</v>
      </c>
      <c r="G1594" s="378">
        <v>0</v>
      </c>
      <c r="H1594" s="378">
        <v>0</v>
      </c>
      <c r="I1594" s="378">
        <v>150000</v>
      </c>
      <c r="J1594" s="267">
        <f t="shared" si="25"/>
        <v>8</v>
      </c>
    </row>
    <row r="1595" spans="1:10" ht="15" customHeight="1" x14ac:dyDescent="0.25">
      <c r="A1595" s="380">
        <v>52054802</v>
      </c>
      <c r="B1595" s="381" t="s">
        <v>321</v>
      </c>
      <c r="C1595" s="381" t="s">
        <v>1326</v>
      </c>
      <c r="D1595" s="381" t="s">
        <v>1492</v>
      </c>
      <c r="E1595" s="381" t="s">
        <v>1493</v>
      </c>
      <c r="F1595" s="378">
        <v>182000</v>
      </c>
      <c r="G1595" s="378">
        <v>0</v>
      </c>
      <c r="H1595" s="378">
        <v>0</v>
      </c>
      <c r="I1595" s="378">
        <v>182000</v>
      </c>
      <c r="J1595" s="267">
        <f t="shared" si="25"/>
        <v>8</v>
      </c>
    </row>
    <row r="1596" spans="1:10" ht="15" customHeight="1" x14ac:dyDescent="0.25">
      <c r="A1596" s="380">
        <v>52054802</v>
      </c>
      <c r="B1596" s="381" t="s">
        <v>321</v>
      </c>
      <c r="C1596" s="381" t="s">
        <v>1326</v>
      </c>
      <c r="D1596" s="381" t="s">
        <v>1667</v>
      </c>
      <c r="E1596" s="381" t="s">
        <v>1668</v>
      </c>
      <c r="F1596" s="378">
        <v>72000</v>
      </c>
      <c r="G1596" s="378">
        <v>0</v>
      </c>
      <c r="H1596" s="378">
        <v>0</v>
      </c>
      <c r="I1596" s="378">
        <v>72000</v>
      </c>
      <c r="J1596" s="267">
        <f t="shared" si="25"/>
        <v>8</v>
      </c>
    </row>
    <row r="1597" spans="1:10" ht="15" customHeight="1" x14ac:dyDescent="0.25">
      <c r="A1597" s="380">
        <v>52054802</v>
      </c>
      <c r="B1597" s="381" t="s">
        <v>321</v>
      </c>
      <c r="C1597" s="381" t="s">
        <v>1326</v>
      </c>
      <c r="D1597" s="381" t="s">
        <v>1669</v>
      </c>
      <c r="E1597" s="381" t="s">
        <v>1670</v>
      </c>
      <c r="F1597" s="378">
        <v>120000</v>
      </c>
      <c r="G1597" s="378">
        <v>0</v>
      </c>
      <c r="H1597" s="378">
        <v>0</v>
      </c>
      <c r="I1597" s="378">
        <v>120000</v>
      </c>
      <c r="J1597" s="267">
        <f t="shared" si="25"/>
        <v>8</v>
      </c>
    </row>
    <row r="1598" spans="1:10" ht="15" customHeight="1" x14ac:dyDescent="0.25">
      <c r="A1598" s="380">
        <v>52054802</v>
      </c>
      <c r="B1598" s="381" t="s">
        <v>321</v>
      </c>
      <c r="C1598" s="381" t="s">
        <v>1326</v>
      </c>
      <c r="D1598" s="381" t="s">
        <v>1673</v>
      </c>
      <c r="E1598" s="381" t="s">
        <v>1674</v>
      </c>
      <c r="F1598" s="378">
        <v>120000</v>
      </c>
      <c r="G1598" s="378">
        <v>0</v>
      </c>
      <c r="H1598" s="378">
        <v>0</v>
      </c>
      <c r="I1598" s="378">
        <v>120000</v>
      </c>
      <c r="J1598" s="267">
        <f t="shared" si="25"/>
        <v>8</v>
      </c>
    </row>
    <row r="1599" spans="1:10" ht="15" customHeight="1" x14ac:dyDescent="0.25">
      <c r="A1599" s="380">
        <v>520551</v>
      </c>
      <c r="B1599" s="381" t="s">
        <v>315</v>
      </c>
      <c r="C1599" s="381" t="s">
        <v>1327</v>
      </c>
      <c r="D1599" s="381" t="s">
        <v>315</v>
      </c>
      <c r="E1599" s="381" t="s">
        <v>315</v>
      </c>
      <c r="F1599" s="378">
        <v>4728102</v>
      </c>
      <c r="G1599" s="378">
        <v>485218</v>
      </c>
      <c r="H1599" s="378">
        <v>55462</v>
      </c>
      <c r="I1599" s="378">
        <v>5157858</v>
      </c>
      <c r="J1599" s="267">
        <f t="shared" si="25"/>
        <v>6</v>
      </c>
    </row>
    <row r="1600" spans="1:10" ht="15" customHeight="1" x14ac:dyDescent="0.25">
      <c r="A1600" s="380">
        <v>52055101</v>
      </c>
      <c r="B1600" s="381" t="s">
        <v>315</v>
      </c>
      <c r="C1600" s="381" t="s">
        <v>1327</v>
      </c>
      <c r="D1600" s="381" t="s">
        <v>315</v>
      </c>
      <c r="E1600" s="381" t="s">
        <v>315</v>
      </c>
      <c r="F1600" s="378">
        <v>4728102</v>
      </c>
      <c r="G1600" s="378">
        <v>485218</v>
      </c>
      <c r="H1600" s="378">
        <v>55462</v>
      </c>
      <c r="I1600" s="378">
        <v>5157858</v>
      </c>
      <c r="J1600" s="267">
        <f t="shared" si="25"/>
        <v>8</v>
      </c>
    </row>
    <row r="1601" spans="1:10" ht="15" customHeight="1" x14ac:dyDescent="0.25">
      <c r="A1601" s="380">
        <v>52055101</v>
      </c>
      <c r="B1601" s="381" t="s">
        <v>315</v>
      </c>
      <c r="C1601" s="381" t="s">
        <v>1327</v>
      </c>
      <c r="D1601" s="381" t="s">
        <v>429</v>
      </c>
      <c r="E1601" s="381" t="s">
        <v>430</v>
      </c>
      <c r="F1601" s="378">
        <v>4552000</v>
      </c>
      <c r="G1601" s="378">
        <v>339000</v>
      </c>
      <c r="H1601" s="378">
        <v>0</v>
      </c>
      <c r="I1601" s="378">
        <v>4891000</v>
      </c>
      <c r="J1601" s="267">
        <f t="shared" si="25"/>
        <v>8</v>
      </c>
    </row>
    <row r="1602" spans="1:10" ht="15" customHeight="1" x14ac:dyDescent="0.25">
      <c r="A1602" s="380">
        <v>52055101</v>
      </c>
      <c r="B1602" s="381" t="s">
        <v>315</v>
      </c>
      <c r="C1602" s="381" t="s">
        <v>1327</v>
      </c>
      <c r="D1602" s="381" t="s">
        <v>1168</v>
      </c>
      <c r="E1602" s="381" t="s">
        <v>1169</v>
      </c>
      <c r="F1602" s="378">
        <v>65178</v>
      </c>
      <c r="G1602" s="378">
        <v>0</v>
      </c>
      <c r="H1602" s="378">
        <v>0</v>
      </c>
      <c r="I1602" s="378">
        <v>65178</v>
      </c>
      <c r="J1602" s="267">
        <f t="shared" si="25"/>
        <v>8</v>
      </c>
    </row>
    <row r="1603" spans="1:10" ht="15" customHeight="1" x14ac:dyDescent="0.25">
      <c r="A1603" s="380">
        <v>52055101</v>
      </c>
      <c r="B1603" s="381" t="s">
        <v>315</v>
      </c>
      <c r="C1603" s="381" t="s">
        <v>1327</v>
      </c>
      <c r="D1603" s="381" t="s">
        <v>1019</v>
      </c>
      <c r="E1603" s="381" t="s">
        <v>1020</v>
      </c>
      <c r="F1603" s="378">
        <v>110924</v>
      </c>
      <c r="G1603" s="378">
        <v>146218</v>
      </c>
      <c r="H1603" s="378">
        <v>55462</v>
      </c>
      <c r="I1603" s="378">
        <v>201680</v>
      </c>
      <c r="J1603" s="267">
        <f t="shared" si="25"/>
        <v>8</v>
      </c>
    </row>
    <row r="1604" spans="1:10" ht="15" customHeight="1" x14ac:dyDescent="0.25">
      <c r="A1604" s="380">
        <v>520563</v>
      </c>
      <c r="B1604" s="381" t="s">
        <v>315</v>
      </c>
      <c r="C1604" s="381" t="s">
        <v>1328</v>
      </c>
      <c r="D1604" s="381" t="s">
        <v>315</v>
      </c>
      <c r="E1604" s="381" t="s">
        <v>315</v>
      </c>
      <c r="F1604" s="378">
        <v>72000</v>
      </c>
      <c r="G1604" s="378">
        <v>0</v>
      </c>
      <c r="H1604" s="378">
        <v>0</v>
      </c>
      <c r="I1604" s="378">
        <v>72000</v>
      </c>
      <c r="J1604" s="267">
        <f t="shared" si="25"/>
        <v>6</v>
      </c>
    </row>
    <row r="1605" spans="1:10" ht="15" customHeight="1" x14ac:dyDescent="0.25">
      <c r="A1605" s="380">
        <v>52056301</v>
      </c>
      <c r="B1605" s="381" t="s">
        <v>315</v>
      </c>
      <c r="C1605" s="381" t="s">
        <v>1328</v>
      </c>
      <c r="D1605" s="381" t="s">
        <v>315</v>
      </c>
      <c r="E1605" s="381" t="s">
        <v>315</v>
      </c>
      <c r="F1605" s="378">
        <v>72000</v>
      </c>
      <c r="G1605" s="378">
        <v>0</v>
      </c>
      <c r="H1605" s="378">
        <v>0</v>
      </c>
      <c r="I1605" s="378">
        <v>72000</v>
      </c>
      <c r="J1605" s="267">
        <f t="shared" si="25"/>
        <v>8</v>
      </c>
    </row>
    <row r="1606" spans="1:10" ht="15" customHeight="1" x14ac:dyDescent="0.25">
      <c r="A1606" s="380">
        <v>52056301</v>
      </c>
      <c r="B1606" s="381" t="s">
        <v>315</v>
      </c>
      <c r="C1606" s="381" t="s">
        <v>1328</v>
      </c>
      <c r="D1606" s="381" t="s">
        <v>1006</v>
      </c>
      <c r="E1606" s="381" t="s">
        <v>1007</v>
      </c>
      <c r="F1606" s="378">
        <v>72000</v>
      </c>
      <c r="G1606" s="378">
        <v>0</v>
      </c>
      <c r="H1606" s="378">
        <v>0</v>
      </c>
      <c r="I1606" s="378">
        <v>72000</v>
      </c>
      <c r="J1606" s="267">
        <f t="shared" si="25"/>
        <v>8</v>
      </c>
    </row>
    <row r="1607" spans="1:10" ht="15" customHeight="1" x14ac:dyDescent="0.25">
      <c r="A1607" s="380">
        <v>520584</v>
      </c>
      <c r="B1607" s="381" t="s">
        <v>315</v>
      </c>
      <c r="C1607" s="381" t="s">
        <v>1329</v>
      </c>
      <c r="D1607" s="381" t="s">
        <v>315</v>
      </c>
      <c r="E1607" s="381" t="s">
        <v>315</v>
      </c>
      <c r="F1607" s="378">
        <v>1603250</v>
      </c>
      <c r="G1607" s="378">
        <v>237739</v>
      </c>
      <c r="H1607" s="378">
        <v>0</v>
      </c>
      <c r="I1607" s="378">
        <v>1840989</v>
      </c>
      <c r="J1607" s="267">
        <f t="shared" si="25"/>
        <v>6</v>
      </c>
    </row>
    <row r="1608" spans="1:10" ht="15" customHeight="1" x14ac:dyDescent="0.25">
      <c r="A1608" s="380">
        <v>52058401</v>
      </c>
      <c r="B1608" s="381" t="s">
        <v>315</v>
      </c>
      <c r="C1608" s="381" t="s">
        <v>1329</v>
      </c>
      <c r="D1608" s="381" t="s">
        <v>315</v>
      </c>
      <c r="E1608" s="381" t="s">
        <v>315</v>
      </c>
      <c r="F1608" s="378">
        <v>1603250</v>
      </c>
      <c r="G1608" s="378">
        <v>237739</v>
      </c>
      <c r="H1608" s="378">
        <v>0</v>
      </c>
      <c r="I1608" s="378">
        <v>1840989</v>
      </c>
      <c r="J1608" s="267">
        <f t="shared" si="25"/>
        <v>8</v>
      </c>
    </row>
    <row r="1609" spans="1:10" ht="15" customHeight="1" x14ac:dyDescent="0.25">
      <c r="A1609" s="380">
        <v>52058401</v>
      </c>
      <c r="B1609" s="381" t="s">
        <v>315</v>
      </c>
      <c r="C1609" s="381" t="s">
        <v>1329</v>
      </c>
      <c r="D1609" s="381" t="s">
        <v>1141</v>
      </c>
      <c r="E1609" s="381" t="s">
        <v>1142</v>
      </c>
      <c r="F1609" s="378">
        <v>15221</v>
      </c>
      <c r="G1609" s="378">
        <v>0</v>
      </c>
      <c r="H1609" s="378">
        <v>0</v>
      </c>
      <c r="I1609" s="378">
        <v>15221</v>
      </c>
      <c r="J1609" s="267">
        <f t="shared" si="25"/>
        <v>8</v>
      </c>
    </row>
    <row r="1610" spans="1:10" ht="15" customHeight="1" x14ac:dyDescent="0.25">
      <c r="A1610" s="380">
        <v>52058401</v>
      </c>
      <c r="B1610" s="381" t="s">
        <v>315</v>
      </c>
      <c r="C1610" s="381" t="s">
        <v>1329</v>
      </c>
      <c r="D1610" s="381" t="s">
        <v>1004</v>
      </c>
      <c r="E1610" s="381" t="s">
        <v>1005</v>
      </c>
      <c r="F1610" s="378">
        <v>1588029</v>
      </c>
      <c r="G1610" s="378">
        <v>237739</v>
      </c>
      <c r="H1610" s="378">
        <v>0</v>
      </c>
      <c r="I1610" s="378">
        <v>1825768</v>
      </c>
      <c r="J1610" s="267">
        <f t="shared" si="25"/>
        <v>8</v>
      </c>
    </row>
    <row r="1611" spans="1:10" ht="15" customHeight="1" x14ac:dyDescent="0.25">
      <c r="A1611" s="380">
        <v>520595</v>
      </c>
      <c r="B1611" s="381" t="s">
        <v>321</v>
      </c>
      <c r="C1611" s="381" t="s">
        <v>1719</v>
      </c>
      <c r="D1611" s="381" t="s">
        <v>315</v>
      </c>
      <c r="E1611" s="381" t="s">
        <v>315</v>
      </c>
      <c r="F1611" s="378">
        <v>12920837</v>
      </c>
      <c r="G1611" s="378">
        <v>3939536</v>
      </c>
      <c r="H1611" s="378">
        <v>0</v>
      </c>
      <c r="I1611" s="378">
        <v>16860373</v>
      </c>
      <c r="J1611" s="267">
        <f t="shared" si="25"/>
        <v>6</v>
      </c>
    </row>
    <row r="1612" spans="1:10" ht="15" customHeight="1" x14ac:dyDescent="0.25">
      <c r="A1612" s="380">
        <v>52059501</v>
      </c>
      <c r="B1612" s="381" t="s">
        <v>321</v>
      </c>
      <c r="C1612" s="381" t="s">
        <v>1330</v>
      </c>
      <c r="D1612" s="381" t="s">
        <v>315</v>
      </c>
      <c r="E1612" s="381" t="s">
        <v>315</v>
      </c>
      <c r="F1612" s="378">
        <v>280155</v>
      </c>
      <c r="G1612" s="378">
        <v>0</v>
      </c>
      <c r="H1612" s="378">
        <v>0</v>
      </c>
      <c r="I1612" s="378">
        <v>280155</v>
      </c>
      <c r="J1612" s="267">
        <f t="shared" ref="J1612:J1675" si="26">+LEN(A1612)</f>
        <v>8</v>
      </c>
    </row>
    <row r="1613" spans="1:10" ht="15" customHeight="1" x14ac:dyDescent="0.25">
      <c r="A1613" s="380">
        <v>52059501</v>
      </c>
      <c r="B1613" s="381" t="s">
        <v>321</v>
      </c>
      <c r="C1613" s="381" t="s">
        <v>1330</v>
      </c>
      <c r="D1613" s="381" t="s">
        <v>1535</v>
      </c>
      <c r="E1613" s="381" t="s">
        <v>1536</v>
      </c>
      <c r="F1613" s="378">
        <v>7686</v>
      </c>
      <c r="G1613" s="378">
        <v>0</v>
      </c>
      <c r="H1613" s="378">
        <v>0</v>
      </c>
      <c r="I1613" s="378">
        <v>7686</v>
      </c>
      <c r="J1613" s="267">
        <f t="shared" si="26"/>
        <v>8</v>
      </c>
    </row>
    <row r="1614" spans="1:10" ht="15" customHeight="1" x14ac:dyDescent="0.25">
      <c r="A1614" s="380">
        <v>52059501</v>
      </c>
      <c r="B1614" s="381" t="s">
        <v>321</v>
      </c>
      <c r="C1614" s="381" t="s">
        <v>1330</v>
      </c>
      <c r="D1614" s="381" t="s">
        <v>1604</v>
      </c>
      <c r="E1614" s="381" t="s">
        <v>1605</v>
      </c>
      <c r="F1614" s="378">
        <v>12810</v>
      </c>
      <c r="G1614" s="378">
        <v>0</v>
      </c>
      <c r="H1614" s="378">
        <v>0</v>
      </c>
      <c r="I1614" s="378">
        <v>12810</v>
      </c>
      <c r="J1614" s="267">
        <f t="shared" si="26"/>
        <v>8</v>
      </c>
    </row>
    <row r="1615" spans="1:10" ht="15" customHeight="1" x14ac:dyDescent="0.25">
      <c r="A1615" s="380">
        <v>52059501</v>
      </c>
      <c r="B1615" s="381" t="s">
        <v>321</v>
      </c>
      <c r="C1615" s="381" t="s">
        <v>1330</v>
      </c>
      <c r="D1615" s="381" t="s">
        <v>1649</v>
      </c>
      <c r="E1615" s="381" t="s">
        <v>1650</v>
      </c>
      <c r="F1615" s="378">
        <v>10248</v>
      </c>
      <c r="G1615" s="378">
        <v>0</v>
      </c>
      <c r="H1615" s="378">
        <v>0</v>
      </c>
      <c r="I1615" s="378">
        <v>10248</v>
      </c>
      <c r="J1615" s="267">
        <f t="shared" si="26"/>
        <v>8</v>
      </c>
    </row>
    <row r="1616" spans="1:10" ht="15" customHeight="1" x14ac:dyDescent="0.25">
      <c r="A1616" s="380">
        <v>52059501</v>
      </c>
      <c r="B1616" s="381" t="s">
        <v>321</v>
      </c>
      <c r="C1616" s="381" t="s">
        <v>1330</v>
      </c>
      <c r="D1616" s="381" t="s">
        <v>1690</v>
      </c>
      <c r="E1616" s="381" t="s">
        <v>1691</v>
      </c>
      <c r="F1616" s="378">
        <v>2562</v>
      </c>
      <c r="G1616" s="378">
        <v>0</v>
      </c>
      <c r="H1616" s="378">
        <v>0</v>
      </c>
      <c r="I1616" s="378">
        <v>2562</v>
      </c>
      <c r="J1616" s="267">
        <f t="shared" si="26"/>
        <v>8</v>
      </c>
    </row>
    <row r="1617" spans="1:10" ht="15" customHeight="1" x14ac:dyDescent="0.25">
      <c r="A1617" s="380">
        <v>52059501</v>
      </c>
      <c r="B1617" s="381" t="s">
        <v>321</v>
      </c>
      <c r="C1617" s="381" t="s">
        <v>1330</v>
      </c>
      <c r="D1617" s="381" t="s">
        <v>1651</v>
      </c>
      <c r="E1617" s="381" t="s">
        <v>1652</v>
      </c>
      <c r="F1617" s="378">
        <v>10248</v>
      </c>
      <c r="G1617" s="378">
        <v>0</v>
      </c>
      <c r="H1617" s="378">
        <v>0</v>
      </c>
      <c r="I1617" s="378">
        <v>10248</v>
      </c>
      <c r="J1617" s="267">
        <f t="shared" si="26"/>
        <v>8</v>
      </c>
    </row>
    <row r="1618" spans="1:10" ht="15" customHeight="1" x14ac:dyDescent="0.25">
      <c r="A1618" s="380">
        <v>52059501</v>
      </c>
      <c r="B1618" s="381" t="s">
        <v>321</v>
      </c>
      <c r="C1618" s="381" t="s">
        <v>1330</v>
      </c>
      <c r="D1618" s="381" t="s">
        <v>1443</v>
      </c>
      <c r="E1618" s="381" t="s">
        <v>1530</v>
      </c>
      <c r="F1618" s="378">
        <v>24400</v>
      </c>
      <c r="G1618" s="378">
        <v>0</v>
      </c>
      <c r="H1618" s="378">
        <v>0</v>
      </c>
      <c r="I1618" s="378">
        <v>24400</v>
      </c>
      <c r="J1618" s="267">
        <f t="shared" si="26"/>
        <v>8</v>
      </c>
    </row>
    <row r="1619" spans="1:10" ht="15" customHeight="1" x14ac:dyDescent="0.25">
      <c r="A1619" s="380">
        <v>52059501</v>
      </c>
      <c r="B1619" s="381" t="s">
        <v>321</v>
      </c>
      <c r="C1619" s="381" t="s">
        <v>1330</v>
      </c>
      <c r="D1619" s="381" t="s">
        <v>1653</v>
      </c>
      <c r="E1619" s="381" t="s">
        <v>1654</v>
      </c>
      <c r="F1619" s="378">
        <v>7686</v>
      </c>
      <c r="G1619" s="378">
        <v>0</v>
      </c>
      <c r="H1619" s="378">
        <v>0</v>
      </c>
      <c r="I1619" s="378">
        <v>7686</v>
      </c>
      <c r="J1619" s="267">
        <f t="shared" si="26"/>
        <v>8</v>
      </c>
    </row>
    <row r="1620" spans="1:10" ht="15" customHeight="1" x14ac:dyDescent="0.25">
      <c r="A1620" s="380">
        <v>52059501</v>
      </c>
      <c r="B1620" s="381" t="s">
        <v>321</v>
      </c>
      <c r="C1620" s="381" t="s">
        <v>1330</v>
      </c>
      <c r="D1620" s="381" t="s">
        <v>1683</v>
      </c>
      <c r="E1620" s="381" t="s">
        <v>1684</v>
      </c>
      <c r="F1620" s="378">
        <v>7686</v>
      </c>
      <c r="G1620" s="378">
        <v>0</v>
      </c>
      <c r="H1620" s="378">
        <v>0</v>
      </c>
      <c r="I1620" s="378">
        <v>7686</v>
      </c>
      <c r="J1620" s="267">
        <f t="shared" si="26"/>
        <v>8</v>
      </c>
    </row>
    <row r="1621" spans="1:10" ht="15" customHeight="1" x14ac:dyDescent="0.25">
      <c r="A1621" s="380">
        <v>52059501</v>
      </c>
      <c r="B1621" s="381" t="s">
        <v>321</v>
      </c>
      <c r="C1621" s="381" t="s">
        <v>1330</v>
      </c>
      <c r="D1621" s="381" t="s">
        <v>1606</v>
      </c>
      <c r="E1621" s="381" t="s">
        <v>1607</v>
      </c>
      <c r="F1621" s="378">
        <v>10248</v>
      </c>
      <c r="G1621" s="378">
        <v>0</v>
      </c>
      <c r="H1621" s="378">
        <v>0</v>
      </c>
      <c r="I1621" s="378">
        <v>10248</v>
      </c>
      <c r="J1621" s="267">
        <f t="shared" si="26"/>
        <v>8</v>
      </c>
    </row>
    <row r="1622" spans="1:10" ht="15" customHeight="1" x14ac:dyDescent="0.25">
      <c r="A1622" s="380">
        <v>52059501</v>
      </c>
      <c r="B1622" s="381" t="s">
        <v>321</v>
      </c>
      <c r="C1622" s="381" t="s">
        <v>1330</v>
      </c>
      <c r="D1622" s="381" t="s">
        <v>1686</v>
      </c>
      <c r="E1622" s="381" t="s">
        <v>1687</v>
      </c>
      <c r="F1622" s="378">
        <v>5124</v>
      </c>
      <c r="G1622" s="378">
        <v>0</v>
      </c>
      <c r="H1622" s="378">
        <v>0</v>
      </c>
      <c r="I1622" s="378">
        <v>5124</v>
      </c>
      <c r="J1622" s="267">
        <f t="shared" si="26"/>
        <v>8</v>
      </c>
    </row>
    <row r="1623" spans="1:10" ht="15" customHeight="1" x14ac:dyDescent="0.25">
      <c r="A1623" s="380">
        <v>52059501</v>
      </c>
      <c r="B1623" s="381" t="s">
        <v>321</v>
      </c>
      <c r="C1623" s="381" t="s">
        <v>1330</v>
      </c>
      <c r="D1623" s="381" t="s">
        <v>1657</v>
      </c>
      <c r="E1623" s="381" t="s">
        <v>1658</v>
      </c>
      <c r="F1623" s="378">
        <v>10248</v>
      </c>
      <c r="G1623" s="378">
        <v>0</v>
      </c>
      <c r="H1623" s="378">
        <v>0</v>
      </c>
      <c r="I1623" s="378">
        <v>10248</v>
      </c>
      <c r="J1623" s="267">
        <f t="shared" si="26"/>
        <v>8</v>
      </c>
    </row>
    <row r="1624" spans="1:10" ht="15" customHeight="1" x14ac:dyDescent="0.25">
      <c r="A1624" s="380">
        <v>52059501</v>
      </c>
      <c r="B1624" s="381" t="s">
        <v>321</v>
      </c>
      <c r="C1624" s="381" t="s">
        <v>1330</v>
      </c>
      <c r="D1624" s="381" t="s">
        <v>1659</v>
      </c>
      <c r="E1624" s="381" t="s">
        <v>1660</v>
      </c>
      <c r="F1624" s="378">
        <v>12863</v>
      </c>
      <c r="G1624" s="378">
        <v>0</v>
      </c>
      <c r="H1624" s="378">
        <v>0</v>
      </c>
      <c r="I1624" s="378">
        <v>12863</v>
      </c>
      <c r="J1624" s="267">
        <f t="shared" si="26"/>
        <v>8</v>
      </c>
    </row>
    <row r="1625" spans="1:10" ht="15" customHeight="1" x14ac:dyDescent="0.25">
      <c r="A1625" s="380">
        <v>52059501</v>
      </c>
      <c r="B1625" s="381" t="s">
        <v>321</v>
      </c>
      <c r="C1625" s="381" t="s">
        <v>1330</v>
      </c>
      <c r="D1625" s="381" t="s">
        <v>1527</v>
      </c>
      <c r="E1625" s="381" t="s">
        <v>1528</v>
      </c>
      <c r="F1625" s="378">
        <v>10248</v>
      </c>
      <c r="G1625" s="378">
        <v>0</v>
      </c>
      <c r="H1625" s="378">
        <v>0</v>
      </c>
      <c r="I1625" s="378">
        <v>10248</v>
      </c>
      <c r="J1625" s="267">
        <f t="shared" si="26"/>
        <v>8</v>
      </c>
    </row>
    <row r="1626" spans="1:10" ht="15" customHeight="1" x14ac:dyDescent="0.25">
      <c r="A1626" s="380">
        <v>52059501</v>
      </c>
      <c r="B1626" s="381" t="s">
        <v>321</v>
      </c>
      <c r="C1626" s="381" t="s">
        <v>1330</v>
      </c>
      <c r="D1626" s="381" t="s">
        <v>1444</v>
      </c>
      <c r="E1626" s="381" t="s">
        <v>1533</v>
      </c>
      <c r="F1626" s="378">
        <v>24400</v>
      </c>
      <c r="G1626" s="378">
        <v>0</v>
      </c>
      <c r="H1626" s="378">
        <v>0</v>
      </c>
      <c r="I1626" s="378">
        <v>24400</v>
      </c>
      <c r="J1626" s="267">
        <f t="shared" si="26"/>
        <v>8</v>
      </c>
    </row>
    <row r="1627" spans="1:10" ht="15" customHeight="1" x14ac:dyDescent="0.25">
      <c r="A1627" s="380">
        <v>52059501</v>
      </c>
      <c r="B1627" s="381" t="s">
        <v>321</v>
      </c>
      <c r="C1627" s="381" t="s">
        <v>1330</v>
      </c>
      <c r="D1627" s="381" t="s">
        <v>1661</v>
      </c>
      <c r="E1627" s="381" t="s">
        <v>1662</v>
      </c>
      <c r="F1627" s="378">
        <v>10248</v>
      </c>
      <c r="G1627" s="378">
        <v>0</v>
      </c>
      <c r="H1627" s="378">
        <v>0</v>
      </c>
      <c r="I1627" s="378">
        <v>10248</v>
      </c>
      <c r="J1627" s="267">
        <f t="shared" si="26"/>
        <v>8</v>
      </c>
    </row>
    <row r="1628" spans="1:10" ht="15" customHeight="1" x14ac:dyDescent="0.25">
      <c r="A1628" s="380">
        <v>52059501</v>
      </c>
      <c r="B1628" s="381" t="s">
        <v>321</v>
      </c>
      <c r="C1628" s="381" t="s">
        <v>1330</v>
      </c>
      <c r="D1628" s="381" t="s">
        <v>1663</v>
      </c>
      <c r="E1628" s="381" t="s">
        <v>1664</v>
      </c>
      <c r="F1628" s="378">
        <v>12839</v>
      </c>
      <c r="G1628" s="378">
        <v>0</v>
      </c>
      <c r="H1628" s="378">
        <v>0</v>
      </c>
      <c r="I1628" s="378">
        <v>12839</v>
      </c>
      <c r="J1628" s="267">
        <f t="shared" si="26"/>
        <v>8</v>
      </c>
    </row>
    <row r="1629" spans="1:10" ht="15" customHeight="1" x14ac:dyDescent="0.25">
      <c r="A1629" s="380">
        <v>52059501</v>
      </c>
      <c r="B1629" s="381" t="s">
        <v>321</v>
      </c>
      <c r="C1629" s="381" t="s">
        <v>1330</v>
      </c>
      <c r="D1629" s="381" t="s">
        <v>1609</v>
      </c>
      <c r="E1629" s="381" t="s">
        <v>1610</v>
      </c>
      <c r="F1629" s="378">
        <v>13786</v>
      </c>
      <c r="G1629" s="378">
        <v>0</v>
      </c>
      <c r="H1629" s="378">
        <v>0</v>
      </c>
      <c r="I1629" s="378">
        <v>13786</v>
      </c>
      <c r="J1629" s="267">
        <f t="shared" si="26"/>
        <v>8</v>
      </c>
    </row>
    <row r="1630" spans="1:10" ht="15" customHeight="1" x14ac:dyDescent="0.25">
      <c r="A1630" s="380">
        <v>52059501</v>
      </c>
      <c r="B1630" s="381" t="s">
        <v>321</v>
      </c>
      <c r="C1630" s="381" t="s">
        <v>1330</v>
      </c>
      <c r="D1630" s="381" t="s">
        <v>1490</v>
      </c>
      <c r="E1630" s="381" t="s">
        <v>1491</v>
      </c>
      <c r="F1630" s="378">
        <v>2562</v>
      </c>
      <c r="G1630" s="378">
        <v>0</v>
      </c>
      <c r="H1630" s="378">
        <v>0</v>
      </c>
      <c r="I1630" s="378">
        <v>2562</v>
      </c>
      <c r="J1630" s="267">
        <f t="shared" si="26"/>
        <v>8</v>
      </c>
    </row>
    <row r="1631" spans="1:10" ht="15" customHeight="1" x14ac:dyDescent="0.25">
      <c r="A1631" s="380">
        <v>52059501</v>
      </c>
      <c r="B1631" s="381" t="s">
        <v>321</v>
      </c>
      <c r="C1631" s="381" t="s">
        <v>1330</v>
      </c>
      <c r="D1631" s="381" t="s">
        <v>1210</v>
      </c>
      <c r="E1631" s="381" t="s">
        <v>1611</v>
      </c>
      <c r="F1631" s="378">
        <v>5124</v>
      </c>
      <c r="G1631" s="378">
        <v>0</v>
      </c>
      <c r="H1631" s="378">
        <v>0</v>
      </c>
      <c r="I1631" s="378">
        <v>5124</v>
      </c>
      <c r="J1631" s="267">
        <f t="shared" si="26"/>
        <v>8</v>
      </c>
    </row>
    <row r="1632" spans="1:10" ht="15" customHeight="1" x14ac:dyDescent="0.25">
      <c r="A1632" s="380">
        <v>52059501</v>
      </c>
      <c r="B1632" s="381" t="s">
        <v>321</v>
      </c>
      <c r="C1632" s="381" t="s">
        <v>1330</v>
      </c>
      <c r="D1632" s="381" t="s">
        <v>1523</v>
      </c>
      <c r="E1632" s="381" t="s">
        <v>1524</v>
      </c>
      <c r="F1632" s="378">
        <v>24400</v>
      </c>
      <c r="G1632" s="378">
        <v>0</v>
      </c>
      <c r="H1632" s="378">
        <v>0</v>
      </c>
      <c r="I1632" s="378">
        <v>24400</v>
      </c>
      <c r="J1632" s="267">
        <f t="shared" si="26"/>
        <v>8</v>
      </c>
    </row>
    <row r="1633" spans="1:10" ht="15" customHeight="1" x14ac:dyDescent="0.25">
      <c r="A1633" s="380">
        <v>52059501</v>
      </c>
      <c r="B1633" s="381" t="s">
        <v>321</v>
      </c>
      <c r="C1633" s="381" t="s">
        <v>1330</v>
      </c>
      <c r="D1633" s="381" t="s">
        <v>792</v>
      </c>
      <c r="E1633" s="381" t="s">
        <v>1534</v>
      </c>
      <c r="F1633" s="378">
        <v>13786</v>
      </c>
      <c r="G1633" s="378">
        <v>0</v>
      </c>
      <c r="H1633" s="378">
        <v>0</v>
      </c>
      <c r="I1633" s="378">
        <v>13786</v>
      </c>
      <c r="J1633" s="267">
        <f t="shared" si="26"/>
        <v>8</v>
      </c>
    </row>
    <row r="1634" spans="1:10" ht="15" customHeight="1" x14ac:dyDescent="0.25">
      <c r="A1634" s="380">
        <v>52059501</v>
      </c>
      <c r="B1634" s="381" t="s">
        <v>321</v>
      </c>
      <c r="C1634" s="381" t="s">
        <v>1330</v>
      </c>
      <c r="D1634" s="381" t="s">
        <v>1492</v>
      </c>
      <c r="E1634" s="381" t="s">
        <v>1493</v>
      </c>
      <c r="F1634" s="378">
        <v>7618</v>
      </c>
      <c r="G1634" s="378">
        <v>0</v>
      </c>
      <c r="H1634" s="378">
        <v>0</v>
      </c>
      <c r="I1634" s="378">
        <v>7618</v>
      </c>
      <c r="J1634" s="267">
        <f t="shared" si="26"/>
        <v>8</v>
      </c>
    </row>
    <row r="1635" spans="1:10" ht="15" customHeight="1" x14ac:dyDescent="0.25">
      <c r="A1635" s="380">
        <v>52059501</v>
      </c>
      <c r="B1635" s="381" t="s">
        <v>321</v>
      </c>
      <c r="C1635" s="381" t="s">
        <v>1330</v>
      </c>
      <c r="D1635" s="381" t="s">
        <v>1412</v>
      </c>
      <c r="E1635" s="381" t="s">
        <v>1413</v>
      </c>
      <c r="F1635" s="378">
        <v>5124</v>
      </c>
      <c r="G1635" s="378">
        <v>0</v>
      </c>
      <c r="H1635" s="378">
        <v>0</v>
      </c>
      <c r="I1635" s="378">
        <v>5124</v>
      </c>
      <c r="J1635" s="267">
        <f t="shared" si="26"/>
        <v>8</v>
      </c>
    </row>
    <row r="1636" spans="1:10" ht="15" customHeight="1" x14ac:dyDescent="0.25">
      <c r="A1636" s="380">
        <v>52059501</v>
      </c>
      <c r="B1636" s="381" t="s">
        <v>321</v>
      </c>
      <c r="C1636" s="381" t="s">
        <v>1330</v>
      </c>
      <c r="D1636" s="381" t="s">
        <v>1667</v>
      </c>
      <c r="E1636" s="381" t="s">
        <v>1668</v>
      </c>
      <c r="F1636" s="378">
        <v>7686</v>
      </c>
      <c r="G1636" s="378">
        <v>0</v>
      </c>
      <c r="H1636" s="378">
        <v>0</v>
      </c>
      <c r="I1636" s="378">
        <v>7686</v>
      </c>
      <c r="J1636" s="267">
        <f t="shared" si="26"/>
        <v>8</v>
      </c>
    </row>
    <row r="1637" spans="1:10" ht="15" customHeight="1" x14ac:dyDescent="0.25">
      <c r="A1637" s="380">
        <v>52059501</v>
      </c>
      <c r="B1637" s="381" t="s">
        <v>321</v>
      </c>
      <c r="C1637" s="381" t="s">
        <v>1330</v>
      </c>
      <c r="D1637" s="381" t="s">
        <v>1669</v>
      </c>
      <c r="E1637" s="381" t="s">
        <v>1670</v>
      </c>
      <c r="F1637" s="378">
        <v>12839</v>
      </c>
      <c r="G1637" s="378">
        <v>0</v>
      </c>
      <c r="H1637" s="378">
        <v>0</v>
      </c>
      <c r="I1637" s="378">
        <v>12839</v>
      </c>
      <c r="J1637" s="267">
        <f t="shared" si="26"/>
        <v>8</v>
      </c>
    </row>
    <row r="1638" spans="1:10" ht="15" customHeight="1" x14ac:dyDescent="0.25">
      <c r="A1638" s="380">
        <v>52059501</v>
      </c>
      <c r="B1638" s="381" t="s">
        <v>321</v>
      </c>
      <c r="C1638" s="381" t="s">
        <v>1330</v>
      </c>
      <c r="D1638" s="381" t="s">
        <v>1673</v>
      </c>
      <c r="E1638" s="381" t="s">
        <v>1674</v>
      </c>
      <c r="F1638" s="378">
        <v>7686</v>
      </c>
      <c r="G1638" s="378">
        <v>0</v>
      </c>
      <c r="H1638" s="378">
        <v>0</v>
      </c>
      <c r="I1638" s="378">
        <v>7686</v>
      </c>
      <c r="J1638" s="267">
        <f t="shared" si="26"/>
        <v>8</v>
      </c>
    </row>
    <row r="1639" spans="1:10" ht="15" customHeight="1" x14ac:dyDescent="0.25">
      <c r="A1639" s="380">
        <v>52059505</v>
      </c>
      <c r="B1639" s="381" t="s">
        <v>321</v>
      </c>
      <c r="C1639" s="381" t="s">
        <v>1331</v>
      </c>
      <c r="D1639" s="381" t="s">
        <v>315</v>
      </c>
      <c r="E1639" s="381" t="s">
        <v>315</v>
      </c>
      <c r="F1639" s="378">
        <v>12640682</v>
      </c>
      <c r="G1639" s="378">
        <v>3939536</v>
      </c>
      <c r="H1639" s="378">
        <v>0</v>
      </c>
      <c r="I1639" s="378">
        <v>16580218</v>
      </c>
      <c r="J1639" s="267">
        <f t="shared" si="26"/>
        <v>8</v>
      </c>
    </row>
    <row r="1640" spans="1:10" ht="15" customHeight="1" x14ac:dyDescent="0.25">
      <c r="A1640" s="380">
        <v>52059505</v>
      </c>
      <c r="B1640" s="381" t="s">
        <v>321</v>
      </c>
      <c r="C1640" s="381" t="s">
        <v>1331</v>
      </c>
      <c r="D1640" s="381" t="s">
        <v>688</v>
      </c>
      <c r="E1640" s="381" t="s">
        <v>689</v>
      </c>
      <c r="F1640" s="378">
        <v>12640682</v>
      </c>
      <c r="G1640" s="378">
        <v>2626358</v>
      </c>
      <c r="H1640" s="378">
        <v>0</v>
      </c>
      <c r="I1640" s="378">
        <v>15267040</v>
      </c>
      <c r="J1640" s="267">
        <f t="shared" si="26"/>
        <v>8</v>
      </c>
    </row>
    <row r="1641" spans="1:10" ht="15" customHeight="1" x14ac:dyDescent="0.25">
      <c r="A1641" s="380">
        <v>52059505</v>
      </c>
      <c r="B1641" s="381" t="s">
        <v>321</v>
      </c>
      <c r="C1641" s="381" t="s">
        <v>1331</v>
      </c>
      <c r="D1641" s="381" t="s">
        <v>1679</v>
      </c>
      <c r="E1641" s="381" t="s">
        <v>1680</v>
      </c>
      <c r="F1641" s="378">
        <v>0</v>
      </c>
      <c r="G1641" s="378">
        <v>1313178</v>
      </c>
      <c r="H1641" s="378">
        <v>0</v>
      </c>
      <c r="I1641" s="378">
        <v>1313178</v>
      </c>
      <c r="J1641" s="267">
        <f t="shared" si="26"/>
        <v>8</v>
      </c>
    </row>
    <row r="1642" spans="1:10" ht="15" customHeight="1" x14ac:dyDescent="0.25">
      <c r="A1642" s="380">
        <v>5210</v>
      </c>
      <c r="B1642" s="381" t="s">
        <v>315</v>
      </c>
      <c r="C1642" s="381" t="s">
        <v>188</v>
      </c>
      <c r="D1642" s="381" t="s">
        <v>315</v>
      </c>
      <c r="E1642" s="381" t="s">
        <v>315</v>
      </c>
      <c r="F1642" s="378">
        <v>29551256</v>
      </c>
      <c r="G1642" s="378">
        <v>9704530</v>
      </c>
      <c r="H1642" s="378">
        <v>0</v>
      </c>
      <c r="I1642" s="378">
        <v>39255786</v>
      </c>
      <c r="J1642" s="267">
        <f t="shared" si="26"/>
        <v>4</v>
      </c>
    </row>
    <row r="1643" spans="1:10" ht="15" customHeight="1" x14ac:dyDescent="0.25">
      <c r="A1643" s="380">
        <v>521010</v>
      </c>
      <c r="B1643" s="381" t="s">
        <v>321</v>
      </c>
      <c r="C1643" s="381" t="s">
        <v>1720</v>
      </c>
      <c r="D1643" s="381" t="s">
        <v>315</v>
      </c>
      <c r="E1643" s="381" t="s">
        <v>315</v>
      </c>
      <c r="F1643" s="378">
        <v>4800000</v>
      </c>
      <c r="G1643" s="378">
        <v>1200000</v>
      </c>
      <c r="H1643" s="378">
        <v>0</v>
      </c>
      <c r="I1643" s="378">
        <v>6000000</v>
      </c>
      <c r="J1643" s="267">
        <f t="shared" si="26"/>
        <v>6</v>
      </c>
    </row>
    <row r="1644" spans="1:10" ht="15" customHeight="1" x14ac:dyDescent="0.25">
      <c r="A1644" s="380">
        <v>52101001</v>
      </c>
      <c r="B1644" s="381" t="s">
        <v>321</v>
      </c>
      <c r="C1644" s="381" t="s">
        <v>1720</v>
      </c>
      <c r="D1644" s="381" t="s">
        <v>315</v>
      </c>
      <c r="E1644" s="381" t="s">
        <v>315</v>
      </c>
      <c r="F1644" s="378">
        <v>4800000</v>
      </c>
      <c r="G1644" s="378">
        <v>1200000</v>
      </c>
      <c r="H1644" s="378">
        <v>0</v>
      </c>
      <c r="I1644" s="378">
        <v>6000000</v>
      </c>
      <c r="J1644" s="267">
        <f t="shared" si="26"/>
        <v>8</v>
      </c>
    </row>
    <row r="1645" spans="1:10" ht="15" customHeight="1" x14ac:dyDescent="0.25">
      <c r="A1645" s="380">
        <v>52101001</v>
      </c>
      <c r="B1645" s="381" t="s">
        <v>321</v>
      </c>
      <c r="C1645" s="381" t="s">
        <v>1720</v>
      </c>
      <c r="D1645" s="381" t="s">
        <v>1008</v>
      </c>
      <c r="E1645" s="381" t="s">
        <v>1583</v>
      </c>
      <c r="F1645" s="378">
        <v>4800000</v>
      </c>
      <c r="G1645" s="378">
        <v>1200000</v>
      </c>
      <c r="H1645" s="378">
        <v>0</v>
      </c>
      <c r="I1645" s="378">
        <v>6000000</v>
      </c>
      <c r="J1645" s="267">
        <f t="shared" si="26"/>
        <v>8</v>
      </c>
    </row>
    <row r="1646" spans="1:10" ht="15" customHeight="1" x14ac:dyDescent="0.25">
      <c r="A1646" s="380">
        <v>521045</v>
      </c>
      <c r="B1646" s="381" t="s">
        <v>315</v>
      </c>
      <c r="C1646" s="381" t="s">
        <v>1332</v>
      </c>
      <c r="D1646" s="381" t="s">
        <v>315</v>
      </c>
      <c r="E1646" s="381" t="s">
        <v>315</v>
      </c>
      <c r="F1646" s="378">
        <v>22849228</v>
      </c>
      <c r="G1646" s="378">
        <v>8024770</v>
      </c>
      <c r="H1646" s="378">
        <v>0</v>
      </c>
      <c r="I1646" s="378">
        <v>30873998</v>
      </c>
      <c r="J1646" s="267">
        <f t="shared" si="26"/>
        <v>6</v>
      </c>
    </row>
    <row r="1647" spans="1:10" ht="15" customHeight="1" x14ac:dyDescent="0.25">
      <c r="A1647" s="380">
        <v>52104501</v>
      </c>
      <c r="B1647" s="381" t="s">
        <v>315</v>
      </c>
      <c r="C1647" s="381" t="s">
        <v>1332</v>
      </c>
      <c r="D1647" s="381" t="s">
        <v>315</v>
      </c>
      <c r="E1647" s="381" t="s">
        <v>315</v>
      </c>
      <c r="F1647" s="378">
        <v>22849228</v>
      </c>
      <c r="G1647" s="378">
        <v>8024770</v>
      </c>
      <c r="H1647" s="378">
        <v>0</v>
      </c>
      <c r="I1647" s="378">
        <v>30873998</v>
      </c>
      <c r="J1647" s="267">
        <f t="shared" si="26"/>
        <v>8</v>
      </c>
    </row>
    <row r="1648" spans="1:10" ht="15" customHeight="1" x14ac:dyDescent="0.25">
      <c r="A1648" s="380">
        <v>52104501</v>
      </c>
      <c r="B1648" s="381" t="s">
        <v>315</v>
      </c>
      <c r="C1648" s="381" t="s">
        <v>1332</v>
      </c>
      <c r="D1648" s="381" t="s">
        <v>978</v>
      </c>
      <c r="E1648" s="381" t="s">
        <v>979</v>
      </c>
      <c r="F1648" s="378">
        <v>3937228</v>
      </c>
      <c r="G1648" s="378">
        <v>896770</v>
      </c>
      <c r="H1648" s="378">
        <v>0</v>
      </c>
      <c r="I1648" s="378">
        <v>4833998</v>
      </c>
      <c r="J1648" s="267">
        <f t="shared" si="26"/>
        <v>8</v>
      </c>
    </row>
    <row r="1649" spans="1:10" ht="15" customHeight="1" x14ac:dyDescent="0.25">
      <c r="A1649" s="380">
        <v>52104501</v>
      </c>
      <c r="B1649" s="381" t="s">
        <v>315</v>
      </c>
      <c r="C1649" s="381" t="s">
        <v>1332</v>
      </c>
      <c r="D1649" s="381" t="s">
        <v>1008</v>
      </c>
      <c r="E1649" s="381" t="s">
        <v>1583</v>
      </c>
      <c r="F1649" s="378">
        <v>18912000</v>
      </c>
      <c r="G1649" s="378">
        <v>7128000</v>
      </c>
      <c r="H1649" s="378">
        <v>0</v>
      </c>
      <c r="I1649" s="378">
        <v>26040000</v>
      </c>
      <c r="J1649" s="267">
        <f t="shared" si="26"/>
        <v>8</v>
      </c>
    </row>
    <row r="1650" spans="1:10" ht="15" customHeight="1" x14ac:dyDescent="0.25">
      <c r="A1650" s="380">
        <v>521095</v>
      </c>
      <c r="B1650" s="381" t="s">
        <v>315</v>
      </c>
      <c r="C1650" s="381" t="s">
        <v>238</v>
      </c>
      <c r="D1650" s="381" t="s">
        <v>315</v>
      </c>
      <c r="E1650" s="381" t="s">
        <v>315</v>
      </c>
      <c r="F1650" s="378">
        <v>1902028</v>
      </c>
      <c r="G1650" s="378">
        <v>479760</v>
      </c>
      <c r="H1650" s="378">
        <v>0</v>
      </c>
      <c r="I1650" s="378">
        <v>2381788</v>
      </c>
      <c r="J1650" s="267">
        <f t="shared" si="26"/>
        <v>6</v>
      </c>
    </row>
    <row r="1651" spans="1:10" ht="15" customHeight="1" x14ac:dyDescent="0.25">
      <c r="A1651" s="380">
        <v>52109501</v>
      </c>
      <c r="B1651" s="381" t="s">
        <v>315</v>
      </c>
      <c r="C1651" s="381" t="s">
        <v>238</v>
      </c>
      <c r="D1651" s="381" t="s">
        <v>315</v>
      </c>
      <c r="E1651" s="381" t="s">
        <v>315</v>
      </c>
      <c r="F1651" s="378">
        <v>0</v>
      </c>
      <c r="G1651" s="378">
        <v>90000</v>
      </c>
      <c r="H1651" s="378">
        <v>0</v>
      </c>
      <c r="I1651" s="378">
        <v>90000</v>
      </c>
      <c r="J1651" s="267">
        <f t="shared" si="26"/>
        <v>8</v>
      </c>
    </row>
    <row r="1652" spans="1:10" ht="15" customHeight="1" x14ac:dyDescent="0.25">
      <c r="A1652" s="380">
        <v>52109501</v>
      </c>
      <c r="B1652" s="381" t="s">
        <v>315</v>
      </c>
      <c r="C1652" s="381" t="s">
        <v>238</v>
      </c>
      <c r="D1652" s="381" t="s">
        <v>963</v>
      </c>
      <c r="E1652" s="381" t="s">
        <v>1574</v>
      </c>
      <c r="F1652" s="378">
        <v>0</v>
      </c>
      <c r="G1652" s="378">
        <v>90000</v>
      </c>
      <c r="H1652" s="378">
        <v>0</v>
      </c>
      <c r="I1652" s="378">
        <v>90000</v>
      </c>
      <c r="J1652" s="267">
        <f t="shared" si="26"/>
        <v>8</v>
      </c>
    </row>
    <row r="1653" spans="1:10" ht="15" customHeight="1" x14ac:dyDescent="0.25">
      <c r="A1653" s="380">
        <v>52109502</v>
      </c>
      <c r="B1653" s="381" t="s">
        <v>321</v>
      </c>
      <c r="C1653" s="381" t="s">
        <v>1334</v>
      </c>
      <c r="D1653" s="381" t="s">
        <v>315</v>
      </c>
      <c r="E1653" s="381" t="s">
        <v>315</v>
      </c>
      <c r="F1653" s="378">
        <v>1902028</v>
      </c>
      <c r="G1653" s="378">
        <v>389760</v>
      </c>
      <c r="H1653" s="378">
        <v>0</v>
      </c>
      <c r="I1653" s="378">
        <v>2291788</v>
      </c>
      <c r="J1653" s="267">
        <f t="shared" si="26"/>
        <v>8</v>
      </c>
    </row>
    <row r="1654" spans="1:10" ht="15" customHeight="1" x14ac:dyDescent="0.25">
      <c r="A1654" s="380">
        <v>52109502</v>
      </c>
      <c r="B1654" s="381" t="s">
        <v>321</v>
      </c>
      <c r="C1654" s="381" t="s">
        <v>1334</v>
      </c>
      <c r="D1654" s="381" t="s">
        <v>1023</v>
      </c>
      <c r="E1654" s="381" t="s">
        <v>1024</v>
      </c>
      <c r="F1654" s="378">
        <v>1902028</v>
      </c>
      <c r="G1654" s="378">
        <v>389760</v>
      </c>
      <c r="H1654" s="378">
        <v>0</v>
      </c>
      <c r="I1654" s="378">
        <v>2291788</v>
      </c>
      <c r="J1654" s="267">
        <f t="shared" si="26"/>
        <v>8</v>
      </c>
    </row>
    <row r="1655" spans="1:10" ht="15" customHeight="1" x14ac:dyDescent="0.25">
      <c r="A1655" s="380">
        <v>5215</v>
      </c>
      <c r="B1655" s="381" t="s">
        <v>315</v>
      </c>
      <c r="C1655" s="381" t="s">
        <v>189</v>
      </c>
      <c r="D1655" s="381" t="s">
        <v>315</v>
      </c>
      <c r="E1655" s="381" t="s">
        <v>315</v>
      </c>
      <c r="F1655" s="378">
        <v>20397652</v>
      </c>
      <c r="G1655" s="378">
        <v>4735187.9000000004</v>
      </c>
      <c r="H1655" s="378">
        <v>0</v>
      </c>
      <c r="I1655" s="378">
        <v>25132839.899999999</v>
      </c>
      <c r="J1655" s="267">
        <f t="shared" si="26"/>
        <v>4</v>
      </c>
    </row>
    <row r="1656" spans="1:10" ht="15" customHeight="1" x14ac:dyDescent="0.25">
      <c r="A1656" s="380">
        <v>521505</v>
      </c>
      <c r="B1656" s="381" t="s">
        <v>315</v>
      </c>
      <c r="C1656" s="381" t="s">
        <v>481</v>
      </c>
      <c r="D1656" s="381" t="s">
        <v>315</v>
      </c>
      <c r="E1656" s="381" t="s">
        <v>315</v>
      </c>
      <c r="F1656" s="378">
        <v>19421230</v>
      </c>
      <c r="G1656" s="378">
        <v>4735187.9000000004</v>
      </c>
      <c r="H1656" s="378">
        <v>0</v>
      </c>
      <c r="I1656" s="378">
        <v>24156417.899999999</v>
      </c>
      <c r="J1656" s="267">
        <f t="shared" si="26"/>
        <v>6</v>
      </c>
    </row>
    <row r="1657" spans="1:10" ht="15" customHeight="1" x14ac:dyDescent="0.25">
      <c r="A1657" s="380">
        <v>52150501</v>
      </c>
      <c r="B1657" s="381" t="s">
        <v>315</v>
      </c>
      <c r="C1657" s="381" t="s">
        <v>481</v>
      </c>
      <c r="D1657" s="381" t="s">
        <v>315</v>
      </c>
      <c r="E1657" s="381" t="s">
        <v>315</v>
      </c>
      <c r="F1657" s="378">
        <v>2842017</v>
      </c>
      <c r="G1657" s="378">
        <v>1692432</v>
      </c>
      <c r="H1657" s="378">
        <v>0</v>
      </c>
      <c r="I1657" s="378">
        <v>4534449</v>
      </c>
      <c r="J1657" s="267">
        <f t="shared" si="26"/>
        <v>8</v>
      </c>
    </row>
    <row r="1658" spans="1:10" ht="15" customHeight="1" x14ac:dyDescent="0.25">
      <c r="A1658" s="380">
        <v>52150501</v>
      </c>
      <c r="B1658" s="381" t="s">
        <v>315</v>
      </c>
      <c r="C1658" s="381" t="s">
        <v>481</v>
      </c>
      <c r="D1658" s="381" t="s">
        <v>680</v>
      </c>
      <c r="E1658" s="381" t="s">
        <v>681</v>
      </c>
      <c r="F1658" s="378">
        <v>1045200</v>
      </c>
      <c r="G1658" s="378">
        <v>1110300</v>
      </c>
      <c r="H1658" s="378">
        <v>0</v>
      </c>
      <c r="I1658" s="378">
        <v>2155500</v>
      </c>
      <c r="J1658" s="267">
        <f t="shared" si="26"/>
        <v>8</v>
      </c>
    </row>
    <row r="1659" spans="1:10" ht="15" customHeight="1" x14ac:dyDescent="0.25">
      <c r="A1659" s="380">
        <v>52150501</v>
      </c>
      <c r="B1659" s="381" t="s">
        <v>315</v>
      </c>
      <c r="C1659" s="381" t="s">
        <v>481</v>
      </c>
      <c r="D1659" s="381" t="s">
        <v>1569</v>
      </c>
      <c r="E1659" s="381" t="s">
        <v>1570</v>
      </c>
      <c r="F1659" s="378">
        <v>1796817</v>
      </c>
      <c r="G1659" s="378">
        <v>582132</v>
      </c>
      <c r="H1659" s="378">
        <v>0</v>
      </c>
      <c r="I1659" s="378">
        <v>2378949</v>
      </c>
      <c r="J1659" s="267">
        <f t="shared" si="26"/>
        <v>8</v>
      </c>
    </row>
    <row r="1660" spans="1:10" ht="15" customHeight="1" x14ac:dyDescent="0.25">
      <c r="A1660" s="380">
        <v>52150502</v>
      </c>
      <c r="B1660" s="381" t="s">
        <v>321</v>
      </c>
      <c r="C1660" s="381" t="s">
        <v>1336</v>
      </c>
      <c r="D1660" s="381" t="s">
        <v>315</v>
      </c>
      <c r="E1660" s="381" t="s">
        <v>315</v>
      </c>
      <c r="F1660" s="378">
        <v>16579213</v>
      </c>
      <c r="G1660" s="378">
        <v>473000</v>
      </c>
      <c r="H1660" s="378">
        <v>0</v>
      </c>
      <c r="I1660" s="378">
        <v>17052213</v>
      </c>
      <c r="J1660" s="267">
        <f t="shared" si="26"/>
        <v>8</v>
      </c>
    </row>
    <row r="1661" spans="1:10" ht="15" customHeight="1" x14ac:dyDescent="0.25">
      <c r="A1661" s="380">
        <v>52150502</v>
      </c>
      <c r="B1661" s="381" t="s">
        <v>321</v>
      </c>
      <c r="C1661" s="381" t="s">
        <v>1336</v>
      </c>
      <c r="D1661" s="381" t="s">
        <v>982</v>
      </c>
      <c r="E1661" s="381" t="s">
        <v>1576</v>
      </c>
      <c r="F1661" s="378">
        <v>2388000</v>
      </c>
      <c r="G1661" s="378">
        <v>473000</v>
      </c>
      <c r="H1661" s="378">
        <v>0</v>
      </c>
      <c r="I1661" s="378">
        <v>2861000</v>
      </c>
      <c r="J1661" s="267">
        <f t="shared" si="26"/>
        <v>8</v>
      </c>
    </row>
    <row r="1662" spans="1:10" ht="15" customHeight="1" x14ac:dyDescent="0.25">
      <c r="A1662" s="380">
        <v>52150502</v>
      </c>
      <c r="B1662" s="381" t="s">
        <v>321</v>
      </c>
      <c r="C1662" s="381" t="s">
        <v>1336</v>
      </c>
      <c r="D1662" s="381" t="s">
        <v>678</v>
      </c>
      <c r="E1662" s="381" t="s">
        <v>679</v>
      </c>
      <c r="F1662" s="378">
        <v>14191213</v>
      </c>
      <c r="G1662" s="378">
        <v>0</v>
      </c>
      <c r="H1662" s="378">
        <v>0</v>
      </c>
      <c r="I1662" s="378">
        <v>14191213</v>
      </c>
      <c r="J1662" s="267">
        <f t="shared" si="26"/>
        <v>8</v>
      </c>
    </row>
    <row r="1663" spans="1:10" ht="15" customHeight="1" x14ac:dyDescent="0.25">
      <c r="A1663" s="380">
        <v>52150504</v>
      </c>
      <c r="B1663" s="381" t="s">
        <v>321</v>
      </c>
      <c r="C1663" s="381" t="s">
        <v>1721</v>
      </c>
      <c r="D1663" s="381" t="s">
        <v>315</v>
      </c>
      <c r="E1663" s="381" t="s">
        <v>315</v>
      </c>
      <c r="F1663" s="378">
        <v>0</v>
      </c>
      <c r="G1663" s="378">
        <v>2569755.9</v>
      </c>
      <c r="H1663" s="378">
        <v>0</v>
      </c>
      <c r="I1663" s="378">
        <v>2569755.9</v>
      </c>
      <c r="J1663" s="267">
        <f t="shared" si="26"/>
        <v>8</v>
      </c>
    </row>
    <row r="1664" spans="1:10" ht="15" customHeight="1" x14ac:dyDescent="0.25">
      <c r="A1664" s="380">
        <v>52150504</v>
      </c>
      <c r="B1664" s="381" t="s">
        <v>321</v>
      </c>
      <c r="C1664" s="381" t="s">
        <v>1721</v>
      </c>
      <c r="D1664" s="381" t="s">
        <v>329</v>
      </c>
      <c r="E1664" s="381" t="s">
        <v>330</v>
      </c>
      <c r="F1664" s="378">
        <v>0</v>
      </c>
      <c r="G1664" s="378">
        <v>2569755.9</v>
      </c>
      <c r="H1664" s="378">
        <v>0</v>
      </c>
      <c r="I1664" s="378">
        <v>2569755.9</v>
      </c>
      <c r="J1664" s="267">
        <f t="shared" si="26"/>
        <v>8</v>
      </c>
    </row>
    <row r="1665" spans="1:10" ht="15" customHeight="1" x14ac:dyDescent="0.25">
      <c r="A1665" s="380">
        <v>521515</v>
      </c>
      <c r="B1665" s="381" t="s">
        <v>321</v>
      </c>
      <c r="C1665" s="381" t="s">
        <v>1338</v>
      </c>
      <c r="D1665" s="381" t="s">
        <v>315</v>
      </c>
      <c r="E1665" s="381" t="s">
        <v>315</v>
      </c>
      <c r="F1665" s="378">
        <v>976367</v>
      </c>
      <c r="G1665" s="378">
        <v>0</v>
      </c>
      <c r="H1665" s="378">
        <v>0</v>
      </c>
      <c r="I1665" s="378">
        <v>976367</v>
      </c>
      <c r="J1665" s="267">
        <f t="shared" si="26"/>
        <v>6</v>
      </c>
    </row>
    <row r="1666" spans="1:10" ht="15" customHeight="1" x14ac:dyDescent="0.25">
      <c r="A1666" s="380">
        <v>52151505</v>
      </c>
      <c r="B1666" s="381" t="s">
        <v>321</v>
      </c>
      <c r="C1666" s="381" t="s">
        <v>1339</v>
      </c>
      <c r="D1666" s="381" t="s">
        <v>315</v>
      </c>
      <c r="E1666" s="381" t="s">
        <v>315</v>
      </c>
      <c r="F1666" s="378">
        <v>976367</v>
      </c>
      <c r="G1666" s="378">
        <v>0</v>
      </c>
      <c r="H1666" s="378">
        <v>0</v>
      </c>
      <c r="I1666" s="378">
        <v>976367</v>
      </c>
      <c r="J1666" s="267">
        <f t="shared" si="26"/>
        <v>8</v>
      </c>
    </row>
    <row r="1667" spans="1:10" ht="15" customHeight="1" x14ac:dyDescent="0.25">
      <c r="A1667" s="380">
        <v>52151505</v>
      </c>
      <c r="B1667" s="381" t="s">
        <v>321</v>
      </c>
      <c r="C1667" s="381" t="s">
        <v>1339</v>
      </c>
      <c r="D1667" s="381" t="s">
        <v>1569</v>
      </c>
      <c r="E1667" s="381" t="s">
        <v>1570</v>
      </c>
      <c r="F1667" s="378">
        <v>976367</v>
      </c>
      <c r="G1667" s="378">
        <v>0</v>
      </c>
      <c r="H1667" s="378">
        <v>0</v>
      </c>
      <c r="I1667" s="378">
        <v>976367</v>
      </c>
      <c r="J1667" s="267">
        <f t="shared" si="26"/>
        <v>8</v>
      </c>
    </row>
    <row r="1668" spans="1:10" ht="15" customHeight="1" x14ac:dyDescent="0.25">
      <c r="A1668" s="380">
        <v>521595</v>
      </c>
      <c r="B1668" s="381" t="s">
        <v>315</v>
      </c>
      <c r="C1668" s="381" t="s">
        <v>1447</v>
      </c>
      <c r="D1668" s="381" t="s">
        <v>315</v>
      </c>
      <c r="E1668" s="381" t="s">
        <v>315</v>
      </c>
      <c r="F1668" s="378">
        <v>55</v>
      </c>
      <c r="G1668" s="378">
        <v>0</v>
      </c>
      <c r="H1668" s="378">
        <v>0</v>
      </c>
      <c r="I1668" s="378">
        <v>55</v>
      </c>
      <c r="J1668" s="267">
        <f t="shared" si="26"/>
        <v>6</v>
      </c>
    </row>
    <row r="1669" spans="1:10" ht="15" customHeight="1" x14ac:dyDescent="0.25">
      <c r="A1669" s="380">
        <v>52159504</v>
      </c>
      <c r="B1669" s="381" t="s">
        <v>321</v>
      </c>
      <c r="C1669" s="381" t="s">
        <v>1722</v>
      </c>
      <c r="D1669" s="381" t="s">
        <v>315</v>
      </c>
      <c r="E1669" s="381" t="s">
        <v>315</v>
      </c>
      <c r="F1669" s="378">
        <v>55</v>
      </c>
      <c r="G1669" s="378">
        <v>0</v>
      </c>
      <c r="H1669" s="378">
        <v>0</v>
      </c>
      <c r="I1669" s="378">
        <v>55</v>
      </c>
      <c r="J1669" s="267">
        <f t="shared" si="26"/>
        <v>8</v>
      </c>
    </row>
    <row r="1670" spans="1:10" ht="15" customHeight="1" x14ac:dyDescent="0.25">
      <c r="A1670" s="380">
        <v>52159504</v>
      </c>
      <c r="B1670" s="381" t="s">
        <v>321</v>
      </c>
      <c r="C1670" s="381" t="s">
        <v>1722</v>
      </c>
      <c r="D1670" s="381" t="s">
        <v>375</v>
      </c>
      <c r="E1670" s="381" t="s">
        <v>817</v>
      </c>
      <c r="F1670" s="378">
        <v>55</v>
      </c>
      <c r="G1670" s="378">
        <v>0</v>
      </c>
      <c r="H1670" s="378">
        <v>0</v>
      </c>
      <c r="I1670" s="378">
        <v>55</v>
      </c>
      <c r="J1670" s="267">
        <f t="shared" si="26"/>
        <v>8</v>
      </c>
    </row>
    <row r="1671" spans="1:10" ht="15" customHeight="1" x14ac:dyDescent="0.25">
      <c r="A1671" s="380">
        <v>5220</v>
      </c>
      <c r="B1671" s="381" t="s">
        <v>315</v>
      </c>
      <c r="C1671" s="381" t="s">
        <v>190</v>
      </c>
      <c r="D1671" s="381" t="s">
        <v>315</v>
      </c>
      <c r="E1671" s="381" t="s">
        <v>315</v>
      </c>
      <c r="F1671" s="378">
        <v>126532059</v>
      </c>
      <c r="G1671" s="378">
        <v>25291885</v>
      </c>
      <c r="H1671" s="378">
        <v>0</v>
      </c>
      <c r="I1671" s="378">
        <v>151823944</v>
      </c>
      <c r="J1671" s="267">
        <f t="shared" si="26"/>
        <v>4</v>
      </c>
    </row>
    <row r="1672" spans="1:10" ht="15" customHeight="1" x14ac:dyDescent="0.25">
      <c r="A1672" s="380">
        <v>522010</v>
      </c>
      <c r="B1672" s="381" t="s">
        <v>315</v>
      </c>
      <c r="C1672" s="381" t="s">
        <v>482</v>
      </c>
      <c r="D1672" s="381" t="s">
        <v>315</v>
      </c>
      <c r="E1672" s="381" t="s">
        <v>315</v>
      </c>
      <c r="F1672" s="378">
        <v>126532059</v>
      </c>
      <c r="G1672" s="378">
        <v>25291885</v>
      </c>
      <c r="H1672" s="378">
        <v>0</v>
      </c>
      <c r="I1672" s="378">
        <v>151823944</v>
      </c>
      <c r="J1672" s="267">
        <f t="shared" si="26"/>
        <v>6</v>
      </c>
    </row>
    <row r="1673" spans="1:10" ht="15" customHeight="1" x14ac:dyDescent="0.25">
      <c r="A1673" s="380">
        <v>52201001</v>
      </c>
      <c r="B1673" s="381" t="s">
        <v>315</v>
      </c>
      <c r="C1673" s="381" t="s">
        <v>482</v>
      </c>
      <c r="D1673" s="381" t="s">
        <v>315</v>
      </c>
      <c r="E1673" s="381" t="s">
        <v>315</v>
      </c>
      <c r="F1673" s="378">
        <v>126532059</v>
      </c>
      <c r="G1673" s="378">
        <v>25291885</v>
      </c>
      <c r="H1673" s="378">
        <v>0</v>
      </c>
      <c r="I1673" s="378">
        <v>151823944</v>
      </c>
      <c r="J1673" s="267">
        <f t="shared" si="26"/>
        <v>8</v>
      </c>
    </row>
    <row r="1674" spans="1:10" ht="15" customHeight="1" x14ac:dyDescent="0.25">
      <c r="A1674" s="380">
        <v>52201001</v>
      </c>
      <c r="B1674" s="381" t="s">
        <v>315</v>
      </c>
      <c r="C1674" s="381" t="s">
        <v>482</v>
      </c>
      <c r="D1674" s="381" t="s">
        <v>1572</v>
      </c>
      <c r="E1674" s="381" t="s">
        <v>1573</v>
      </c>
      <c r="F1674" s="378">
        <v>45800000</v>
      </c>
      <c r="G1674" s="378">
        <v>9800000</v>
      </c>
      <c r="H1674" s="378">
        <v>0</v>
      </c>
      <c r="I1674" s="378">
        <v>55600000</v>
      </c>
      <c r="J1674" s="267">
        <f t="shared" si="26"/>
        <v>8</v>
      </c>
    </row>
    <row r="1675" spans="1:10" ht="15" customHeight="1" x14ac:dyDescent="0.25">
      <c r="A1675" s="380">
        <v>52201001</v>
      </c>
      <c r="B1675" s="381" t="s">
        <v>315</v>
      </c>
      <c r="C1675" s="381" t="s">
        <v>482</v>
      </c>
      <c r="D1675" s="381" t="s">
        <v>1434</v>
      </c>
      <c r="E1675" s="381" t="s">
        <v>1435</v>
      </c>
      <c r="F1675" s="378">
        <v>12617025</v>
      </c>
      <c r="G1675" s="378">
        <v>2523405</v>
      </c>
      <c r="H1675" s="378">
        <v>0</v>
      </c>
      <c r="I1675" s="378">
        <v>15140430</v>
      </c>
      <c r="J1675" s="267">
        <f t="shared" si="26"/>
        <v>8</v>
      </c>
    </row>
    <row r="1676" spans="1:10" ht="15" customHeight="1" x14ac:dyDescent="0.25">
      <c r="A1676" s="380">
        <v>52201001</v>
      </c>
      <c r="B1676" s="381" t="s">
        <v>315</v>
      </c>
      <c r="C1676" s="381" t="s">
        <v>482</v>
      </c>
      <c r="D1676" s="381" t="s">
        <v>1038</v>
      </c>
      <c r="E1676" s="381" t="s">
        <v>1039</v>
      </c>
      <c r="F1676" s="378">
        <v>2193253</v>
      </c>
      <c r="G1676" s="378">
        <v>0</v>
      </c>
      <c r="H1676" s="378">
        <v>0</v>
      </c>
      <c r="I1676" s="378">
        <v>2193253</v>
      </c>
      <c r="J1676" s="267">
        <f t="shared" ref="J1676:J1739" si="27">+LEN(A1676)</f>
        <v>8</v>
      </c>
    </row>
    <row r="1677" spans="1:10" ht="15" customHeight="1" x14ac:dyDescent="0.25">
      <c r="A1677" s="380">
        <v>52201001</v>
      </c>
      <c r="B1677" s="381" t="s">
        <v>315</v>
      </c>
      <c r="C1677" s="381" t="s">
        <v>482</v>
      </c>
      <c r="D1677" s="381" t="s">
        <v>1436</v>
      </c>
      <c r="E1677" s="381" t="s">
        <v>1437</v>
      </c>
      <c r="F1677" s="378">
        <v>12617025</v>
      </c>
      <c r="G1677" s="378">
        <v>2523405</v>
      </c>
      <c r="H1677" s="378">
        <v>0</v>
      </c>
      <c r="I1677" s="378">
        <v>15140430</v>
      </c>
      <c r="J1677" s="267">
        <f t="shared" si="27"/>
        <v>8</v>
      </c>
    </row>
    <row r="1678" spans="1:10" ht="15" customHeight="1" x14ac:dyDescent="0.25">
      <c r="A1678" s="380">
        <v>52201001</v>
      </c>
      <c r="B1678" s="381" t="s">
        <v>315</v>
      </c>
      <c r="C1678" s="381" t="s">
        <v>482</v>
      </c>
      <c r="D1678" s="381" t="s">
        <v>1438</v>
      </c>
      <c r="E1678" s="381" t="s">
        <v>1577</v>
      </c>
      <c r="F1678" s="378">
        <v>45169303</v>
      </c>
      <c r="G1678" s="378">
        <v>9256635</v>
      </c>
      <c r="H1678" s="378">
        <v>0</v>
      </c>
      <c r="I1678" s="378">
        <v>54425938</v>
      </c>
      <c r="J1678" s="267">
        <f t="shared" si="27"/>
        <v>8</v>
      </c>
    </row>
    <row r="1679" spans="1:10" ht="15" customHeight="1" x14ac:dyDescent="0.25">
      <c r="A1679" s="380">
        <v>52201001</v>
      </c>
      <c r="B1679" s="381" t="s">
        <v>315</v>
      </c>
      <c r="C1679" s="381" t="s">
        <v>482</v>
      </c>
      <c r="D1679" s="381" t="s">
        <v>1000</v>
      </c>
      <c r="E1679" s="381" t="s">
        <v>1582</v>
      </c>
      <c r="F1679" s="378">
        <v>5942200</v>
      </c>
      <c r="G1679" s="378">
        <v>1188440</v>
      </c>
      <c r="H1679" s="378">
        <v>0</v>
      </c>
      <c r="I1679" s="378">
        <v>7130640</v>
      </c>
      <c r="J1679" s="267">
        <f t="shared" si="27"/>
        <v>8</v>
      </c>
    </row>
    <row r="1680" spans="1:10" ht="15" customHeight="1" x14ac:dyDescent="0.25">
      <c r="A1680" s="380">
        <v>52201001</v>
      </c>
      <c r="B1680" s="381" t="s">
        <v>315</v>
      </c>
      <c r="C1680" s="381" t="s">
        <v>482</v>
      </c>
      <c r="D1680" s="381" t="s">
        <v>761</v>
      </c>
      <c r="E1680" s="381" t="s">
        <v>762</v>
      </c>
      <c r="F1680" s="378">
        <v>2193253</v>
      </c>
      <c r="G1680" s="378">
        <v>0</v>
      </c>
      <c r="H1680" s="378">
        <v>0</v>
      </c>
      <c r="I1680" s="378">
        <v>2193253</v>
      </c>
      <c r="J1680" s="267">
        <f t="shared" si="27"/>
        <v>8</v>
      </c>
    </row>
    <row r="1681" spans="1:10" ht="15" customHeight="1" x14ac:dyDescent="0.25">
      <c r="A1681" s="380">
        <v>5225</v>
      </c>
      <c r="B1681" s="381" t="s">
        <v>315</v>
      </c>
      <c r="C1681" s="381" t="s">
        <v>191</v>
      </c>
      <c r="D1681" s="381" t="s">
        <v>315</v>
      </c>
      <c r="E1681" s="381" t="s">
        <v>315</v>
      </c>
      <c r="F1681" s="378">
        <v>10806057</v>
      </c>
      <c r="G1681" s="378">
        <v>2085522</v>
      </c>
      <c r="H1681" s="378">
        <v>0</v>
      </c>
      <c r="I1681" s="378">
        <v>12891579</v>
      </c>
      <c r="J1681" s="267">
        <f t="shared" si="27"/>
        <v>4</v>
      </c>
    </row>
    <row r="1682" spans="1:10" ht="15" customHeight="1" x14ac:dyDescent="0.25">
      <c r="A1682" s="380">
        <v>522510</v>
      </c>
      <c r="B1682" s="381" t="s">
        <v>315</v>
      </c>
      <c r="C1682" s="381" t="s">
        <v>483</v>
      </c>
      <c r="D1682" s="381" t="s">
        <v>315</v>
      </c>
      <c r="E1682" s="381" t="s">
        <v>315</v>
      </c>
      <c r="F1682" s="378">
        <v>10806057</v>
      </c>
      <c r="G1682" s="378">
        <v>2085522</v>
      </c>
      <c r="H1682" s="378">
        <v>0</v>
      </c>
      <c r="I1682" s="378">
        <v>12891579</v>
      </c>
      <c r="J1682" s="267">
        <f t="shared" si="27"/>
        <v>6</v>
      </c>
    </row>
    <row r="1683" spans="1:10" ht="15" customHeight="1" x14ac:dyDescent="0.25">
      <c r="A1683" s="380">
        <v>52251001</v>
      </c>
      <c r="B1683" s="381" t="s">
        <v>315</v>
      </c>
      <c r="C1683" s="381" t="s">
        <v>483</v>
      </c>
      <c r="D1683" s="381" t="s">
        <v>315</v>
      </c>
      <c r="E1683" s="381" t="s">
        <v>315</v>
      </c>
      <c r="F1683" s="378">
        <v>10806057</v>
      </c>
      <c r="G1683" s="378">
        <v>2085522</v>
      </c>
      <c r="H1683" s="378">
        <v>0</v>
      </c>
      <c r="I1683" s="378">
        <v>12891579</v>
      </c>
      <c r="J1683" s="267">
        <f t="shared" si="27"/>
        <v>8</v>
      </c>
    </row>
    <row r="1684" spans="1:10" ht="15" customHeight="1" x14ac:dyDescent="0.25">
      <c r="A1684" s="380">
        <v>52251001</v>
      </c>
      <c r="B1684" s="381" t="s">
        <v>315</v>
      </c>
      <c r="C1684" s="381" t="s">
        <v>483</v>
      </c>
      <c r="D1684" s="381" t="s">
        <v>1578</v>
      </c>
      <c r="E1684" s="381" t="s">
        <v>1579</v>
      </c>
      <c r="F1684" s="378">
        <v>9220155</v>
      </c>
      <c r="G1684" s="378">
        <v>1844031</v>
      </c>
      <c r="H1684" s="378">
        <v>0</v>
      </c>
      <c r="I1684" s="378">
        <v>11064186</v>
      </c>
      <c r="J1684" s="267">
        <f t="shared" si="27"/>
        <v>8</v>
      </c>
    </row>
    <row r="1685" spans="1:10" ht="15" customHeight="1" x14ac:dyDescent="0.25">
      <c r="A1685" s="380">
        <v>52251001</v>
      </c>
      <c r="B1685" s="381" t="s">
        <v>315</v>
      </c>
      <c r="C1685" s="381" t="s">
        <v>483</v>
      </c>
      <c r="D1685" s="381" t="s">
        <v>1448</v>
      </c>
      <c r="E1685" s="381" t="s">
        <v>1449</v>
      </c>
      <c r="F1685" s="378">
        <v>1585902</v>
      </c>
      <c r="G1685" s="378">
        <v>241491</v>
      </c>
      <c r="H1685" s="378">
        <v>0</v>
      </c>
      <c r="I1685" s="378">
        <v>1827393</v>
      </c>
      <c r="J1685" s="267">
        <f t="shared" si="27"/>
        <v>8</v>
      </c>
    </row>
    <row r="1686" spans="1:10" ht="15" customHeight="1" x14ac:dyDescent="0.25">
      <c r="A1686" s="380">
        <v>5230</v>
      </c>
      <c r="B1686" s="381" t="s">
        <v>315</v>
      </c>
      <c r="C1686" s="381" t="s">
        <v>192</v>
      </c>
      <c r="D1686" s="381" t="s">
        <v>315</v>
      </c>
      <c r="E1686" s="381" t="s">
        <v>315</v>
      </c>
      <c r="F1686" s="378">
        <v>2014388</v>
      </c>
      <c r="G1686" s="378">
        <v>0</v>
      </c>
      <c r="H1686" s="378">
        <v>0</v>
      </c>
      <c r="I1686" s="378">
        <v>2014388</v>
      </c>
      <c r="J1686" s="267">
        <f t="shared" si="27"/>
        <v>4</v>
      </c>
    </row>
    <row r="1687" spans="1:10" ht="15" customHeight="1" x14ac:dyDescent="0.25">
      <c r="A1687" s="380">
        <v>523095</v>
      </c>
      <c r="B1687" s="381" t="s">
        <v>315</v>
      </c>
      <c r="C1687" s="381" t="s">
        <v>238</v>
      </c>
      <c r="D1687" s="381" t="s">
        <v>315</v>
      </c>
      <c r="E1687" s="381" t="s">
        <v>315</v>
      </c>
      <c r="F1687" s="378">
        <v>2014388</v>
      </c>
      <c r="G1687" s="378">
        <v>0</v>
      </c>
      <c r="H1687" s="378">
        <v>0</v>
      </c>
      <c r="I1687" s="378">
        <v>2014388</v>
      </c>
      <c r="J1687" s="267">
        <f t="shared" si="27"/>
        <v>6</v>
      </c>
    </row>
    <row r="1688" spans="1:10" ht="15" customHeight="1" x14ac:dyDescent="0.25">
      <c r="A1688" s="380">
        <v>52309502</v>
      </c>
      <c r="B1688" s="381" t="s">
        <v>321</v>
      </c>
      <c r="C1688" s="381" t="s">
        <v>1723</v>
      </c>
      <c r="D1688" s="381" t="s">
        <v>315</v>
      </c>
      <c r="E1688" s="381" t="s">
        <v>315</v>
      </c>
      <c r="F1688" s="378">
        <v>2014388</v>
      </c>
      <c r="G1688" s="378">
        <v>0</v>
      </c>
      <c r="H1688" s="378">
        <v>0</v>
      </c>
      <c r="I1688" s="378">
        <v>2014388</v>
      </c>
      <c r="J1688" s="267">
        <f t="shared" si="27"/>
        <v>8</v>
      </c>
    </row>
    <row r="1689" spans="1:10" ht="15" customHeight="1" x14ac:dyDescent="0.25">
      <c r="A1689" s="380">
        <v>52309502</v>
      </c>
      <c r="B1689" s="381" t="s">
        <v>321</v>
      </c>
      <c r="C1689" s="381" t="s">
        <v>1723</v>
      </c>
      <c r="D1689" s="381" t="s">
        <v>440</v>
      </c>
      <c r="E1689" s="381" t="s">
        <v>441</v>
      </c>
      <c r="F1689" s="378">
        <v>2014388</v>
      </c>
      <c r="G1689" s="378">
        <v>0</v>
      </c>
      <c r="H1689" s="378">
        <v>0</v>
      </c>
      <c r="I1689" s="378">
        <v>2014388</v>
      </c>
      <c r="J1689" s="267">
        <f t="shared" si="27"/>
        <v>8</v>
      </c>
    </row>
    <row r="1690" spans="1:10" ht="15" customHeight="1" x14ac:dyDescent="0.25">
      <c r="A1690" s="380">
        <v>5235</v>
      </c>
      <c r="B1690" s="381" t="s">
        <v>315</v>
      </c>
      <c r="C1690" s="381" t="s">
        <v>193</v>
      </c>
      <c r="D1690" s="381" t="s">
        <v>315</v>
      </c>
      <c r="E1690" s="381" t="s">
        <v>315</v>
      </c>
      <c r="F1690" s="378">
        <v>164407318</v>
      </c>
      <c r="G1690" s="378">
        <v>24136331</v>
      </c>
      <c r="H1690" s="378">
        <v>24000</v>
      </c>
      <c r="I1690" s="378">
        <v>188519649</v>
      </c>
      <c r="J1690" s="267">
        <f t="shared" si="27"/>
        <v>4</v>
      </c>
    </row>
    <row r="1691" spans="1:10" ht="15" customHeight="1" x14ac:dyDescent="0.25">
      <c r="A1691" s="380">
        <v>523505</v>
      </c>
      <c r="B1691" s="381" t="s">
        <v>315</v>
      </c>
      <c r="C1691" s="381" t="s">
        <v>1344</v>
      </c>
      <c r="D1691" s="381" t="s">
        <v>315</v>
      </c>
      <c r="E1691" s="381" t="s">
        <v>315</v>
      </c>
      <c r="F1691" s="378">
        <v>839052</v>
      </c>
      <c r="G1691" s="378">
        <v>130045</v>
      </c>
      <c r="H1691" s="378">
        <v>0</v>
      </c>
      <c r="I1691" s="378">
        <v>969097</v>
      </c>
      <c r="J1691" s="267">
        <f t="shared" si="27"/>
        <v>6</v>
      </c>
    </row>
    <row r="1692" spans="1:10" ht="15" customHeight="1" x14ac:dyDescent="0.25">
      <c r="A1692" s="380">
        <v>52350501</v>
      </c>
      <c r="B1692" s="381" t="s">
        <v>315</v>
      </c>
      <c r="C1692" s="381" t="s">
        <v>1344</v>
      </c>
      <c r="D1692" s="381" t="s">
        <v>315</v>
      </c>
      <c r="E1692" s="381" t="s">
        <v>315</v>
      </c>
      <c r="F1692" s="378">
        <v>839052</v>
      </c>
      <c r="G1692" s="378">
        <v>130045</v>
      </c>
      <c r="H1692" s="378">
        <v>0</v>
      </c>
      <c r="I1692" s="378">
        <v>969097</v>
      </c>
      <c r="J1692" s="267">
        <f t="shared" si="27"/>
        <v>8</v>
      </c>
    </row>
    <row r="1693" spans="1:10" ht="15" customHeight="1" x14ac:dyDescent="0.25">
      <c r="A1693" s="380">
        <v>52350501</v>
      </c>
      <c r="B1693" s="381" t="s">
        <v>315</v>
      </c>
      <c r="C1693" s="381" t="s">
        <v>1344</v>
      </c>
      <c r="D1693" s="381" t="s">
        <v>340</v>
      </c>
      <c r="E1693" s="381" t="s">
        <v>341</v>
      </c>
      <c r="F1693" s="378">
        <v>829160</v>
      </c>
      <c r="G1693" s="378">
        <v>125361</v>
      </c>
      <c r="H1693" s="378">
        <v>0</v>
      </c>
      <c r="I1693" s="378">
        <v>954521</v>
      </c>
      <c r="J1693" s="267">
        <f t="shared" si="27"/>
        <v>8</v>
      </c>
    </row>
    <row r="1694" spans="1:10" ht="15" customHeight="1" x14ac:dyDescent="0.25">
      <c r="A1694" s="380">
        <v>52350501</v>
      </c>
      <c r="B1694" s="381" t="s">
        <v>315</v>
      </c>
      <c r="C1694" s="381" t="s">
        <v>1344</v>
      </c>
      <c r="D1694" s="381" t="s">
        <v>1580</v>
      </c>
      <c r="E1694" s="381" t="s">
        <v>1581</v>
      </c>
      <c r="F1694" s="378">
        <v>9892</v>
      </c>
      <c r="G1694" s="378">
        <v>4684</v>
      </c>
      <c r="H1694" s="378">
        <v>0</v>
      </c>
      <c r="I1694" s="378">
        <v>14576</v>
      </c>
      <c r="J1694" s="267">
        <f t="shared" si="27"/>
        <v>8</v>
      </c>
    </row>
    <row r="1695" spans="1:10" ht="15" customHeight="1" x14ac:dyDescent="0.25">
      <c r="A1695" s="380">
        <v>523515</v>
      </c>
      <c r="B1695" s="381" t="s">
        <v>321</v>
      </c>
      <c r="C1695" s="381" t="s">
        <v>633</v>
      </c>
      <c r="D1695" s="381" t="s">
        <v>315</v>
      </c>
      <c r="E1695" s="381" t="s">
        <v>315</v>
      </c>
      <c r="F1695" s="378">
        <v>340000</v>
      </c>
      <c r="G1695" s="378">
        <v>0</v>
      </c>
      <c r="H1695" s="378">
        <v>0</v>
      </c>
      <c r="I1695" s="378">
        <v>340000</v>
      </c>
      <c r="J1695" s="267">
        <f t="shared" si="27"/>
        <v>6</v>
      </c>
    </row>
    <row r="1696" spans="1:10" ht="15" customHeight="1" x14ac:dyDescent="0.25">
      <c r="A1696" s="380">
        <v>52351501</v>
      </c>
      <c r="B1696" s="381" t="s">
        <v>321</v>
      </c>
      <c r="C1696" s="381" t="s">
        <v>633</v>
      </c>
      <c r="D1696" s="381" t="s">
        <v>315</v>
      </c>
      <c r="E1696" s="381" t="s">
        <v>315</v>
      </c>
      <c r="F1696" s="378">
        <v>340000</v>
      </c>
      <c r="G1696" s="378">
        <v>0</v>
      </c>
      <c r="H1696" s="378">
        <v>0</v>
      </c>
      <c r="I1696" s="378">
        <v>340000</v>
      </c>
      <c r="J1696" s="267">
        <f t="shared" si="27"/>
        <v>8</v>
      </c>
    </row>
    <row r="1697" spans="1:10" ht="15" customHeight="1" x14ac:dyDescent="0.25">
      <c r="A1697" s="380">
        <v>52351501</v>
      </c>
      <c r="B1697" s="381" t="s">
        <v>321</v>
      </c>
      <c r="C1697" s="381" t="s">
        <v>633</v>
      </c>
      <c r="D1697" s="381" t="s">
        <v>1598</v>
      </c>
      <c r="E1697" s="381" t="s">
        <v>1599</v>
      </c>
      <c r="F1697" s="378">
        <v>250000</v>
      </c>
      <c r="G1697" s="378">
        <v>0</v>
      </c>
      <c r="H1697" s="378">
        <v>0</v>
      </c>
      <c r="I1697" s="378">
        <v>250000</v>
      </c>
      <c r="J1697" s="267">
        <f t="shared" si="27"/>
        <v>8</v>
      </c>
    </row>
    <row r="1698" spans="1:10" ht="15" customHeight="1" x14ac:dyDescent="0.25">
      <c r="A1698" s="380">
        <v>52351501</v>
      </c>
      <c r="B1698" s="381" t="s">
        <v>321</v>
      </c>
      <c r="C1698" s="381" t="s">
        <v>633</v>
      </c>
      <c r="D1698" s="381" t="s">
        <v>1015</v>
      </c>
      <c r="E1698" s="381" t="s">
        <v>1556</v>
      </c>
      <c r="F1698" s="378">
        <v>90000</v>
      </c>
      <c r="G1698" s="378">
        <v>0</v>
      </c>
      <c r="H1698" s="378">
        <v>0</v>
      </c>
      <c r="I1698" s="378">
        <v>90000</v>
      </c>
      <c r="J1698" s="267">
        <f t="shared" si="27"/>
        <v>8</v>
      </c>
    </row>
    <row r="1699" spans="1:10" ht="15" customHeight="1" x14ac:dyDescent="0.25">
      <c r="A1699" s="380">
        <v>523520</v>
      </c>
      <c r="B1699" s="381" t="s">
        <v>321</v>
      </c>
      <c r="C1699" s="381" t="s">
        <v>484</v>
      </c>
      <c r="D1699" s="381" t="s">
        <v>315</v>
      </c>
      <c r="E1699" s="381" t="s">
        <v>315</v>
      </c>
      <c r="F1699" s="378">
        <v>9580052</v>
      </c>
      <c r="G1699" s="378">
        <v>1790380</v>
      </c>
      <c r="H1699" s="378">
        <v>0</v>
      </c>
      <c r="I1699" s="378">
        <v>11370432</v>
      </c>
      <c r="J1699" s="267">
        <f t="shared" si="27"/>
        <v>6</v>
      </c>
    </row>
    <row r="1700" spans="1:10" ht="15" customHeight="1" x14ac:dyDescent="0.25">
      <c r="A1700" s="380">
        <v>52352001</v>
      </c>
      <c r="B1700" s="381" t="s">
        <v>321</v>
      </c>
      <c r="C1700" s="381" t="s">
        <v>484</v>
      </c>
      <c r="D1700" s="381" t="s">
        <v>315</v>
      </c>
      <c r="E1700" s="381" t="s">
        <v>315</v>
      </c>
      <c r="F1700" s="378">
        <v>9580052</v>
      </c>
      <c r="G1700" s="378">
        <v>1790380</v>
      </c>
      <c r="H1700" s="378">
        <v>0</v>
      </c>
      <c r="I1700" s="378">
        <v>11370432</v>
      </c>
      <c r="J1700" s="267">
        <f t="shared" si="27"/>
        <v>8</v>
      </c>
    </row>
    <row r="1701" spans="1:10" ht="15" customHeight="1" x14ac:dyDescent="0.25">
      <c r="A1701" s="380">
        <v>52352001</v>
      </c>
      <c r="B1701" s="381" t="s">
        <v>321</v>
      </c>
      <c r="C1701" s="381" t="s">
        <v>484</v>
      </c>
      <c r="D1701" s="381" t="s">
        <v>1001</v>
      </c>
      <c r="E1701" s="381" t="s">
        <v>1002</v>
      </c>
      <c r="F1701" s="378">
        <v>479292</v>
      </c>
      <c r="G1701" s="378">
        <v>90228</v>
      </c>
      <c r="H1701" s="378">
        <v>0</v>
      </c>
      <c r="I1701" s="378">
        <v>569520</v>
      </c>
      <c r="J1701" s="267">
        <f t="shared" si="27"/>
        <v>8</v>
      </c>
    </row>
    <row r="1702" spans="1:10" ht="15" customHeight="1" x14ac:dyDescent="0.25">
      <c r="A1702" s="380">
        <v>52352001</v>
      </c>
      <c r="B1702" s="381" t="s">
        <v>321</v>
      </c>
      <c r="C1702" s="381" t="s">
        <v>484</v>
      </c>
      <c r="D1702" s="381" t="s">
        <v>412</v>
      </c>
      <c r="E1702" s="381" t="s">
        <v>1003</v>
      </c>
      <c r="F1702" s="378">
        <v>8500760</v>
      </c>
      <c r="G1702" s="378">
        <v>1700152</v>
      </c>
      <c r="H1702" s="378">
        <v>0</v>
      </c>
      <c r="I1702" s="378">
        <v>10200912</v>
      </c>
      <c r="J1702" s="267">
        <f t="shared" si="27"/>
        <v>8</v>
      </c>
    </row>
    <row r="1703" spans="1:10" ht="15" customHeight="1" x14ac:dyDescent="0.25">
      <c r="A1703" s="380">
        <v>52352001</v>
      </c>
      <c r="B1703" s="381" t="s">
        <v>321</v>
      </c>
      <c r="C1703" s="381" t="s">
        <v>484</v>
      </c>
      <c r="D1703" s="381" t="s">
        <v>1011</v>
      </c>
      <c r="E1703" s="381" t="s">
        <v>1012</v>
      </c>
      <c r="F1703" s="378">
        <v>600000</v>
      </c>
      <c r="G1703" s="378">
        <v>0</v>
      </c>
      <c r="H1703" s="378">
        <v>0</v>
      </c>
      <c r="I1703" s="378">
        <v>600000</v>
      </c>
      <c r="J1703" s="267">
        <f t="shared" si="27"/>
        <v>8</v>
      </c>
    </row>
    <row r="1704" spans="1:10" ht="15" customHeight="1" x14ac:dyDescent="0.25">
      <c r="A1704" s="380">
        <v>523525</v>
      </c>
      <c r="B1704" s="381" t="s">
        <v>315</v>
      </c>
      <c r="C1704" s="381" t="s">
        <v>485</v>
      </c>
      <c r="D1704" s="381" t="s">
        <v>315</v>
      </c>
      <c r="E1704" s="381" t="s">
        <v>315</v>
      </c>
      <c r="F1704" s="378">
        <v>2833599</v>
      </c>
      <c r="G1704" s="378">
        <v>404082</v>
      </c>
      <c r="H1704" s="378">
        <v>0</v>
      </c>
      <c r="I1704" s="378">
        <v>3237681</v>
      </c>
      <c r="J1704" s="267">
        <f t="shared" si="27"/>
        <v>6</v>
      </c>
    </row>
    <row r="1705" spans="1:10" ht="15" customHeight="1" x14ac:dyDescent="0.25">
      <c r="A1705" s="380">
        <v>52352501</v>
      </c>
      <c r="B1705" s="381" t="s">
        <v>315</v>
      </c>
      <c r="C1705" s="381" t="s">
        <v>485</v>
      </c>
      <c r="D1705" s="381" t="s">
        <v>315</v>
      </c>
      <c r="E1705" s="381" t="s">
        <v>315</v>
      </c>
      <c r="F1705" s="378">
        <v>2833599</v>
      </c>
      <c r="G1705" s="378">
        <v>404082</v>
      </c>
      <c r="H1705" s="378">
        <v>0</v>
      </c>
      <c r="I1705" s="378">
        <v>3237681</v>
      </c>
      <c r="J1705" s="267">
        <f t="shared" si="27"/>
        <v>8</v>
      </c>
    </row>
    <row r="1706" spans="1:10" ht="15" customHeight="1" x14ac:dyDescent="0.25">
      <c r="A1706" s="380">
        <v>52352501</v>
      </c>
      <c r="B1706" s="381" t="s">
        <v>315</v>
      </c>
      <c r="C1706" s="381" t="s">
        <v>485</v>
      </c>
      <c r="D1706" s="381" t="s">
        <v>340</v>
      </c>
      <c r="E1706" s="381" t="s">
        <v>341</v>
      </c>
      <c r="F1706" s="378">
        <v>1736567</v>
      </c>
      <c r="G1706" s="378">
        <v>187265</v>
      </c>
      <c r="H1706" s="378">
        <v>0</v>
      </c>
      <c r="I1706" s="378">
        <v>1923832</v>
      </c>
      <c r="J1706" s="267">
        <f t="shared" si="27"/>
        <v>8</v>
      </c>
    </row>
    <row r="1707" spans="1:10" ht="15" customHeight="1" x14ac:dyDescent="0.25">
      <c r="A1707" s="380">
        <v>52352501</v>
      </c>
      <c r="B1707" s="381" t="s">
        <v>315</v>
      </c>
      <c r="C1707" s="381" t="s">
        <v>485</v>
      </c>
      <c r="D1707" s="381" t="s">
        <v>1438</v>
      </c>
      <c r="E1707" s="381" t="s">
        <v>1577</v>
      </c>
      <c r="F1707" s="378">
        <v>1097032</v>
      </c>
      <c r="G1707" s="378">
        <v>216817</v>
      </c>
      <c r="H1707" s="378">
        <v>0</v>
      </c>
      <c r="I1707" s="378">
        <v>1313849</v>
      </c>
      <c r="J1707" s="267">
        <f t="shared" si="27"/>
        <v>8</v>
      </c>
    </row>
    <row r="1708" spans="1:10" ht="15" customHeight="1" x14ac:dyDescent="0.25">
      <c r="A1708" s="380">
        <v>523530</v>
      </c>
      <c r="B1708" s="381" t="s">
        <v>315</v>
      </c>
      <c r="C1708" s="381" t="s">
        <v>486</v>
      </c>
      <c r="D1708" s="381" t="s">
        <v>315</v>
      </c>
      <c r="E1708" s="381" t="s">
        <v>315</v>
      </c>
      <c r="F1708" s="378">
        <v>44432317</v>
      </c>
      <c r="G1708" s="378">
        <v>8955282</v>
      </c>
      <c r="H1708" s="378">
        <v>0</v>
      </c>
      <c r="I1708" s="378">
        <v>53387599</v>
      </c>
      <c r="J1708" s="267">
        <f t="shared" si="27"/>
        <v>6</v>
      </c>
    </row>
    <row r="1709" spans="1:10" ht="15" customHeight="1" x14ac:dyDescent="0.25">
      <c r="A1709" s="380">
        <v>52353001</v>
      </c>
      <c r="B1709" s="381" t="s">
        <v>315</v>
      </c>
      <c r="C1709" s="381" t="s">
        <v>486</v>
      </c>
      <c r="D1709" s="381" t="s">
        <v>315</v>
      </c>
      <c r="E1709" s="381" t="s">
        <v>315</v>
      </c>
      <c r="F1709" s="378">
        <v>44432317</v>
      </c>
      <c r="G1709" s="378">
        <v>8955282</v>
      </c>
      <c r="H1709" s="378">
        <v>0</v>
      </c>
      <c r="I1709" s="378">
        <v>53387599</v>
      </c>
      <c r="J1709" s="267">
        <f t="shared" si="27"/>
        <v>8</v>
      </c>
    </row>
    <row r="1710" spans="1:10" ht="15" customHeight="1" x14ac:dyDescent="0.25">
      <c r="A1710" s="380">
        <v>52353001</v>
      </c>
      <c r="B1710" s="381" t="s">
        <v>315</v>
      </c>
      <c r="C1710" s="381" t="s">
        <v>486</v>
      </c>
      <c r="D1710" s="381" t="s">
        <v>340</v>
      </c>
      <c r="E1710" s="381" t="s">
        <v>341</v>
      </c>
      <c r="F1710" s="378">
        <v>19678607</v>
      </c>
      <c r="G1710" s="378">
        <v>3763921</v>
      </c>
      <c r="H1710" s="378">
        <v>0</v>
      </c>
      <c r="I1710" s="378">
        <v>23442528</v>
      </c>
      <c r="J1710" s="267">
        <f t="shared" si="27"/>
        <v>8</v>
      </c>
    </row>
    <row r="1711" spans="1:10" ht="15" customHeight="1" x14ac:dyDescent="0.25">
      <c r="A1711" s="380">
        <v>52353001</v>
      </c>
      <c r="B1711" s="381" t="s">
        <v>315</v>
      </c>
      <c r="C1711" s="381" t="s">
        <v>486</v>
      </c>
      <c r="D1711" s="381" t="s">
        <v>1438</v>
      </c>
      <c r="E1711" s="381" t="s">
        <v>1577</v>
      </c>
      <c r="F1711" s="378">
        <v>10896762</v>
      </c>
      <c r="G1711" s="378">
        <v>2059480</v>
      </c>
      <c r="H1711" s="378">
        <v>0</v>
      </c>
      <c r="I1711" s="378">
        <v>12956242</v>
      </c>
      <c r="J1711" s="267">
        <f t="shared" si="27"/>
        <v>8</v>
      </c>
    </row>
    <row r="1712" spans="1:10" ht="15" customHeight="1" x14ac:dyDescent="0.25">
      <c r="A1712" s="380">
        <v>52353001</v>
      </c>
      <c r="B1712" s="381" t="s">
        <v>315</v>
      </c>
      <c r="C1712" s="381" t="s">
        <v>486</v>
      </c>
      <c r="D1712" s="381" t="s">
        <v>1584</v>
      </c>
      <c r="E1712" s="381" t="s">
        <v>1585</v>
      </c>
      <c r="F1712" s="378">
        <v>13856948</v>
      </c>
      <c r="G1712" s="378">
        <v>3131881</v>
      </c>
      <c r="H1712" s="378">
        <v>0</v>
      </c>
      <c r="I1712" s="378">
        <v>16988829</v>
      </c>
      <c r="J1712" s="267">
        <f t="shared" si="27"/>
        <v>8</v>
      </c>
    </row>
    <row r="1713" spans="1:10" ht="15" customHeight="1" x14ac:dyDescent="0.25">
      <c r="A1713" s="380">
        <v>523550</v>
      </c>
      <c r="B1713" s="381" t="s">
        <v>315</v>
      </c>
      <c r="C1713" s="381" t="s">
        <v>434</v>
      </c>
      <c r="D1713" s="381" t="s">
        <v>315</v>
      </c>
      <c r="E1713" s="381" t="s">
        <v>315</v>
      </c>
      <c r="F1713" s="378">
        <v>19771719</v>
      </c>
      <c r="G1713" s="378">
        <v>3181519</v>
      </c>
      <c r="H1713" s="378">
        <v>10000</v>
      </c>
      <c r="I1713" s="378">
        <v>22943238</v>
      </c>
      <c r="J1713" s="267">
        <f t="shared" si="27"/>
        <v>6</v>
      </c>
    </row>
    <row r="1714" spans="1:10" ht="15" customHeight="1" x14ac:dyDescent="0.25">
      <c r="A1714" s="380">
        <v>52355001</v>
      </c>
      <c r="B1714" s="381" t="s">
        <v>315</v>
      </c>
      <c r="C1714" s="381" t="s">
        <v>434</v>
      </c>
      <c r="D1714" s="381" t="s">
        <v>315</v>
      </c>
      <c r="E1714" s="381" t="s">
        <v>315</v>
      </c>
      <c r="F1714" s="378">
        <v>19771719</v>
      </c>
      <c r="G1714" s="378">
        <v>3181519</v>
      </c>
      <c r="H1714" s="378">
        <v>10000</v>
      </c>
      <c r="I1714" s="378">
        <v>22943238</v>
      </c>
      <c r="J1714" s="267">
        <f t="shared" si="27"/>
        <v>8</v>
      </c>
    </row>
    <row r="1715" spans="1:10" ht="15" customHeight="1" x14ac:dyDescent="0.25">
      <c r="A1715" s="380">
        <v>52355001</v>
      </c>
      <c r="B1715" s="381" t="s">
        <v>315</v>
      </c>
      <c r="C1715" s="381" t="s">
        <v>434</v>
      </c>
      <c r="D1715" s="381" t="s">
        <v>965</v>
      </c>
      <c r="E1715" s="381" t="s">
        <v>966</v>
      </c>
      <c r="F1715" s="378">
        <v>80000</v>
      </c>
      <c r="G1715" s="378">
        <v>0</v>
      </c>
      <c r="H1715" s="378">
        <v>0</v>
      </c>
      <c r="I1715" s="378">
        <v>80000</v>
      </c>
      <c r="J1715" s="267">
        <f t="shared" si="27"/>
        <v>8</v>
      </c>
    </row>
    <row r="1716" spans="1:10" ht="15" customHeight="1" x14ac:dyDescent="0.25">
      <c r="A1716" s="380">
        <v>52355001</v>
      </c>
      <c r="B1716" s="381" t="s">
        <v>315</v>
      </c>
      <c r="C1716" s="381" t="s">
        <v>434</v>
      </c>
      <c r="D1716" s="381" t="s">
        <v>651</v>
      </c>
      <c r="E1716" s="381" t="s">
        <v>1638</v>
      </c>
      <c r="F1716" s="378">
        <v>21010</v>
      </c>
      <c r="G1716" s="378">
        <v>8404</v>
      </c>
      <c r="H1716" s="378">
        <v>0</v>
      </c>
      <c r="I1716" s="378">
        <v>29414</v>
      </c>
      <c r="J1716" s="267">
        <f t="shared" si="27"/>
        <v>8</v>
      </c>
    </row>
    <row r="1717" spans="1:10" ht="15" customHeight="1" x14ac:dyDescent="0.25">
      <c r="A1717" s="380">
        <v>52355001</v>
      </c>
      <c r="B1717" s="381" t="s">
        <v>315</v>
      </c>
      <c r="C1717" s="381" t="s">
        <v>434</v>
      </c>
      <c r="D1717" s="381" t="s">
        <v>746</v>
      </c>
      <c r="E1717" s="381" t="s">
        <v>1592</v>
      </c>
      <c r="F1717" s="378">
        <v>14500</v>
      </c>
      <c r="G1717" s="378">
        <v>0</v>
      </c>
      <c r="H1717" s="378">
        <v>0</v>
      </c>
      <c r="I1717" s="378">
        <v>14500</v>
      </c>
      <c r="J1717" s="267">
        <f t="shared" si="27"/>
        <v>8</v>
      </c>
    </row>
    <row r="1718" spans="1:10" ht="15" customHeight="1" x14ac:dyDescent="0.25">
      <c r="A1718" s="380">
        <v>52355001</v>
      </c>
      <c r="B1718" s="381" t="s">
        <v>315</v>
      </c>
      <c r="C1718" s="381" t="s">
        <v>434</v>
      </c>
      <c r="D1718" s="381" t="s">
        <v>1580</v>
      </c>
      <c r="E1718" s="381" t="s">
        <v>1581</v>
      </c>
      <c r="F1718" s="378">
        <v>971324</v>
      </c>
      <c r="G1718" s="378">
        <v>240619</v>
      </c>
      <c r="H1718" s="378">
        <v>0</v>
      </c>
      <c r="I1718" s="378">
        <v>1211943</v>
      </c>
      <c r="J1718" s="267">
        <f t="shared" si="27"/>
        <v>8</v>
      </c>
    </row>
    <row r="1719" spans="1:10" ht="15" customHeight="1" x14ac:dyDescent="0.25">
      <c r="A1719" s="380">
        <v>52355001</v>
      </c>
      <c r="B1719" s="381" t="s">
        <v>315</v>
      </c>
      <c r="C1719" s="381" t="s">
        <v>434</v>
      </c>
      <c r="D1719" s="381" t="s">
        <v>347</v>
      </c>
      <c r="E1719" s="381" t="s">
        <v>348</v>
      </c>
      <c r="F1719" s="378">
        <v>18231460</v>
      </c>
      <c r="G1719" s="378">
        <v>2842496</v>
      </c>
      <c r="H1719" s="378">
        <v>0</v>
      </c>
      <c r="I1719" s="378">
        <v>21073956</v>
      </c>
      <c r="J1719" s="267">
        <f t="shared" si="27"/>
        <v>8</v>
      </c>
    </row>
    <row r="1720" spans="1:10" ht="15" customHeight="1" x14ac:dyDescent="0.25">
      <c r="A1720" s="380">
        <v>52355001</v>
      </c>
      <c r="B1720" s="381" t="s">
        <v>315</v>
      </c>
      <c r="C1720" s="381" t="s">
        <v>434</v>
      </c>
      <c r="D1720" s="381" t="s">
        <v>675</v>
      </c>
      <c r="E1720" s="381" t="s">
        <v>1633</v>
      </c>
      <c r="F1720" s="378">
        <v>151425</v>
      </c>
      <c r="G1720" s="378">
        <v>0</v>
      </c>
      <c r="H1720" s="378">
        <v>0</v>
      </c>
      <c r="I1720" s="378">
        <v>151425</v>
      </c>
      <c r="J1720" s="267">
        <f t="shared" si="27"/>
        <v>8</v>
      </c>
    </row>
    <row r="1721" spans="1:10" ht="15" customHeight="1" x14ac:dyDescent="0.25">
      <c r="A1721" s="380">
        <v>52355001</v>
      </c>
      <c r="B1721" s="381" t="s">
        <v>315</v>
      </c>
      <c r="C1721" s="381" t="s">
        <v>434</v>
      </c>
      <c r="D1721" s="381" t="s">
        <v>665</v>
      </c>
      <c r="E1721" s="381" t="s">
        <v>824</v>
      </c>
      <c r="F1721" s="378">
        <v>302000</v>
      </c>
      <c r="G1721" s="378">
        <v>90000</v>
      </c>
      <c r="H1721" s="378">
        <v>10000</v>
      </c>
      <c r="I1721" s="378">
        <v>382000</v>
      </c>
      <c r="J1721" s="267">
        <f t="shared" si="27"/>
        <v>8</v>
      </c>
    </row>
    <row r="1722" spans="1:10" ht="15" customHeight="1" x14ac:dyDescent="0.25">
      <c r="A1722" s="380">
        <v>523560</v>
      </c>
      <c r="B1722" s="381" t="s">
        <v>315</v>
      </c>
      <c r="C1722" s="381" t="s">
        <v>1724</v>
      </c>
      <c r="D1722" s="381" t="s">
        <v>315</v>
      </c>
      <c r="E1722" s="381" t="s">
        <v>315</v>
      </c>
      <c r="F1722" s="378">
        <v>1110486</v>
      </c>
      <c r="G1722" s="378">
        <v>403787</v>
      </c>
      <c r="H1722" s="378">
        <v>0</v>
      </c>
      <c r="I1722" s="378">
        <v>1514273</v>
      </c>
      <c r="J1722" s="267">
        <f t="shared" si="27"/>
        <v>6</v>
      </c>
    </row>
    <row r="1723" spans="1:10" ht="15" customHeight="1" x14ac:dyDescent="0.25">
      <c r="A1723" s="380">
        <v>52356001</v>
      </c>
      <c r="B1723" s="381" t="s">
        <v>315</v>
      </c>
      <c r="C1723" s="381" t="s">
        <v>1724</v>
      </c>
      <c r="D1723" s="381" t="s">
        <v>315</v>
      </c>
      <c r="E1723" s="381" t="s">
        <v>315</v>
      </c>
      <c r="F1723" s="378">
        <v>1110486</v>
      </c>
      <c r="G1723" s="378">
        <v>403787</v>
      </c>
      <c r="H1723" s="378">
        <v>0</v>
      </c>
      <c r="I1723" s="378">
        <v>1514273</v>
      </c>
      <c r="J1723" s="267">
        <f t="shared" si="27"/>
        <v>8</v>
      </c>
    </row>
    <row r="1724" spans="1:10" ht="15" customHeight="1" x14ac:dyDescent="0.25">
      <c r="A1724" s="380">
        <v>52356001</v>
      </c>
      <c r="B1724" s="381" t="s">
        <v>315</v>
      </c>
      <c r="C1724" s="381" t="s">
        <v>1724</v>
      </c>
      <c r="D1724" s="381" t="s">
        <v>347</v>
      </c>
      <c r="E1724" s="381" t="s">
        <v>348</v>
      </c>
      <c r="F1724" s="378">
        <v>679426</v>
      </c>
      <c r="G1724" s="378">
        <v>0</v>
      </c>
      <c r="H1724" s="378">
        <v>0</v>
      </c>
      <c r="I1724" s="378">
        <v>679426</v>
      </c>
      <c r="J1724" s="267">
        <f t="shared" si="27"/>
        <v>8</v>
      </c>
    </row>
    <row r="1725" spans="1:10" ht="15" customHeight="1" x14ac:dyDescent="0.25">
      <c r="A1725" s="380">
        <v>52356001</v>
      </c>
      <c r="B1725" s="381" t="s">
        <v>315</v>
      </c>
      <c r="C1725" s="381" t="s">
        <v>1724</v>
      </c>
      <c r="D1725" s="381" t="s">
        <v>717</v>
      </c>
      <c r="E1725" s="381" t="s">
        <v>718</v>
      </c>
      <c r="F1725" s="378">
        <v>431060</v>
      </c>
      <c r="G1725" s="378">
        <v>403787</v>
      </c>
      <c r="H1725" s="378">
        <v>0</v>
      </c>
      <c r="I1725" s="378">
        <v>834847</v>
      </c>
      <c r="J1725" s="267">
        <f t="shared" si="27"/>
        <v>8</v>
      </c>
    </row>
    <row r="1726" spans="1:10" ht="15" customHeight="1" x14ac:dyDescent="0.25">
      <c r="A1726" s="380">
        <v>523595</v>
      </c>
      <c r="B1726" s="381" t="s">
        <v>321</v>
      </c>
      <c r="C1726" s="381" t="s">
        <v>238</v>
      </c>
      <c r="D1726" s="381" t="s">
        <v>315</v>
      </c>
      <c r="E1726" s="381" t="s">
        <v>315</v>
      </c>
      <c r="F1726" s="378">
        <v>85500093</v>
      </c>
      <c r="G1726" s="378">
        <v>9271236</v>
      </c>
      <c r="H1726" s="378">
        <v>14000</v>
      </c>
      <c r="I1726" s="378">
        <v>94757329</v>
      </c>
      <c r="J1726" s="267">
        <f t="shared" si="27"/>
        <v>6</v>
      </c>
    </row>
    <row r="1727" spans="1:10" ht="15" customHeight="1" x14ac:dyDescent="0.25">
      <c r="A1727" s="380">
        <v>52359502</v>
      </c>
      <c r="B1727" s="381" t="s">
        <v>321</v>
      </c>
      <c r="C1727" s="381" t="s">
        <v>1725</v>
      </c>
      <c r="D1727" s="381" t="s">
        <v>315</v>
      </c>
      <c r="E1727" s="381" t="s">
        <v>315</v>
      </c>
      <c r="F1727" s="378">
        <v>3317</v>
      </c>
      <c r="G1727" s="378">
        <v>0</v>
      </c>
      <c r="H1727" s="378">
        <v>0</v>
      </c>
      <c r="I1727" s="378">
        <v>3317</v>
      </c>
      <c r="J1727" s="267">
        <f t="shared" si="27"/>
        <v>8</v>
      </c>
    </row>
    <row r="1728" spans="1:10" ht="15" customHeight="1" x14ac:dyDescent="0.25">
      <c r="A1728" s="380">
        <v>52359502</v>
      </c>
      <c r="B1728" s="381" t="s">
        <v>321</v>
      </c>
      <c r="C1728" s="381" t="s">
        <v>1725</v>
      </c>
      <c r="D1728" s="381" t="s">
        <v>1584</v>
      </c>
      <c r="E1728" s="381" t="s">
        <v>1585</v>
      </c>
      <c r="F1728" s="378">
        <v>3317</v>
      </c>
      <c r="G1728" s="378">
        <v>0</v>
      </c>
      <c r="H1728" s="378">
        <v>0</v>
      </c>
      <c r="I1728" s="378">
        <v>3317</v>
      </c>
      <c r="J1728" s="267">
        <f t="shared" si="27"/>
        <v>8</v>
      </c>
    </row>
    <row r="1729" spans="1:10" ht="15" customHeight="1" x14ac:dyDescent="0.25">
      <c r="A1729" s="380">
        <v>52359503</v>
      </c>
      <c r="B1729" s="381" t="s">
        <v>321</v>
      </c>
      <c r="C1729" s="381" t="s">
        <v>1496</v>
      </c>
      <c r="D1729" s="381" t="s">
        <v>315</v>
      </c>
      <c r="E1729" s="381" t="s">
        <v>315</v>
      </c>
      <c r="F1729" s="378">
        <v>69967628</v>
      </c>
      <c r="G1729" s="378">
        <v>4668574</v>
      </c>
      <c r="H1729" s="378">
        <v>0</v>
      </c>
      <c r="I1729" s="378">
        <v>74636202</v>
      </c>
      <c r="J1729" s="267">
        <f t="shared" si="27"/>
        <v>8</v>
      </c>
    </row>
    <row r="1730" spans="1:10" ht="15" customHeight="1" x14ac:dyDescent="0.25">
      <c r="A1730" s="380">
        <v>52359503</v>
      </c>
      <c r="B1730" s="381" t="s">
        <v>321</v>
      </c>
      <c r="C1730" s="381" t="s">
        <v>1496</v>
      </c>
      <c r="D1730" s="381" t="s">
        <v>1038</v>
      </c>
      <c r="E1730" s="381" t="s">
        <v>1039</v>
      </c>
      <c r="F1730" s="378">
        <v>25439275</v>
      </c>
      <c r="G1730" s="378">
        <v>0</v>
      </c>
      <c r="H1730" s="378">
        <v>0</v>
      </c>
      <c r="I1730" s="378">
        <v>25439275</v>
      </c>
      <c r="J1730" s="267">
        <f t="shared" si="27"/>
        <v>8</v>
      </c>
    </row>
    <row r="1731" spans="1:10" ht="15" customHeight="1" x14ac:dyDescent="0.25">
      <c r="A1731" s="380">
        <v>52359503</v>
      </c>
      <c r="B1731" s="381" t="s">
        <v>321</v>
      </c>
      <c r="C1731" s="381" t="s">
        <v>1496</v>
      </c>
      <c r="D1731" s="381" t="s">
        <v>757</v>
      </c>
      <c r="E1731" s="381" t="s">
        <v>758</v>
      </c>
      <c r="F1731" s="378">
        <v>10126071</v>
      </c>
      <c r="G1731" s="378">
        <v>0</v>
      </c>
      <c r="H1731" s="378">
        <v>0</v>
      </c>
      <c r="I1731" s="378">
        <v>10126071</v>
      </c>
      <c r="J1731" s="267">
        <f t="shared" si="27"/>
        <v>8</v>
      </c>
    </row>
    <row r="1732" spans="1:10" ht="15" customHeight="1" x14ac:dyDescent="0.25">
      <c r="A1732" s="380">
        <v>52359503</v>
      </c>
      <c r="B1732" s="381" t="s">
        <v>321</v>
      </c>
      <c r="C1732" s="381" t="s">
        <v>1496</v>
      </c>
      <c r="D1732" s="381" t="s">
        <v>1040</v>
      </c>
      <c r="E1732" s="381" t="s">
        <v>750</v>
      </c>
      <c r="F1732" s="378">
        <v>7687971</v>
      </c>
      <c r="G1732" s="378">
        <v>0</v>
      </c>
      <c r="H1732" s="378">
        <v>0</v>
      </c>
      <c r="I1732" s="378">
        <v>7687971</v>
      </c>
      <c r="J1732" s="267">
        <f t="shared" si="27"/>
        <v>8</v>
      </c>
    </row>
    <row r="1733" spans="1:10" ht="15" customHeight="1" x14ac:dyDescent="0.25">
      <c r="A1733" s="380">
        <v>52359503</v>
      </c>
      <c r="B1733" s="381" t="s">
        <v>321</v>
      </c>
      <c r="C1733" s="381" t="s">
        <v>1496</v>
      </c>
      <c r="D1733" s="381" t="s">
        <v>347</v>
      </c>
      <c r="E1733" s="381" t="s">
        <v>348</v>
      </c>
      <c r="F1733" s="378">
        <v>3650400</v>
      </c>
      <c r="G1733" s="378">
        <v>1825200</v>
      </c>
      <c r="H1733" s="378">
        <v>0</v>
      </c>
      <c r="I1733" s="378">
        <v>5475600</v>
      </c>
      <c r="J1733" s="267">
        <f t="shared" si="27"/>
        <v>8</v>
      </c>
    </row>
    <row r="1734" spans="1:10" ht="15" customHeight="1" x14ac:dyDescent="0.25">
      <c r="A1734" s="380">
        <v>52359503</v>
      </c>
      <c r="B1734" s="381" t="s">
        <v>321</v>
      </c>
      <c r="C1734" s="381" t="s">
        <v>1496</v>
      </c>
      <c r="D1734" s="381" t="s">
        <v>761</v>
      </c>
      <c r="E1734" s="381" t="s">
        <v>762</v>
      </c>
      <c r="F1734" s="378">
        <v>23063911</v>
      </c>
      <c r="G1734" s="378">
        <v>2843374</v>
      </c>
      <c r="H1734" s="378">
        <v>0</v>
      </c>
      <c r="I1734" s="378">
        <v>25907285</v>
      </c>
      <c r="J1734" s="267">
        <f t="shared" si="27"/>
        <v>8</v>
      </c>
    </row>
    <row r="1735" spans="1:10" ht="15" customHeight="1" x14ac:dyDescent="0.25">
      <c r="A1735" s="380">
        <v>52359504</v>
      </c>
      <c r="B1735" s="381" t="s">
        <v>321</v>
      </c>
      <c r="C1735" s="381" t="s">
        <v>771</v>
      </c>
      <c r="D1735" s="381" t="s">
        <v>315</v>
      </c>
      <c r="E1735" s="381" t="s">
        <v>315</v>
      </c>
      <c r="F1735" s="378">
        <v>1199500</v>
      </c>
      <c r="G1735" s="378">
        <v>0</v>
      </c>
      <c r="H1735" s="378">
        <v>0</v>
      </c>
      <c r="I1735" s="378">
        <v>1199500</v>
      </c>
      <c r="J1735" s="267">
        <f t="shared" si="27"/>
        <v>8</v>
      </c>
    </row>
    <row r="1736" spans="1:10" ht="15" customHeight="1" x14ac:dyDescent="0.25">
      <c r="A1736" s="380">
        <v>52359504</v>
      </c>
      <c r="B1736" s="381" t="s">
        <v>321</v>
      </c>
      <c r="C1736" s="381" t="s">
        <v>771</v>
      </c>
      <c r="D1736" s="381" t="s">
        <v>347</v>
      </c>
      <c r="E1736" s="381" t="s">
        <v>348</v>
      </c>
      <c r="F1736" s="378">
        <v>665663</v>
      </c>
      <c r="G1736" s="378">
        <v>0</v>
      </c>
      <c r="H1736" s="378">
        <v>0</v>
      </c>
      <c r="I1736" s="378">
        <v>665663</v>
      </c>
      <c r="J1736" s="267">
        <f t="shared" si="27"/>
        <v>8</v>
      </c>
    </row>
    <row r="1737" spans="1:10" ht="15" customHeight="1" x14ac:dyDescent="0.25">
      <c r="A1737" s="380">
        <v>52359504</v>
      </c>
      <c r="B1737" s="381" t="s">
        <v>321</v>
      </c>
      <c r="C1737" s="381" t="s">
        <v>771</v>
      </c>
      <c r="D1737" s="381" t="s">
        <v>723</v>
      </c>
      <c r="E1737" s="381" t="s">
        <v>724</v>
      </c>
      <c r="F1737" s="378">
        <v>533837</v>
      </c>
      <c r="G1737" s="378">
        <v>0</v>
      </c>
      <c r="H1737" s="378">
        <v>0</v>
      </c>
      <c r="I1737" s="378">
        <v>533837</v>
      </c>
      <c r="J1737" s="267">
        <f t="shared" si="27"/>
        <v>8</v>
      </c>
    </row>
    <row r="1738" spans="1:10" ht="15" customHeight="1" x14ac:dyDescent="0.25">
      <c r="A1738" s="380">
        <v>52359505</v>
      </c>
      <c r="B1738" s="381" t="s">
        <v>321</v>
      </c>
      <c r="C1738" s="381" t="s">
        <v>1351</v>
      </c>
      <c r="D1738" s="381" t="s">
        <v>315</v>
      </c>
      <c r="E1738" s="381" t="s">
        <v>315</v>
      </c>
      <c r="F1738" s="378">
        <v>11126572</v>
      </c>
      <c r="G1738" s="378">
        <v>4083580</v>
      </c>
      <c r="H1738" s="378">
        <v>0</v>
      </c>
      <c r="I1738" s="378">
        <v>15210152</v>
      </c>
      <c r="J1738" s="267">
        <f t="shared" si="27"/>
        <v>8</v>
      </c>
    </row>
    <row r="1739" spans="1:10" ht="15" customHeight="1" x14ac:dyDescent="0.25">
      <c r="A1739" s="380">
        <v>52359505</v>
      </c>
      <c r="B1739" s="381" t="s">
        <v>321</v>
      </c>
      <c r="C1739" s="381" t="s">
        <v>1351</v>
      </c>
      <c r="D1739" s="381" t="s">
        <v>717</v>
      </c>
      <c r="E1739" s="381" t="s">
        <v>718</v>
      </c>
      <c r="F1739" s="378">
        <v>11126572</v>
      </c>
      <c r="G1739" s="378">
        <v>4083580</v>
      </c>
      <c r="H1739" s="378">
        <v>0</v>
      </c>
      <c r="I1739" s="378">
        <v>15210152</v>
      </c>
      <c r="J1739" s="267">
        <f t="shared" si="27"/>
        <v>8</v>
      </c>
    </row>
    <row r="1740" spans="1:10" ht="15" customHeight="1" x14ac:dyDescent="0.25">
      <c r="A1740" s="380">
        <v>52359595</v>
      </c>
      <c r="B1740" s="381" t="s">
        <v>321</v>
      </c>
      <c r="C1740" s="381" t="s">
        <v>1353</v>
      </c>
      <c r="D1740" s="381" t="s">
        <v>315</v>
      </c>
      <c r="E1740" s="381" t="s">
        <v>315</v>
      </c>
      <c r="F1740" s="378">
        <v>3203076</v>
      </c>
      <c r="G1740" s="378">
        <v>519082</v>
      </c>
      <c r="H1740" s="378">
        <v>14000</v>
      </c>
      <c r="I1740" s="378">
        <v>3708158</v>
      </c>
      <c r="J1740" s="267">
        <f t="shared" ref="J1740:J1803" si="28">+LEN(A1740)</f>
        <v>8</v>
      </c>
    </row>
    <row r="1741" spans="1:10" ht="15" customHeight="1" x14ac:dyDescent="0.25">
      <c r="A1741" s="380">
        <v>52359595</v>
      </c>
      <c r="B1741" s="381" t="s">
        <v>321</v>
      </c>
      <c r="C1741" s="381" t="s">
        <v>1353</v>
      </c>
      <c r="D1741" s="381" t="s">
        <v>650</v>
      </c>
      <c r="E1741" s="381" t="s">
        <v>999</v>
      </c>
      <c r="F1741" s="378">
        <v>2984576</v>
      </c>
      <c r="G1741" s="378">
        <v>505082</v>
      </c>
      <c r="H1741" s="378">
        <v>0</v>
      </c>
      <c r="I1741" s="378">
        <v>3489658</v>
      </c>
      <c r="J1741" s="267">
        <f t="shared" si="28"/>
        <v>8</v>
      </c>
    </row>
    <row r="1742" spans="1:10" ht="15" customHeight="1" x14ac:dyDescent="0.25">
      <c r="A1742" s="380">
        <v>52359595</v>
      </c>
      <c r="B1742" s="381" t="s">
        <v>321</v>
      </c>
      <c r="C1742" s="381" t="s">
        <v>1353</v>
      </c>
      <c r="D1742" s="381" t="s">
        <v>675</v>
      </c>
      <c r="E1742" s="381" t="s">
        <v>1633</v>
      </c>
      <c r="F1742" s="378">
        <v>218500</v>
      </c>
      <c r="G1742" s="378">
        <v>0</v>
      </c>
      <c r="H1742" s="378">
        <v>0</v>
      </c>
      <c r="I1742" s="378">
        <v>218500</v>
      </c>
      <c r="J1742" s="267">
        <f t="shared" si="28"/>
        <v>8</v>
      </c>
    </row>
    <row r="1743" spans="1:10" ht="15" customHeight="1" x14ac:dyDescent="0.25">
      <c r="A1743" s="380">
        <v>52359595</v>
      </c>
      <c r="B1743" s="381" t="s">
        <v>321</v>
      </c>
      <c r="C1743" s="381" t="s">
        <v>1353</v>
      </c>
      <c r="D1743" s="381" t="s">
        <v>1586</v>
      </c>
      <c r="E1743" s="381" t="s">
        <v>1587</v>
      </c>
      <c r="F1743" s="378">
        <v>0</v>
      </c>
      <c r="G1743" s="378">
        <v>14000</v>
      </c>
      <c r="H1743" s="378">
        <v>14000</v>
      </c>
      <c r="I1743" s="378">
        <v>0</v>
      </c>
      <c r="J1743" s="267">
        <f t="shared" si="28"/>
        <v>8</v>
      </c>
    </row>
    <row r="1744" spans="1:10" ht="15" customHeight="1" x14ac:dyDescent="0.25">
      <c r="A1744" s="380">
        <v>5240</v>
      </c>
      <c r="B1744" s="381" t="s">
        <v>315</v>
      </c>
      <c r="C1744" s="381" t="s">
        <v>194</v>
      </c>
      <c r="D1744" s="381" t="s">
        <v>315</v>
      </c>
      <c r="E1744" s="381" t="s">
        <v>315</v>
      </c>
      <c r="F1744" s="378">
        <v>4655500</v>
      </c>
      <c r="G1744" s="378">
        <v>12100</v>
      </c>
      <c r="H1744" s="378">
        <v>0</v>
      </c>
      <c r="I1744" s="378">
        <v>4667600</v>
      </c>
      <c r="J1744" s="267">
        <f t="shared" si="28"/>
        <v>4</v>
      </c>
    </row>
    <row r="1745" spans="1:10" ht="15" customHeight="1" x14ac:dyDescent="0.25">
      <c r="A1745" s="380">
        <v>524015</v>
      </c>
      <c r="B1745" s="381" t="s">
        <v>315</v>
      </c>
      <c r="C1745" s="381" t="s">
        <v>671</v>
      </c>
      <c r="D1745" s="381" t="s">
        <v>315</v>
      </c>
      <c r="E1745" s="381" t="s">
        <v>315</v>
      </c>
      <c r="F1745" s="378">
        <v>4655500</v>
      </c>
      <c r="G1745" s="378">
        <v>12100</v>
      </c>
      <c r="H1745" s="378">
        <v>0</v>
      </c>
      <c r="I1745" s="378">
        <v>4667600</v>
      </c>
      <c r="J1745" s="267">
        <f t="shared" si="28"/>
        <v>6</v>
      </c>
    </row>
    <row r="1746" spans="1:10" ht="15" customHeight="1" x14ac:dyDescent="0.25">
      <c r="A1746" s="380">
        <v>52401501</v>
      </c>
      <c r="B1746" s="381" t="s">
        <v>315</v>
      </c>
      <c r="C1746" s="381" t="s">
        <v>671</v>
      </c>
      <c r="D1746" s="381" t="s">
        <v>315</v>
      </c>
      <c r="E1746" s="381" t="s">
        <v>315</v>
      </c>
      <c r="F1746" s="378">
        <v>4655500</v>
      </c>
      <c r="G1746" s="378">
        <v>12100</v>
      </c>
      <c r="H1746" s="378">
        <v>0</v>
      </c>
      <c r="I1746" s="378">
        <v>4667600</v>
      </c>
      <c r="J1746" s="267">
        <f t="shared" si="28"/>
        <v>8</v>
      </c>
    </row>
    <row r="1747" spans="1:10" ht="15" customHeight="1" x14ac:dyDescent="0.25">
      <c r="A1747" s="380">
        <v>52401501</v>
      </c>
      <c r="B1747" s="381" t="s">
        <v>315</v>
      </c>
      <c r="C1747" s="381" t="s">
        <v>671</v>
      </c>
      <c r="D1747" s="381" t="s">
        <v>1726</v>
      </c>
      <c r="E1747" s="381" t="s">
        <v>1727</v>
      </c>
      <c r="F1747" s="378">
        <v>547600</v>
      </c>
      <c r="G1747" s="378">
        <v>0</v>
      </c>
      <c r="H1747" s="378">
        <v>0</v>
      </c>
      <c r="I1747" s="378">
        <v>547600</v>
      </c>
      <c r="J1747" s="267">
        <f t="shared" si="28"/>
        <v>8</v>
      </c>
    </row>
    <row r="1748" spans="1:10" ht="15" customHeight="1" x14ac:dyDescent="0.25">
      <c r="A1748" s="380">
        <v>52401501</v>
      </c>
      <c r="B1748" s="381" t="s">
        <v>315</v>
      </c>
      <c r="C1748" s="381" t="s">
        <v>671</v>
      </c>
      <c r="D1748" s="381" t="s">
        <v>666</v>
      </c>
      <c r="E1748" s="381" t="s">
        <v>667</v>
      </c>
      <c r="F1748" s="378">
        <v>547600</v>
      </c>
      <c r="G1748" s="378">
        <v>0</v>
      </c>
      <c r="H1748" s="378">
        <v>0</v>
      </c>
      <c r="I1748" s="378">
        <v>547600</v>
      </c>
      <c r="J1748" s="267">
        <f t="shared" si="28"/>
        <v>8</v>
      </c>
    </row>
    <row r="1749" spans="1:10" ht="15" customHeight="1" x14ac:dyDescent="0.25">
      <c r="A1749" s="380">
        <v>52401501</v>
      </c>
      <c r="B1749" s="381" t="s">
        <v>315</v>
      </c>
      <c r="C1749" s="381" t="s">
        <v>671</v>
      </c>
      <c r="D1749" s="381" t="s">
        <v>472</v>
      </c>
      <c r="E1749" s="381" t="s">
        <v>473</v>
      </c>
      <c r="F1749" s="378">
        <v>3537300</v>
      </c>
      <c r="G1749" s="378">
        <v>12100</v>
      </c>
      <c r="H1749" s="378">
        <v>0</v>
      </c>
      <c r="I1749" s="378">
        <v>3549400</v>
      </c>
      <c r="J1749" s="267">
        <f t="shared" si="28"/>
        <v>8</v>
      </c>
    </row>
    <row r="1750" spans="1:10" ht="15" customHeight="1" x14ac:dyDescent="0.25">
      <c r="A1750" s="380">
        <v>52401501</v>
      </c>
      <c r="B1750" s="381" t="s">
        <v>315</v>
      </c>
      <c r="C1750" s="381" t="s">
        <v>671</v>
      </c>
      <c r="D1750" s="381" t="s">
        <v>1400</v>
      </c>
      <c r="E1750" s="381" t="s">
        <v>1401</v>
      </c>
      <c r="F1750" s="378">
        <v>23000</v>
      </c>
      <c r="G1750" s="378">
        <v>0</v>
      </c>
      <c r="H1750" s="378">
        <v>0</v>
      </c>
      <c r="I1750" s="378">
        <v>23000</v>
      </c>
      <c r="J1750" s="267">
        <f t="shared" si="28"/>
        <v>8</v>
      </c>
    </row>
    <row r="1751" spans="1:10" ht="15" customHeight="1" x14ac:dyDescent="0.25">
      <c r="A1751" s="380">
        <v>5245</v>
      </c>
      <c r="B1751" s="381" t="s">
        <v>315</v>
      </c>
      <c r="C1751" s="381" t="s">
        <v>235</v>
      </c>
      <c r="D1751" s="381" t="s">
        <v>315</v>
      </c>
      <c r="E1751" s="381" t="s">
        <v>315</v>
      </c>
      <c r="F1751" s="378">
        <v>6453857</v>
      </c>
      <c r="G1751" s="378">
        <v>1670000</v>
      </c>
      <c r="H1751" s="378">
        <v>0</v>
      </c>
      <c r="I1751" s="378">
        <v>8123857</v>
      </c>
      <c r="J1751" s="267">
        <f t="shared" si="28"/>
        <v>4</v>
      </c>
    </row>
    <row r="1752" spans="1:10" ht="15" customHeight="1" x14ac:dyDescent="0.25">
      <c r="A1752" s="380">
        <v>524515</v>
      </c>
      <c r="B1752" s="381" t="s">
        <v>315</v>
      </c>
      <c r="C1752" s="381" t="s">
        <v>41</v>
      </c>
      <c r="D1752" s="381" t="s">
        <v>315</v>
      </c>
      <c r="E1752" s="381" t="s">
        <v>315</v>
      </c>
      <c r="F1752" s="378">
        <v>6453857</v>
      </c>
      <c r="G1752" s="378">
        <v>1670000</v>
      </c>
      <c r="H1752" s="378">
        <v>0</v>
      </c>
      <c r="I1752" s="378">
        <v>8123857</v>
      </c>
      <c r="J1752" s="267">
        <f t="shared" si="28"/>
        <v>6</v>
      </c>
    </row>
    <row r="1753" spans="1:10" ht="15" customHeight="1" x14ac:dyDescent="0.25">
      <c r="A1753" s="380">
        <v>52451501</v>
      </c>
      <c r="B1753" s="381" t="s">
        <v>315</v>
      </c>
      <c r="C1753" s="381" t="s">
        <v>41</v>
      </c>
      <c r="D1753" s="381" t="s">
        <v>315</v>
      </c>
      <c r="E1753" s="381" t="s">
        <v>315</v>
      </c>
      <c r="F1753" s="378">
        <v>6453857</v>
      </c>
      <c r="G1753" s="378">
        <v>1670000</v>
      </c>
      <c r="H1753" s="378">
        <v>0</v>
      </c>
      <c r="I1753" s="378">
        <v>8123857</v>
      </c>
      <c r="J1753" s="267">
        <f t="shared" si="28"/>
        <v>8</v>
      </c>
    </row>
    <row r="1754" spans="1:10" ht="15" customHeight="1" x14ac:dyDescent="0.25">
      <c r="A1754" s="380">
        <v>52451501</v>
      </c>
      <c r="B1754" s="381" t="s">
        <v>315</v>
      </c>
      <c r="C1754" s="381" t="s">
        <v>41</v>
      </c>
      <c r="D1754" s="381" t="s">
        <v>965</v>
      </c>
      <c r="E1754" s="381" t="s">
        <v>966</v>
      </c>
      <c r="F1754" s="378">
        <v>3311000</v>
      </c>
      <c r="G1754" s="378">
        <v>680000</v>
      </c>
      <c r="H1754" s="378">
        <v>0</v>
      </c>
      <c r="I1754" s="378">
        <v>3991000</v>
      </c>
      <c r="J1754" s="267">
        <f t="shared" si="28"/>
        <v>8</v>
      </c>
    </row>
    <row r="1755" spans="1:10" ht="15" customHeight="1" x14ac:dyDescent="0.25">
      <c r="A1755" s="380">
        <v>52451501</v>
      </c>
      <c r="B1755" s="381" t="s">
        <v>315</v>
      </c>
      <c r="C1755" s="381" t="s">
        <v>41</v>
      </c>
      <c r="D1755" s="381" t="s">
        <v>732</v>
      </c>
      <c r="E1755" s="381" t="s">
        <v>1575</v>
      </c>
      <c r="F1755" s="378">
        <v>1040000</v>
      </c>
      <c r="G1755" s="378">
        <v>620000</v>
      </c>
      <c r="H1755" s="378">
        <v>0</v>
      </c>
      <c r="I1755" s="378">
        <v>1660000</v>
      </c>
      <c r="J1755" s="267">
        <f t="shared" si="28"/>
        <v>8</v>
      </c>
    </row>
    <row r="1756" spans="1:10" ht="15" customHeight="1" x14ac:dyDescent="0.25">
      <c r="A1756" s="380">
        <v>52451501</v>
      </c>
      <c r="B1756" s="381" t="s">
        <v>315</v>
      </c>
      <c r="C1756" s="381" t="s">
        <v>41</v>
      </c>
      <c r="D1756" s="381" t="s">
        <v>1162</v>
      </c>
      <c r="E1756" s="381" t="s">
        <v>1163</v>
      </c>
      <c r="F1756" s="378">
        <v>189000</v>
      </c>
      <c r="G1756" s="378">
        <v>0</v>
      </c>
      <c r="H1756" s="378">
        <v>0</v>
      </c>
      <c r="I1756" s="378">
        <v>189000</v>
      </c>
      <c r="J1756" s="267">
        <f t="shared" si="28"/>
        <v>8</v>
      </c>
    </row>
    <row r="1757" spans="1:10" ht="15" customHeight="1" x14ac:dyDescent="0.25">
      <c r="A1757" s="380">
        <v>52451501</v>
      </c>
      <c r="B1757" s="381" t="s">
        <v>315</v>
      </c>
      <c r="C1757" s="381" t="s">
        <v>41</v>
      </c>
      <c r="D1757" s="381" t="s">
        <v>1015</v>
      </c>
      <c r="E1757" s="381" t="s">
        <v>1556</v>
      </c>
      <c r="F1757" s="378">
        <v>72857</v>
      </c>
      <c r="G1757" s="378">
        <v>0</v>
      </c>
      <c r="H1757" s="378">
        <v>0</v>
      </c>
      <c r="I1757" s="378">
        <v>72857</v>
      </c>
      <c r="J1757" s="267">
        <f t="shared" si="28"/>
        <v>8</v>
      </c>
    </row>
    <row r="1758" spans="1:10" ht="15" customHeight="1" x14ac:dyDescent="0.25">
      <c r="A1758" s="380">
        <v>52451501</v>
      </c>
      <c r="B1758" s="381" t="s">
        <v>315</v>
      </c>
      <c r="C1758" s="381" t="s">
        <v>41</v>
      </c>
      <c r="D1758" s="381" t="s">
        <v>1021</v>
      </c>
      <c r="E1758" s="381" t="s">
        <v>1022</v>
      </c>
      <c r="F1758" s="378">
        <v>1161000</v>
      </c>
      <c r="G1758" s="378">
        <v>370000</v>
      </c>
      <c r="H1758" s="378">
        <v>0</v>
      </c>
      <c r="I1758" s="378">
        <v>1531000</v>
      </c>
      <c r="J1758" s="267">
        <f t="shared" si="28"/>
        <v>8</v>
      </c>
    </row>
    <row r="1759" spans="1:10" ht="15" customHeight="1" x14ac:dyDescent="0.25">
      <c r="A1759" s="380">
        <v>52451501</v>
      </c>
      <c r="B1759" s="381" t="s">
        <v>315</v>
      </c>
      <c r="C1759" s="381" t="s">
        <v>41</v>
      </c>
      <c r="D1759" s="381" t="s">
        <v>1480</v>
      </c>
      <c r="E1759" s="381" t="s">
        <v>1481</v>
      </c>
      <c r="F1759" s="378">
        <v>680000</v>
      </c>
      <c r="G1759" s="378">
        <v>0</v>
      </c>
      <c r="H1759" s="378">
        <v>0</v>
      </c>
      <c r="I1759" s="378">
        <v>680000</v>
      </c>
      <c r="J1759" s="267">
        <f t="shared" si="28"/>
        <v>8</v>
      </c>
    </row>
    <row r="1760" spans="1:10" ht="15" customHeight="1" x14ac:dyDescent="0.25">
      <c r="A1760" s="380">
        <v>5250</v>
      </c>
      <c r="B1760" s="381" t="s">
        <v>315</v>
      </c>
      <c r="C1760" s="381" t="s">
        <v>1358</v>
      </c>
      <c r="D1760" s="381" t="s">
        <v>315</v>
      </c>
      <c r="E1760" s="381" t="s">
        <v>315</v>
      </c>
      <c r="F1760" s="378">
        <v>4786818</v>
      </c>
      <c r="G1760" s="378">
        <v>0</v>
      </c>
      <c r="H1760" s="378">
        <v>0</v>
      </c>
      <c r="I1760" s="378">
        <v>4786818</v>
      </c>
      <c r="J1760" s="267">
        <f t="shared" si="28"/>
        <v>4</v>
      </c>
    </row>
    <row r="1761" spans="1:10" ht="15" customHeight="1" x14ac:dyDescent="0.25">
      <c r="A1761" s="380">
        <v>525005</v>
      </c>
      <c r="B1761" s="381" t="s">
        <v>315</v>
      </c>
      <c r="C1761" s="381" t="s">
        <v>682</v>
      </c>
      <c r="D1761" s="381" t="s">
        <v>315</v>
      </c>
      <c r="E1761" s="381" t="s">
        <v>315</v>
      </c>
      <c r="F1761" s="378">
        <v>184000</v>
      </c>
      <c r="G1761" s="378">
        <v>0</v>
      </c>
      <c r="H1761" s="378">
        <v>0</v>
      </c>
      <c r="I1761" s="378">
        <v>184000</v>
      </c>
      <c r="J1761" s="267">
        <f t="shared" si="28"/>
        <v>6</v>
      </c>
    </row>
    <row r="1762" spans="1:10" ht="15" customHeight="1" x14ac:dyDescent="0.25">
      <c r="A1762" s="380">
        <v>52500501</v>
      </c>
      <c r="B1762" s="381" t="s">
        <v>315</v>
      </c>
      <c r="C1762" s="381" t="s">
        <v>682</v>
      </c>
      <c r="D1762" s="381" t="s">
        <v>315</v>
      </c>
      <c r="E1762" s="381" t="s">
        <v>315</v>
      </c>
      <c r="F1762" s="378">
        <v>184000</v>
      </c>
      <c r="G1762" s="378">
        <v>0</v>
      </c>
      <c r="H1762" s="378">
        <v>0</v>
      </c>
      <c r="I1762" s="378">
        <v>184000</v>
      </c>
      <c r="J1762" s="267">
        <f t="shared" si="28"/>
        <v>8</v>
      </c>
    </row>
    <row r="1763" spans="1:10" ht="15" customHeight="1" x14ac:dyDescent="0.25">
      <c r="A1763" s="380">
        <v>52500501</v>
      </c>
      <c r="B1763" s="381" t="s">
        <v>315</v>
      </c>
      <c r="C1763" s="381" t="s">
        <v>682</v>
      </c>
      <c r="D1763" s="381" t="s">
        <v>675</v>
      </c>
      <c r="E1763" s="381" t="s">
        <v>1633</v>
      </c>
      <c r="F1763" s="378">
        <v>184000</v>
      </c>
      <c r="G1763" s="378">
        <v>0</v>
      </c>
      <c r="H1763" s="378">
        <v>0</v>
      </c>
      <c r="I1763" s="378">
        <v>184000</v>
      </c>
      <c r="J1763" s="267">
        <f t="shared" si="28"/>
        <v>8</v>
      </c>
    </row>
    <row r="1764" spans="1:10" ht="15" customHeight="1" x14ac:dyDescent="0.25">
      <c r="A1764" s="380">
        <v>525015</v>
      </c>
      <c r="B1764" s="381" t="s">
        <v>315</v>
      </c>
      <c r="C1764" s="381" t="s">
        <v>683</v>
      </c>
      <c r="D1764" s="381" t="s">
        <v>315</v>
      </c>
      <c r="E1764" s="381" t="s">
        <v>315</v>
      </c>
      <c r="F1764" s="378">
        <v>4402230</v>
      </c>
      <c r="G1764" s="378">
        <v>0</v>
      </c>
      <c r="H1764" s="378">
        <v>0</v>
      </c>
      <c r="I1764" s="378">
        <v>4402230</v>
      </c>
      <c r="J1764" s="267">
        <f t="shared" si="28"/>
        <v>6</v>
      </c>
    </row>
    <row r="1765" spans="1:10" ht="15" customHeight="1" x14ac:dyDescent="0.25">
      <c r="A1765" s="380">
        <v>52501501</v>
      </c>
      <c r="B1765" s="381" t="s">
        <v>315</v>
      </c>
      <c r="C1765" s="381" t="s">
        <v>683</v>
      </c>
      <c r="D1765" s="381" t="s">
        <v>315</v>
      </c>
      <c r="E1765" s="381" t="s">
        <v>315</v>
      </c>
      <c r="F1765" s="378">
        <v>4402230</v>
      </c>
      <c r="G1765" s="378">
        <v>0</v>
      </c>
      <c r="H1765" s="378">
        <v>0</v>
      </c>
      <c r="I1765" s="378">
        <v>4402230</v>
      </c>
      <c r="J1765" s="267">
        <f t="shared" si="28"/>
        <v>8</v>
      </c>
    </row>
    <row r="1766" spans="1:10" ht="15" customHeight="1" x14ac:dyDescent="0.25">
      <c r="A1766" s="380">
        <v>52501501</v>
      </c>
      <c r="B1766" s="381" t="s">
        <v>315</v>
      </c>
      <c r="C1766" s="381" t="s">
        <v>683</v>
      </c>
      <c r="D1766" s="381" t="s">
        <v>675</v>
      </c>
      <c r="E1766" s="381" t="s">
        <v>1633</v>
      </c>
      <c r="F1766" s="378">
        <v>4402230</v>
      </c>
      <c r="G1766" s="378">
        <v>0</v>
      </c>
      <c r="H1766" s="378">
        <v>0</v>
      </c>
      <c r="I1766" s="378">
        <v>4402230</v>
      </c>
      <c r="J1766" s="267">
        <f t="shared" si="28"/>
        <v>8</v>
      </c>
    </row>
    <row r="1767" spans="1:10" ht="15" customHeight="1" x14ac:dyDescent="0.25">
      <c r="A1767" s="380">
        <v>525095</v>
      </c>
      <c r="B1767" s="381" t="s">
        <v>321</v>
      </c>
      <c r="C1767" s="381" t="s">
        <v>1367</v>
      </c>
      <c r="D1767" s="381" t="s">
        <v>315</v>
      </c>
      <c r="E1767" s="381" t="s">
        <v>315</v>
      </c>
      <c r="F1767" s="378">
        <v>200588</v>
      </c>
      <c r="G1767" s="378">
        <v>0</v>
      </c>
      <c r="H1767" s="378">
        <v>0</v>
      </c>
      <c r="I1767" s="378">
        <v>200588</v>
      </c>
      <c r="J1767" s="267">
        <f t="shared" si="28"/>
        <v>6</v>
      </c>
    </row>
    <row r="1768" spans="1:10" ht="15" customHeight="1" x14ac:dyDescent="0.25">
      <c r="A1768" s="380">
        <v>52509505</v>
      </c>
      <c r="B1768" s="381" t="s">
        <v>321</v>
      </c>
      <c r="C1768" s="381" t="s">
        <v>1368</v>
      </c>
      <c r="D1768" s="381" t="s">
        <v>315</v>
      </c>
      <c r="E1768" s="381" t="s">
        <v>315</v>
      </c>
      <c r="F1768" s="378">
        <v>80588</v>
      </c>
      <c r="G1768" s="378">
        <v>0</v>
      </c>
      <c r="H1768" s="378">
        <v>0</v>
      </c>
      <c r="I1768" s="378">
        <v>80588</v>
      </c>
      <c r="J1768" s="267">
        <f t="shared" si="28"/>
        <v>8</v>
      </c>
    </row>
    <row r="1769" spans="1:10" ht="15" customHeight="1" x14ac:dyDescent="0.25">
      <c r="A1769" s="380">
        <v>52509505</v>
      </c>
      <c r="B1769" s="381" t="s">
        <v>321</v>
      </c>
      <c r="C1769" s="381" t="s">
        <v>1368</v>
      </c>
      <c r="D1769" s="381" t="s">
        <v>361</v>
      </c>
      <c r="E1769" s="381" t="s">
        <v>1123</v>
      </c>
      <c r="F1769" s="378">
        <v>80588</v>
      </c>
      <c r="G1769" s="378">
        <v>0</v>
      </c>
      <c r="H1769" s="378">
        <v>0</v>
      </c>
      <c r="I1769" s="378">
        <v>80588</v>
      </c>
      <c r="J1769" s="267">
        <f t="shared" si="28"/>
        <v>8</v>
      </c>
    </row>
    <row r="1770" spans="1:10" ht="15" customHeight="1" x14ac:dyDescent="0.25">
      <c r="A1770" s="380">
        <v>52509595</v>
      </c>
      <c r="B1770" s="381" t="s">
        <v>321</v>
      </c>
      <c r="C1770" s="381" t="s">
        <v>1367</v>
      </c>
      <c r="D1770" s="381" t="s">
        <v>315</v>
      </c>
      <c r="E1770" s="381" t="s">
        <v>315</v>
      </c>
      <c r="F1770" s="378">
        <v>120000</v>
      </c>
      <c r="G1770" s="378">
        <v>0</v>
      </c>
      <c r="H1770" s="378">
        <v>0</v>
      </c>
      <c r="I1770" s="378">
        <v>120000</v>
      </c>
      <c r="J1770" s="267">
        <f t="shared" si="28"/>
        <v>8</v>
      </c>
    </row>
    <row r="1771" spans="1:10" ht="15" customHeight="1" x14ac:dyDescent="0.25">
      <c r="A1771" s="380">
        <v>52509595</v>
      </c>
      <c r="B1771" s="381" t="s">
        <v>321</v>
      </c>
      <c r="C1771" s="381" t="s">
        <v>1367</v>
      </c>
      <c r="D1771" s="381" t="s">
        <v>1021</v>
      </c>
      <c r="E1771" s="381" t="s">
        <v>1022</v>
      </c>
      <c r="F1771" s="378">
        <v>120000</v>
      </c>
      <c r="G1771" s="378">
        <v>0</v>
      </c>
      <c r="H1771" s="378">
        <v>0</v>
      </c>
      <c r="I1771" s="378">
        <v>120000</v>
      </c>
      <c r="J1771" s="267">
        <f t="shared" si="28"/>
        <v>8</v>
      </c>
    </row>
    <row r="1772" spans="1:10" ht="15" customHeight="1" x14ac:dyDescent="0.25">
      <c r="A1772" s="380">
        <v>5260</v>
      </c>
      <c r="B1772" s="381" t="s">
        <v>315</v>
      </c>
      <c r="C1772" s="381" t="s">
        <v>405</v>
      </c>
      <c r="D1772" s="381" t="s">
        <v>315</v>
      </c>
      <c r="E1772" s="381" t="s">
        <v>315</v>
      </c>
      <c r="F1772" s="378">
        <v>22891575.25</v>
      </c>
      <c r="G1772" s="378">
        <v>4578315.05</v>
      </c>
      <c r="H1772" s="378">
        <v>0</v>
      </c>
      <c r="I1772" s="378">
        <v>27469890.300000001</v>
      </c>
      <c r="J1772" s="267">
        <f t="shared" si="28"/>
        <v>4</v>
      </c>
    </row>
    <row r="1773" spans="1:10" ht="15" customHeight="1" x14ac:dyDescent="0.25">
      <c r="A1773" s="380">
        <v>526010</v>
      </c>
      <c r="B1773" s="381" t="s">
        <v>321</v>
      </c>
      <c r="C1773" s="381" t="s">
        <v>41</v>
      </c>
      <c r="D1773" s="381" t="s">
        <v>315</v>
      </c>
      <c r="E1773" s="381" t="s">
        <v>315</v>
      </c>
      <c r="F1773" s="378">
        <v>21544160</v>
      </c>
      <c r="G1773" s="378">
        <v>4308832</v>
      </c>
      <c r="H1773" s="378">
        <v>0</v>
      </c>
      <c r="I1773" s="378">
        <v>25852992</v>
      </c>
      <c r="J1773" s="267">
        <f t="shared" si="28"/>
        <v>6</v>
      </c>
    </row>
    <row r="1774" spans="1:10" ht="15" customHeight="1" x14ac:dyDescent="0.25">
      <c r="A1774" s="380">
        <v>52601001</v>
      </c>
      <c r="B1774" s="381" t="s">
        <v>321</v>
      </c>
      <c r="C1774" s="381" t="s">
        <v>41</v>
      </c>
      <c r="D1774" s="381" t="s">
        <v>315</v>
      </c>
      <c r="E1774" s="381" t="s">
        <v>315</v>
      </c>
      <c r="F1774" s="378">
        <v>21544160</v>
      </c>
      <c r="G1774" s="378">
        <v>4308832</v>
      </c>
      <c r="H1774" s="378">
        <v>0</v>
      </c>
      <c r="I1774" s="378">
        <v>25852992</v>
      </c>
      <c r="J1774" s="267">
        <f t="shared" si="28"/>
        <v>8</v>
      </c>
    </row>
    <row r="1775" spans="1:10" ht="15" customHeight="1" x14ac:dyDescent="0.25">
      <c r="A1775" s="380">
        <v>52601001</v>
      </c>
      <c r="B1775" s="381" t="s">
        <v>321</v>
      </c>
      <c r="C1775" s="381" t="s">
        <v>41</v>
      </c>
      <c r="D1775" s="381" t="s">
        <v>402</v>
      </c>
      <c r="E1775" s="381" t="s">
        <v>1550</v>
      </c>
      <c r="F1775" s="378">
        <v>62275</v>
      </c>
      <c r="G1775" s="378">
        <v>12455</v>
      </c>
      <c r="H1775" s="378">
        <v>0</v>
      </c>
      <c r="I1775" s="378">
        <v>74730</v>
      </c>
      <c r="J1775" s="267">
        <f t="shared" si="28"/>
        <v>8</v>
      </c>
    </row>
    <row r="1776" spans="1:10" ht="15" customHeight="1" x14ac:dyDescent="0.25">
      <c r="A1776" s="380">
        <v>52601001</v>
      </c>
      <c r="B1776" s="381" t="s">
        <v>321</v>
      </c>
      <c r="C1776" s="381" t="s">
        <v>41</v>
      </c>
      <c r="D1776" s="381" t="s">
        <v>1552</v>
      </c>
      <c r="E1776" s="381" t="s">
        <v>1553</v>
      </c>
      <c r="F1776" s="378">
        <v>150560</v>
      </c>
      <c r="G1776" s="378">
        <v>30112</v>
      </c>
      <c r="H1776" s="378">
        <v>0</v>
      </c>
      <c r="I1776" s="378">
        <v>180672</v>
      </c>
      <c r="J1776" s="267">
        <f t="shared" si="28"/>
        <v>8</v>
      </c>
    </row>
    <row r="1777" spans="1:10" ht="15" customHeight="1" x14ac:dyDescent="0.25">
      <c r="A1777" s="380">
        <v>52601001</v>
      </c>
      <c r="B1777" s="381" t="s">
        <v>321</v>
      </c>
      <c r="C1777" s="381" t="s">
        <v>41</v>
      </c>
      <c r="D1777" s="381" t="s">
        <v>801</v>
      </c>
      <c r="E1777" s="381" t="s">
        <v>802</v>
      </c>
      <c r="F1777" s="378">
        <v>560490</v>
      </c>
      <c r="G1777" s="378">
        <v>112098</v>
      </c>
      <c r="H1777" s="378">
        <v>0</v>
      </c>
      <c r="I1777" s="378">
        <v>672588</v>
      </c>
      <c r="J1777" s="267">
        <f t="shared" si="28"/>
        <v>8</v>
      </c>
    </row>
    <row r="1778" spans="1:10" ht="15" customHeight="1" x14ac:dyDescent="0.25">
      <c r="A1778" s="380">
        <v>52601001</v>
      </c>
      <c r="B1778" s="381" t="s">
        <v>321</v>
      </c>
      <c r="C1778" s="381" t="s">
        <v>41</v>
      </c>
      <c r="D1778" s="381" t="s">
        <v>725</v>
      </c>
      <c r="E1778" s="381" t="s">
        <v>1540</v>
      </c>
      <c r="F1778" s="378">
        <v>20770835</v>
      </c>
      <c r="G1778" s="378">
        <v>4154167</v>
      </c>
      <c r="H1778" s="378">
        <v>0</v>
      </c>
      <c r="I1778" s="378">
        <v>24925002</v>
      </c>
      <c r="J1778" s="267">
        <f t="shared" si="28"/>
        <v>8</v>
      </c>
    </row>
    <row r="1779" spans="1:10" ht="15" customHeight="1" x14ac:dyDescent="0.25">
      <c r="A1779" s="380">
        <v>526020</v>
      </c>
      <c r="B1779" s="381" t="s">
        <v>315</v>
      </c>
      <c r="C1779" s="381" t="s">
        <v>1369</v>
      </c>
      <c r="D1779" s="381" t="s">
        <v>315</v>
      </c>
      <c r="E1779" s="381" t="s">
        <v>315</v>
      </c>
      <c r="F1779" s="378">
        <v>1347415.25</v>
      </c>
      <c r="G1779" s="378">
        <v>269483.05</v>
      </c>
      <c r="H1779" s="378">
        <v>0</v>
      </c>
      <c r="I1779" s="378">
        <v>1616898.3</v>
      </c>
      <c r="J1779" s="267">
        <f t="shared" si="28"/>
        <v>6</v>
      </c>
    </row>
    <row r="1780" spans="1:10" ht="15" customHeight="1" x14ac:dyDescent="0.25">
      <c r="A1780" s="380">
        <v>52602001</v>
      </c>
      <c r="B1780" s="381" t="s">
        <v>315</v>
      </c>
      <c r="C1780" s="381" t="s">
        <v>1369</v>
      </c>
      <c r="D1780" s="381" t="s">
        <v>315</v>
      </c>
      <c r="E1780" s="381" t="s">
        <v>315</v>
      </c>
      <c r="F1780" s="378">
        <v>1347415.25</v>
      </c>
      <c r="G1780" s="378">
        <v>269483.05</v>
      </c>
      <c r="H1780" s="378">
        <v>0</v>
      </c>
      <c r="I1780" s="378">
        <v>1616898.3</v>
      </c>
      <c r="J1780" s="267">
        <f t="shared" si="28"/>
        <v>8</v>
      </c>
    </row>
    <row r="1781" spans="1:10" ht="15" customHeight="1" x14ac:dyDescent="0.25">
      <c r="A1781" s="380">
        <v>52602001</v>
      </c>
      <c r="B1781" s="381" t="s">
        <v>315</v>
      </c>
      <c r="C1781" s="381" t="s">
        <v>1369</v>
      </c>
      <c r="D1781" s="381" t="s">
        <v>396</v>
      </c>
      <c r="E1781" s="381" t="s">
        <v>1551</v>
      </c>
      <c r="F1781" s="378">
        <v>1174540</v>
      </c>
      <c r="G1781" s="378">
        <v>234908</v>
      </c>
      <c r="H1781" s="378">
        <v>0</v>
      </c>
      <c r="I1781" s="378">
        <v>1409448</v>
      </c>
      <c r="J1781" s="267">
        <f t="shared" si="28"/>
        <v>8</v>
      </c>
    </row>
    <row r="1782" spans="1:10" ht="15" customHeight="1" x14ac:dyDescent="0.25">
      <c r="A1782" s="380">
        <v>52602001</v>
      </c>
      <c r="B1782" s="381" t="s">
        <v>315</v>
      </c>
      <c r="C1782" s="381" t="s">
        <v>1369</v>
      </c>
      <c r="D1782" s="381" t="s">
        <v>495</v>
      </c>
      <c r="E1782" s="381" t="s">
        <v>925</v>
      </c>
      <c r="F1782" s="378">
        <v>172875.25</v>
      </c>
      <c r="G1782" s="378">
        <v>34575.050000000003</v>
      </c>
      <c r="H1782" s="378">
        <v>0</v>
      </c>
      <c r="I1782" s="378">
        <v>207450.3</v>
      </c>
      <c r="J1782" s="267">
        <f t="shared" si="28"/>
        <v>8</v>
      </c>
    </row>
    <row r="1783" spans="1:10" ht="15" customHeight="1" x14ac:dyDescent="0.25">
      <c r="A1783" s="380">
        <v>5295</v>
      </c>
      <c r="B1783" s="381" t="s">
        <v>315</v>
      </c>
      <c r="C1783" s="381" t="s">
        <v>199</v>
      </c>
      <c r="D1783" s="381" t="s">
        <v>315</v>
      </c>
      <c r="E1783" s="381" t="s">
        <v>315</v>
      </c>
      <c r="F1783" s="378">
        <v>13608174</v>
      </c>
      <c r="G1783" s="378">
        <v>1821940</v>
      </c>
      <c r="H1783" s="378">
        <v>0</v>
      </c>
      <c r="I1783" s="378">
        <v>15430114</v>
      </c>
      <c r="J1783" s="267">
        <f t="shared" si="28"/>
        <v>4</v>
      </c>
    </row>
    <row r="1784" spans="1:10" ht="15" customHeight="1" x14ac:dyDescent="0.25">
      <c r="A1784" s="380">
        <v>529525</v>
      </c>
      <c r="B1784" s="381" t="s">
        <v>315</v>
      </c>
      <c r="C1784" s="381" t="s">
        <v>1370</v>
      </c>
      <c r="D1784" s="381" t="s">
        <v>315</v>
      </c>
      <c r="E1784" s="381" t="s">
        <v>315</v>
      </c>
      <c r="F1784" s="378">
        <v>3635075</v>
      </c>
      <c r="G1784" s="378">
        <v>455217</v>
      </c>
      <c r="H1784" s="378">
        <v>0</v>
      </c>
      <c r="I1784" s="378">
        <v>4090292</v>
      </c>
      <c r="J1784" s="267">
        <f t="shared" si="28"/>
        <v>6</v>
      </c>
    </row>
    <row r="1785" spans="1:10" ht="15" customHeight="1" x14ac:dyDescent="0.25">
      <c r="A1785" s="380">
        <v>52952502</v>
      </c>
      <c r="B1785" s="381" t="s">
        <v>321</v>
      </c>
      <c r="C1785" s="381" t="s">
        <v>1371</v>
      </c>
      <c r="D1785" s="381" t="s">
        <v>315</v>
      </c>
      <c r="E1785" s="381" t="s">
        <v>315</v>
      </c>
      <c r="F1785" s="378">
        <v>3635075</v>
      </c>
      <c r="G1785" s="378">
        <v>455217</v>
      </c>
      <c r="H1785" s="378">
        <v>0</v>
      </c>
      <c r="I1785" s="378">
        <v>4090292</v>
      </c>
      <c r="J1785" s="267">
        <f t="shared" si="28"/>
        <v>8</v>
      </c>
    </row>
    <row r="1786" spans="1:10" ht="15" customHeight="1" x14ac:dyDescent="0.25">
      <c r="A1786" s="380">
        <v>52952502</v>
      </c>
      <c r="B1786" s="381" t="s">
        <v>321</v>
      </c>
      <c r="C1786" s="381" t="s">
        <v>1371</v>
      </c>
      <c r="D1786" s="381" t="s">
        <v>1636</v>
      </c>
      <c r="E1786" s="381" t="s">
        <v>1637</v>
      </c>
      <c r="F1786" s="378">
        <v>23529</v>
      </c>
      <c r="G1786" s="378">
        <v>0</v>
      </c>
      <c r="H1786" s="378">
        <v>0</v>
      </c>
      <c r="I1786" s="378">
        <v>23529</v>
      </c>
      <c r="J1786" s="267">
        <f t="shared" si="28"/>
        <v>8</v>
      </c>
    </row>
    <row r="1787" spans="1:10" ht="15" customHeight="1" x14ac:dyDescent="0.25">
      <c r="A1787" s="380">
        <v>52952502</v>
      </c>
      <c r="B1787" s="381" t="s">
        <v>321</v>
      </c>
      <c r="C1787" s="381" t="s">
        <v>1371</v>
      </c>
      <c r="D1787" s="381" t="s">
        <v>651</v>
      </c>
      <c r="E1787" s="381" t="s">
        <v>1638</v>
      </c>
      <c r="F1787" s="378">
        <v>330923</v>
      </c>
      <c r="G1787" s="378">
        <v>70588</v>
      </c>
      <c r="H1787" s="378">
        <v>0</v>
      </c>
      <c r="I1787" s="378">
        <v>401511</v>
      </c>
      <c r="J1787" s="267">
        <f t="shared" si="28"/>
        <v>8</v>
      </c>
    </row>
    <row r="1788" spans="1:10" ht="15" customHeight="1" x14ac:dyDescent="0.25">
      <c r="A1788" s="380">
        <v>52952502</v>
      </c>
      <c r="B1788" s="381" t="s">
        <v>321</v>
      </c>
      <c r="C1788" s="381" t="s">
        <v>1371</v>
      </c>
      <c r="D1788" s="381" t="s">
        <v>361</v>
      </c>
      <c r="E1788" s="381" t="s">
        <v>1123</v>
      </c>
      <c r="F1788" s="378">
        <v>27563</v>
      </c>
      <c r="G1788" s="378">
        <v>0</v>
      </c>
      <c r="H1788" s="378">
        <v>0</v>
      </c>
      <c r="I1788" s="378">
        <v>27563</v>
      </c>
      <c r="J1788" s="267">
        <f t="shared" si="28"/>
        <v>8</v>
      </c>
    </row>
    <row r="1789" spans="1:10" ht="15" customHeight="1" x14ac:dyDescent="0.25">
      <c r="A1789" s="380">
        <v>52952502</v>
      </c>
      <c r="B1789" s="381" t="s">
        <v>321</v>
      </c>
      <c r="C1789" s="381" t="s">
        <v>1371</v>
      </c>
      <c r="D1789" s="381" t="s">
        <v>399</v>
      </c>
      <c r="E1789" s="381" t="s">
        <v>863</v>
      </c>
      <c r="F1789" s="378">
        <v>57800</v>
      </c>
      <c r="G1789" s="378">
        <v>0</v>
      </c>
      <c r="H1789" s="378">
        <v>0</v>
      </c>
      <c r="I1789" s="378">
        <v>57800</v>
      </c>
      <c r="J1789" s="267">
        <f t="shared" si="28"/>
        <v>8</v>
      </c>
    </row>
    <row r="1790" spans="1:10" ht="15" customHeight="1" x14ac:dyDescent="0.25">
      <c r="A1790" s="380">
        <v>52952502</v>
      </c>
      <c r="B1790" s="381" t="s">
        <v>321</v>
      </c>
      <c r="C1790" s="381" t="s">
        <v>1371</v>
      </c>
      <c r="D1790" s="381" t="s">
        <v>365</v>
      </c>
      <c r="E1790" s="381" t="s">
        <v>366</v>
      </c>
      <c r="F1790" s="378">
        <v>0</v>
      </c>
      <c r="G1790" s="378">
        <v>12100</v>
      </c>
      <c r="H1790" s="378">
        <v>0</v>
      </c>
      <c r="I1790" s="378">
        <v>12100</v>
      </c>
      <c r="J1790" s="267">
        <f t="shared" si="28"/>
        <v>8</v>
      </c>
    </row>
    <row r="1791" spans="1:10" ht="15" customHeight="1" x14ac:dyDescent="0.25">
      <c r="A1791" s="380">
        <v>52952502</v>
      </c>
      <c r="B1791" s="381" t="s">
        <v>321</v>
      </c>
      <c r="C1791" s="381" t="s">
        <v>1371</v>
      </c>
      <c r="D1791" s="381" t="s">
        <v>375</v>
      </c>
      <c r="E1791" s="381" t="s">
        <v>817</v>
      </c>
      <c r="F1791" s="378">
        <v>36586</v>
      </c>
      <c r="G1791" s="378">
        <v>1513</v>
      </c>
      <c r="H1791" s="378">
        <v>0</v>
      </c>
      <c r="I1791" s="378">
        <v>38099</v>
      </c>
      <c r="J1791" s="267">
        <f t="shared" si="28"/>
        <v>8</v>
      </c>
    </row>
    <row r="1792" spans="1:10" ht="15" customHeight="1" x14ac:dyDescent="0.25">
      <c r="A1792" s="380">
        <v>52952502</v>
      </c>
      <c r="B1792" s="381" t="s">
        <v>321</v>
      </c>
      <c r="C1792" s="381" t="s">
        <v>1371</v>
      </c>
      <c r="D1792" s="381" t="s">
        <v>431</v>
      </c>
      <c r="E1792" s="381" t="s">
        <v>432</v>
      </c>
      <c r="F1792" s="378">
        <v>3120438</v>
      </c>
      <c r="G1792" s="378">
        <v>371016</v>
      </c>
      <c r="H1792" s="378">
        <v>0</v>
      </c>
      <c r="I1792" s="378">
        <v>3491454</v>
      </c>
      <c r="J1792" s="267">
        <f t="shared" si="28"/>
        <v>8</v>
      </c>
    </row>
    <row r="1793" spans="1:10" ht="15" customHeight="1" x14ac:dyDescent="0.25">
      <c r="A1793" s="380">
        <v>52952502</v>
      </c>
      <c r="B1793" s="381" t="s">
        <v>321</v>
      </c>
      <c r="C1793" s="381" t="s">
        <v>1371</v>
      </c>
      <c r="D1793" s="381" t="s">
        <v>389</v>
      </c>
      <c r="E1793" s="381" t="s">
        <v>821</v>
      </c>
      <c r="F1793" s="378">
        <v>26891</v>
      </c>
      <c r="G1793" s="378">
        <v>0</v>
      </c>
      <c r="H1793" s="378">
        <v>0</v>
      </c>
      <c r="I1793" s="378">
        <v>26891</v>
      </c>
      <c r="J1793" s="267">
        <f t="shared" si="28"/>
        <v>8</v>
      </c>
    </row>
    <row r="1794" spans="1:10" ht="15" customHeight="1" x14ac:dyDescent="0.25">
      <c r="A1794" s="380">
        <v>52952502</v>
      </c>
      <c r="B1794" s="381" t="s">
        <v>321</v>
      </c>
      <c r="C1794" s="381" t="s">
        <v>1371</v>
      </c>
      <c r="D1794" s="381" t="s">
        <v>1486</v>
      </c>
      <c r="E1794" s="381" t="s">
        <v>1487</v>
      </c>
      <c r="F1794" s="378">
        <v>11345</v>
      </c>
      <c r="G1794" s="378">
        <v>0</v>
      </c>
      <c r="H1794" s="378">
        <v>0</v>
      </c>
      <c r="I1794" s="378">
        <v>11345</v>
      </c>
      <c r="J1794" s="267">
        <f t="shared" si="28"/>
        <v>8</v>
      </c>
    </row>
    <row r="1795" spans="1:10" ht="15" customHeight="1" x14ac:dyDescent="0.25">
      <c r="A1795" s="380">
        <v>529530</v>
      </c>
      <c r="B1795" s="381" t="s">
        <v>315</v>
      </c>
      <c r="C1795" s="381" t="s">
        <v>1372</v>
      </c>
      <c r="D1795" s="381" t="s">
        <v>315</v>
      </c>
      <c r="E1795" s="381" t="s">
        <v>315</v>
      </c>
      <c r="F1795" s="378">
        <v>1578888</v>
      </c>
      <c r="G1795" s="378">
        <v>315722</v>
      </c>
      <c r="H1795" s="378">
        <v>0</v>
      </c>
      <c r="I1795" s="378">
        <v>1894610</v>
      </c>
      <c r="J1795" s="267">
        <f t="shared" si="28"/>
        <v>6</v>
      </c>
    </row>
    <row r="1796" spans="1:10" ht="15" customHeight="1" x14ac:dyDescent="0.25">
      <c r="A1796" s="380">
        <v>52953001</v>
      </c>
      <c r="B1796" s="381" t="s">
        <v>315</v>
      </c>
      <c r="C1796" s="381" t="s">
        <v>1372</v>
      </c>
      <c r="D1796" s="381" t="s">
        <v>315</v>
      </c>
      <c r="E1796" s="381" t="s">
        <v>315</v>
      </c>
      <c r="F1796" s="378">
        <v>1578888</v>
      </c>
      <c r="G1796" s="378">
        <v>315722</v>
      </c>
      <c r="H1796" s="378">
        <v>0</v>
      </c>
      <c r="I1796" s="378">
        <v>1894610</v>
      </c>
      <c r="J1796" s="267">
        <f t="shared" si="28"/>
        <v>8</v>
      </c>
    </row>
    <row r="1797" spans="1:10" ht="15" customHeight="1" x14ac:dyDescent="0.25">
      <c r="A1797" s="380">
        <v>52953001</v>
      </c>
      <c r="B1797" s="381" t="s">
        <v>315</v>
      </c>
      <c r="C1797" s="381" t="s">
        <v>1372</v>
      </c>
      <c r="D1797" s="381" t="s">
        <v>742</v>
      </c>
      <c r="E1797" s="381" t="s">
        <v>1529</v>
      </c>
      <c r="F1797" s="378">
        <v>1215870</v>
      </c>
      <c r="G1797" s="378">
        <v>199560</v>
      </c>
      <c r="H1797" s="378">
        <v>0</v>
      </c>
      <c r="I1797" s="378">
        <v>1415430</v>
      </c>
      <c r="J1797" s="267">
        <f t="shared" si="28"/>
        <v>8</v>
      </c>
    </row>
    <row r="1798" spans="1:10" ht="15" customHeight="1" x14ac:dyDescent="0.25">
      <c r="A1798" s="380">
        <v>52953001</v>
      </c>
      <c r="B1798" s="381" t="s">
        <v>315</v>
      </c>
      <c r="C1798" s="381" t="s">
        <v>1372</v>
      </c>
      <c r="D1798" s="381" t="s">
        <v>640</v>
      </c>
      <c r="E1798" s="381" t="s">
        <v>1375</v>
      </c>
      <c r="F1798" s="378">
        <v>285000</v>
      </c>
      <c r="G1798" s="378">
        <v>0</v>
      </c>
      <c r="H1798" s="378">
        <v>0</v>
      </c>
      <c r="I1798" s="378">
        <v>285000</v>
      </c>
      <c r="J1798" s="267">
        <f t="shared" si="28"/>
        <v>8</v>
      </c>
    </row>
    <row r="1799" spans="1:10" ht="15" customHeight="1" x14ac:dyDescent="0.25">
      <c r="A1799" s="380">
        <v>52953001</v>
      </c>
      <c r="B1799" s="381" t="s">
        <v>315</v>
      </c>
      <c r="C1799" s="381" t="s">
        <v>1372</v>
      </c>
      <c r="D1799" s="381" t="s">
        <v>1588</v>
      </c>
      <c r="E1799" s="381" t="s">
        <v>1589</v>
      </c>
      <c r="F1799" s="378">
        <v>33900</v>
      </c>
      <c r="G1799" s="378">
        <v>45650</v>
      </c>
      <c r="H1799" s="378">
        <v>0</v>
      </c>
      <c r="I1799" s="378">
        <v>79550</v>
      </c>
      <c r="J1799" s="267">
        <f t="shared" si="28"/>
        <v>8</v>
      </c>
    </row>
    <row r="1800" spans="1:10" ht="15" customHeight="1" x14ac:dyDescent="0.25">
      <c r="A1800" s="380">
        <v>52953001</v>
      </c>
      <c r="B1800" s="381" t="s">
        <v>315</v>
      </c>
      <c r="C1800" s="381" t="s">
        <v>1372</v>
      </c>
      <c r="D1800" s="381" t="s">
        <v>1639</v>
      </c>
      <c r="E1800" s="381" t="s">
        <v>1640</v>
      </c>
      <c r="F1800" s="378">
        <v>2605</v>
      </c>
      <c r="G1800" s="378">
        <v>0</v>
      </c>
      <c r="H1800" s="378">
        <v>0</v>
      </c>
      <c r="I1800" s="378">
        <v>2605</v>
      </c>
      <c r="J1800" s="267">
        <f t="shared" si="28"/>
        <v>8</v>
      </c>
    </row>
    <row r="1801" spans="1:10" ht="15" customHeight="1" x14ac:dyDescent="0.25">
      <c r="A1801" s="380">
        <v>52953001</v>
      </c>
      <c r="B1801" s="381" t="s">
        <v>315</v>
      </c>
      <c r="C1801" s="381" t="s">
        <v>1372</v>
      </c>
      <c r="D1801" s="381" t="s">
        <v>472</v>
      </c>
      <c r="E1801" s="381" t="s">
        <v>473</v>
      </c>
      <c r="F1801" s="378">
        <v>24200</v>
      </c>
      <c r="G1801" s="378">
        <v>0</v>
      </c>
      <c r="H1801" s="378">
        <v>0</v>
      </c>
      <c r="I1801" s="378">
        <v>24200</v>
      </c>
      <c r="J1801" s="267">
        <f t="shared" si="28"/>
        <v>8</v>
      </c>
    </row>
    <row r="1802" spans="1:10" ht="15" customHeight="1" x14ac:dyDescent="0.25">
      <c r="A1802" s="380">
        <v>52953001</v>
      </c>
      <c r="B1802" s="381" t="s">
        <v>315</v>
      </c>
      <c r="C1802" s="381" t="s">
        <v>1372</v>
      </c>
      <c r="D1802" s="381" t="s">
        <v>1141</v>
      </c>
      <c r="E1802" s="381" t="s">
        <v>1142</v>
      </c>
      <c r="F1802" s="378">
        <v>0</v>
      </c>
      <c r="G1802" s="378">
        <v>6723</v>
      </c>
      <c r="H1802" s="378">
        <v>0</v>
      </c>
      <c r="I1802" s="378">
        <v>6723</v>
      </c>
      <c r="J1802" s="267">
        <f t="shared" si="28"/>
        <v>8</v>
      </c>
    </row>
    <row r="1803" spans="1:10" ht="15" customHeight="1" x14ac:dyDescent="0.25">
      <c r="A1803" s="380">
        <v>52953001</v>
      </c>
      <c r="B1803" s="381" t="s">
        <v>315</v>
      </c>
      <c r="C1803" s="381" t="s">
        <v>1372</v>
      </c>
      <c r="D1803" s="381" t="s">
        <v>1146</v>
      </c>
      <c r="E1803" s="381" t="s">
        <v>1147</v>
      </c>
      <c r="F1803" s="378">
        <v>5548</v>
      </c>
      <c r="G1803" s="378">
        <v>24789</v>
      </c>
      <c r="H1803" s="378">
        <v>0</v>
      </c>
      <c r="I1803" s="378">
        <v>30337</v>
      </c>
      <c r="J1803" s="267">
        <f t="shared" si="28"/>
        <v>8</v>
      </c>
    </row>
    <row r="1804" spans="1:10" ht="15" customHeight="1" x14ac:dyDescent="0.25">
      <c r="A1804" s="380">
        <v>52953001</v>
      </c>
      <c r="B1804" s="381" t="s">
        <v>315</v>
      </c>
      <c r="C1804" s="381" t="s">
        <v>1372</v>
      </c>
      <c r="D1804" s="381" t="s">
        <v>389</v>
      </c>
      <c r="E1804" s="381" t="s">
        <v>821</v>
      </c>
      <c r="F1804" s="378">
        <v>11765</v>
      </c>
      <c r="G1804" s="378">
        <v>0</v>
      </c>
      <c r="H1804" s="378">
        <v>0</v>
      </c>
      <c r="I1804" s="378">
        <v>11765</v>
      </c>
      <c r="J1804" s="267">
        <f t="shared" ref="J1804:J1867" si="29">+LEN(A1804)</f>
        <v>8</v>
      </c>
    </row>
    <row r="1805" spans="1:10" ht="15" customHeight="1" x14ac:dyDescent="0.25">
      <c r="A1805" s="380">
        <v>52953001</v>
      </c>
      <c r="B1805" s="381" t="s">
        <v>315</v>
      </c>
      <c r="C1805" s="381" t="s">
        <v>1372</v>
      </c>
      <c r="D1805" s="381" t="s">
        <v>1593</v>
      </c>
      <c r="E1805" s="381" t="s">
        <v>1594</v>
      </c>
      <c r="F1805" s="378">
        <v>0</v>
      </c>
      <c r="G1805" s="378">
        <v>39000</v>
      </c>
      <c r="H1805" s="378">
        <v>0</v>
      </c>
      <c r="I1805" s="378">
        <v>39000</v>
      </c>
      <c r="J1805" s="267">
        <f t="shared" si="29"/>
        <v>8</v>
      </c>
    </row>
    <row r="1806" spans="1:10" ht="15" customHeight="1" x14ac:dyDescent="0.25">
      <c r="A1806" s="380">
        <v>529540</v>
      </c>
      <c r="B1806" s="381" t="s">
        <v>315</v>
      </c>
      <c r="C1806" s="381" t="s">
        <v>1378</v>
      </c>
      <c r="D1806" s="381" t="s">
        <v>315</v>
      </c>
      <c r="E1806" s="381" t="s">
        <v>315</v>
      </c>
      <c r="F1806" s="378">
        <v>893</v>
      </c>
      <c r="G1806" s="378">
        <v>1681</v>
      </c>
      <c r="H1806" s="378">
        <v>0</v>
      </c>
      <c r="I1806" s="378">
        <v>2574</v>
      </c>
      <c r="J1806" s="267">
        <f t="shared" si="29"/>
        <v>6</v>
      </c>
    </row>
    <row r="1807" spans="1:10" ht="15" customHeight="1" x14ac:dyDescent="0.25">
      <c r="A1807" s="380">
        <v>52954001</v>
      </c>
      <c r="B1807" s="381" t="s">
        <v>315</v>
      </c>
      <c r="C1807" s="381" t="s">
        <v>1378</v>
      </c>
      <c r="D1807" s="381" t="s">
        <v>315</v>
      </c>
      <c r="E1807" s="381" t="s">
        <v>315</v>
      </c>
      <c r="F1807" s="378">
        <v>893</v>
      </c>
      <c r="G1807" s="378">
        <v>1681</v>
      </c>
      <c r="H1807" s="378">
        <v>0</v>
      </c>
      <c r="I1807" s="378">
        <v>2574</v>
      </c>
      <c r="J1807" s="267">
        <f t="shared" si="29"/>
        <v>8</v>
      </c>
    </row>
    <row r="1808" spans="1:10" ht="15" customHeight="1" x14ac:dyDescent="0.25">
      <c r="A1808" s="380">
        <v>52954001</v>
      </c>
      <c r="B1808" s="381" t="s">
        <v>315</v>
      </c>
      <c r="C1808" s="381" t="s">
        <v>1378</v>
      </c>
      <c r="D1808" s="381" t="s">
        <v>365</v>
      </c>
      <c r="E1808" s="381" t="s">
        <v>366</v>
      </c>
      <c r="F1808" s="378">
        <v>504</v>
      </c>
      <c r="G1808" s="378">
        <v>1681</v>
      </c>
      <c r="H1808" s="378">
        <v>0</v>
      </c>
      <c r="I1808" s="378">
        <v>2185</v>
      </c>
      <c r="J1808" s="267">
        <f t="shared" si="29"/>
        <v>8</v>
      </c>
    </row>
    <row r="1809" spans="1:10" ht="15" customHeight="1" x14ac:dyDescent="0.25">
      <c r="A1809" s="380">
        <v>52954001</v>
      </c>
      <c r="B1809" s="381" t="s">
        <v>315</v>
      </c>
      <c r="C1809" s="381" t="s">
        <v>1378</v>
      </c>
      <c r="D1809" s="381" t="s">
        <v>375</v>
      </c>
      <c r="E1809" s="381" t="s">
        <v>817</v>
      </c>
      <c r="F1809" s="378">
        <v>389</v>
      </c>
      <c r="G1809" s="378">
        <v>0</v>
      </c>
      <c r="H1809" s="378">
        <v>0</v>
      </c>
      <c r="I1809" s="378">
        <v>389</v>
      </c>
      <c r="J1809" s="267">
        <f t="shared" si="29"/>
        <v>8</v>
      </c>
    </row>
    <row r="1810" spans="1:10" ht="15" customHeight="1" x14ac:dyDescent="0.25">
      <c r="A1810" s="380">
        <v>529545</v>
      </c>
      <c r="B1810" s="381" t="s">
        <v>315</v>
      </c>
      <c r="C1810" s="381" t="s">
        <v>1379</v>
      </c>
      <c r="D1810" s="381" t="s">
        <v>315</v>
      </c>
      <c r="E1810" s="381" t="s">
        <v>315</v>
      </c>
      <c r="F1810" s="378">
        <v>1211304</v>
      </c>
      <c r="G1810" s="378">
        <v>257800</v>
      </c>
      <c r="H1810" s="378">
        <v>0</v>
      </c>
      <c r="I1810" s="378">
        <v>1469104</v>
      </c>
      <c r="J1810" s="267">
        <f t="shared" si="29"/>
        <v>6</v>
      </c>
    </row>
    <row r="1811" spans="1:10" ht="15" customHeight="1" x14ac:dyDescent="0.25">
      <c r="A1811" s="380">
        <v>52954501</v>
      </c>
      <c r="B1811" s="381" t="s">
        <v>315</v>
      </c>
      <c r="C1811" s="381" t="s">
        <v>1379</v>
      </c>
      <c r="D1811" s="381" t="s">
        <v>315</v>
      </c>
      <c r="E1811" s="381" t="s">
        <v>315</v>
      </c>
      <c r="F1811" s="378">
        <v>1211304</v>
      </c>
      <c r="G1811" s="378">
        <v>257800</v>
      </c>
      <c r="H1811" s="378">
        <v>0</v>
      </c>
      <c r="I1811" s="378">
        <v>1469104</v>
      </c>
      <c r="J1811" s="267">
        <f t="shared" si="29"/>
        <v>8</v>
      </c>
    </row>
    <row r="1812" spans="1:10" ht="15" customHeight="1" x14ac:dyDescent="0.25">
      <c r="A1812" s="380">
        <v>52954501</v>
      </c>
      <c r="B1812" s="381" t="s">
        <v>315</v>
      </c>
      <c r="C1812" s="381" t="s">
        <v>1379</v>
      </c>
      <c r="D1812" s="381" t="s">
        <v>738</v>
      </c>
      <c r="E1812" s="381" t="s">
        <v>1728</v>
      </c>
      <c r="F1812" s="378">
        <v>80000</v>
      </c>
      <c r="G1812" s="378">
        <v>0</v>
      </c>
      <c r="H1812" s="378">
        <v>0</v>
      </c>
      <c r="I1812" s="378">
        <v>80000</v>
      </c>
      <c r="J1812" s="267">
        <f t="shared" si="29"/>
        <v>8</v>
      </c>
    </row>
    <row r="1813" spans="1:10" ht="15" customHeight="1" x14ac:dyDescent="0.25">
      <c r="A1813" s="380">
        <v>52954501</v>
      </c>
      <c r="B1813" s="381" t="s">
        <v>315</v>
      </c>
      <c r="C1813" s="381" t="s">
        <v>1379</v>
      </c>
      <c r="D1813" s="381" t="s">
        <v>651</v>
      </c>
      <c r="E1813" s="381" t="s">
        <v>1638</v>
      </c>
      <c r="F1813" s="378">
        <v>8404</v>
      </c>
      <c r="G1813" s="378">
        <v>0</v>
      </c>
      <c r="H1813" s="378">
        <v>0</v>
      </c>
      <c r="I1813" s="378">
        <v>8404</v>
      </c>
      <c r="J1813" s="267">
        <f t="shared" si="29"/>
        <v>8</v>
      </c>
    </row>
    <row r="1814" spans="1:10" ht="15" customHeight="1" x14ac:dyDescent="0.25">
      <c r="A1814" s="380">
        <v>52954501</v>
      </c>
      <c r="B1814" s="381" t="s">
        <v>315</v>
      </c>
      <c r="C1814" s="381" t="s">
        <v>1379</v>
      </c>
      <c r="D1814" s="381" t="s">
        <v>1590</v>
      </c>
      <c r="E1814" s="381" t="s">
        <v>1591</v>
      </c>
      <c r="F1814" s="378">
        <v>636600</v>
      </c>
      <c r="G1814" s="378">
        <v>174000</v>
      </c>
      <c r="H1814" s="378">
        <v>0</v>
      </c>
      <c r="I1814" s="378">
        <v>810600</v>
      </c>
      <c r="J1814" s="267">
        <f t="shared" si="29"/>
        <v>8</v>
      </c>
    </row>
    <row r="1815" spans="1:10" ht="15" customHeight="1" x14ac:dyDescent="0.25">
      <c r="A1815" s="380">
        <v>52954501</v>
      </c>
      <c r="B1815" s="381" t="s">
        <v>315</v>
      </c>
      <c r="C1815" s="381" t="s">
        <v>1379</v>
      </c>
      <c r="D1815" s="381" t="s">
        <v>746</v>
      </c>
      <c r="E1815" s="381" t="s">
        <v>1592</v>
      </c>
      <c r="F1815" s="378">
        <v>201300</v>
      </c>
      <c r="G1815" s="378">
        <v>59800</v>
      </c>
      <c r="H1815" s="378">
        <v>0</v>
      </c>
      <c r="I1815" s="378">
        <v>261100</v>
      </c>
      <c r="J1815" s="267">
        <f t="shared" si="29"/>
        <v>8</v>
      </c>
    </row>
    <row r="1816" spans="1:10" ht="15" customHeight="1" x14ac:dyDescent="0.25">
      <c r="A1816" s="380">
        <v>52954501</v>
      </c>
      <c r="B1816" s="381" t="s">
        <v>315</v>
      </c>
      <c r="C1816" s="381" t="s">
        <v>1379</v>
      </c>
      <c r="D1816" s="381" t="s">
        <v>747</v>
      </c>
      <c r="E1816" s="381" t="s">
        <v>748</v>
      </c>
      <c r="F1816" s="378">
        <v>285000</v>
      </c>
      <c r="G1816" s="378">
        <v>24000</v>
      </c>
      <c r="H1816" s="378">
        <v>0</v>
      </c>
      <c r="I1816" s="378">
        <v>309000</v>
      </c>
      <c r="J1816" s="267">
        <f t="shared" si="29"/>
        <v>8</v>
      </c>
    </row>
    <row r="1817" spans="1:10" ht="15" customHeight="1" x14ac:dyDescent="0.25">
      <c r="A1817" s="380">
        <v>529565</v>
      </c>
      <c r="B1817" s="381" t="s">
        <v>315</v>
      </c>
      <c r="C1817" s="381" t="s">
        <v>1382</v>
      </c>
      <c r="D1817" s="381" t="s">
        <v>315</v>
      </c>
      <c r="E1817" s="381" t="s">
        <v>315</v>
      </c>
      <c r="F1817" s="378">
        <v>66554</v>
      </c>
      <c r="G1817" s="378">
        <v>0</v>
      </c>
      <c r="H1817" s="378">
        <v>0</v>
      </c>
      <c r="I1817" s="378">
        <v>66554</v>
      </c>
      <c r="J1817" s="267">
        <f t="shared" si="29"/>
        <v>6</v>
      </c>
    </row>
    <row r="1818" spans="1:10" ht="15" customHeight="1" x14ac:dyDescent="0.25">
      <c r="A1818" s="380">
        <v>52956501</v>
      </c>
      <c r="B1818" s="381" t="s">
        <v>315</v>
      </c>
      <c r="C1818" s="381" t="s">
        <v>1382</v>
      </c>
      <c r="D1818" s="381" t="s">
        <v>315</v>
      </c>
      <c r="E1818" s="381" t="s">
        <v>315</v>
      </c>
      <c r="F1818" s="378">
        <v>66554</v>
      </c>
      <c r="G1818" s="378">
        <v>0</v>
      </c>
      <c r="H1818" s="378">
        <v>0</v>
      </c>
      <c r="I1818" s="378">
        <v>66554</v>
      </c>
      <c r="J1818" s="267">
        <f t="shared" si="29"/>
        <v>8</v>
      </c>
    </row>
    <row r="1819" spans="1:10" ht="15" customHeight="1" x14ac:dyDescent="0.25">
      <c r="A1819" s="380">
        <v>52956501</v>
      </c>
      <c r="B1819" s="381" t="s">
        <v>315</v>
      </c>
      <c r="C1819" s="381" t="s">
        <v>1382</v>
      </c>
      <c r="D1819" s="381" t="s">
        <v>972</v>
      </c>
      <c r="E1819" s="381" t="s">
        <v>1641</v>
      </c>
      <c r="F1819" s="378">
        <v>35042</v>
      </c>
      <c r="G1819" s="378">
        <v>0</v>
      </c>
      <c r="H1819" s="378">
        <v>0</v>
      </c>
      <c r="I1819" s="378">
        <v>35042</v>
      </c>
      <c r="J1819" s="267">
        <f t="shared" si="29"/>
        <v>8</v>
      </c>
    </row>
    <row r="1820" spans="1:10" ht="15" customHeight="1" x14ac:dyDescent="0.25">
      <c r="A1820" s="380">
        <v>52956501</v>
      </c>
      <c r="B1820" s="381" t="s">
        <v>315</v>
      </c>
      <c r="C1820" s="381" t="s">
        <v>1382</v>
      </c>
      <c r="D1820" s="381" t="s">
        <v>445</v>
      </c>
      <c r="E1820" s="381" t="s">
        <v>1643</v>
      </c>
      <c r="F1820" s="378">
        <v>14706</v>
      </c>
      <c r="G1820" s="378">
        <v>0</v>
      </c>
      <c r="H1820" s="378">
        <v>0</v>
      </c>
      <c r="I1820" s="378">
        <v>14706</v>
      </c>
      <c r="J1820" s="267">
        <f t="shared" si="29"/>
        <v>8</v>
      </c>
    </row>
    <row r="1821" spans="1:10" ht="15" customHeight="1" x14ac:dyDescent="0.25">
      <c r="A1821" s="380">
        <v>52956501</v>
      </c>
      <c r="B1821" s="381" t="s">
        <v>315</v>
      </c>
      <c r="C1821" s="381" t="s">
        <v>1382</v>
      </c>
      <c r="D1821" s="381" t="s">
        <v>1156</v>
      </c>
      <c r="E1821" s="381" t="s">
        <v>1644</v>
      </c>
      <c r="F1821" s="378">
        <v>16806</v>
      </c>
      <c r="G1821" s="378">
        <v>0</v>
      </c>
      <c r="H1821" s="378">
        <v>0</v>
      </c>
      <c r="I1821" s="378">
        <v>16806</v>
      </c>
      <c r="J1821" s="267">
        <f t="shared" si="29"/>
        <v>8</v>
      </c>
    </row>
    <row r="1822" spans="1:10" ht="15" customHeight="1" x14ac:dyDescent="0.25">
      <c r="A1822" s="380">
        <v>529595</v>
      </c>
      <c r="B1822" s="381" t="s">
        <v>315</v>
      </c>
      <c r="C1822" s="381" t="s">
        <v>238</v>
      </c>
      <c r="D1822" s="381" t="s">
        <v>315</v>
      </c>
      <c r="E1822" s="381" t="s">
        <v>315</v>
      </c>
      <c r="F1822" s="378">
        <v>6645735</v>
      </c>
      <c r="G1822" s="378">
        <v>597150</v>
      </c>
      <c r="H1822" s="378">
        <v>0</v>
      </c>
      <c r="I1822" s="378">
        <v>7242885</v>
      </c>
      <c r="J1822" s="267">
        <f t="shared" si="29"/>
        <v>6</v>
      </c>
    </row>
    <row r="1823" spans="1:10" ht="15" customHeight="1" x14ac:dyDescent="0.25">
      <c r="A1823" s="380">
        <v>52959501</v>
      </c>
      <c r="B1823" s="381" t="s">
        <v>321</v>
      </c>
      <c r="C1823" s="381" t="s">
        <v>1383</v>
      </c>
      <c r="D1823" s="381" t="s">
        <v>315</v>
      </c>
      <c r="E1823" s="381" t="s">
        <v>315</v>
      </c>
      <c r="F1823" s="378">
        <v>1268915</v>
      </c>
      <c r="G1823" s="378">
        <v>15869</v>
      </c>
      <c r="H1823" s="378">
        <v>0</v>
      </c>
      <c r="I1823" s="378">
        <v>1284784</v>
      </c>
      <c r="J1823" s="267">
        <f t="shared" si="29"/>
        <v>8</v>
      </c>
    </row>
    <row r="1824" spans="1:10" ht="15" customHeight="1" x14ac:dyDescent="0.25">
      <c r="A1824" s="380">
        <v>52959501</v>
      </c>
      <c r="B1824" s="381" t="s">
        <v>321</v>
      </c>
      <c r="C1824" s="381" t="s">
        <v>1383</v>
      </c>
      <c r="D1824" s="381" t="s">
        <v>742</v>
      </c>
      <c r="E1824" s="381" t="s">
        <v>1529</v>
      </c>
      <c r="F1824" s="378">
        <v>176000</v>
      </c>
      <c r="G1824" s="378">
        <v>0</v>
      </c>
      <c r="H1824" s="378">
        <v>0</v>
      </c>
      <c r="I1824" s="378">
        <v>176000</v>
      </c>
      <c r="J1824" s="267">
        <f t="shared" si="29"/>
        <v>8</v>
      </c>
    </row>
    <row r="1825" spans="1:10" ht="15" customHeight="1" x14ac:dyDescent="0.25">
      <c r="A1825" s="380">
        <v>52959501</v>
      </c>
      <c r="B1825" s="381" t="s">
        <v>321</v>
      </c>
      <c r="C1825" s="381" t="s">
        <v>1383</v>
      </c>
      <c r="D1825" s="381" t="s">
        <v>365</v>
      </c>
      <c r="E1825" s="381" t="s">
        <v>366</v>
      </c>
      <c r="F1825" s="378">
        <v>0</v>
      </c>
      <c r="G1825" s="378">
        <v>9903</v>
      </c>
      <c r="H1825" s="378">
        <v>0</v>
      </c>
      <c r="I1825" s="378">
        <v>9903</v>
      </c>
      <c r="J1825" s="267">
        <f t="shared" si="29"/>
        <v>8</v>
      </c>
    </row>
    <row r="1826" spans="1:10" ht="15" customHeight="1" x14ac:dyDescent="0.25">
      <c r="A1826" s="380">
        <v>52959501</v>
      </c>
      <c r="B1826" s="381" t="s">
        <v>321</v>
      </c>
      <c r="C1826" s="381" t="s">
        <v>1383</v>
      </c>
      <c r="D1826" s="381" t="s">
        <v>685</v>
      </c>
      <c r="E1826" s="381" t="s">
        <v>1144</v>
      </c>
      <c r="F1826" s="378">
        <v>350167</v>
      </c>
      <c r="G1826" s="378">
        <v>0</v>
      </c>
      <c r="H1826" s="378">
        <v>0</v>
      </c>
      <c r="I1826" s="378">
        <v>350167</v>
      </c>
      <c r="J1826" s="267">
        <f t="shared" si="29"/>
        <v>8</v>
      </c>
    </row>
    <row r="1827" spans="1:10" ht="15" customHeight="1" x14ac:dyDescent="0.25">
      <c r="A1827" s="380">
        <v>52959501</v>
      </c>
      <c r="B1827" s="381" t="s">
        <v>321</v>
      </c>
      <c r="C1827" s="381" t="s">
        <v>1383</v>
      </c>
      <c r="D1827" s="381" t="s">
        <v>375</v>
      </c>
      <c r="E1827" s="381" t="s">
        <v>817</v>
      </c>
      <c r="F1827" s="378">
        <v>0</v>
      </c>
      <c r="G1827" s="378">
        <v>5966</v>
      </c>
      <c r="H1827" s="378">
        <v>0</v>
      </c>
      <c r="I1827" s="378">
        <v>5966</v>
      </c>
      <c r="J1827" s="267">
        <f t="shared" si="29"/>
        <v>8</v>
      </c>
    </row>
    <row r="1828" spans="1:10" ht="15" customHeight="1" x14ac:dyDescent="0.25">
      <c r="A1828" s="380">
        <v>52959501</v>
      </c>
      <c r="B1828" s="381" t="s">
        <v>321</v>
      </c>
      <c r="C1828" s="381" t="s">
        <v>1383</v>
      </c>
      <c r="D1828" s="381" t="s">
        <v>1154</v>
      </c>
      <c r="E1828" s="381" t="s">
        <v>1155</v>
      </c>
      <c r="F1828" s="378">
        <v>78992</v>
      </c>
      <c r="G1828" s="378">
        <v>0</v>
      </c>
      <c r="H1828" s="378">
        <v>0</v>
      </c>
      <c r="I1828" s="378">
        <v>78992</v>
      </c>
      <c r="J1828" s="267">
        <f t="shared" si="29"/>
        <v>8</v>
      </c>
    </row>
    <row r="1829" spans="1:10" ht="15" customHeight="1" x14ac:dyDescent="0.25">
      <c r="A1829" s="380">
        <v>52959501</v>
      </c>
      <c r="B1829" s="381" t="s">
        <v>321</v>
      </c>
      <c r="C1829" s="381" t="s">
        <v>1383</v>
      </c>
      <c r="D1829" s="381" t="s">
        <v>1484</v>
      </c>
      <c r="E1829" s="381" t="s">
        <v>1485</v>
      </c>
      <c r="F1829" s="378">
        <v>173319</v>
      </c>
      <c r="G1829" s="378">
        <v>0</v>
      </c>
      <c r="H1829" s="378">
        <v>0</v>
      </c>
      <c r="I1829" s="378">
        <v>173319</v>
      </c>
      <c r="J1829" s="267">
        <f t="shared" si="29"/>
        <v>8</v>
      </c>
    </row>
    <row r="1830" spans="1:10" ht="15" customHeight="1" x14ac:dyDescent="0.25">
      <c r="A1830" s="380">
        <v>52959501</v>
      </c>
      <c r="B1830" s="381" t="s">
        <v>321</v>
      </c>
      <c r="C1830" s="381" t="s">
        <v>1383</v>
      </c>
      <c r="D1830" s="381" t="s">
        <v>1019</v>
      </c>
      <c r="E1830" s="381" t="s">
        <v>1020</v>
      </c>
      <c r="F1830" s="378">
        <v>75630</v>
      </c>
      <c r="G1830" s="378">
        <v>0</v>
      </c>
      <c r="H1830" s="378">
        <v>0</v>
      </c>
      <c r="I1830" s="378">
        <v>75630</v>
      </c>
      <c r="J1830" s="267">
        <f t="shared" si="29"/>
        <v>8</v>
      </c>
    </row>
    <row r="1831" spans="1:10" ht="15" customHeight="1" x14ac:dyDescent="0.25">
      <c r="A1831" s="380">
        <v>52959501</v>
      </c>
      <c r="B1831" s="381" t="s">
        <v>321</v>
      </c>
      <c r="C1831" s="381" t="s">
        <v>1383</v>
      </c>
      <c r="D1831" s="381" t="s">
        <v>1645</v>
      </c>
      <c r="E1831" s="381" t="s">
        <v>1646</v>
      </c>
      <c r="F1831" s="378">
        <v>95807</v>
      </c>
      <c r="G1831" s="378">
        <v>0</v>
      </c>
      <c r="H1831" s="378">
        <v>0</v>
      </c>
      <c r="I1831" s="378">
        <v>95807</v>
      </c>
      <c r="J1831" s="267">
        <f t="shared" si="29"/>
        <v>8</v>
      </c>
    </row>
    <row r="1832" spans="1:10" ht="15" customHeight="1" x14ac:dyDescent="0.25">
      <c r="A1832" s="380">
        <v>52959501</v>
      </c>
      <c r="B1832" s="381" t="s">
        <v>321</v>
      </c>
      <c r="C1832" s="381" t="s">
        <v>1383</v>
      </c>
      <c r="D1832" s="381" t="s">
        <v>1385</v>
      </c>
      <c r="E1832" s="381" t="s">
        <v>1729</v>
      </c>
      <c r="F1832" s="378">
        <v>85000</v>
      </c>
      <c r="G1832" s="378">
        <v>0</v>
      </c>
      <c r="H1832" s="378">
        <v>0</v>
      </c>
      <c r="I1832" s="378">
        <v>85000</v>
      </c>
      <c r="J1832" s="267">
        <f t="shared" si="29"/>
        <v>8</v>
      </c>
    </row>
    <row r="1833" spans="1:10" ht="15" customHeight="1" x14ac:dyDescent="0.25">
      <c r="A1833" s="380">
        <v>52959501</v>
      </c>
      <c r="B1833" s="381" t="s">
        <v>321</v>
      </c>
      <c r="C1833" s="381" t="s">
        <v>1383</v>
      </c>
      <c r="D1833" s="381" t="s">
        <v>1497</v>
      </c>
      <c r="E1833" s="381" t="s">
        <v>1498</v>
      </c>
      <c r="F1833" s="378">
        <v>234000</v>
      </c>
      <c r="G1833" s="378">
        <v>0</v>
      </c>
      <c r="H1833" s="378">
        <v>0</v>
      </c>
      <c r="I1833" s="378">
        <v>234000</v>
      </c>
      <c r="J1833" s="267">
        <f t="shared" si="29"/>
        <v>8</v>
      </c>
    </row>
    <row r="1834" spans="1:10" ht="15" customHeight="1" x14ac:dyDescent="0.25">
      <c r="A1834" s="380">
        <v>52959502</v>
      </c>
      <c r="B1834" s="381" t="s">
        <v>321</v>
      </c>
      <c r="C1834" s="381" t="s">
        <v>1387</v>
      </c>
      <c r="D1834" s="381" t="s">
        <v>315</v>
      </c>
      <c r="E1834" s="381" t="s">
        <v>315</v>
      </c>
      <c r="F1834" s="378">
        <v>1353400</v>
      </c>
      <c r="G1834" s="378">
        <v>0</v>
      </c>
      <c r="H1834" s="378">
        <v>0</v>
      </c>
      <c r="I1834" s="378">
        <v>1353400</v>
      </c>
      <c r="J1834" s="267">
        <f t="shared" si="29"/>
        <v>8</v>
      </c>
    </row>
    <row r="1835" spans="1:10" ht="15" customHeight="1" x14ac:dyDescent="0.25">
      <c r="A1835" s="380">
        <v>52959502</v>
      </c>
      <c r="B1835" s="381" t="s">
        <v>321</v>
      </c>
      <c r="C1835" s="381" t="s">
        <v>1387</v>
      </c>
      <c r="D1835" s="381" t="s">
        <v>399</v>
      </c>
      <c r="E1835" s="381" t="s">
        <v>863</v>
      </c>
      <c r="F1835" s="378">
        <v>1353400</v>
      </c>
      <c r="G1835" s="378">
        <v>0</v>
      </c>
      <c r="H1835" s="378">
        <v>0</v>
      </c>
      <c r="I1835" s="378">
        <v>1353400</v>
      </c>
      <c r="J1835" s="267">
        <f t="shared" si="29"/>
        <v>8</v>
      </c>
    </row>
    <row r="1836" spans="1:10" ht="15" customHeight="1" x14ac:dyDescent="0.25">
      <c r="A1836" s="380">
        <v>52959503</v>
      </c>
      <c r="B1836" s="381" t="s">
        <v>321</v>
      </c>
      <c r="C1836" s="381" t="s">
        <v>1389</v>
      </c>
      <c r="D1836" s="381" t="s">
        <v>315</v>
      </c>
      <c r="E1836" s="381" t="s">
        <v>315</v>
      </c>
      <c r="F1836" s="378">
        <v>930712</v>
      </c>
      <c r="G1836" s="378">
        <v>13445</v>
      </c>
      <c r="H1836" s="378">
        <v>0</v>
      </c>
      <c r="I1836" s="378">
        <v>944157</v>
      </c>
      <c r="J1836" s="267">
        <f t="shared" si="29"/>
        <v>8</v>
      </c>
    </row>
    <row r="1837" spans="1:10" ht="15" customHeight="1" x14ac:dyDescent="0.25">
      <c r="A1837" s="380">
        <v>52959503</v>
      </c>
      <c r="B1837" s="381" t="s">
        <v>321</v>
      </c>
      <c r="C1837" s="381" t="s">
        <v>1389</v>
      </c>
      <c r="D1837" s="381" t="s">
        <v>1634</v>
      </c>
      <c r="E1837" s="381" t="s">
        <v>1635</v>
      </c>
      <c r="F1837" s="378">
        <v>14286</v>
      </c>
      <c r="G1837" s="378">
        <v>0</v>
      </c>
      <c r="H1837" s="378">
        <v>0</v>
      </c>
      <c r="I1837" s="378">
        <v>14286</v>
      </c>
      <c r="J1837" s="267">
        <f t="shared" si="29"/>
        <v>8</v>
      </c>
    </row>
    <row r="1838" spans="1:10" ht="15" customHeight="1" x14ac:dyDescent="0.25">
      <c r="A1838" s="380">
        <v>52959503</v>
      </c>
      <c r="B1838" s="381" t="s">
        <v>321</v>
      </c>
      <c r="C1838" s="381" t="s">
        <v>1389</v>
      </c>
      <c r="D1838" s="381" t="s">
        <v>361</v>
      </c>
      <c r="E1838" s="381" t="s">
        <v>1123</v>
      </c>
      <c r="F1838" s="378">
        <v>85462</v>
      </c>
      <c r="G1838" s="378">
        <v>0</v>
      </c>
      <c r="H1838" s="378">
        <v>0</v>
      </c>
      <c r="I1838" s="378">
        <v>85462</v>
      </c>
      <c r="J1838" s="267">
        <f t="shared" si="29"/>
        <v>8</v>
      </c>
    </row>
    <row r="1839" spans="1:10" ht="15" customHeight="1" x14ac:dyDescent="0.25">
      <c r="A1839" s="380">
        <v>52959503</v>
      </c>
      <c r="B1839" s="381" t="s">
        <v>321</v>
      </c>
      <c r="C1839" s="381" t="s">
        <v>1389</v>
      </c>
      <c r="D1839" s="381" t="s">
        <v>383</v>
      </c>
      <c r="E1839" s="381" t="s">
        <v>384</v>
      </c>
      <c r="F1839" s="378">
        <v>751652</v>
      </c>
      <c r="G1839" s="378">
        <v>0</v>
      </c>
      <c r="H1839" s="378">
        <v>0</v>
      </c>
      <c r="I1839" s="378">
        <v>751652</v>
      </c>
      <c r="J1839" s="267">
        <f t="shared" si="29"/>
        <v>8</v>
      </c>
    </row>
    <row r="1840" spans="1:10" ht="15" customHeight="1" x14ac:dyDescent="0.25">
      <c r="A1840" s="380">
        <v>52959503</v>
      </c>
      <c r="B1840" s="381" t="s">
        <v>321</v>
      </c>
      <c r="C1840" s="381" t="s">
        <v>1389</v>
      </c>
      <c r="D1840" s="381" t="s">
        <v>375</v>
      </c>
      <c r="E1840" s="381" t="s">
        <v>817</v>
      </c>
      <c r="F1840" s="378">
        <v>3345</v>
      </c>
      <c r="G1840" s="378">
        <v>0</v>
      </c>
      <c r="H1840" s="378">
        <v>0</v>
      </c>
      <c r="I1840" s="378">
        <v>3345</v>
      </c>
      <c r="J1840" s="267">
        <f t="shared" si="29"/>
        <v>8</v>
      </c>
    </row>
    <row r="1841" spans="1:10" ht="15" customHeight="1" x14ac:dyDescent="0.25">
      <c r="A1841" s="380">
        <v>52959503</v>
      </c>
      <c r="B1841" s="381" t="s">
        <v>321</v>
      </c>
      <c r="C1841" s="381" t="s">
        <v>1389</v>
      </c>
      <c r="D1841" s="381" t="s">
        <v>389</v>
      </c>
      <c r="E1841" s="381" t="s">
        <v>821</v>
      </c>
      <c r="F1841" s="378">
        <v>66807</v>
      </c>
      <c r="G1841" s="378">
        <v>13445</v>
      </c>
      <c r="H1841" s="378">
        <v>0</v>
      </c>
      <c r="I1841" s="378">
        <v>80252</v>
      </c>
      <c r="J1841" s="267">
        <f t="shared" si="29"/>
        <v>8</v>
      </c>
    </row>
    <row r="1842" spans="1:10" ht="15" customHeight="1" x14ac:dyDescent="0.25">
      <c r="A1842" s="380">
        <v>52959503</v>
      </c>
      <c r="B1842" s="381" t="s">
        <v>321</v>
      </c>
      <c r="C1842" s="381" t="s">
        <v>1389</v>
      </c>
      <c r="D1842" s="381" t="s">
        <v>1486</v>
      </c>
      <c r="E1842" s="381" t="s">
        <v>1487</v>
      </c>
      <c r="F1842" s="378">
        <v>9160</v>
      </c>
      <c r="G1842" s="378">
        <v>0</v>
      </c>
      <c r="H1842" s="378">
        <v>0</v>
      </c>
      <c r="I1842" s="378">
        <v>9160</v>
      </c>
      <c r="J1842" s="267">
        <f t="shared" si="29"/>
        <v>8</v>
      </c>
    </row>
    <row r="1843" spans="1:10" ht="15" customHeight="1" x14ac:dyDescent="0.25">
      <c r="A1843" s="380">
        <v>52959506</v>
      </c>
      <c r="B1843" s="381" t="s">
        <v>321</v>
      </c>
      <c r="C1843" s="381" t="s">
        <v>1388</v>
      </c>
      <c r="D1843" s="381" t="s">
        <v>315</v>
      </c>
      <c r="E1843" s="381" t="s">
        <v>315</v>
      </c>
      <c r="F1843" s="378">
        <v>2432600</v>
      </c>
      <c r="G1843" s="378">
        <v>492500</v>
      </c>
      <c r="H1843" s="378">
        <v>0</v>
      </c>
      <c r="I1843" s="378">
        <v>2925100</v>
      </c>
      <c r="J1843" s="267">
        <f t="shared" si="29"/>
        <v>8</v>
      </c>
    </row>
    <row r="1844" spans="1:10" ht="15" customHeight="1" x14ac:dyDescent="0.25">
      <c r="A1844" s="380">
        <v>52959506</v>
      </c>
      <c r="B1844" s="381" t="s">
        <v>321</v>
      </c>
      <c r="C1844" s="381" t="s">
        <v>1388</v>
      </c>
      <c r="D1844" s="381" t="s">
        <v>740</v>
      </c>
      <c r="E1844" s="381" t="s">
        <v>741</v>
      </c>
      <c r="F1844" s="378">
        <v>2015000</v>
      </c>
      <c r="G1844" s="378">
        <v>385500</v>
      </c>
      <c r="H1844" s="378">
        <v>0</v>
      </c>
      <c r="I1844" s="378">
        <v>2400500</v>
      </c>
      <c r="J1844" s="267">
        <f t="shared" si="29"/>
        <v>8</v>
      </c>
    </row>
    <row r="1845" spans="1:10" ht="15" customHeight="1" x14ac:dyDescent="0.25">
      <c r="A1845" s="380">
        <v>52959506</v>
      </c>
      <c r="B1845" s="381" t="s">
        <v>321</v>
      </c>
      <c r="C1845" s="381" t="s">
        <v>1388</v>
      </c>
      <c r="D1845" s="381" t="s">
        <v>1113</v>
      </c>
      <c r="E1845" s="381" t="s">
        <v>1114</v>
      </c>
      <c r="F1845" s="378">
        <v>261000</v>
      </c>
      <c r="G1845" s="378">
        <v>0</v>
      </c>
      <c r="H1845" s="378">
        <v>0</v>
      </c>
      <c r="I1845" s="378">
        <v>261000</v>
      </c>
      <c r="J1845" s="267">
        <f t="shared" si="29"/>
        <v>8</v>
      </c>
    </row>
    <row r="1846" spans="1:10" ht="15" customHeight="1" x14ac:dyDescent="0.25">
      <c r="A1846" s="380">
        <v>52959506</v>
      </c>
      <c r="B1846" s="381" t="s">
        <v>321</v>
      </c>
      <c r="C1846" s="381" t="s">
        <v>1388</v>
      </c>
      <c r="D1846" s="381" t="s">
        <v>1586</v>
      </c>
      <c r="E1846" s="381" t="s">
        <v>1587</v>
      </c>
      <c r="F1846" s="378">
        <v>154000</v>
      </c>
      <c r="G1846" s="378">
        <v>107000</v>
      </c>
      <c r="H1846" s="378">
        <v>0</v>
      </c>
      <c r="I1846" s="378">
        <v>261000</v>
      </c>
      <c r="J1846" s="267">
        <f t="shared" si="29"/>
        <v>8</v>
      </c>
    </row>
    <row r="1847" spans="1:10" ht="15" customHeight="1" x14ac:dyDescent="0.25">
      <c r="A1847" s="380">
        <v>52959506</v>
      </c>
      <c r="B1847" s="381" t="s">
        <v>321</v>
      </c>
      <c r="C1847" s="381" t="s">
        <v>1388</v>
      </c>
      <c r="D1847" s="381" t="s">
        <v>638</v>
      </c>
      <c r="E1847" s="381" t="s">
        <v>1317</v>
      </c>
      <c r="F1847" s="378">
        <v>2600</v>
      </c>
      <c r="G1847" s="378">
        <v>0</v>
      </c>
      <c r="H1847" s="378">
        <v>0</v>
      </c>
      <c r="I1847" s="378">
        <v>2600</v>
      </c>
      <c r="J1847" s="267">
        <f t="shared" si="29"/>
        <v>8</v>
      </c>
    </row>
    <row r="1848" spans="1:10" ht="15" customHeight="1" x14ac:dyDescent="0.25">
      <c r="A1848" s="380">
        <v>52959514</v>
      </c>
      <c r="B1848" s="381" t="s">
        <v>321</v>
      </c>
      <c r="C1848" s="381" t="s">
        <v>1390</v>
      </c>
      <c r="D1848" s="381" t="s">
        <v>315</v>
      </c>
      <c r="E1848" s="381" t="s">
        <v>315</v>
      </c>
      <c r="F1848" s="378">
        <v>5042</v>
      </c>
      <c r="G1848" s="378">
        <v>0</v>
      </c>
      <c r="H1848" s="378">
        <v>0</v>
      </c>
      <c r="I1848" s="378">
        <v>5042</v>
      </c>
      <c r="J1848" s="267">
        <f t="shared" si="29"/>
        <v>8</v>
      </c>
    </row>
    <row r="1849" spans="1:10" ht="15" customHeight="1" x14ac:dyDescent="0.25">
      <c r="A1849" s="380">
        <v>52959514</v>
      </c>
      <c r="B1849" s="381" t="s">
        <v>321</v>
      </c>
      <c r="C1849" s="381" t="s">
        <v>1390</v>
      </c>
      <c r="D1849" s="381" t="s">
        <v>389</v>
      </c>
      <c r="E1849" s="381" t="s">
        <v>821</v>
      </c>
      <c r="F1849" s="378">
        <v>5042</v>
      </c>
      <c r="G1849" s="378">
        <v>0</v>
      </c>
      <c r="H1849" s="378">
        <v>0</v>
      </c>
      <c r="I1849" s="378">
        <v>5042</v>
      </c>
      <c r="J1849" s="267">
        <f t="shared" si="29"/>
        <v>8</v>
      </c>
    </row>
    <row r="1850" spans="1:10" ht="15" customHeight="1" x14ac:dyDescent="0.25">
      <c r="A1850" s="380">
        <v>52959515</v>
      </c>
      <c r="B1850" s="381" t="s">
        <v>321</v>
      </c>
      <c r="C1850" s="381" t="s">
        <v>1391</v>
      </c>
      <c r="D1850" s="381" t="s">
        <v>315</v>
      </c>
      <c r="E1850" s="381" t="s">
        <v>315</v>
      </c>
      <c r="F1850" s="378">
        <v>11600</v>
      </c>
      <c r="G1850" s="378">
        <v>0</v>
      </c>
      <c r="H1850" s="378">
        <v>0</v>
      </c>
      <c r="I1850" s="378">
        <v>11600</v>
      </c>
      <c r="J1850" s="267">
        <f t="shared" si="29"/>
        <v>8</v>
      </c>
    </row>
    <row r="1851" spans="1:10" ht="15" customHeight="1" x14ac:dyDescent="0.25">
      <c r="A1851" s="380">
        <v>52959515</v>
      </c>
      <c r="B1851" s="381" t="s">
        <v>321</v>
      </c>
      <c r="C1851" s="381" t="s">
        <v>1391</v>
      </c>
      <c r="D1851" s="381" t="s">
        <v>638</v>
      </c>
      <c r="E1851" s="381" t="s">
        <v>1317</v>
      </c>
      <c r="F1851" s="378">
        <v>11600</v>
      </c>
      <c r="G1851" s="378">
        <v>0</v>
      </c>
      <c r="H1851" s="378">
        <v>0</v>
      </c>
      <c r="I1851" s="378">
        <v>11600</v>
      </c>
      <c r="J1851" s="267">
        <f t="shared" si="29"/>
        <v>8</v>
      </c>
    </row>
    <row r="1852" spans="1:10" ht="15" customHeight="1" x14ac:dyDescent="0.25">
      <c r="A1852" s="380">
        <v>52959516</v>
      </c>
      <c r="B1852" s="381" t="s">
        <v>321</v>
      </c>
      <c r="C1852" s="381" t="s">
        <v>1730</v>
      </c>
      <c r="D1852" s="381" t="s">
        <v>315</v>
      </c>
      <c r="E1852" s="381" t="s">
        <v>315</v>
      </c>
      <c r="F1852" s="378">
        <v>643466</v>
      </c>
      <c r="G1852" s="378">
        <v>50050</v>
      </c>
      <c r="H1852" s="378">
        <v>0</v>
      </c>
      <c r="I1852" s="378">
        <v>693516</v>
      </c>
      <c r="J1852" s="267">
        <f t="shared" si="29"/>
        <v>8</v>
      </c>
    </row>
    <row r="1853" spans="1:10" ht="15" customHeight="1" x14ac:dyDescent="0.25">
      <c r="A1853" s="380">
        <v>52959516</v>
      </c>
      <c r="B1853" s="381" t="s">
        <v>321</v>
      </c>
      <c r="C1853" s="381" t="s">
        <v>1730</v>
      </c>
      <c r="D1853" s="381" t="s">
        <v>717</v>
      </c>
      <c r="E1853" s="381" t="s">
        <v>718</v>
      </c>
      <c r="F1853" s="378">
        <v>643466</v>
      </c>
      <c r="G1853" s="378">
        <v>50050</v>
      </c>
      <c r="H1853" s="378">
        <v>0</v>
      </c>
      <c r="I1853" s="378">
        <v>693516</v>
      </c>
      <c r="J1853" s="267">
        <f t="shared" si="29"/>
        <v>8</v>
      </c>
    </row>
    <row r="1854" spans="1:10" ht="15" customHeight="1" x14ac:dyDescent="0.25">
      <c r="A1854" s="380">
        <v>52959595</v>
      </c>
      <c r="B1854" s="381" t="s">
        <v>321</v>
      </c>
      <c r="C1854" s="381" t="s">
        <v>238</v>
      </c>
      <c r="D1854" s="381" t="s">
        <v>315</v>
      </c>
      <c r="E1854" s="381" t="s">
        <v>315</v>
      </c>
      <c r="F1854" s="378">
        <v>0</v>
      </c>
      <c r="G1854" s="378">
        <v>25286</v>
      </c>
      <c r="H1854" s="378">
        <v>0</v>
      </c>
      <c r="I1854" s="378">
        <v>25286</v>
      </c>
      <c r="J1854" s="267">
        <f t="shared" si="29"/>
        <v>8</v>
      </c>
    </row>
    <row r="1855" spans="1:10" ht="15" customHeight="1" x14ac:dyDescent="0.25">
      <c r="A1855" s="380">
        <v>52959595</v>
      </c>
      <c r="B1855" s="381" t="s">
        <v>321</v>
      </c>
      <c r="C1855" s="381" t="s">
        <v>238</v>
      </c>
      <c r="D1855" s="381" t="s">
        <v>365</v>
      </c>
      <c r="E1855" s="381" t="s">
        <v>366</v>
      </c>
      <c r="F1855" s="378">
        <v>0</v>
      </c>
      <c r="G1855" s="378">
        <v>25286</v>
      </c>
      <c r="H1855" s="378">
        <v>0</v>
      </c>
      <c r="I1855" s="378">
        <v>25286</v>
      </c>
      <c r="J1855" s="267">
        <f t="shared" si="29"/>
        <v>8</v>
      </c>
    </row>
    <row r="1856" spans="1:10" ht="15" customHeight="1" x14ac:dyDescent="0.25">
      <c r="A1856" s="380">
        <v>529596</v>
      </c>
      <c r="B1856" s="381" t="s">
        <v>315</v>
      </c>
      <c r="C1856" s="381" t="s">
        <v>1397</v>
      </c>
      <c r="D1856" s="381" t="s">
        <v>315</v>
      </c>
      <c r="E1856" s="381" t="s">
        <v>315</v>
      </c>
      <c r="F1856" s="378">
        <v>469725</v>
      </c>
      <c r="G1856" s="378">
        <v>194370</v>
      </c>
      <c r="H1856" s="378">
        <v>0</v>
      </c>
      <c r="I1856" s="378">
        <v>664095</v>
      </c>
      <c r="J1856" s="267">
        <f t="shared" si="29"/>
        <v>6</v>
      </c>
    </row>
    <row r="1857" spans="1:10" ht="15" customHeight="1" x14ac:dyDescent="0.25">
      <c r="A1857" s="380">
        <v>52959601</v>
      </c>
      <c r="B1857" s="381" t="s">
        <v>321</v>
      </c>
      <c r="C1857" s="381" t="s">
        <v>1397</v>
      </c>
      <c r="D1857" s="381" t="s">
        <v>315</v>
      </c>
      <c r="E1857" s="381" t="s">
        <v>315</v>
      </c>
      <c r="F1857" s="378">
        <v>457725</v>
      </c>
      <c r="G1857" s="378">
        <v>194370</v>
      </c>
      <c r="H1857" s="378">
        <v>0</v>
      </c>
      <c r="I1857" s="378">
        <v>652095</v>
      </c>
      <c r="J1857" s="267">
        <f t="shared" si="29"/>
        <v>8</v>
      </c>
    </row>
    <row r="1858" spans="1:10" ht="15" customHeight="1" x14ac:dyDescent="0.25">
      <c r="A1858" s="380">
        <v>52959601</v>
      </c>
      <c r="B1858" s="381" t="s">
        <v>321</v>
      </c>
      <c r="C1858" s="381" t="s">
        <v>1397</v>
      </c>
      <c r="D1858" s="381" t="s">
        <v>738</v>
      </c>
      <c r="E1858" s="381" t="s">
        <v>1728</v>
      </c>
      <c r="F1858" s="378">
        <v>70000</v>
      </c>
      <c r="G1858" s="378">
        <v>70000</v>
      </c>
      <c r="H1858" s="378">
        <v>0</v>
      </c>
      <c r="I1858" s="378">
        <v>140000</v>
      </c>
      <c r="J1858" s="267">
        <f t="shared" si="29"/>
        <v>8</v>
      </c>
    </row>
    <row r="1859" spans="1:10" ht="15" customHeight="1" x14ac:dyDescent="0.25">
      <c r="A1859" s="380">
        <v>52959601</v>
      </c>
      <c r="B1859" s="381" t="s">
        <v>321</v>
      </c>
      <c r="C1859" s="381" t="s">
        <v>1397</v>
      </c>
      <c r="D1859" s="381" t="s">
        <v>1731</v>
      </c>
      <c r="E1859" s="381" t="s">
        <v>1732</v>
      </c>
      <c r="F1859" s="378">
        <v>1996</v>
      </c>
      <c r="G1859" s="378">
        <v>0</v>
      </c>
      <c r="H1859" s="378">
        <v>0</v>
      </c>
      <c r="I1859" s="378">
        <v>1996</v>
      </c>
      <c r="J1859" s="267">
        <f t="shared" si="29"/>
        <v>8</v>
      </c>
    </row>
    <row r="1860" spans="1:10" ht="15" customHeight="1" x14ac:dyDescent="0.25">
      <c r="A1860" s="380">
        <v>52959601</v>
      </c>
      <c r="B1860" s="381" t="s">
        <v>321</v>
      </c>
      <c r="C1860" s="381" t="s">
        <v>1397</v>
      </c>
      <c r="D1860" s="381" t="s">
        <v>1284</v>
      </c>
      <c r="E1860" s="381" t="s">
        <v>1285</v>
      </c>
      <c r="F1860" s="378">
        <v>4000</v>
      </c>
      <c r="G1860" s="378">
        <v>0</v>
      </c>
      <c r="H1860" s="378">
        <v>0</v>
      </c>
      <c r="I1860" s="378">
        <v>4000</v>
      </c>
      <c r="J1860" s="267">
        <f t="shared" si="29"/>
        <v>8</v>
      </c>
    </row>
    <row r="1861" spans="1:10" ht="15" customHeight="1" x14ac:dyDescent="0.25">
      <c r="A1861" s="380">
        <v>52959601</v>
      </c>
      <c r="B1861" s="381" t="s">
        <v>321</v>
      </c>
      <c r="C1861" s="381" t="s">
        <v>1397</v>
      </c>
      <c r="D1861" s="381" t="s">
        <v>1588</v>
      </c>
      <c r="E1861" s="381" t="s">
        <v>1589</v>
      </c>
      <c r="F1861" s="378">
        <v>71250</v>
      </c>
      <c r="G1861" s="378">
        <v>0</v>
      </c>
      <c r="H1861" s="378">
        <v>0</v>
      </c>
      <c r="I1861" s="378">
        <v>71250</v>
      </c>
      <c r="J1861" s="267">
        <f t="shared" si="29"/>
        <v>8</v>
      </c>
    </row>
    <row r="1862" spans="1:10" ht="15" customHeight="1" x14ac:dyDescent="0.25">
      <c r="A1862" s="380">
        <v>52959601</v>
      </c>
      <c r="B1862" s="381" t="s">
        <v>321</v>
      </c>
      <c r="C1862" s="381" t="s">
        <v>1397</v>
      </c>
      <c r="D1862" s="381" t="s">
        <v>1733</v>
      </c>
      <c r="E1862" s="381" t="s">
        <v>1734</v>
      </c>
      <c r="F1862" s="378">
        <v>14940</v>
      </c>
      <c r="G1862" s="378">
        <v>0</v>
      </c>
      <c r="H1862" s="378">
        <v>0</v>
      </c>
      <c r="I1862" s="378">
        <v>14940</v>
      </c>
      <c r="J1862" s="267">
        <f t="shared" si="29"/>
        <v>8</v>
      </c>
    </row>
    <row r="1863" spans="1:10" ht="15" customHeight="1" x14ac:dyDescent="0.25">
      <c r="A1863" s="380">
        <v>52959601</v>
      </c>
      <c r="B1863" s="381" t="s">
        <v>321</v>
      </c>
      <c r="C1863" s="381" t="s">
        <v>1397</v>
      </c>
      <c r="D1863" s="381" t="s">
        <v>365</v>
      </c>
      <c r="E1863" s="381" t="s">
        <v>366</v>
      </c>
      <c r="F1863" s="378">
        <v>24340</v>
      </c>
      <c r="G1863" s="378">
        <v>0</v>
      </c>
      <c r="H1863" s="378">
        <v>0</v>
      </c>
      <c r="I1863" s="378">
        <v>24340</v>
      </c>
      <c r="J1863" s="267">
        <f t="shared" si="29"/>
        <v>8</v>
      </c>
    </row>
    <row r="1864" spans="1:10" ht="15" customHeight="1" x14ac:dyDescent="0.25">
      <c r="A1864" s="380">
        <v>52959601</v>
      </c>
      <c r="B1864" s="381" t="s">
        <v>321</v>
      </c>
      <c r="C1864" s="381" t="s">
        <v>1397</v>
      </c>
      <c r="D1864" s="381" t="s">
        <v>669</v>
      </c>
      <c r="E1864" s="381" t="s">
        <v>1735</v>
      </c>
      <c r="F1864" s="378">
        <v>3699</v>
      </c>
      <c r="G1864" s="378">
        <v>0</v>
      </c>
      <c r="H1864" s="378">
        <v>0</v>
      </c>
      <c r="I1864" s="378">
        <v>3699</v>
      </c>
      <c r="J1864" s="267">
        <f t="shared" si="29"/>
        <v>8</v>
      </c>
    </row>
    <row r="1865" spans="1:10" ht="15" customHeight="1" x14ac:dyDescent="0.25">
      <c r="A1865" s="380">
        <v>52959601</v>
      </c>
      <c r="B1865" s="381" t="s">
        <v>321</v>
      </c>
      <c r="C1865" s="381" t="s">
        <v>1397</v>
      </c>
      <c r="D1865" s="381" t="s">
        <v>375</v>
      </c>
      <c r="E1865" s="381" t="s">
        <v>817</v>
      </c>
      <c r="F1865" s="378">
        <v>8800</v>
      </c>
      <c r="G1865" s="378">
        <v>0</v>
      </c>
      <c r="H1865" s="378">
        <v>0</v>
      </c>
      <c r="I1865" s="378">
        <v>8800</v>
      </c>
      <c r="J1865" s="267">
        <f t="shared" si="29"/>
        <v>8</v>
      </c>
    </row>
    <row r="1866" spans="1:10" ht="15" customHeight="1" x14ac:dyDescent="0.25">
      <c r="A1866" s="380">
        <v>52959601</v>
      </c>
      <c r="B1866" s="381" t="s">
        <v>321</v>
      </c>
      <c r="C1866" s="381" t="s">
        <v>1397</v>
      </c>
      <c r="D1866" s="381" t="s">
        <v>1736</v>
      </c>
      <c r="E1866" s="381" t="s">
        <v>1737</v>
      </c>
      <c r="F1866" s="378">
        <v>0</v>
      </c>
      <c r="G1866" s="378">
        <v>9570</v>
      </c>
      <c r="H1866" s="378">
        <v>0</v>
      </c>
      <c r="I1866" s="378">
        <v>9570</v>
      </c>
      <c r="J1866" s="267">
        <f t="shared" si="29"/>
        <v>8</v>
      </c>
    </row>
    <row r="1867" spans="1:10" ht="15" customHeight="1" x14ac:dyDescent="0.25">
      <c r="A1867" s="380">
        <v>52959601</v>
      </c>
      <c r="B1867" s="381" t="s">
        <v>321</v>
      </c>
      <c r="C1867" s="381" t="s">
        <v>1397</v>
      </c>
      <c r="D1867" s="381" t="s">
        <v>1738</v>
      </c>
      <c r="E1867" s="381" t="s">
        <v>1739</v>
      </c>
      <c r="F1867" s="378">
        <v>8400</v>
      </c>
      <c r="G1867" s="378">
        <v>0</v>
      </c>
      <c r="H1867" s="378">
        <v>0</v>
      </c>
      <c r="I1867" s="378">
        <v>8400</v>
      </c>
      <c r="J1867" s="267">
        <f t="shared" si="29"/>
        <v>8</v>
      </c>
    </row>
    <row r="1868" spans="1:10" ht="15" customHeight="1" x14ac:dyDescent="0.25">
      <c r="A1868" s="380">
        <v>52959601</v>
      </c>
      <c r="B1868" s="381" t="s">
        <v>321</v>
      </c>
      <c r="C1868" s="381" t="s">
        <v>1397</v>
      </c>
      <c r="D1868" s="381" t="s">
        <v>1609</v>
      </c>
      <c r="E1868" s="381" t="s">
        <v>1610</v>
      </c>
      <c r="F1868" s="378">
        <v>25000</v>
      </c>
      <c r="G1868" s="378">
        <v>0</v>
      </c>
      <c r="H1868" s="378">
        <v>0</v>
      </c>
      <c r="I1868" s="378">
        <v>25000</v>
      </c>
      <c r="J1868" s="267">
        <f t="shared" ref="J1868:J1931" si="30">+LEN(A1868)</f>
        <v>8</v>
      </c>
    </row>
    <row r="1869" spans="1:10" ht="15" customHeight="1" x14ac:dyDescent="0.25">
      <c r="A1869" s="380">
        <v>52959601</v>
      </c>
      <c r="B1869" s="381" t="s">
        <v>321</v>
      </c>
      <c r="C1869" s="381" t="s">
        <v>1397</v>
      </c>
      <c r="D1869" s="381" t="s">
        <v>638</v>
      </c>
      <c r="E1869" s="381" t="s">
        <v>1317</v>
      </c>
      <c r="F1869" s="378">
        <v>225300</v>
      </c>
      <c r="G1869" s="378">
        <v>114800</v>
      </c>
      <c r="H1869" s="378">
        <v>0</v>
      </c>
      <c r="I1869" s="378">
        <v>340100</v>
      </c>
      <c r="J1869" s="267">
        <f t="shared" si="30"/>
        <v>8</v>
      </c>
    </row>
    <row r="1870" spans="1:10" ht="15" customHeight="1" x14ac:dyDescent="0.25">
      <c r="A1870" s="380">
        <v>52959607</v>
      </c>
      <c r="B1870" s="381" t="s">
        <v>315</v>
      </c>
      <c r="C1870" s="381" t="s">
        <v>1388</v>
      </c>
      <c r="D1870" s="381" t="s">
        <v>315</v>
      </c>
      <c r="E1870" s="381" t="s">
        <v>315</v>
      </c>
      <c r="F1870" s="378">
        <v>12000</v>
      </c>
      <c r="G1870" s="378">
        <v>0</v>
      </c>
      <c r="H1870" s="378">
        <v>0</v>
      </c>
      <c r="I1870" s="378">
        <v>12000</v>
      </c>
      <c r="J1870" s="267">
        <f t="shared" si="30"/>
        <v>8</v>
      </c>
    </row>
    <row r="1871" spans="1:10" ht="15" customHeight="1" x14ac:dyDescent="0.25">
      <c r="A1871" s="380">
        <v>52959607</v>
      </c>
      <c r="B1871" s="381" t="s">
        <v>315</v>
      </c>
      <c r="C1871" s="381" t="s">
        <v>1388</v>
      </c>
      <c r="D1871" s="381" t="s">
        <v>1586</v>
      </c>
      <c r="E1871" s="381" t="s">
        <v>1587</v>
      </c>
      <c r="F1871" s="378">
        <v>12000</v>
      </c>
      <c r="G1871" s="378">
        <v>0</v>
      </c>
      <c r="H1871" s="378">
        <v>0</v>
      </c>
      <c r="I1871" s="378">
        <v>12000</v>
      </c>
      <c r="J1871" s="267">
        <f t="shared" si="30"/>
        <v>8</v>
      </c>
    </row>
    <row r="1872" spans="1:10" ht="15" customHeight="1" x14ac:dyDescent="0.25">
      <c r="A1872" s="380">
        <v>5297</v>
      </c>
      <c r="B1872" s="381" t="s">
        <v>321</v>
      </c>
      <c r="C1872" s="381" t="s">
        <v>1416</v>
      </c>
      <c r="D1872" s="381" t="s">
        <v>315</v>
      </c>
      <c r="E1872" s="381" t="s">
        <v>315</v>
      </c>
      <c r="F1872" s="378">
        <v>521384</v>
      </c>
      <c r="G1872" s="378">
        <v>622982</v>
      </c>
      <c r="H1872" s="378">
        <v>0</v>
      </c>
      <c r="I1872" s="378">
        <v>1144366</v>
      </c>
      <c r="J1872" s="267">
        <f t="shared" si="30"/>
        <v>4</v>
      </c>
    </row>
    <row r="1873" spans="1:10" ht="15" customHeight="1" x14ac:dyDescent="0.25">
      <c r="A1873" s="380">
        <v>529705</v>
      </c>
      <c r="B1873" s="381" t="s">
        <v>321</v>
      </c>
      <c r="C1873" s="381" t="s">
        <v>1416</v>
      </c>
      <c r="D1873" s="381" t="s">
        <v>315</v>
      </c>
      <c r="E1873" s="381" t="s">
        <v>315</v>
      </c>
      <c r="F1873" s="378">
        <v>521384</v>
      </c>
      <c r="G1873" s="378">
        <v>622982</v>
      </c>
      <c r="H1873" s="378">
        <v>0</v>
      </c>
      <c r="I1873" s="378">
        <v>1144366</v>
      </c>
      <c r="J1873" s="267">
        <f t="shared" si="30"/>
        <v>6</v>
      </c>
    </row>
    <row r="1874" spans="1:10" ht="15" customHeight="1" x14ac:dyDescent="0.25">
      <c r="A1874" s="380">
        <v>52970501</v>
      </c>
      <c r="B1874" s="381" t="s">
        <v>321</v>
      </c>
      <c r="C1874" s="381" t="s">
        <v>1416</v>
      </c>
      <c r="D1874" s="381" t="s">
        <v>315</v>
      </c>
      <c r="E1874" s="381" t="s">
        <v>315</v>
      </c>
      <c r="F1874" s="378">
        <v>521384</v>
      </c>
      <c r="G1874" s="378">
        <v>622982</v>
      </c>
      <c r="H1874" s="378">
        <v>0</v>
      </c>
      <c r="I1874" s="378">
        <v>1144366</v>
      </c>
      <c r="J1874" s="267">
        <f t="shared" si="30"/>
        <v>8</v>
      </c>
    </row>
    <row r="1875" spans="1:10" ht="15" customHeight="1" x14ac:dyDescent="0.25">
      <c r="A1875" s="380">
        <v>52970501</v>
      </c>
      <c r="B1875" s="381" t="s">
        <v>321</v>
      </c>
      <c r="C1875" s="381" t="s">
        <v>1416</v>
      </c>
      <c r="D1875" s="381" t="s">
        <v>361</v>
      </c>
      <c r="E1875" s="381" t="s">
        <v>1123</v>
      </c>
      <c r="F1875" s="378">
        <v>222351</v>
      </c>
      <c r="G1875" s="378">
        <v>0</v>
      </c>
      <c r="H1875" s="378">
        <v>0</v>
      </c>
      <c r="I1875" s="378">
        <v>222351</v>
      </c>
      <c r="J1875" s="267">
        <f t="shared" si="30"/>
        <v>8</v>
      </c>
    </row>
    <row r="1876" spans="1:10" ht="15" customHeight="1" x14ac:dyDescent="0.25">
      <c r="A1876" s="380">
        <v>52970501</v>
      </c>
      <c r="B1876" s="381" t="s">
        <v>321</v>
      </c>
      <c r="C1876" s="381" t="s">
        <v>1416</v>
      </c>
      <c r="D1876" s="381" t="s">
        <v>399</v>
      </c>
      <c r="E1876" s="381" t="s">
        <v>863</v>
      </c>
      <c r="F1876" s="378">
        <v>0</v>
      </c>
      <c r="G1876" s="378">
        <v>455000</v>
      </c>
      <c r="H1876" s="378">
        <v>0</v>
      </c>
      <c r="I1876" s="378">
        <v>455000</v>
      </c>
      <c r="J1876" s="267">
        <f t="shared" si="30"/>
        <v>8</v>
      </c>
    </row>
    <row r="1877" spans="1:10" ht="15" customHeight="1" x14ac:dyDescent="0.25">
      <c r="A1877" s="380">
        <v>52970501</v>
      </c>
      <c r="B1877" s="381" t="s">
        <v>321</v>
      </c>
      <c r="C1877" s="381" t="s">
        <v>1416</v>
      </c>
      <c r="D1877" s="381" t="s">
        <v>444</v>
      </c>
      <c r="E1877" s="381" t="s">
        <v>1642</v>
      </c>
      <c r="F1877" s="378">
        <v>84244</v>
      </c>
      <c r="G1877" s="378">
        <v>0</v>
      </c>
      <c r="H1877" s="378">
        <v>0</v>
      </c>
      <c r="I1877" s="378">
        <v>84244</v>
      </c>
      <c r="J1877" s="267">
        <f t="shared" si="30"/>
        <v>8</v>
      </c>
    </row>
    <row r="1878" spans="1:10" ht="15" customHeight="1" x14ac:dyDescent="0.25">
      <c r="A1878" s="380">
        <v>52970501</v>
      </c>
      <c r="B1878" s="381" t="s">
        <v>321</v>
      </c>
      <c r="C1878" s="381" t="s">
        <v>1416</v>
      </c>
      <c r="D1878" s="381" t="s">
        <v>997</v>
      </c>
      <c r="E1878" s="381" t="s">
        <v>998</v>
      </c>
      <c r="F1878" s="378">
        <v>30000</v>
      </c>
      <c r="G1878" s="378">
        <v>0</v>
      </c>
      <c r="H1878" s="378">
        <v>0</v>
      </c>
      <c r="I1878" s="378">
        <v>30000</v>
      </c>
      <c r="J1878" s="267">
        <f t="shared" si="30"/>
        <v>8</v>
      </c>
    </row>
    <row r="1879" spans="1:10" ht="15" customHeight="1" x14ac:dyDescent="0.25">
      <c r="A1879" s="380">
        <v>52970501</v>
      </c>
      <c r="B1879" s="381" t="s">
        <v>321</v>
      </c>
      <c r="C1879" s="381" t="s">
        <v>1416</v>
      </c>
      <c r="D1879" s="381" t="s">
        <v>495</v>
      </c>
      <c r="E1879" s="381" t="s">
        <v>925</v>
      </c>
      <c r="F1879" s="378">
        <v>184789</v>
      </c>
      <c r="G1879" s="378">
        <v>167982</v>
      </c>
      <c r="H1879" s="378">
        <v>0</v>
      </c>
      <c r="I1879" s="378">
        <v>352771</v>
      </c>
      <c r="J1879" s="267">
        <f t="shared" si="30"/>
        <v>8</v>
      </c>
    </row>
    <row r="1880" spans="1:10" ht="15" customHeight="1" x14ac:dyDescent="0.25">
      <c r="A1880" s="380">
        <v>53</v>
      </c>
      <c r="B1880" s="381" t="s">
        <v>315</v>
      </c>
      <c r="C1880" s="381" t="s">
        <v>470</v>
      </c>
      <c r="D1880" s="381" t="s">
        <v>315</v>
      </c>
      <c r="E1880" s="381" t="s">
        <v>315</v>
      </c>
      <c r="F1880" s="378">
        <v>54611484.149999999</v>
      </c>
      <c r="G1880" s="378">
        <v>31801380.010000002</v>
      </c>
      <c r="H1880" s="378">
        <v>13918469</v>
      </c>
      <c r="I1880" s="378">
        <v>72494395.159999996</v>
      </c>
      <c r="J1880" s="267">
        <f t="shared" si="30"/>
        <v>2</v>
      </c>
    </row>
    <row r="1881" spans="1:10" ht="15" customHeight="1" x14ac:dyDescent="0.25">
      <c r="A1881" s="380">
        <v>5305</v>
      </c>
      <c r="B1881" s="381" t="s">
        <v>315</v>
      </c>
      <c r="C1881" s="381" t="s">
        <v>490</v>
      </c>
      <c r="D1881" s="381" t="s">
        <v>315</v>
      </c>
      <c r="E1881" s="381" t="s">
        <v>315</v>
      </c>
      <c r="F1881" s="378">
        <v>54611484.25</v>
      </c>
      <c r="G1881" s="378">
        <v>17926690.010000002</v>
      </c>
      <c r="H1881" s="378">
        <v>43779</v>
      </c>
      <c r="I1881" s="378">
        <v>72494395.260000005</v>
      </c>
      <c r="J1881" s="267">
        <f t="shared" si="30"/>
        <v>4</v>
      </c>
    </row>
    <row r="1882" spans="1:10" ht="15" customHeight="1" x14ac:dyDescent="0.25">
      <c r="A1882" s="380">
        <v>530505</v>
      </c>
      <c r="B1882" s="381" t="s">
        <v>315</v>
      </c>
      <c r="C1882" s="381" t="s">
        <v>210</v>
      </c>
      <c r="D1882" s="381" t="s">
        <v>315</v>
      </c>
      <c r="E1882" s="381" t="s">
        <v>315</v>
      </c>
      <c r="F1882" s="378">
        <v>8072679.8399999999</v>
      </c>
      <c r="G1882" s="378">
        <v>1855438.79</v>
      </c>
      <c r="H1882" s="378">
        <v>0</v>
      </c>
      <c r="I1882" s="378">
        <v>9928118.6300000008</v>
      </c>
      <c r="J1882" s="267">
        <f t="shared" si="30"/>
        <v>6</v>
      </c>
    </row>
    <row r="1883" spans="1:10" ht="15" customHeight="1" x14ac:dyDescent="0.25">
      <c r="A1883" s="380">
        <v>53050501</v>
      </c>
      <c r="B1883" s="381" t="s">
        <v>315</v>
      </c>
      <c r="C1883" s="381" t="s">
        <v>210</v>
      </c>
      <c r="D1883" s="381" t="s">
        <v>315</v>
      </c>
      <c r="E1883" s="381" t="s">
        <v>315</v>
      </c>
      <c r="F1883" s="378">
        <v>8072679.8399999999</v>
      </c>
      <c r="G1883" s="378">
        <v>1855438.79</v>
      </c>
      <c r="H1883" s="378">
        <v>0</v>
      </c>
      <c r="I1883" s="378">
        <v>9928118.6300000008</v>
      </c>
      <c r="J1883" s="267">
        <f t="shared" si="30"/>
        <v>8</v>
      </c>
    </row>
    <row r="1884" spans="1:10" ht="15" customHeight="1" x14ac:dyDescent="0.25">
      <c r="A1884" s="380">
        <v>53050501</v>
      </c>
      <c r="B1884" s="381" t="s">
        <v>315</v>
      </c>
      <c r="C1884" s="381" t="s">
        <v>210</v>
      </c>
      <c r="D1884" s="381" t="s">
        <v>419</v>
      </c>
      <c r="E1884" s="381" t="s">
        <v>420</v>
      </c>
      <c r="F1884" s="378">
        <v>87602.32</v>
      </c>
      <c r="G1884" s="378">
        <v>56982.6</v>
      </c>
      <c r="H1884" s="378">
        <v>0</v>
      </c>
      <c r="I1884" s="378">
        <v>144584.92000000001</v>
      </c>
      <c r="J1884" s="267">
        <f t="shared" si="30"/>
        <v>8</v>
      </c>
    </row>
    <row r="1885" spans="1:10" ht="15" customHeight="1" x14ac:dyDescent="0.25">
      <c r="A1885" s="380">
        <v>53050501</v>
      </c>
      <c r="B1885" s="381" t="s">
        <v>315</v>
      </c>
      <c r="C1885" s="381" t="s">
        <v>210</v>
      </c>
      <c r="D1885" s="381" t="s">
        <v>440</v>
      </c>
      <c r="E1885" s="381" t="s">
        <v>441</v>
      </c>
      <c r="F1885" s="378">
        <v>0</v>
      </c>
      <c r="G1885" s="378">
        <v>155509</v>
      </c>
      <c r="H1885" s="378">
        <v>0</v>
      </c>
      <c r="I1885" s="378">
        <v>155509</v>
      </c>
      <c r="J1885" s="267">
        <f t="shared" si="30"/>
        <v>8</v>
      </c>
    </row>
    <row r="1886" spans="1:10" ht="15" customHeight="1" x14ac:dyDescent="0.25">
      <c r="A1886" s="380">
        <v>53050501</v>
      </c>
      <c r="B1886" s="381" t="s">
        <v>315</v>
      </c>
      <c r="C1886" s="381" t="s">
        <v>210</v>
      </c>
      <c r="D1886" s="381" t="s">
        <v>329</v>
      </c>
      <c r="E1886" s="381" t="s">
        <v>330</v>
      </c>
      <c r="F1886" s="378">
        <v>6923455.5199999996</v>
      </c>
      <c r="G1886" s="378">
        <v>1374270.19</v>
      </c>
      <c r="H1886" s="378">
        <v>0</v>
      </c>
      <c r="I1886" s="378">
        <v>8297725.71</v>
      </c>
      <c r="J1886" s="267">
        <f t="shared" si="30"/>
        <v>8</v>
      </c>
    </row>
    <row r="1887" spans="1:10" ht="15" customHeight="1" x14ac:dyDescent="0.25">
      <c r="A1887" s="380">
        <v>53050501</v>
      </c>
      <c r="B1887" s="381" t="s">
        <v>315</v>
      </c>
      <c r="C1887" s="381" t="s">
        <v>210</v>
      </c>
      <c r="D1887" s="381" t="s">
        <v>347</v>
      </c>
      <c r="E1887" s="381" t="s">
        <v>348</v>
      </c>
      <c r="F1887" s="378">
        <v>325323</v>
      </c>
      <c r="G1887" s="378">
        <v>0</v>
      </c>
      <c r="H1887" s="378">
        <v>0</v>
      </c>
      <c r="I1887" s="378">
        <v>325323</v>
      </c>
      <c r="J1887" s="267">
        <f t="shared" si="30"/>
        <v>8</v>
      </c>
    </row>
    <row r="1888" spans="1:10" ht="15" customHeight="1" x14ac:dyDescent="0.25">
      <c r="A1888" s="380">
        <v>53050501</v>
      </c>
      <c r="B1888" s="381" t="s">
        <v>315</v>
      </c>
      <c r="C1888" s="381" t="s">
        <v>210</v>
      </c>
      <c r="D1888" s="381" t="s">
        <v>717</v>
      </c>
      <c r="E1888" s="381" t="s">
        <v>718</v>
      </c>
      <c r="F1888" s="378">
        <v>740569</v>
      </c>
      <c r="G1888" s="378">
        <v>268677</v>
      </c>
      <c r="H1888" s="378">
        <v>0</v>
      </c>
      <c r="I1888" s="378">
        <v>1009246</v>
      </c>
      <c r="J1888" s="267">
        <f t="shared" si="30"/>
        <v>8</v>
      </c>
    </row>
    <row r="1889" spans="1:10" ht="15" customHeight="1" x14ac:dyDescent="0.25">
      <c r="A1889" s="380">
        <v>53050501</v>
      </c>
      <c r="B1889" s="381" t="s">
        <v>315</v>
      </c>
      <c r="C1889" s="381" t="s">
        <v>210</v>
      </c>
      <c r="D1889" s="381" t="s">
        <v>721</v>
      </c>
      <c r="E1889" s="381" t="s">
        <v>722</v>
      </c>
      <c r="F1889" s="378">
        <v>-4270</v>
      </c>
      <c r="G1889" s="378">
        <v>0</v>
      </c>
      <c r="H1889" s="378">
        <v>0</v>
      </c>
      <c r="I1889" s="378">
        <v>-4270</v>
      </c>
      <c r="J1889" s="267">
        <f t="shared" si="30"/>
        <v>8</v>
      </c>
    </row>
    <row r="1890" spans="1:10" ht="15" customHeight="1" x14ac:dyDescent="0.25">
      <c r="A1890" s="380">
        <v>530506</v>
      </c>
      <c r="B1890" s="381" t="s">
        <v>315</v>
      </c>
      <c r="C1890" s="381" t="s">
        <v>1417</v>
      </c>
      <c r="D1890" s="381" t="s">
        <v>315</v>
      </c>
      <c r="E1890" s="381" t="s">
        <v>315</v>
      </c>
      <c r="F1890" s="378">
        <v>8579257.6500000004</v>
      </c>
      <c r="G1890" s="378">
        <v>1859865.65</v>
      </c>
      <c r="H1890" s="378">
        <v>0</v>
      </c>
      <c r="I1890" s="378">
        <v>10439123.300000001</v>
      </c>
      <c r="J1890" s="267">
        <f t="shared" si="30"/>
        <v>6</v>
      </c>
    </row>
    <row r="1891" spans="1:10" ht="15" customHeight="1" x14ac:dyDescent="0.25">
      <c r="A1891" s="380">
        <v>53050601</v>
      </c>
      <c r="B1891" s="381" t="s">
        <v>321</v>
      </c>
      <c r="C1891" s="381" t="s">
        <v>1417</v>
      </c>
      <c r="D1891" s="381" t="s">
        <v>315</v>
      </c>
      <c r="E1891" s="381" t="s">
        <v>315</v>
      </c>
      <c r="F1891" s="378">
        <v>8579257.6500000004</v>
      </c>
      <c r="G1891" s="378">
        <v>1859865.65</v>
      </c>
      <c r="H1891" s="378">
        <v>0</v>
      </c>
      <c r="I1891" s="378">
        <v>10439123.300000001</v>
      </c>
      <c r="J1891" s="267">
        <f t="shared" si="30"/>
        <v>8</v>
      </c>
    </row>
    <row r="1892" spans="1:10" ht="15" customHeight="1" x14ac:dyDescent="0.25">
      <c r="A1892" s="380">
        <v>53050601</v>
      </c>
      <c r="B1892" s="381" t="s">
        <v>321</v>
      </c>
      <c r="C1892" s="381" t="s">
        <v>1417</v>
      </c>
      <c r="D1892" s="381" t="s">
        <v>419</v>
      </c>
      <c r="E1892" s="381" t="s">
        <v>420</v>
      </c>
      <c r="F1892" s="378">
        <v>235180.42</v>
      </c>
      <c r="G1892" s="378">
        <v>362282.76</v>
      </c>
      <c r="H1892" s="378">
        <v>0</v>
      </c>
      <c r="I1892" s="378">
        <v>597463.18000000005</v>
      </c>
      <c r="J1892" s="267">
        <f t="shared" si="30"/>
        <v>8</v>
      </c>
    </row>
    <row r="1893" spans="1:10" ht="15" customHeight="1" x14ac:dyDescent="0.25">
      <c r="A1893" s="380">
        <v>53050601</v>
      </c>
      <c r="B1893" s="381" t="s">
        <v>321</v>
      </c>
      <c r="C1893" s="381" t="s">
        <v>1417</v>
      </c>
      <c r="D1893" s="381" t="s">
        <v>440</v>
      </c>
      <c r="E1893" s="381" t="s">
        <v>441</v>
      </c>
      <c r="F1893" s="378">
        <v>169565.8</v>
      </c>
      <c r="G1893" s="378">
        <v>39772.230000000003</v>
      </c>
      <c r="H1893" s="378">
        <v>0</v>
      </c>
      <c r="I1893" s="378">
        <v>209338.03</v>
      </c>
      <c r="J1893" s="267">
        <f t="shared" si="30"/>
        <v>8</v>
      </c>
    </row>
    <row r="1894" spans="1:10" ht="15" customHeight="1" x14ac:dyDescent="0.25">
      <c r="A1894" s="380">
        <v>53050601</v>
      </c>
      <c r="B1894" s="381" t="s">
        <v>321</v>
      </c>
      <c r="C1894" s="381" t="s">
        <v>1417</v>
      </c>
      <c r="D1894" s="381" t="s">
        <v>329</v>
      </c>
      <c r="E1894" s="381" t="s">
        <v>330</v>
      </c>
      <c r="F1894" s="378">
        <v>8174511.4299999997</v>
      </c>
      <c r="G1894" s="378">
        <v>1457810.66</v>
      </c>
      <c r="H1894" s="378">
        <v>0</v>
      </c>
      <c r="I1894" s="378">
        <v>9632322.0899999999</v>
      </c>
      <c r="J1894" s="267">
        <f t="shared" si="30"/>
        <v>8</v>
      </c>
    </row>
    <row r="1895" spans="1:10" ht="15" customHeight="1" x14ac:dyDescent="0.25">
      <c r="A1895" s="380">
        <v>530515</v>
      </c>
      <c r="B1895" s="381" t="s">
        <v>315</v>
      </c>
      <c r="C1895" s="381" t="s">
        <v>489</v>
      </c>
      <c r="D1895" s="381" t="s">
        <v>315</v>
      </c>
      <c r="E1895" s="381" t="s">
        <v>315</v>
      </c>
      <c r="F1895" s="378">
        <v>15114165.76</v>
      </c>
      <c r="G1895" s="378">
        <v>3167775.57</v>
      </c>
      <c r="H1895" s="378">
        <v>0</v>
      </c>
      <c r="I1895" s="378">
        <v>18281941.329999998</v>
      </c>
      <c r="J1895" s="267">
        <f t="shared" si="30"/>
        <v>6</v>
      </c>
    </row>
    <row r="1896" spans="1:10" ht="15" customHeight="1" x14ac:dyDescent="0.25">
      <c r="A1896" s="380">
        <v>53051501</v>
      </c>
      <c r="B1896" s="381" t="s">
        <v>315</v>
      </c>
      <c r="C1896" s="381" t="s">
        <v>489</v>
      </c>
      <c r="D1896" s="381" t="s">
        <v>315</v>
      </c>
      <c r="E1896" s="381" t="s">
        <v>315</v>
      </c>
      <c r="F1896" s="378">
        <v>15114165.76</v>
      </c>
      <c r="G1896" s="378">
        <v>3167775.57</v>
      </c>
      <c r="H1896" s="378">
        <v>0</v>
      </c>
      <c r="I1896" s="378">
        <v>18281941.329999998</v>
      </c>
      <c r="J1896" s="267">
        <f t="shared" si="30"/>
        <v>8</v>
      </c>
    </row>
    <row r="1897" spans="1:10" ht="15" customHeight="1" x14ac:dyDescent="0.25">
      <c r="A1897" s="380">
        <v>53051501</v>
      </c>
      <c r="B1897" s="381" t="s">
        <v>315</v>
      </c>
      <c r="C1897" s="381" t="s">
        <v>489</v>
      </c>
      <c r="D1897" s="381" t="s">
        <v>493</v>
      </c>
      <c r="E1897" s="381" t="s">
        <v>1522</v>
      </c>
      <c r="F1897" s="378">
        <v>5972</v>
      </c>
      <c r="G1897" s="378">
        <v>0</v>
      </c>
      <c r="H1897" s="378">
        <v>0</v>
      </c>
      <c r="I1897" s="378">
        <v>5972</v>
      </c>
      <c r="J1897" s="267">
        <f t="shared" si="30"/>
        <v>8</v>
      </c>
    </row>
    <row r="1898" spans="1:10" ht="15" customHeight="1" x14ac:dyDescent="0.25">
      <c r="A1898" s="380">
        <v>53051501</v>
      </c>
      <c r="B1898" s="381" t="s">
        <v>315</v>
      </c>
      <c r="C1898" s="381" t="s">
        <v>489</v>
      </c>
      <c r="D1898" s="381" t="s">
        <v>329</v>
      </c>
      <c r="E1898" s="381" t="s">
        <v>330</v>
      </c>
      <c r="F1898" s="378">
        <v>14405115.76</v>
      </c>
      <c r="G1898" s="378">
        <v>3048103.57</v>
      </c>
      <c r="H1898" s="378">
        <v>0</v>
      </c>
      <c r="I1898" s="378">
        <v>17453219.329999998</v>
      </c>
      <c r="J1898" s="267">
        <f t="shared" si="30"/>
        <v>8</v>
      </c>
    </row>
    <row r="1899" spans="1:10" ht="15" customHeight="1" x14ac:dyDescent="0.25">
      <c r="A1899" s="380">
        <v>53051501</v>
      </c>
      <c r="B1899" s="381" t="s">
        <v>315</v>
      </c>
      <c r="C1899" s="381" t="s">
        <v>489</v>
      </c>
      <c r="D1899" s="381" t="s">
        <v>721</v>
      </c>
      <c r="E1899" s="381" t="s">
        <v>722</v>
      </c>
      <c r="F1899" s="378">
        <v>703078</v>
      </c>
      <c r="G1899" s="378">
        <v>119672</v>
      </c>
      <c r="H1899" s="378">
        <v>0</v>
      </c>
      <c r="I1899" s="378">
        <v>822750</v>
      </c>
      <c r="J1899" s="267">
        <f t="shared" si="30"/>
        <v>8</v>
      </c>
    </row>
    <row r="1900" spans="1:10" ht="15" customHeight="1" x14ac:dyDescent="0.25">
      <c r="A1900" s="380">
        <v>530520</v>
      </c>
      <c r="B1900" s="381" t="s">
        <v>315</v>
      </c>
      <c r="C1900" s="381" t="s">
        <v>176</v>
      </c>
      <c r="D1900" s="381" t="s">
        <v>315</v>
      </c>
      <c r="E1900" s="381" t="s">
        <v>315</v>
      </c>
      <c r="F1900" s="378">
        <v>21506154</v>
      </c>
      <c r="G1900" s="378">
        <v>10473432</v>
      </c>
      <c r="H1900" s="378">
        <v>0</v>
      </c>
      <c r="I1900" s="378">
        <v>31979586</v>
      </c>
      <c r="J1900" s="267">
        <f t="shared" si="30"/>
        <v>6</v>
      </c>
    </row>
    <row r="1901" spans="1:10" ht="15" customHeight="1" x14ac:dyDescent="0.25">
      <c r="A1901" s="380">
        <v>53052001</v>
      </c>
      <c r="B1901" s="381" t="s">
        <v>315</v>
      </c>
      <c r="C1901" s="381" t="s">
        <v>176</v>
      </c>
      <c r="D1901" s="381" t="s">
        <v>315</v>
      </c>
      <c r="E1901" s="381" t="s">
        <v>315</v>
      </c>
      <c r="F1901" s="378">
        <v>21506154</v>
      </c>
      <c r="G1901" s="378">
        <v>10473432</v>
      </c>
      <c r="H1901" s="378">
        <v>0</v>
      </c>
      <c r="I1901" s="378">
        <v>31979586</v>
      </c>
      <c r="J1901" s="267">
        <f t="shared" si="30"/>
        <v>8</v>
      </c>
    </row>
    <row r="1902" spans="1:10" ht="15" customHeight="1" x14ac:dyDescent="0.25">
      <c r="A1902" s="380">
        <v>53052001</v>
      </c>
      <c r="B1902" s="381" t="s">
        <v>315</v>
      </c>
      <c r="C1902" s="381" t="s">
        <v>176</v>
      </c>
      <c r="D1902" s="381" t="s">
        <v>440</v>
      </c>
      <c r="E1902" s="381" t="s">
        <v>441</v>
      </c>
      <c r="F1902" s="378">
        <v>19042087</v>
      </c>
      <c r="G1902" s="378">
        <v>9787548</v>
      </c>
      <c r="H1902" s="378">
        <v>0</v>
      </c>
      <c r="I1902" s="378">
        <v>28829635</v>
      </c>
      <c r="J1902" s="267">
        <f t="shared" si="30"/>
        <v>8</v>
      </c>
    </row>
    <row r="1903" spans="1:10" ht="15" customHeight="1" x14ac:dyDescent="0.25">
      <c r="A1903" s="380">
        <v>53052001</v>
      </c>
      <c r="B1903" s="381" t="s">
        <v>315</v>
      </c>
      <c r="C1903" s="381" t="s">
        <v>176</v>
      </c>
      <c r="D1903" s="381" t="s">
        <v>329</v>
      </c>
      <c r="E1903" s="381" t="s">
        <v>330</v>
      </c>
      <c r="F1903" s="378">
        <v>2464067</v>
      </c>
      <c r="G1903" s="378">
        <v>685884</v>
      </c>
      <c r="H1903" s="378">
        <v>0</v>
      </c>
      <c r="I1903" s="378">
        <v>3149951</v>
      </c>
      <c r="J1903" s="267">
        <f t="shared" si="30"/>
        <v>8</v>
      </c>
    </row>
    <row r="1904" spans="1:10" ht="15" customHeight="1" x14ac:dyDescent="0.25">
      <c r="A1904" s="380">
        <v>530521</v>
      </c>
      <c r="B1904" s="381" t="s">
        <v>315</v>
      </c>
      <c r="C1904" s="381" t="s">
        <v>1419</v>
      </c>
      <c r="D1904" s="381" t="s">
        <v>315</v>
      </c>
      <c r="E1904" s="381" t="s">
        <v>315</v>
      </c>
      <c r="F1904" s="378">
        <v>8957</v>
      </c>
      <c r="G1904" s="378">
        <v>5239</v>
      </c>
      <c r="H1904" s="378">
        <v>0</v>
      </c>
      <c r="I1904" s="378">
        <v>14196</v>
      </c>
      <c r="J1904" s="267">
        <f t="shared" si="30"/>
        <v>6</v>
      </c>
    </row>
    <row r="1905" spans="1:10" ht="15" customHeight="1" x14ac:dyDescent="0.25">
      <c r="A1905" s="380">
        <v>53052101</v>
      </c>
      <c r="B1905" s="381" t="s">
        <v>315</v>
      </c>
      <c r="C1905" s="381" t="s">
        <v>1419</v>
      </c>
      <c r="D1905" s="381" t="s">
        <v>315</v>
      </c>
      <c r="E1905" s="381" t="s">
        <v>315</v>
      </c>
      <c r="F1905" s="378">
        <v>8957</v>
      </c>
      <c r="G1905" s="378">
        <v>5239</v>
      </c>
      <c r="H1905" s="378">
        <v>0</v>
      </c>
      <c r="I1905" s="378">
        <v>14196</v>
      </c>
      <c r="J1905" s="267">
        <f t="shared" si="30"/>
        <v>8</v>
      </c>
    </row>
    <row r="1906" spans="1:10" ht="15" customHeight="1" x14ac:dyDescent="0.25">
      <c r="A1906" s="380">
        <v>53052101</v>
      </c>
      <c r="B1906" s="381" t="s">
        <v>315</v>
      </c>
      <c r="C1906" s="381" t="s">
        <v>1419</v>
      </c>
      <c r="D1906" s="381" t="s">
        <v>1690</v>
      </c>
      <c r="E1906" s="381" t="s">
        <v>1691</v>
      </c>
      <c r="F1906" s="378">
        <v>900</v>
      </c>
      <c r="G1906" s="378">
        <v>0</v>
      </c>
      <c r="H1906" s="378">
        <v>0</v>
      </c>
      <c r="I1906" s="378">
        <v>900</v>
      </c>
      <c r="J1906" s="267">
        <f t="shared" si="30"/>
        <v>8</v>
      </c>
    </row>
    <row r="1907" spans="1:10" ht="15" customHeight="1" x14ac:dyDescent="0.25">
      <c r="A1907" s="380">
        <v>53052101</v>
      </c>
      <c r="B1907" s="381" t="s">
        <v>315</v>
      </c>
      <c r="C1907" s="381" t="s">
        <v>1419</v>
      </c>
      <c r="D1907" s="381" t="s">
        <v>440</v>
      </c>
      <c r="E1907" s="381" t="s">
        <v>441</v>
      </c>
      <c r="F1907" s="378">
        <v>5204</v>
      </c>
      <c r="G1907" s="378">
        <v>0</v>
      </c>
      <c r="H1907" s="378">
        <v>0</v>
      </c>
      <c r="I1907" s="378">
        <v>5204</v>
      </c>
      <c r="J1907" s="267">
        <f t="shared" si="30"/>
        <v>8</v>
      </c>
    </row>
    <row r="1908" spans="1:10" ht="15" customHeight="1" x14ac:dyDescent="0.25">
      <c r="A1908" s="380">
        <v>53052101</v>
      </c>
      <c r="B1908" s="381" t="s">
        <v>315</v>
      </c>
      <c r="C1908" s="381" t="s">
        <v>1419</v>
      </c>
      <c r="D1908" s="381" t="s">
        <v>637</v>
      </c>
      <c r="E1908" s="381" t="s">
        <v>1083</v>
      </c>
      <c r="F1908" s="378">
        <v>900</v>
      </c>
      <c r="G1908" s="378">
        <v>0</v>
      </c>
      <c r="H1908" s="378">
        <v>0</v>
      </c>
      <c r="I1908" s="378">
        <v>900</v>
      </c>
      <c r="J1908" s="267">
        <f t="shared" si="30"/>
        <v>8</v>
      </c>
    </row>
    <row r="1909" spans="1:10" ht="15" customHeight="1" x14ac:dyDescent="0.25">
      <c r="A1909" s="380">
        <v>53052101</v>
      </c>
      <c r="B1909" s="381" t="s">
        <v>315</v>
      </c>
      <c r="C1909" s="381" t="s">
        <v>1419</v>
      </c>
      <c r="D1909" s="381" t="s">
        <v>1578</v>
      </c>
      <c r="E1909" s="381" t="s">
        <v>1579</v>
      </c>
      <c r="F1909" s="378">
        <v>1453</v>
      </c>
      <c r="G1909" s="378">
        <v>5239</v>
      </c>
      <c r="H1909" s="378">
        <v>0</v>
      </c>
      <c r="I1909" s="378">
        <v>6692</v>
      </c>
      <c r="J1909" s="267">
        <f t="shared" si="30"/>
        <v>8</v>
      </c>
    </row>
    <row r="1910" spans="1:10" ht="15" customHeight="1" x14ac:dyDescent="0.25">
      <c r="A1910" s="380">
        <v>53052101</v>
      </c>
      <c r="B1910" s="381" t="s">
        <v>315</v>
      </c>
      <c r="C1910" s="381" t="s">
        <v>1419</v>
      </c>
      <c r="D1910" s="381" t="s">
        <v>1688</v>
      </c>
      <c r="E1910" s="381" t="s">
        <v>1689</v>
      </c>
      <c r="F1910" s="378">
        <v>500</v>
      </c>
      <c r="G1910" s="378">
        <v>0</v>
      </c>
      <c r="H1910" s="378">
        <v>0</v>
      </c>
      <c r="I1910" s="378">
        <v>500</v>
      </c>
      <c r="J1910" s="267">
        <f t="shared" si="30"/>
        <v>8</v>
      </c>
    </row>
    <row r="1911" spans="1:10" ht="15" customHeight="1" x14ac:dyDescent="0.25">
      <c r="A1911" s="380">
        <v>530535</v>
      </c>
      <c r="B1911" s="381" t="s">
        <v>315</v>
      </c>
      <c r="C1911" s="381" t="s">
        <v>471</v>
      </c>
      <c r="D1911" s="381" t="s">
        <v>315</v>
      </c>
      <c r="E1911" s="381" t="s">
        <v>315</v>
      </c>
      <c r="F1911" s="378">
        <v>1330270</v>
      </c>
      <c r="G1911" s="378">
        <v>564939</v>
      </c>
      <c r="H1911" s="378">
        <v>43779</v>
      </c>
      <c r="I1911" s="378">
        <v>1851430</v>
      </c>
      <c r="J1911" s="267">
        <f t="shared" si="30"/>
        <v>6</v>
      </c>
    </row>
    <row r="1912" spans="1:10" ht="15" customHeight="1" x14ac:dyDescent="0.25">
      <c r="A1912" s="380">
        <v>53053501</v>
      </c>
      <c r="B1912" s="381" t="s">
        <v>315</v>
      </c>
      <c r="C1912" s="381" t="s">
        <v>471</v>
      </c>
      <c r="D1912" s="381" t="s">
        <v>315</v>
      </c>
      <c r="E1912" s="381" t="s">
        <v>315</v>
      </c>
      <c r="F1912" s="378">
        <v>1330270</v>
      </c>
      <c r="G1912" s="378">
        <v>564939</v>
      </c>
      <c r="H1912" s="378">
        <v>43779</v>
      </c>
      <c r="I1912" s="378">
        <v>1851430</v>
      </c>
      <c r="J1912" s="267">
        <f t="shared" si="30"/>
        <v>8</v>
      </c>
    </row>
    <row r="1913" spans="1:10" ht="15" customHeight="1" x14ac:dyDescent="0.25">
      <c r="A1913" s="380">
        <v>53053501</v>
      </c>
      <c r="B1913" s="381" t="s">
        <v>315</v>
      </c>
      <c r="C1913" s="381" t="s">
        <v>471</v>
      </c>
      <c r="D1913" s="381" t="s">
        <v>329</v>
      </c>
      <c r="E1913" s="381" t="s">
        <v>330</v>
      </c>
      <c r="F1913" s="378">
        <v>-108245</v>
      </c>
      <c r="G1913" s="378">
        <v>0</v>
      </c>
      <c r="H1913" s="378">
        <v>0</v>
      </c>
      <c r="I1913" s="378">
        <v>-108245</v>
      </c>
      <c r="J1913" s="267">
        <f t="shared" si="30"/>
        <v>8</v>
      </c>
    </row>
    <row r="1914" spans="1:10" ht="15" customHeight="1" x14ac:dyDescent="0.25">
      <c r="A1914" s="380">
        <v>53053501</v>
      </c>
      <c r="B1914" s="381" t="s">
        <v>315</v>
      </c>
      <c r="C1914" s="381" t="s">
        <v>471</v>
      </c>
      <c r="D1914" s="381" t="s">
        <v>717</v>
      </c>
      <c r="E1914" s="381" t="s">
        <v>718</v>
      </c>
      <c r="F1914" s="378">
        <v>1353332</v>
      </c>
      <c r="G1914" s="378">
        <v>563039</v>
      </c>
      <c r="H1914" s="378">
        <v>43779</v>
      </c>
      <c r="I1914" s="378">
        <v>1872592</v>
      </c>
      <c r="J1914" s="267">
        <f t="shared" si="30"/>
        <v>8</v>
      </c>
    </row>
    <row r="1915" spans="1:10" ht="15" customHeight="1" x14ac:dyDescent="0.25">
      <c r="A1915" s="380">
        <v>53053501</v>
      </c>
      <c r="B1915" s="381" t="s">
        <v>315</v>
      </c>
      <c r="C1915" s="381" t="s">
        <v>471</v>
      </c>
      <c r="D1915" s="381" t="s">
        <v>721</v>
      </c>
      <c r="E1915" s="381" t="s">
        <v>722</v>
      </c>
      <c r="F1915" s="378">
        <v>85183</v>
      </c>
      <c r="G1915" s="378">
        <v>1900</v>
      </c>
      <c r="H1915" s="378">
        <v>0</v>
      </c>
      <c r="I1915" s="378">
        <v>87083</v>
      </c>
      <c r="J1915" s="267">
        <f t="shared" si="30"/>
        <v>8</v>
      </c>
    </row>
    <row r="1916" spans="1:10" ht="15" customHeight="1" x14ac:dyDescent="0.25">
      <c r="A1916" s="380">
        <v>5395</v>
      </c>
      <c r="B1916" s="381" t="s">
        <v>315</v>
      </c>
      <c r="C1916" s="381" t="s">
        <v>199</v>
      </c>
      <c r="D1916" s="381" t="s">
        <v>315</v>
      </c>
      <c r="E1916" s="381" t="s">
        <v>315</v>
      </c>
      <c r="F1916" s="378">
        <v>-9.9999999976716894E-2</v>
      </c>
      <c r="G1916" s="378">
        <v>13874690</v>
      </c>
      <c r="H1916" s="378">
        <v>13874690</v>
      </c>
      <c r="I1916" s="378">
        <v>-9.9999999976716894E-2</v>
      </c>
      <c r="J1916" s="267">
        <f t="shared" si="30"/>
        <v>4</v>
      </c>
    </row>
    <row r="1917" spans="1:10" ht="15" customHeight="1" x14ac:dyDescent="0.25">
      <c r="A1917" s="380">
        <v>539595</v>
      </c>
      <c r="B1917" s="381" t="s">
        <v>315</v>
      </c>
      <c r="C1917" s="381" t="s">
        <v>238</v>
      </c>
      <c r="D1917" s="381" t="s">
        <v>315</v>
      </c>
      <c r="E1917" s="381" t="s">
        <v>315</v>
      </c>
      <c r="F1917" s="378">
        <v>-9.9999999976716894E-2</v>
      </c>
      <c r="G1917" s="378">
        <v>13874690</v>
      </c>
      <c r="H1917" s="378">
        <v>13874690</v>
      </c>
      <c r="I1917" s="378">
        <v>-9.9999999976716894E-2</v>
      </c>
      <c r="J1917" s="267">
        <f t="shared" si="30"/>
        <v>6</v>
      </c>
    </row>
    <row r="1918" spans="1:10" ht="15" customHeight="1" x14ac:dyDescent="0.25">
      <c r="A1918" s="380">
        <v>53959505</v>
      </c>
      <c r="B1918" s="381" t="s">
        <v>321</v>
      </c>
      <c r="C1918" s="381" t="s">
        <v>1450</v>
      </c>
      <c r="D1918" s="381" t="s">
        <v>315</v>
      </c>
      <c r="E1918" s="381" t="s">
        <v>315</v>
      </c>
      <c r="F1918" s="378">
        <v>-9.9999999976716894E-2</v>
      </c>
      <c r="G1918" s="378">
        <v>13874690</v>
      </c>
      <c r="H1918" s="378">
        <v>13874690</v>
      </c>
      <c r="I1918" s="378">
        <v>-9.9999999976716894E-2</v>
      </c>
      <c r="J1918" s="267">
        <f t="shared" si="30"/>
        <v>8</v>
      </c>
    </row>
    <row r="1919" spans="1:10" ht="15" customHeight="1" x14ac:dyDescent="0.25">
      <c r="A1919" s="380">
        <v>53959505</v>
      </c>
      <c r="B1919" s="381" t="s">
        <v>321</v>
      </c>
      <c r="C1919" s="381" t="s">
        <v>1450</v>
      </c>
      <c r="D1919" s="381" t="s">
        <v>717</v>
      </c>
      <c r="E1919" s="381" t="s">
        <v>718</v>
      </c>
      <c r="F1919" s="378">
        <v>0</v>
      </c>
      <c r="G1919" s="378">
        <v>12817990</v>
      </c>
      <c r="H1919" s="378">
        <v>12817990</v>
      </c>
      <c r="I1919" s="378">
        <v>0</v>
      </c>
      <c r="J1919" s="267">
        <f t="shared" si="30"/>
        <v>8</v>
      </c>
    </row>
    <row r="1920" spans="1:10" ht="15" customHeight="1" x14ac:dyDescent="0.25">
      <c r="A1920" s="380">
        <v>53959505</v>
      </c>
      <c r="B1920" s="381" t="s">
        <v>321</v>
      </c>
      <c r="C1920" s="381" t="s">
        <v>1450</v>
      </c>
      <c r="D1920" s="381" t="s">
        <v>721</v>
      </c>
      <c r="E1920" s="381" t="s">
        <v>722</v>
      </c>
      <c r="F1920" s="378">
        <v>-9.9999999976716894E-2</v>
      </c>
      <c r="G1920" s="378">
        <v>1056700</v>
      </c>
      <c r="H1920" s="378">
        <v>1056700</v>
      </c>
      <c r="I1920" s="378">
        <v>-9.9999999976716894E-2</v>
      </c>
      <c r="J1920" s="267">
        <f t="shared" si="30"/>
        <v>8</v>
      </c>
    </row>
    <row r="1921" spans="1:10" ht="15" customHeight="1" x14ac:dyDescent="0.25">
      <c r="A1921" s="380">
        <v>54</v>
      </c>
      <c r="B1921" s="381" t="s">
        <v>315</v>
      </c>
      <c r="C1921" s="381" t="s">
        <v>1420</v>
      </c>
      <c r="D1921" s="381" t="s">
        <v>315</v>
      </c>
      <c r="E1921" s="381" t="s">
        <v>315</v>
      </c>
      <c r="F1921" s="378">
        <v>30537000</v>
      </c>
      <c r="G1921" s="378">
        <v>3799000</v>
      </c>
      <c r="H1921" s="378">
        <v>0</v>
      </c>
      <c r="I1921" s="378">
        <v>34336000</v>
      </c>
      <c r="J1921" s="267">
        <f t="shared" si="30"/>
        <v>2</v>
      </c>
    </row>
    <row r="1922" spans="1:10" ht="15" customHeight="1" x14ac:dyDescent="0.25">
      <c r="A1922" s="380">
        <v>5405</v>
      </c>
      <c r="B1922" s="381" t="s">
        <v>315</v>
      </c>
      <c r="C1922" s="381" t="s">
        <v>1420</v>
      </c>
      <c r="D1922" s="381" t="s">
        <v>315</v>
      </c>
      <c r="E1922" s="381" t="s">
        <v>315</v>
      </c>
      <c r="F1922" s="378">
        <v>30537000</v>
      </c>
      <c r="G1922" s="378">
        <v>3799000</v>
      </c>
      <c r="H1922" s="378">
        <v>0</v>
      </c>
      <c r="I1922" s="378">
        <v>34336000</v>
      </c>
      <c r="J1922" s="267">
        <f t="shared" si="30"/>
        <v>4</v>
      </c>
    </row>
    <row r="1923" spans="1:10" ht="15" customHeight="1" x14ac:dyDescent="0.25">
      <c r="A1923" s="380">
        <v>540505</v>
      </c>
      <c r="B1923" s="381" t="s">
        <v>315</v>
      </c>
      <c r="C1923" s="381" t="s">
        <v>1420</v>
      </c>
      <c r="D1923" s="381" t="s">
        <v>315</v>
      </c>
      <c r="E1923" s="381" t="s">
        <v>315</v>
      </c>
      <c r="F1923" s="378">
        <v>30537000</v>
      </c>
      <c r="G1923" s="378">
        <v>3799000</v>
      </c>
      <c r="H1923" s="378">
        <v>0</v>
      </c>
      <c r="I1923" s="378">
        <v>34336000</v>
      </c>
      <c r="J1923" s="267">
        <f t="shared" si="30"/>
        <v>6</v>
      </c>
    </row>
    <row r="1924" spans="1:10" ht="15" customHeight="1" x14ac:dyDescent="0.25">
      <c r="A1924" s="380">
        <v>54050502</v>
      </c>
      <c r="B1924" s="381" t="s">
        <v>321</v>
      </c>
      <c r="C1924" s="381" t="s">
        <v>1740</v>
      </c>
      <c r="D1924" s="381" t="s">
        <v>315</v>
      </c>
      <c r="E1924" s="381" t="s">
        <v>315</v>
      </c>
      <c r="F1924" s="378">
        <v>30537000</v>
      </c>
      <c r="G1924" s="378">
        <v>3799000</v>
      </c>
      <c r="H1924" s="378">
        <v>0</v>
      </c>
      <c r="I1924" s="378">
        <v>34336000</v>
      </c>
      <c r="J1924" s="267">
        <f t="shared" si="30"/>
        <v>8</v>
      </c>
    </row>
    <row r="1925" spans="1:10" ht="15" customHeight="1" x14ac:dyDescent="0.25">
      <c r="A1925" s="380">
        <v>54050502</v>
      </c>
      <c r="B1925" s="381" t="s">
        <v>321</v>
      </c>
      <c r="C1925" s="381" t="s">
        <v>1740</v>
      </c>
      <c r="D1925" s="381" t="s">
        <v>422</v>
      </c>
      <c r="E1925" s="381" t="s">
        <v>1073</v>
      </c>
      <c r="F1925" s="378">
        <v>30537000</v>
      </c>
      <c r="G1925" s="378">
        <v>3799000</v>
      </c>
      <c r="H1925" s="378">
        <v>0</v>
      </c>
      <c r="I1925" s="378">
        <v>34336000</v>
      </c>
      <c r="J1925" s="267">
        <f t="shared" si="30"/>
        <v>8</v>
      </c>
    </row>
    <row r="1926" spans="1:10" ht="15" customHeight="1" x14ac:dyDescent="0.25">
      <c r="A1926" s="380">
        <v>55</v>
      </c>
      <c r="B1926" s="381" t="s">
        <v>321</v>
      </c>
      <c r="C1926" s="381" t="s">
        <v>217</v>
      </c>
      <c r="D1926" s="381" t="s">
        <v>315</v>
      </c>
      <c r="E1926" s="381" t="s">
        <v>315</v>
      </c>
      <c r="F1926" s="378">
        <v>583998.99</v>
      </c>
      <c r="G1926" s="378">
        <v>256809</v>
      </c>
      <c r="H1926" s="378">
        <v>362</v>
      </c>
      <c r="I1926" s="378">
        <v>840445.99</v>
      </c>
      <c r="J1926" s="267">
        <f t="shared" si="30"/>
        <v>2</v>
      </c>
    </row>
    <row r="1927" spans="1:10" ht="15" customHeight="1" x14ac:dyDescent="0.25">
      <c r="A1927" s="380">
        <v>5595</v>
      </c>
      <c r="B1927" s="381" t="s">
        <v>321</v>
      </c>
      <c r="C1927" s="381" t="s">
        <v>199</v>
      </c>
      <c r="D1927" s="381" t="s">
        <v>315</v>
      </c>
      <c r="E1927" s="381" t="s">
        <v>315</v>
      </c>
      <c r="F1927" s="378">
        <v>583998.99</v>
      </c>
      <c r="G1927" s="378">
        <v>256809</v>
      </c>
      <c r="H1927" s="378">
        <v>362</v>
      </c>
      <c r="I1927" s="378">
        <v>840445.99</v>
      </c>
      <c r="J1927" s="267">
        <f t="shared" si="30"/>
        <v>4</v>
      </c>
    </row>
    <row r="1928" spans="1:10" ht="15" customHeight="1" x14ac:dyDescent="0.25">
      <c r="A1928" s="380">
        <v>559520</v>
      </c>
      <c r="B1928" s="381" t="s">
        <v>321</v>
      </c>
      <c r="C1928" s="381" t="s">
        <v>1423</v>
      </c>
      <c r="D1928" s="381" t="s">
        <v>315</v>
      </c>
      <c r="E1928" s="381" t="s">
        <v>315</v>
      </c>
      <c r="F1928" s="378">
        <v>498286</v>
      </c>
      <c r="G1928" s="378">
        <v>243050</v>
      </c>
      <c r="H1928" s="378">
        <v>0</v>
      </c>
      <c r="I1928" s="378">
        <v>741336</v>
      </c>
      <c r="J1928" s="267">
        <f t="shared" si="30"/>
        <v>6</v>
      </c>
    </row>
    <row r="1929" spans="1:10" ht="15" customHeight="1" x14ac:dyDescent="0.25">
      <c r="A1929" s="380">
        <v>55952001</v>
      </c>
      <c r="B1929" s="381" t="s">
        <v>321</v>
      </c>
      <c r="C1929" s="381" t="s">
        <v>1423</v>
      </c>
      <c r="D1929" s="381" t="s">
        <v>315</v>
      </c>
      <c r="E1929" s="381" t="s">
        <v>315</v>
      </c>
      <c r="F1929" s="378">
        <v>498286</v>
      </c>
      <c r="G1929" s="378">
        <v>243050</v>
      </c>
      <c r="H1929" s="378">
        <v>0</v>
      </c>
      <c r="I1929" s="378">
        <v>741336</v>
      </c>
      <c r="J1929" s="267">
        <f t="shared" si="30"/>
        <v>8</v>
      </c>
    </row>
    <row r="1930" spans="1:10" ht="15" customHeight="1" x14ac:dyDescent="0.25">
      <c r="A1930" s="380">
        <v>55952001</v>
      </c>
      <c r="B1930" s="381" t="s">
        <v>321</v>
      </c>
      <c r="C1930" s="381" t="s">
        <v>1423</v>
      </c>
      <c r="D1930" s="381" t="s">
        <v>717</v>
      </c>
      <c r="E1930" s="381" t="s">
        <v>718</v>
      </c>
      <c r="F1930" s="378">
        <v>498286</v>
      </c>
      <c r="G1930" s="378">
        <v>243050</v>
      </c>
      <c r="H1930" s="378">
        <v>0</v>
      </c>
      <c r="I1930" s="378">
        <v>741336</v>
      </c>
      <c r="J1930" s="267">
        <f t="shared" si="30"/>
        <v>8</v>
      </c>
    </row>
    <row r="1931" spans="1:10" ht="15" customHeight="1" x14ac:dyDescent="0.25">
      <c r="A1931" s="380">
        <v>559580</v>
      </c>
      <c r="B1931" s="381" t="s">
        <v>321</v>
      </c>
      <c r="C1931" s="381" t="s">
        <v>644</v>
      </c>
      <c r="D1931" s="381" t="s">
        <v>315</v>
      </c>
      <c r="E1931" s="381" t="s">
        <v>315</v>
      </c>
      <c r="F1931" s="378">
        <v>358</v>
      </c>
      <c r="G1931" s="378">
        <v>2</v>
      </c>
      <c r="H1931" s="378">
        <v>0</v>
      </c>
      <c r="I1931" s="378">
        <v>360</v>
      </c>
      <c r="J1931" s="267">
        <f t="shared" si="30"/>
        <v>6</v>
      </c>
    </row>
    <row r="1932" spans="1:10" ht="15" customHeight="1" x14ac:dyDescent="0.25">
      <c r="A1932" s="380">
        <v>55958001</v>
      </c>
      <c r="B1932" s="381" t="s">
        <v>321</v>
      </c>
      <c r="C1932" s="381" t="s">
        <v>644</v>
      </c>
      <c r="D1932" s="381" t="s">
        <v>315</v>
      </c>
      <c r="E1932" s="381" t="s">
        <v>315</v>
      </c>
      <c r="F1932" s="378">
        <v>358</v>
      </c>
      <c r="G1932" s="378">
        <v>2</v>
      </c>
      <c r="H1932" s="378">
        <v>0</v>
      </c>
      <c r="I1932" s="378">
        <v>360</v>
      </c>
      <c r="J1932" s="267">
        <f t="shared" ref="J1932:J1950" si="31">+LEN(A1932)</f>
        <v>8</v>
      </c>
    </row>
    <row r="1933" spans="1:10" ht="15" customHeight="1" x14ac:dyDescent="0.25">
      <c r="A1933" s="380">
        <v>55958001</v>
      </c>
      <c r="B1933" s="381" t="s">
        <v>321</v>
      </c>
      <c r="C1933" s="381" t="s">
        <v>644</v>
      </c>
      <c r="D1933" s="381" t="s">
        <v>422</v>
      </c>
      <c r="E1933" s="381" t="s">
        <v>1073</v>
      </c>
      <c r="F1933" s="378">
        <v>358</v>
      </c>
      <c r="G1933" s="378">
        <v>0</v>
      </c>
      <c r="H1933" s="378">
        <v>0</v>
      </c>
      <c r="I1933" s="378">
        <v>358</v>
      </c>
      <c r="J1933" s="267">
        <f t="shared" si="31"/>
        <v>8</v>
      </c>
    </row>
    <row r="1934" spans="1:10" ht="15" customHeight="1" x14ac:dyDescent="0.25">
      <c r="A1934" s="380">
        <v>55958001</v>
      </c>
      <c r="B1934" s="381" t="s">
        <v>321</v>
      </c>
      <c r="C1934" s="381" t="s">
        <v>644</v>
      </c>
      <c r="D1934" s="381" t="s">
        <v>638</v>
      </c>
      <c r="E1934" s="381" t="s">
        <v>1317</v>
      </c>
      <c r="F1934" s="378">
        <v>0</v>
      </c>
      <c r="G1934" s="378">
        <v>2</v>
      </c>
      <c r="H1934" s="378">
        <v>0</v>
      </c>
      <c r="I1934" s="378">
        <v>2</v>
      </c>
      <c r="J1934" s="267">
        <f t="shared" si="31"/>
        <v>8</v>
      </c>
    </row>
    <row r="1935" spans="1:10" ht="15" customHeight="1" x14ac:dyDescent="0.25">
      <c r="A1935" s="380">
        <v>559581</v>
      </c>
      <c r="B1935" s="381" t="s">
        <v>321</v>
      </c>
      <c r="C1935" s="381" t="s">
        <v>644</v>
      </c>
      <c r="D1935" s="381" t="s">
        <v>315</v>
      </c>
      <c r="E1935" s="381" t="s">
        <v>315</v>
      </c>
      <c r="F1935" s="378">
        <v>85354.99</v>
      </c>
      <c r="G1935" s="378">
        <v>13757</v>
      </c>
      <c r="H1935" s="378">
        <v>362</v>
      </c>
      <c r="I1935" s="378">
        <v>98749.99</v>
      </c>
      <c r="J1935" s="267">
        <f t="shared" si="31"/>
        <v>6</v>
      </c>
    </row>
    <row r="1936" spans="1:10" ht="15" customHeight="1" x14ac:dyDescent="0.25">
      <c r="A1936" s="380">
        <v>55958101</v>
      </c>
      <c r="B1936" s="381" t="s">
        <v>321</v>
      </c>
      <c r="C1936" s="381" t="s">
        <v>644</v>
      </c>
      <c r="D1936" s="381" t="s">
        <v>315</v>
      </c>
      <c r="E1936" s="381" t="s">
        <v>315</v>
      </c>
      <c r="F1936" s="378">
        <v>85354.99</v>
      </c>
      <c r="G1936" s="378">
        <v>13757</v>
      </c>
      <c r="H1936" s="378">
        <v>362</v>
      </c>
      <c r="I1936" s="378">
        <v>98749.99</v>
      </c>
      <c r="J1936" s="267">
        <f t="shared" si="31"/>
        <v>8</v>
      </c>
    </row>
    <row r="1937" spans="1:10" ht="15" customHeight="1" x14ac:dyDescent="0.25">
      <c r="A1937" s="380">
        <v>55958101</v>
      </c>
      <c r="B1937" s="381" t="s">
        <v>321</v>
      </c>
      <c r="C1937" s="381" t="s">
        <v>644</v>
      </c>
      <c r="D1937" s="381" t="s">
        <v>1488</v>
      </c>
      <c r="E1937" s="381" t="s">
        <v>1682</v>
      </c>
      <c r="F1937" s="378">
        <v>156</v>
      </c>
      <c r="G1937" s="378">
        <v>0</v>
      </c>
      <c r="H1937" s="378">
        <v>0</v>
      </c>
      <c r="I1937" s="378">
        <v>156</v>
      </c>
      <c r="J1937" s="267">
        <f t="shared" si="31"/>
        <v>8</v>
      </c>
    </row>
    <row r="1938" spans="1:10" ht="15" customHeight="1" x14ac:dyDescent="0.25">
      <c r="A1938" s="380">
        <v>55958101</v>
      </c>
      <c r="B1938" s="381" t="s">
        <v>321</v>
      </c>
      <c r="C1938" s="381" t="s">
        <v>644</v>
      </c>
      <c r="D1938" s="381" t="s">
        <v>1535</v>
      </c>
      <c r="E1938" s="381" t="s">
        <v>1536</v>
      </c>
      <c r="F1938" s="378">
        <v>248</v>
      </c>
      <c r="G1938" s="378">
        <v>76</v>
      </c>
      <c r="H1938" s="378">
        <v>0</v>
      </c>
      <c r="I1938" s="378">
        <v>324</v>
      </c>
      <c r="J1938" s="267">
        <f t="shared" si="31"/>
        <v>8</v>
      </c>
    </row>
    <row r="1939" spans="1:10" ht="15" customHeight="1" x14ac:dyDescent="0.25">
      <c r="A1939" s="380">
        <v>55958101</v>
      </c>
      <c r="B1939" s="381" t="s">
        <v>321</v>
      </c>
      <c r="C1939" s="381" t="s">
        <v>644</v>
      </c>
      <c r="D1939" s="381" t="s">
        <v>1604</v>
      </c>
      <c r="E1939" s="381" t="s">
        <v>1605</v>
      </c>
      <c r="F1939" s="378">
        <v>261</v>
      </c>
      <c r="G1939" s="378">
        <v>77</v>
      </c>
      <c r="H1939" s="378">
        <v>0</v>
      </c>
      <c r="I1939" s="378">
        <v>338</v>
      </c>
      <c r="J1939" s="267">
        <f t="shared" si="31"/>
        <v>8</v>
      </c>
    </row>
    <row r="1940" spans="1:10" ht="15" customHeight="1" x14ac:dyDescent="0.25">
      <c r="A1940" s="380">
        <v>55958101</v>
      </c>
      <c r="B1940" s="381" t="s">
        <v>321</v>
      </c>
      <c r="C1940" s="381" t="s">
        <v>644</v>
      </c>
      <c r="D1940" s="381" t="s">
        <v>1649</v>
      </c>
      <c r="E1940" s="381" t="s">
        <v>1650</v>
      </c>
      <c r="F1940" s="378">
        <v>-2126</v>
      </c>
      <c r="G1940" s="378">
        <v>141</v>
      </c>
      <c r="H1940" s="378">
        <v>0</v>
      </c>
      <c r="I1940" s="378">
        <v>-1985</v>
      </c>
      <c r="J1940" s="267">
        <f t="shared" si="31"/>
        <v>8</v>
      </c>
    </row>
    <row r="1941" spans="1:10" ht="15" customHeight="1" x14ac:dyDescent="0.25">
      <c r="A1941" s="380">
        <v>55958101</v>
      </c>
      <c r="B1941" s="381" t="s">
        <v>321</v>
      </c>
      <c r="C1941" s="381" t="s">
        <v>644</v>
      </c>
      <c r="D1941" s="381" t="s">
        <v>742</v>
      </c>
      <c r="E1941" s="381" t="s">
        <v>1529</v>
      </c>
      <c r="F1941" s="378">
        <v>10159</v>
      </c>
      <c r="G1941" s="378">
        <v>2292</v>
      </c>
      <c r="H1941" s="378">
        <v>0</v>
      </c>
      <c r="I1941" s="378">
        <v>12451</v>
      </c>
      <c r="J1941" s="267">
        <f t="shared" si="31"/>
        <v>8</v>
      </c>
    </row>
    <row r="1942" spans="1:10" ht="15" customHeight="1" x14ac:dyDescent="0.25">
      <c r="A1942" s="380">
        <v>55958101</v>
      </c>
      <c r="B1942" s="381" t="s">
        <v>321</v>
      </c>
      <c r="C1942" s="381" t="s">
        <v>644</v>
      </c>
      <c r="D1942" s="381" t="s">
        <v>1690</v>
      </c>
      <c r="E1942" s="381" t="s">
        <v>1691</v>
      </c>
      <c r="F1942" s="378">
        <v>-15</v>
      </c>
      <c r="G1942" s="378">
        <v>0</v>
      </c>
      <c r="H1942" s="378">
        <v>0</v>
      </c>
      <c r="I1942" s="378">
        <v>-15</v>
      </c>
      <c r="J1942" s="267">
        <f t="shared" si="31"/>
        <v>8</v>
      </c>
    </row>
    <row r="1943" spans="1:10" ht="15" customHeight="1" x14ac:dyDescent="0.25">
      <c r="A1943" s="380">
        <v>55958101</v>
      </c>
      <c r="B1943" s="381" t="s">
        <v>321</v>
      </c>
      <c r="C1943" s="381" t="s">
        <v>644</v>
      </c>
      <c r="D1943" s="381" t="s">
        <v>1651</v>
      </c>
      <c r="E1943" s="381" t="s">
        <v>1652</v>
      </c>
      <c r="F1943" s="378">
        <v>255</v>
      </c>
      <c r="G1943" s="378">
        <v>38</v>
      </c>
      <c r="H1943" s="378">
        <v>0</v>
      </c>
      <c r="I1943" s="378">
        <v>293</v>
      </c>
      <c r="J1943" s="267">
        <f t="shared" si="31"/>
        <v>8</v>
      </c>
    </row>
    <row r="1944" spans="1:10" ht="15" customHeight="1" x14ac:dyDescent="0.25">
      <c r="A1944" s="380">
        <v>55958101</v>
      </c>
      <c r="B1944" s="381" t="s">
        <v>321</v>
      </c>
      <c r="C1944" s="381" t="s">
        <v>644</v>
      </c>
      <c r="D1944" s="381" t="s">
        <v>1443</v>
      </c>
      <c r="E1944" s="381" t="s">
        <v>1530</v>
      </c>
      <c r="F1944" s="378">
        <v>20454</v>
      </c>
      <c r="G1944" s="378">
        <v>6200</v>
      </c>
      <c r="H1944" s="378">
        <v>0</v>
      </c>
      <c r="I1944" s="378">
        <v>26654</v>
      </c>
      <c r="J1944" s="267">
        <f t="shared" si="31"/>
        <v>8</v>
      </c>
    </row>
    <row r="1945" spans="1:10" ht="15" customHeight="1" x14ac:dyDescent="0.25">
      <c r="A1945" s="380">
        <v>55958101</v>
      </c>
      <c r="B1945" s="381" t="s">
        <v>321</v>
      </c>
      <c r="C1945" s="381" t="s">
        <v>644</v>
      </c>
      <c r="D1945" s="381" t="s">
        <v>1653</v>
      </c>
      <c r="E1945" s="381" t="s">
        <v>1654</v>
      </c>
      <c r="F1945" s="378">
        <v>302</v>
      </c>
      <c r="G1945" s="378">
        <v>141</v>
      </c>
      <c r="H1945" s="378">
        <v>0</v>
      </c>
      <c r="I1945" s="378">
        <v>443</v>
      </c>
      <c r="J1945" s="267">
        <f t="shared" si="31"/>
        <v>8</v>
      </c>
    </row>
    <row r="1946" spans="1:10" ht="15" customHeight="1" x14ac:dyDescent="0.25">
      <c r="A1946" s="380">
        <v>55958101</v>
      </c>
      <c r="B1946" s="381" t="s">
        <v>321</v>
      </c>
      <c r="C1946" s="381" t="s">
        <v>644</v>
      </c>
      <c r="D1946" s="381" t="s">
        <v>1683</v>
      </c>
      <c r="E1946" s="381" t="s">
        <v>1684</v>
      </c>
      <c r="F1946" s="378">
        <v>65</v>
      </c>
      <c r="G1946" s="378">
        <v>0</v>
      </c>
      <c r="H1946" s="378">
        <v>0</v>
      </c>
      <c r="I1946" s="378">
        <v>65</v>
      </c>
      <c r="J1946" s="267">
        <f t="shared" si="31"/>
        <v>8</v>
      </c>
    </row>
    <row r="1947" spans="1:10" ht="15" customHeight="1" x14ac:dyDescent="0.25">
      <c r="A1947" s="380">
        <v>55958101</v>
      </c>
      <c r="B1947" s="381" t="s">
        <v>321</v>
      </c>
      <c r="C1947" s="381" t="s">
        <v>644</v>
      </c>
      <c r="D1947" s="381" t="s">
        <v>1606</v>
      </c>
      <c r="E1947" s="381" t="s">
        <v>1607</v>
      </c>
      <c r="F1947" s="378">
        <v>160</v>
      </c>
      <c r="G1947" s="378">
        <v>100</v>
      </c>
      <c r="H1947" s="378">
        <v>0</v>
      </c>
      <c r="I1947" s="378">
        <v>260</v>
      </c>
      <c r="J1947" s="267">
        <f t="shared" si="31"/>
        <v>8</v>
      </c>
    </row>
    <row r="1948" spans="1:10" ht="15" customHeight="1" x14ac:dyDescent="0.25">
      <c r="A1948" s="380">
        <v>55958101</v>
      </c>
      <c r="B1948" s="381" t="s">
        <v>321</v>
      </c>
      <c r="C1948" s="381" t="s">
        <v>644</v>
      </c>
      <c r="D1948" s="381" t="s">
        <v>403</v>
      </c>
      <c r="E1948" s="381" t="s">
        <v>1616</v>
      </c>
      <c r="F1948" s="378">
        <v>557.99</v>
      </c>
      <c r="G1948" s="378">
        <v>0</v>
      </c>
      <c r="H1948" s="378">
        <v>362</v>
      </c>
      <c r="I1948" s="378">
        <v>195.99</v>
      </c>
      <c r="J1948" s="267">
        <f t="shared" si="31"/>
        <v>8</v>
      </c>
    </row>
    <row r="1949" spans="1:10" ht="15" customHeight="1" x14ac:dyDescent="0.25">
      <c r="A1949" s="380">
        <v>55958101</v>
      </c>
      <c r="B1949" s="381" t="s">
        <v>321</v>
      </c>
      <c r="C1949" s="381" t="s">
        <v>644</v>
      </c>
      <c r="D1949" s="381" t="s">
        <v>717</v>
      </c>
      <c r="E1949" s="381" t="s">
        <v>718</v>
      </c>
      <c r="F1949" s="378">
        <v>6599</v>
      </c>
      <c r="G1949" s="378">
        <v>329</v>
      </c>
      <c r="H1949" s="378">
        <v>0</v>
      </c>
      <c r="I1949" s="378">
        <v>6928</v>
      </c>
      <c r="J1949" s="267">
        <f t="shared" si="31"/>
        <v>8</v>
      </c>
    </row>
    <row r="1950" spans="1:10" ht="15" customHeight="1" x14ac:dyDescent="0.25">
      <c r="A1950" s="380">
        <v>55958101</v>
      </c>
      <c r="B1950" s="381" t="s">
        <v>321</v>
      </c>
      <c r="C1950" s="381" t="s">
        <v>644</v>
      </c>
      <c r="D1950" s="381" t="s">
        <v>721</v>
      </c>
      <c r="E1950" s="381" t="s">
        <v>722</v>
      </c>
      <c r="F1950" s="378">
        <v>200</v>
      </c>
      <c r="G1950" s="378">
        <v>0</v>
      </c>
      <c r="H1950" s="378">
        <v>0</v>
      </c>
      <c r="I1950" s="378">
        <v>200</v>
      </c>
      <c r="J1950" s="267">
        <f t="shared" si="31"/>
        <v>8</v>
      </c>
    </row>
    <row r="1951" spans="1:10" ht="15" customHeight="1" x14ac:dyDescent="0.25">
      <c r="A1951" s="380">
        <v>55958101</v>
      </c>
      <c r="B1951" s="381" t="s">
        <v>321</v>
      </c>
      <c r="C1951" s="381" t="s">
        <v>644</v>
      </c>
      <c r="D1951" s="381" t="s">
        <v>1686</v>
      </c>
      <c r="E1951" s="381" t="s">
        <v>1687</v>
      </c>
      <c r="F1951" s="378">
        <v>40</v>
      </c>
      <c r="G1951" s="378">
        <v>0</v>
      </c>
      <c r="H1951" s="378">
        <v>0</v>
      </c>
      <c r="I1951" s="378">
        <v>40</v>
      </c>
      <c r="J1951" s="267">
        <f t="shared" ref="J1951:J2002" si="32">+LEN(A1951)</f>
        <v>8</v>
      </c>
    </row>
    <row r="1952" spans="1:10" ht="15" customHeight="1" x14ac:dyDescent="0.25">
      <c r="A1952" s="380">
        <v>55958101</v>
      </c>
      <c r="B1952" s="381" t="s">
        <v>321</v>
      </c>
      <c r="C1952" s="381" t="s">
        <v>644</v>
      </c>
      <c r="D1952" s="381" t="s">
        <v>1655</v>
      </c>
      <c r="E1952" s="381" t="s">
        <v>1656</v>
      </c>
      <c r="F1952" s="378">
        <v>30</v>
      </c>
      <c r="G1952" s="378">
        <v>83</v>
      </c>
      <c r="H1952" s="378">
        <v>0</v>
      </c>
      <c r="I1952" s="378">
        <v>113</v>
      </c>
      <c r="J1952" s="267">
        <f t="shared" si="32"/>
        <v>8</v>
      </c>
    </row>
    <row r="1953" spans="1:10" ht="15" customHeight="1" x14ac:dyDescent="0.25">
      <c r="A1953" s="380">
        <v>55958101</v>
      </c>
      <c r="B1953" s="381" t="s">
        <v>321</v>
      </c>
      <c r="C1953" s="381" t="s">
        <v>644</v>
      </c>
      <c r="D1953" s="381" t="s">
        <v>1657</v>
      </c>
      <c r="E1953" s="381" t="s">
        <v>1658</v>
      </c>
      <c r="F1953" s="378">
        <v>376</v>
      </c>
      <c r="G1953" s="378">
        <v>36</v>
      </c>
      <c r="H1953" s="378">
        <v>0</v>
      </c>
      <c r="I1953" s="378">
        <v>412</v>
      </c>
      <c r="J1953" s="267">
        <f t="shared" si="32"/>
        <v>8</v>
      </c>
    </row>
    <row r="1954" spans="1:10" ht="15" customHeight="1" x14ac:dyDescent="0.25">
      <c r="A1954" s="380">
        <v>55958101</v>
      </c>
      <c r="B1954" s="381" t="s">
        <v>321</v>
      </c>
      <c r="C1954" s="381" t="s">
        <v>644</v>
      </c>
      <c r="D1954" s="381" t="s">
        <v>1659</v>
      </c>
      <c r="E1954" s="381" t="s">
        <v>1660</v>
      </c>
      <c r="F1954" s="378">
        <v>275</v>
      </c>
      <c r="G1954" s="378">
        <v>61</v>
      </c>
      <c r="H1954" s="378">
        <v>0</v>
      </c>
      <c r="I1954" s="378">
        <v>336</v>
      </c>
      <c r="J1954" s="267">
        <f t="shared" si="32"/>
        <v>8</v>
      </c>
    </row>
    <row r="1955" spans="1:10" ht="15" customHeight="1" x14ac:dyDescent="0.25">
      <c r="A1955" s="380">
        <v>55958101</v>
      </c>
      <c r="B1955" s="381" t="s">
        <v>321</v>
      </c>
      <c r="C1955" s="381" t="s">
        <v>644</v>
      </c>
      <c r="D1955" s="381" t="s">
        <v>1527</v>
      </c>
      <c r="E1955" s="381" t="s">
        <v>1528</v>
      </c>
      <c r="F1955" s="378">
        <v>138</v>
      </c>
      <c r="G1955" s="378">
        <v>69</v>
      </c>
      <c r="H1955" s="378">
        <v>0</v>
      </c>
      <c r="I1955" s="378">
        <v>207</v>
      </c>
      <c r="J1955" s="267">
        <f t="shared" si="32"/>
        <v>8</v>
      </c>
    </row>
    <row r="1956" spans="1:10" ht="15" customHeight="1" x14ac:dyDescent="0.25">
      <c r="A1956" s="380">
        <v>55958101</v>
      </c>
      <c r="B1956" s="381" t="s">
        <v>321</v>
      </c>
      <c r="C1956" s="381" t="s">
        <v>644</v>
      </c>
      <c r="D1956" s="381" t="s">
        <v>1444</v>
      </c>
      <c r="E1956" s="381" t="s">
        <v>1533</v>
      </c>
      <c r="F1956" s="378">
        <v>23360</v>
      </c>
      <c r="G1956" s="378">
        <v>1964</v>
      </c>
      <c r="H1956" s="378">
        <v>0</v>
      </c>
      <c r="I1956" s="378">
        <v>25324</v>
      </c>
      <c r="J1956" s="267">
        <f t="shared" si="32"/>
        <v>8</v>
      </c>
    </row>
    <row r="1957" spans="1:10" ht="15" customHeight="1" x14ac:dyDescent="0.25">
      <c r="A1957" s="380">
        <v>55958101</v>
      </c>
      <c r="B1957" s="381" t="s">
        <v>321</v>
      </c>
      <c r="C1957" s="381" t="s">
        <v>644</v>
      </c>
      <c r="D1957" s="381" t="s">
        <v>1661</v>
      </c>
      <c r="E1957" s="381" t="s">
        <v>1662</v>
      </c>
      <c r="F1957" s="378">
        <v>217</v>
      </c>
      <c r="G1957" s="378">
        <v>60</v>
      </c>
      <c r="H1957" s="378">
        <v>0</v>
      </c>
      <c r="I1957" s="378">
        <v>277</v>
      </c>
      <c r="J1957" s="267">
        <f t="shared" si="32"/>
        <v>8</v>
      </c>
    </row>
    <row r="1958" spans="1:10" ht="15" customHeight="1" x14ac:dyDescent="0.25">
      <c r="A1958" s="380">
        <v>55958101</v>
      </c>
      <c r="B1958" s="381" t="s">
        <v>321</v>
      </c>
      <c r="C1958" s="381" t="s">
        <v>644</v>
      </c>
      <c r="D1958" s="381" t="s">
        <v>1663</v>
      </c>
      <c r="E1958" s="381" t="s">
        <v>1664</v>
      </c>
      <c r="F1958" s="378">
        <v>375</v>
      </c>
      <c r="G1958" s="378">
        <v>67</v>
      </c>
      <c r="H1958" s="378">
        <v>0</v>
      </c>
      <c r="I1958" s="378">
        <v>442</v>
      </c>
      <c r="J1958" s="267">
        <f t="shared" si="32"/>
        <v>8</v>
      </c>
    </row>
    <row r="1959" spans="1:10" ht="15" customHeight="1" x14ac:dyDescent="0.25">
      <c r="A1959" s="380">
        <v>55958101</v>
      </c>
      <c r="B1959" s="381" t="s">
        <v>321</v>
      </c>
      <c r="C1959" s="381" t="s">
        <v>644</v>
      </c>
      <c r="D1959" s="381" t="s">
        <v>1609</v>
      </c>
      <c r="E1959" s="381" t="s">
        <v>1610</v>
      </c>
      <c r="F1959" s="378">
        <v>288</v>
      </c>
      <c r="G1959" s="378">
        <v>9</v>
      </c>
      <c r="H1959" s="378">
        <v>0</v>
      </c>
      <c r="I1959" s="378">
        <v>297</v>
      </c>
      <c r="J1959" s="267">
        <f t="shared" si="32"/>
        <v>8</v>
      </c>
    </row>
    <row r="1960" spans="1:10" ht="15" customHeight="1" x14ac:dyDescent="0.25">
      <c r="A1960" s="380">
        <v>55958101</v>
      </c>
      <c r="B1960" s="381" t="s">
        <v>321</v>
      </c>
      <c r="C1960" s="381" t="s">
        <v>644</v>
      </c>
      <c r="D1960" s="381" t="s">
        <v>1490</v>
      </c>
      <c r="E1960" s="381" t="s">
        <v>1491</v>
      </c>
      <c r="F1960" s="378">
        <v>36</v>
      </c>
      <c r="G1960" s="378">
        <v>0</v>
      </c>
      <c r="H1960" s="378">
        <v>0</v>
      </c>
      <c r="I1960" s="378">
        <v>36</v>
      </c>
      <c r="J1960" s="267">
        <f t="shared" si="32"/>
        <v>8</v>
      </c>
    </row>
    <row r="1961" spans="1:10" ht="15" customHeight="1" x14ac:dyDescent="0.25">
      <c r="A1961" s="380">
        <v>55958101</v>
      </c>
      <c r="B1961" s="381" t="s">
        <v>321</v>
      </c>
      <c r="C1961" s="381" t="s">
        <v>644</v>
      </c>
      <c r="D1961" s="381" t="s">
        <v>1210</v>
      </c>
      <c r="E1961" s="381" t="s">
        <v>1611</v>
      </c>
      <c r="F1961" s="378">
        <v>180</v>
      </c>
      <c r="G1961" s="378">
        <v>82</v>
      </c>
      <c r="H1961" s="378">
        <v>0</v>
      </c>
      <c r="I1961" s="378">
        <v>262</v>
      </c>
      <c r="J1961" s="267">
        <f t="shared" si="32"/>
        <v>8</v>
      </c>
    </row>
    <row r="1962" spans="1:10" ht="15" customHeight="1" x14ac:dyDescent="0.25">
      <c r="A1962" s="380">
        <v>55958101</v>
      </c>
      <c r="B1962" s="381" t="s">
        <v>321</v>
      </c>
      <c r="C1962" s="381" t="s">
        <v>644</v>
      </c>
      <c r="D1962" s="381" t="s">
        <v>1523</v>
      </c>
      <c r="E1962" s="381" t="s">
        <v>1524</v>
      </c>
      <c r="F1962" s="378">
        <v>250</v>
      </c>
      <c r="G1962" s="378">
        <v>0</v>
      </c>
      <c r="H1962" s="378">
        <v>0</v>
      </c>
      <c r="I1962" s="378">
        <v>250</v>
      </c>
      <c r="J1962" s="267">
        <f t="shared" si="32"/>
        <v>8</v>
      </c>
    </row>
    <row r="1963" spans="1:10" ht="15" customHeight="1" x14ac:dyDescent="0.25">
      <c r="A1963" s="380">
        <v>55958101</v>
      </c>
      <c r="B1963" s="381" t="s">
        <v>321</v>
      </c>
      <c r="C1963" s="381" t="s">
        <v>644</v>
      </c>
      <c r="D1963" s="381" t="s">
        <v>1665</v>
      </c>
      <c r="E1963" s="381" t="s">
        <v>1666</v>
      </c>
      <c r="F1963" s="378">
        <v>78</v>
      </c>
      <c r="G1963" s="378">
        <v>72</v>
      </c>
      <c r="H1963" s="378">
        <v>0</v>
      </c>
      <c r="I1963" s="378">
        <v>150</v>
      </c>
      <c r="J1963" s="267">
        <f t="shared" si="32"/>
        <v>8</v>
      </c>
    </row>
    <row r="1964" spans="1:10" ht="15" customHeight="1" x14ac:dyDescent="0.25">
      <c r="A1964" s="380">
        <v>55958101</v>
      </c>
      <c r="B1964" s="381" t="s">
        <v>321</v>
      </c>
      <c r="C1964" s="381" t="s">
        <v>644</v>
      </c>
      <c r="D1964" s="381" t="s">
        <v>792</v>
      </c>
      <c r="E1964" s="381" t="s">
        <v>1534</v>
      </c>
      <c r="F1964" s="378">
        <v>20622</v>
      </c>
      <c r="G1964" s="378">
        <v>1295</v>
      </c>
      <c r="H1964" s="378">
        <v>0</v>
      </c>
      <c r="I1964" s="378">
        <v>21917</v>
      </c>
      <c r="J1964" s="267">
        <f t="shared" si="32"/>
        <v>8</v>
      </c>
    </row>
    <row r="1965" spans="1:10" ht="15" customHeight="1" x14ac:dyDescent="0.25">
      <c r="A1965" s="380">
        <v>55958101</v>
      </c>
      <c r="B1965" s="381" t="s">
        <v>321</v>
      </c>
      <c r="C1965" s="381" t="s">
        <v>644</v>
      </c>
      <c r="D1965" s="381" t="s">
        <v>1492</v>
      </c>
      <c r="E1965" s="381" t="s">
        <v>1493</v>
      </c>
      <c r="F1965" s="378">
        <v>75</v>
      </c>
      <c r="G1965" s="378">
        <v>0</v>
      </c>
      <c r="H1965" s="378">
        <v>0</v>
      </c>
      <c r="I1965" s="378">
        <v>75</v>
      </c>
      <c r="J1965" s="267">
        <f t="shared" si="32"/>
        <v>8</v>
      </c>
    </row>
    <row r="1966" spans="1:10" ht="15" customHeight="1" x14ac:dyDescent="0.25">
      <c r="A1966" s="380">
        <v>55958101</v>
      </c>
      <c r="B1966" s="381" t="s">
        <v>321</v>
      </c>
      <c r="C1966" s="381" t="s">
        <v>644</v>
      </c>
      <c r="D1966" s="381" t="s">
        <v>1412</v>
      </c>
      <c r="E1966" s="381" t="s">
        <v>1413</v>
      </c>
      <c r="F1966" s="378">
        <v>971</v>
      </c>
      <c r="G1966" s="378">
        <v>0</v>
      </c>
      <c r="H1966" s="378">
        <v>0</v>
      </c>
      <c r="I1966" s="378">
        <v>971</v>
      </c>
      <c r="J1966" s="267">
        <f t="shared" si="32"/>
        <v>8</v>
      </c>
    </row>
    <row r="1967" spans="1:10" ht="15" customHeight="1" x14ac:dyDescent="0.25">
      <c r="A1967" s="380">
        <v>55958101</v>
      </c>
      <c r="B1967" s="381" t="s">
        <v>321</v>
      </c>
      <c r="C1967" s="381" t="s">
        <v>644</v>
      </c>
      <c r="D1967" s="381" t="s">
        <v>1667</v>
      </c>
      <c r="E1967" s="381" t="s">
        <v>1668</v>
      </c>
      <c r="F1967" s="378">
        <v>309</v>
      </c>
      <c r="G1967" s="378">
        <v>126</v>
      </c>
      <c r="H1967" s="378">
        <v>0</v>
      </c>
      <c r="I1967" s="378">
        <v>435</v>
      </c>
      <c r="J1967" s="267">
        <f t="shared" si="32"/>
        <v>8</v>
      </c>
    </row>
    <row r="1968" spans="1:10" ht="15" customHeight="1" x14ac:dyDescent="0.25">
      <c r="A1968" s="380">
        <v>55958101</v>
      </c>
      <c r="B1968" s="381" t="s">
        <v>321</v>
      </c>
      <c r="C1968" s="381" t="s">
        <v>644</v>
      </c>
      <c r="D1968" s="381" t="s">
        <v>1669</v>
      </c>
      <c r="E1968" s="381" t="s">
        <v>1670</v>
      </c>
      <c r="F1968" s="378">
        <v>211</v>
      </c>
      <c r="G1968" s="378">
        <v>191</v>
      </c>
      <c r="H1968" s="378">
        <v>0</v>
      </c>
      <c r="I1968" s="378">
        <v>402</v>
      </c>
      <c r="J1968" s="267">
        <f t="shared" si="32"/>
        <v>8</v>
      </c>
    </row>
    <row r="1969" spans="1:10" ht="15" customHeight="1" x14ac:dyDescent="0.25">
      <c r="A1969" s="380">
        <v>55958101</v>
      </c>
      <c r="B1969" s="381" t="s">
        <v>321</v>
      </c>
      <c r="C1969" s="381" t="s">
        <v>644</v>
      </c>
      <c r="D1969" s="381" t="s">
        <v>1671</v>
      </c>
      <c r="E1969" s="381" t="s">
        <v>1672</v>
      </c>
      <c r="F1969" s="378">
        <v>92</v>
      </c>
      <c r="G1969" s="378">
        <v>74</v>
      </c>
      <c r="H1969" s="378">
        <v>0</v>
      </c>
      <c r="I1969" s="378">
        <v>166</v>
      </c>
      <c r="J1969" s="267">
        <f t="shared" si="32"/>
        <v>8</v>
      </c>
    </row>
    <row r="1970" spans="1:10" ht="15" customHeight="1" x14ac:dyDescent="0.25">
      <c r="A1970" s="380">
        <v>55958101</v>
      </c>
      <c r="B1970" s="381" t="s">
        <v>321</v>
      </c>
      <c r="C1970" s="381" t="s">
        <v>644</v>
      </c>
      <c r="D1970" s="381" t="s">
        <v>1673</v>
      </c>
      <c r="E1970" s="381" t="s">
        <v>1674</v>
      </c>
      <c r="F1970" s="378">
        <v>156</v>
      </c>
      <c r="G1970" s="378">
        <v>126</v>
      </c>
      <c r="H1970" s="378">
        <v>0</v>
      </c>
      <c r="I1970" s="378">
        <v>282</v>
      </c>
      <c r="J1970" s="267">
        <f t="shared" si="32"/>
        <v>8</v>
      </c>
    </row>
    <row r="1971" spans="1:10" ht="15" customHeight="1" x14ac:dyDescent="0.25">
      <c r="A1971" s="380">
        <v>55958101</v>
      </c>
      <c r="B1971" s="381" t="s">
        <v>321</v>
      </c>
      <c r="C1971" s="381" t="s">
        <v>644</v>
      </c>
      <c r="D1971" s="381" t="s">
        <v>1675</v>
      </c>
      <c r="E1971" s="381" t="s">
        <v>1676</v>
      </c>
      <c r="F1971" s="378">
        <v>0</v>
      </c>
      <c r="G1971" s="378">
        <v>24</v>
      </c>
      <c r="H1971" s="378">
        <v>0</v>
      </c>
      <c r="I1971" s="378">
        <v>24</v>
      </c>
      <c r="J1971" s="267">
        <f t="shared" si="32"/>
        <v>8</v>
      </c>
    </row>
    <row r="1972" spans="1:10" ht="15" customHeight="1" x14ac:dyDescent="0.25">
      <c r="A1972" s="380">
        <v>55958101</v>
      </c>
      <c r="B1972" s="381" t="s">
        <v>321</v>
      </c>
      <c r="C1972" s="381" t="s">
        <v>644</v>
      </c>
      <c r="D1972" s="381" t="s">
        <v>1677</v>
      </c>
      <c r="E1972" s="381" t="s">
        <v>1678</v>
      </c>
      <c r="F1972" s="378">
        <v>0</v>
      </c>
      <c r="G1972" s="378">
        <v>24</v>
      </c>
      <c r="H1972" s="378">
        <v>0</v>
      </c>
      <c r="I1972" s="378">
        <v>24</v>
      </c>
      <c r="J1972" s="267">
        <f t="shared" si="32"/>
        <v>8</v>
      </c>
    </row>
    <row r="1973" spans="1:10" ht="15" customHeight="1" x14ac:dyDescent="0.25">
      <c r="A1973" s="380">
        <v>6</v>
      </c>
      <c r="B1973" s="381" t="s">
        <v>315</v>
      </c>
      <c r="C1973" s="381" t="s">
        <v>219</v>
      </c>
      <c r="D1973" s="381" t="s">
        <v>315</v>
      </c>
      <c r="E1973" s="381" t="s">
        <v>315</v>
      </c>
      <c r="F1973" s="378">
        <v>800942589</v>
      </c>
      <c r="G1973" s="378">
        <v>155609250</v>
      </c>
      <c r="H1973" s="378">
        <v>0</v>
      </c>
      <c r="I1973" s="378">
        <v>956551839</v>
      </c>
      <c r="J1973" s="267">
        <f t="shared" si="32"/>
        <v>1</v>
      </c>
    </row>
    <row r="1974" spans="1:10" ht="15" customHeight="1" x14ac:dyDescent="0.25">
      <c r="A1974" s="380">
        <v>61</v>
      </c>
      <c r="B1974" s="381" t="s">
        <v>315</v>
      </c>
      <c r="C1974" s="381" t="s">
        <v>1424</v>
      </c>
      <c r="D1974" s="381" t="s">
        <v>315</v>
      </c>
      <c r="E1974" s="381" t="s">
        <v>315</v>
      </c>
      <c r="F1974" s="378">
        <v>800942589</v>
      </c>
      <c r="G1974" s="378">
        <v>155609250</v>
      </c>
      <c r="H1974" s="378">
        <v>0</v>
      </c>
      <c r="I1974" s="378">
        <v>956551839</v>
      </c>
      <c r="J1974" s="267">
        <f t="shared" si="32"/>
        <v>2</v>
      </c>
    </row>
    <row r="1975" spans="1:10" ht="15" customHeight="1" x14ac:dyDescent="0.25">
      <c r="A1975" s="380">
        <v>6135</v>
      </c>
      <c r="B1975" s="381" t="s">
        <v>321</v>
      </c>
      <c r="C1975" s="381" t="s">
        <v>1425</v>
      </c>
      <c r="D1975" s="381" t="s">
        <v>315</v>
      </c>
      <c r="E1975" s="381" t="s">
        <v>315</v>
      </c>
      <c r="F1975" s="378">
        <v>800942589</v>
      </c>
      <c r="G1975" s="378">
        <v>155609250</v>
      </c>
      <c r="H1975" s="378">
        <v>0</v>
      </c>
      <c r="I1975" s="378">
        <v>956551839</v>
      </c>
      <c r="J1975" s="267">
        <f t="shared" si="32"/>
        <v>4</v>
      </c>
    </row>
    <row r="1976" spans="1:10" ht="15" customHeight="1" x14ac:dyDescent="0.25">
      <c r="A1976" s="380">
        <v>613599</v>
      </c>
      <c r="B1976" s="381" t="s">
        <v>321</v>
      </c>
      <c r="C1976" s="381" t="s">
        <v>393</v>
      </c>
      <c r="D1976" s="381" t="s">
        <v>315</v>
      </c>
      <c r="E1976" s="381" t="s">
        <v>315</v>
      </c>
      <c r="F1976" s="378">
        <v>800942589</v>
      </c>
      <c r="G1976" s="378">
        <v>155609250</v>
      </c>
      <c r="H1976" s="378">
        <v>0</v>
      </c>
      <c r="I1976" s="378">
        <v>956551839</v>
      </c>
      <c r="J1976" s="267">
        <f t="shared" si="32"/>
        <v>6</v>
      </c>
    </row>
    <row r="1977" spans="1:10" ht="15" customHeight="1" x14ac:dyDescent="0.25">
      <c r="A1977" s="380">
        <v>61359901</v>
      </c>
      <c r="B1977" s="381" t="s">
        <v>321</v>
      </c>
      <c r="C1977" s="381" t="s">
        <v>393</v>
      </c>
      <c r="D1977" s="381" t="s">
        <v>315</v>
      </c>
      <c r="E1977" s="381" t="s">
        <v>315</v>
      </c>
      <c r="F1977" s="378">
        <v>800942589</v>
      </c>
      <c r="G1977" s="378">
        <v>155609250</v>
      </c>
      <c r="H1977" s="378">
        <v>0</v>
      </c>
      <c r="I1977" s="378">
        <v>956551839</v>
      </c>
      <c r="J1977" s="267">
        <f t="shared" si="32"/>
        <v>8</v>
      </c>
    </row>
    <row r="1978" spans="1:10" ht="15" customHeight="1" x14ac:dyDescent="0.25">
      <c r="A1978" s="380">
        <v>61359901</v>
      </c>
      <c r="B1978" s="381" t="s">
        <v>321</v>
      </c>
      <c r="C1978" s="381" t="s">
        <v>393</v>
      </c>
      <c r="D1978" s="381" t="s">
        <v>394</v>
      </c>
      <c r="E1978" s="381" t="s">
        <v>836</v>
      </c>
      <c r="F1978" s="378">
        <v>800942589</v>
      </c>
      <c r="G1978" s="378">
        <v>155609250</v>
      </c>
      <c r="H1978" s="378">
        <v>0</v>
      </c>
      <c r="I1978" s="378">
        <v>956551839</v>
      </c>
      <c r="J1978" s="267">
        <f t="shared" si="32"/>
        <v>8</v>
      </c>
    </row>
    <row r="1979" spans="1:10" ht="15" customHeight="1" x14ac:dyDescent="0.25">
      <c r="A1979" s="381"/>
      <c r="B1979" s="381"/>
      <c r="C1979" s="381"/>
      <c r="D1979" s="381"/>
      <c r="E1979" s="381"/>
      <c r="F1979" s="378"/>
      <c r="G1979" s="378"/>
      <c r="H1979" s="378"/>
      <c r="I1979" s="378"/>
      <c r="J1979" s="267">
        <f t="shared" si="32"/>
        <v>0</v>
      </c>
    </row>
    <row r="1980" spans="1:10" ht="15" customHeight="1" x14ac:dyDescent="0.25">
      <c r="A1980" s="381"/>
      <c r="B1980" s="381"/>
      <c r="C1980" s="381"/>
      <c r="D1980" s="381"/>
      <c r="E1980" s="381"/>
      <c r="F1980" s="378"/>
      <c r="G1980" s="378"/>
      <c r="H1980" s="378"/>
      <c r="I1980" s="378"/>
      <c r="J1980" s="267">
        <f t="shared" si="32"/>
        <v>0</v>
      </c>
    </row>
    <row r="1981" spans="1:10" ht="15" customHeight="1" x14ac:dyDescent="0.25">
      <c r="A1981" s="381"/>
      <c r="B1981" s="381"/>
      <c r="C1981" s="381"/>
      <c r="D1981" s="381"/>
      <c r="E1981" s="381"/>
      <c r="F1981" s="378"/>
      <c r="G1981" s="378"/>
      <c r="H1981" s="378"/>
      <c r="I1981" s="378"/>
      <c r="J1981" s="267">
        <f t="shared" si="32"/>
        <v>0</v>
      </c>
    </row>
    <row r="1982" spans="1:10" ht="15" customHeight="1" x14ac:dyDescent="0.25">
      <c r="A1982" s="381"/>
      <c r="B1982" s="381"/>
      <c r="C1982" s="381"/>
      <c r="D1982" s="381"/>
      <c r="E1982" s="381"/>
      <c r="F1982" s="378"/>
      <c r="G1982" s="378"/>
      <c r="H1982" s="378"/>
      <c r="I1982" s="378"/>
      <c r="J1982" s="267">
        <f t="shared" si="32"/>
        <v>0</v>
      </c>
    </row>
    <row r="1983" spans="1:10" ht="15" customHeight="1" x14ac:dyDescent="0.25">
      <c r="A1983" s="381"/>
      <c r="B1983" s="381"/>
      <c r="C1983" s="381"/>
      <c r="D1983" s="381"/>
      <c r="E1983" s="381"/>
      <c r="F1983" s="378"/>
      <c r="G1983" s="378"/>
      <c r="H1983" s="378"/>
      <c r="I1983" s="378"/>
      <c r="J1983" s="267">
        <f t="shared" si="32"/>
        <v>0</v>
      </c>
    </row>
    <row r="1984" spans="1:10" ht="15" customHeight="1" x14ac:dyDescent="0.25">
      <c r="A1984" s="381"/>
      <c r="B1984" s="381"/>
      <c r="C1984" s="381"/>
      <c r="D1984" s="381"/>
      <c r="E1984" s="381"/>
      <c r="F1984" s="378"/>
      <c r="G1984" s="378"/>
      <c r="H1984" s="378"/>
      <c r="I1984" s="378"/>
      <c r="J1984" s="267">
        <f t="shared" si="32"/>
        <v>0</v>
      </c>
    </row>
    <row r="1985" spans="1:10" ht="15" customHeight="1" x14ac:dyDescent="0.25">
      <c r="A1985" s="381"/>
      <c r="B1985" s="381"/>
      <c r="C1985" s="381"/>
      <c r="D1985" s="381"/>
      <c r="E1985" s="381"/>
      <c r="F1985" s="378"/>
      <c r="G1985" s="378"/>
      <c r="H1985" s="378"/>
      <c r="I1985" s="378"/>
      <c r="J1985" s="267">
        <f t="shared" si="32"/>
        <v>0</v>
      </c>
    </row>
    <row r="1986" spans="1:10" ht="15" customHeight="1" x14ac:dyDescent="0.25">
      <c r="A1986" s="381"/>
      <c r="B1986" s="381"/>
      <c r="C1986" s="381"/>
      <c r="D1986" s="381"/>
      <c r="E1986" s="381"/>
      <c r="F1986" s="378"/>
      <c r="G1986" s="378"/>
      <c r="H1986" s="378"/>
      <c r="I1986" s="378"/>
      <c r="J1986" s="267">
        <f t="shared" si="32"/>
        <v>0</v>
      </c>
    </row>
    <row r="1987" spans="1:10" ht="15" customHeight="1" x14ac:dyDescent="0.25">
      <c r="A1987" s="381"/>
      <c r="B1987" s="381"/>
      <c r="C1987" s="381"/>
      <c r="D1987" s="381"/>
      <c r="E1987" s="381"/>
      <c r="F1987" s="378"/>
      <c r="G1987" s="378"/>
      <c r="H1987" s="378"/>
      <c r="I1987" s="378"/>
      <c r="J1987" s="267">
        <f t="shared" si="32"/>
        <v>0</v>
      </c>
    </row>
    <row r="1988" spans="1:10" ht="15" customHeight="1" x14ac:dyDescent="0.25">
      <c r="A1988" s="381"/>
      <c r="B1988" s="381"/>
      <c r="C1988" s="381"/>
      <c r="D1988" s="381"/>
      <c r="E1988" s="381"/>
      <c r="F1988" s="378"/>
      <c r="G1988" s="378"/>
      <c r="H1988" s="378"/>
      <c r="I1988" s="378"/>
      <c r="J1988" s="267">
        <f t="shared" si="32"/>
        <v>0</v>
      </c>
    </row>
    <row r="1989" spans="1:10" ht="15" customHeight="1" x14ac:dyDescent="0.25">
      <c r="A1989" s="381"/>
      <c r="B1989" s="381"/>
      <c r="C1989" s="381"/>
      <c r="D1989" s="381"/>
      <c r="E1989" s="381"/>
      <c r="F1989" s="378"/>
      <c r="G1989" s="378"/>
      <c r="H1989" s="378"/>
      <c r="I1989" s="378"/>
      <c r="J1989" s="267">
        <f t="shared" si="32"/>
        <v>0</v>
      </c>
    </row>
    <row r="1990" spans="1:10" ht="15" customHeight="1" x14ac:dyDescent="0.25">
      <c r="A1990" s="381"/>
      <c r="B1990" s="381"/>
      <c r="C1990" s="381"/>
      <c r="D1990" s="381"/>
      <c r="E1990" s="381"/>
      <c r="F1990" s="378"/>
      <c r="G1990" s="378"/>
      <c r="H1990" s="378"/>
      <c r="I1990" s="378"/>
      <c r="J1990" s="267">
        <f t="shared" si="32"/>
        <v>0</v>
      </c>
    </row>
    <row r="1991" spans="1:10" ht="15" customHeight="1" x14ac:dyDescent="0.25">
      <c r="A1991" s="381"/>
      <c r="B1991" s="381"/>
      <c r="C1991" s="381"/>
      <c r="D1991" s="381"/>
      <c r="E1991" s="381"/>
      <c r="F1991" s="378"/>
      <c r="G1991" s="378"/>
      <c r="H1991" s="378"/>
      <c r="I1991" s="378"/>
      <c r="J1991" s="267">
        <f t="shared" si="32"/>
        <v>0</v>
      </c>
    </row>
    <row r="1992" spans="1:10" ht="15" customHeight="1" x14ac:dyDescent="0.25">
      <c r="A1992" s="381"/>
      <c r="B1992" s="381"/>
      <c r="C1992" s="381"/>
      <c r="D1992" s="381"/>
      <c r="E1992" s="381"/>
      <c r="F1992" s="378"/>
      <c r="G1992" s="378"/>
      <c r="H1992" s="378"/>
      <c r="I1992" s="378"/>
      <c r="J1992" s="267">
        <f t="shared" si="32"/>
        <v>0</v>
      </c>
    </row>
    <row r="1993" spans="1:10" ht="15" customHeight="1" x14ac:dyDescent="0.25">
      <c r="A1993" s="381"/>
      <c r="B1993" s="381"/>
      <c r="C1993" s="381"/>
      <c r="D1993" s="381"/>
      <c r="E1993" s="381"/>
      <c r="F1993" s="378"/>
      <c r="G1993" s="378"/>
      <c r="H1993" s="378"/>
      <c r="I1993" s="378"/>
      <c r="J1993" s="267">
        <f t="shared" si="32"/>
        <v>0</v>
      </c>
    </row>
    <row r="1994" spans="1:10" ht="15" customHeight="1" x14ac:dyDescent="0.25">
      <c r="A1994" s="381"/>
      <c r="B1994" s="381"/>
      <c r="C1994" s="381"/>
      <c r="D1994" s="381"/>
      <c r="E1994" s="381"/>
      <c r="F1994" s="378"/>
      <c r="G1994" s="378"/>
      <c r="H1994" s="378"/>
      <c r="I1994" s="378"/>
      <c r="J1994" s="267">
        <f t="shared" si="32"/>
        <v>0</v>
      </c>
    </row>
    <row r="1995" spans="1:10" ht="15" customHeight="1" x14ac:dyDescent="0.25">
      <c r="A1995" s="381"/>
      <c r="B1995" s="381"/>
      <c r="C1995" s="381"/>
      <c r="D1995" s="381"/>
      <c r="E1995" s="381"/>
      <c r="F1995" s="378"/>
      <c r="G1995" s="378"/>
      <c r="H1995" s="378"/>
      <c r="I1995" s="378"/>
      <c r="J1995" s="267">
        <f t="shared" si="32"/>
        <v>0</v>
      </c>
    </row>
    <row r="1996" spans="1:10" ht="15" customHeight="1" x14ac:dyDescent="0.25">
      <c r="A1996" s="381"/>
      <c r="B1996" s="381"/>
      <c r="C1996" s="381"/>
      <c r="D1996" s="381"/>
      <c r="E1996" s="381"/>
      <c r="F1996" s="378"/>
      <c r="G1996" s="378"/>
      <c r="H1996" s="378"/>
      <c r="I1996" s="378"/>
      <c r="J1996" s="267">
        <f t="shared" si="32"/>
        <v>0</v>
      </c>
    </row>
    <row r="1997" spans="1:10" ht="15" customHeight="1" x14ac:dyDescent="0.25">
      <c r="A1997" s="381"/>
      <c r="B1997" s="381"/>
      <c r="C1997" s="381"/>
      <c r="D1997" s="381"/>
      <c r="E1997" s="381"/>
      <c r="F1997" s="378"/>
      <c r="G1997" s="378"/>
      <c r="H1997" s="378"/>
      <c r="I1997" s="378"/>
      <c r="J1997" s="267">
        <f t="shared" si="32"/>
        <v>0</v>
      </c>
    </row>
    <row r="1998" spans="1:10" ht="15" customHeight="1" x14ac:dyDescent="0.25">
      <c r="A1998" s="381"/>
      <c r="B1998" s="381"/>
      <c r="C1998" s="381"/>
      <c r="D1998" s="381"/>
      <c r="E1998" s="381"/>
      <c r="F1998" s="378"/>
      <c r="G1998" s="378"/>
      <c r="H1998" s="378"/>
      <c r="I1998" s="378"/>
      <c r="J1998" s="267">
        <f t="shared" si="32"/>
        <v>0</v>
      </c>
    </row>
    <row r="1999" spans="1:10" ht="15" customHeight="1" x14ac:dyDescent="0.25">
      <c r="A1999" s="381"/>
      <c r="B1999" s="381"/>
      <c r="C1999" s="381"/>
      <c r="D1999" s="381"/>
      <c r="E1999" s="381"/>
      <c r="F1999" s="378"/>
      <c r="G1999" s="378"/>
      <c r="H1999" s="378"/>
      <c r="I1999" s="378"/>
      <c r="J1999" s="267">
        <f t="shared" si="32"/>
        <v>0</v>
      </c>
    </row>
    <row r="2000" spans="1:10" ht="15" customHeight="1" x14ac:dyDescent="0.25">
      <c r="A2000" s="381"/>
      <c r="B2000" s="381"/>
      <c r="C2000" s="381"/>
      <c r="D2000" s="381"/>
      <c r="E2000" s="381"/>
      <c r="F2000" s="378"/>
      <c r="G2000" s="378"/>
      <c r="H2000" s="378"/>
      <c r="I2000" s="378"/>
      <c r="J2000" s="267">
        <f t="shared" si="32"/>
        <v>0</v>
      </c>
    </row>
    <row r="2001" spans="1:10" ht="15" customHeight="1" x14ac:dyDescent="0.25">
      <c r="A2001" s="381"/>
      <c r="B2001" s="381"/>
      <c r="C2001" s="381"/>
      <c r="D2001" s="381"/>
      <c r="E2001" s="381"/>
      <c r="F2001" s="378"/>
      <c r="G2001" s="378"/>
      <c r="H2001" s="378"/>
      <c r="I2001" s="378"/>
      <c r="J2001" s="267">
        <f t="shared" si="32"/>
        <v>0</v>
      </c>
    </row>
    <row r="2002" spans="1:10" ht="15" customHeight="1" x14ac:dyDescent="0.25">
      <c r="A2002" s="381" t="e">
        <v>#N/A</v>
      </c>
      <c r="B2002" s="381" t="e">
        <v>#N/A</v>
      </c>
      <c r="C2002" s="381" t="e">
        <v>#N/A</v>
      </c>
      <c r="D2002" s="381" t="e">
        <v>#N/A</v>
      </c>
      <c r="E2002" s="381" t="e">
        <v>#N/A</v>
      </c>
      <c r="F2002" s="378" t="e">
        <v>#N/A</v>
      </c>
      <c r="G2002" s="378" t="e">
        <v>#N/A</v>
      </c>
      <c r="H2002" s="378" t="e">
        <v>#N/A</v>
      </c>
      <c r="I2002" s="378" t="e">
        <v>#N/A</v>
      </c>
      <c r="J2002" s="267" t="e">
        <f t="shared" si="32"/>
        <v>#N/A</v>
      </c>
    </row>
    <row r="2003" spans="1:10" ht="15" customHeight="1" x14ac:dyDescent="0.25">
      <c r="A2003" s="381"/>
      <c r="B2003" s="381"/>
      <c r="C2003" s="381"/>
      <c r="D2003" s="381"/>
      <c r="E2003" s="381"/>
      <c r="F2003" s="378"/>
      <c r="G2003" s="378"/>
      <c r="H2003" s="378"/>
      <c r="I2003" s="378"/>
    </row>
    <row r="2004" spans="1:10" ht="15" customHeight="1" x14ac:dyDescent="0.25">
      <c r="A2004" s="381"/>
      <c r="B2004" s="381"/>
      <c r="C2004" s="381"/>
      <c r="D2004" s="381"/>
      <c r="E2004" s="381"/>
      <c r="F2004" s="378"/>
      <c r="G2004" s="378"/>
      <c r="H2004" s="378"/>
      <c r="I2004" s="378"/>
    </row>
    <row r="2005" spans="1:10" ht="15" customHeight="1" x14ac:dyDescent="0.25">
      <c r="A2005" s="381"/>
      <c r="B2005" s="381"/>
      <c r="C2005" s="381"/>
      <c r="D2005" s="381"/>
      <c r="E2005" s="381"/>
      <c r="F2005" s="378"/>
      <c r="G2005" s="378"/>
      <c r="H2005" s="378"/>
      <c r="I2005" s="378"/>
    </row>
    <row r="2006" spans="1:10" ht="15" customHeight="1" x14ac:dyDescent="0.25">
      <c r="A2006" s="381"/>
      <c r="B2006" s="381"/>
      <c r="C2006" s="381"/>
      <c r="D2006" s="381"/>
      <c r="E2006" s="381"/>
      <c r="F2006" s="378"/>
      <c r="G2006" s="378"/>
      <c r="H2006" s="378"/>
      <c r="I2006" s="378"/>
    </row>
    <row r="2007" spans="1:10" ht="15" customHeight="1" x14ac:dyDescent="0.25">
      <c r="A2007" s="381"/>
      <c r="B2007" s="381"/>
      <c r="C2007" s="381"/>
      <c r="D2007" s="381"/>
      <c r="E2007" s="381"/>
      <c r="F2007" s="378"/>
      <c r="G2007" s="378"/>
      <c r="H2007" s="378"/>
      <c r="I2007" s="378"/>
    </row>
    <row r="2008" spans="1:10" ht="15" customHeight="1" x14ac:dyDescent="0.25">
      <c r="A2008" s="381"/>
      <c r="B2008" s="381"/>
      <c r="C2008" s="381"/>
      <c r="D2008" s="381"/>
      <c r="E2008" s="381"/>
      <c r="F2008" s="378"/>
      <c r="G2008" s="378"/>
      <c r="H2008" s="378"/>
      <c r="I2008" s="378"/>
    </row>
    <row r="2009" spans="1:10" ht="15" customHeight="1" x14ac:dyDescent="0.25">
      <c r="A2009" s="381"/>
      <c r="B2009" s="381"/>
      <c r="C2009" s="381"/>
      <c r="D2009" s="381"/>
      <c r="E2009" s="381"/>
      <c r="F2009" s="378"/>
      <c r="G2009" s="378"/>
      <c r="H2009" s="378"/>
      <c r="I2009" s="378"/>
    </row>
    <row r="2010" spans="1:10" ht="15" customHeight="1" x14ac:dyDescent="0.25">
      <c r="A2010" s="381"/>
      <c r="B2010" s="381"/>
      <c r="C2010" s="381"/>
      <c r="D2010" s="381"/>
      <c r="E2010" s="381"/>
      <c r="F2010" s="378"/>
      <c r="G2010" s="378"/>
      <c r="H2010" s="378"/>
      <c r="I2010" s="378"/>
    </row>
    <row r="2011" spans="1:10" ht="15" customHeight="1" x14ac:dyDescent="0.25">
      <c r="A2011" s="381"/>
      <c r="B2011" s="381"/>
      <c r="C2011" s="381"/>
      <c r="D2011" s="381"/>
      <c r="E2011" s="381"/>
      <c r="F2011" s="378"/>
      <c r="G2011" s="378"/>
      <c r="H2011" s="378"/>
      <c r="I2011" s="378"/>
    </row>
    <row r="2012" spans="1:10" ht="15" customHeight="1" x14ac:dyDescent="0.25">
      <c r="A2012" s="381"/>
      <c r="B2012" s="381"/>
      <c r="C2012" s="381"/>
      <c r="D2012" s="381"/>
      <c r="E2012" s="381"/>
      <c r="F2012" s="378"/>
      <c r="G2012" s="378"/>
      <c r="H2012" s="378"/>
      <c r="I2012" s="378"/>
    </row>
    <row r="2013" spans="1:10" ht="15" customHeight="1" x14ac:dyDescent="0.25">
      <c r="A2013" s="381"/>
      <c r="B2013" s="381"/>
      <c r="C2013" s="381"/>
      <c r="D2013" s="381"/>
      <c r="E2013" s="381"/>
      <c r="F2013" s="378"/>
      <c r="G2013" s="378"/>
      <c r="H2013" s="378"/>
      <c r="I2013" s="378"/>
    </row>
    <row r="2014" spans="1:10" ht="15" customHeight="1" x14ac:dyDescent="0.25">
      <c r="A2014" s="381"/>
      <c r="B2014" s="381"/>
      <c r="C2014" s="381"/>
      <c r="D2014" s="381"/>
      <c r="E2014" s="381"/>
      <c r="F2014" s="378"/>
      <c r="G2014" s="378"/>
      <c r="H2014" s="378"/>
      <c r="I2014" s="378"/>
    </row>
    <row r="2015" spans="1:10" ht="15" customHeight="1" x14ac:dyDescent="0.25">
      <c r="A2015" s="381"/>
      <c r="B2015" s="381"/>
      <c r="C2015" s="381"/>
      <c r="D2015" s="381"/>
      <c r="E2015" s="381"/>
      <c r="F2015" s="378"/>
      <c r="G2015" s="378"/>
      <c r="H2015" s="378"/>
      <c r="I2015" s="378"/>
    </row>
    <row r="2016" spans="1:10" ht="15" customHeight="1" x14ac:dyDescent="0.25">
      <c r="A2016" s="381"/>
      <c r="B2016" s="381"/>
      <c r="C2016" s="381"/>
      <c r="D2016" s="381"/>
      <c r="E2016" s="381"/>
      <c r="F2016" s="378"/>
      <c r="G2016" s="378"/>
      <c r="H2016" s="378"/>
      <c r="I2016" s="378"/>
    </row>
    <row r="2017" spans="1:9" ht="15" customHeight="1" x14ac:dyDescent="0.25">
      <c r="A2017" s="381"/>
      <c r="B2017" s="381"/>
      <c r="C2017" s="381"/>
      <c r="D2017" s="381"/>
      <c r="E2017" s="381"/>
      <c r="F2017" s="378"/>
      <c r="G2017" s="378"/>
      <c r="H2017" s="378"/>
      <c r="I2017" s="378"/>
    </row>
    <row r="2018" spans="1:9" ht="15" customHeight="1" x14ac:dyDescent="0.25">
      <c r="A2018" s="381"/>
      <c r="B2018" s="381"/>
      <c r="C2018" s="381"/>
      <c r="D2018" s="381"/>
      <c r="E2018" s="381"/>
      <c r="F2018" s="378"/>
      <c r="G2018" s="378"/>
      <c r="H2018" s="378"/>
      <c r="I2018" s="378"/>
    </row>
    <row r="2019" spans="1:9" ht="15" customHeight="1" x14ac:dyDescent="0.25">
      <c r="A2019" s="381"/>
      <c r="B2019" s="381"/>
      <c r="C2019" s="381"/>
      <c r="D2019" s="381"/>
      <c r="E2019" s="381"/>
      <c r="F2019" s="378"/>
      <c r="G2019" s="378"/>
      <c r="H2019" s="378"/>
      <c r="I2019" s="378"/>
    </row>
    <row r="2020" spans="1:9" ht="15" customHeight="1" x14ac:dyDescent="0.25">
      <c r="A2020" s="381"/>
      <c r="B2020" s="381"/>
      <c r="C2020" s="381"/>
      <c r="D2020" s="381"/>
      <c r="E2020" s="381"/>
      <c r="F2020" s="378"/>
      <c r="G2020" s="378"/>
      <c r="H2020" s="378"/>
      <c r="I2020" s="378"/>
    </row>
    <row r="2021" spans="1:9" ht="15" customHeight="1" x14ac:dyDescent="0.25">
      <c r="A2021" s="381"/>
      <c r="B2021" s="381"/>
      <c r="C2021" s="381"/>
      <c r="D2021" s="381"/>
      <c r="E2021" s="381"/>
      <c r="F2021" s="378"/>
      <c r="G2021" s="378"/>
      <c r="H2021" s="378"/>
      <c r="I2021" s="378"/>
    </row>
    <row r="2022" spans="1:9" ht="15" customHeight="1" x14ac:dyDescent="0.25">
      <c r="A2022" s="381"/>
      <c r="B2022" s="381"/>
      <c r="C2022" s="381"/>
      <c r="D2022" s="381"/>
      <c r="E2022" s="381"/>
      <c r="F2022" s="378"/>
      <c r="G2022" s="378"/>
      <c r="H2022" s="378"/>
      <c r="I2022" s="378"/>
    </row>
    <row r="2023" spans="1:9" ht="15" customHeight="1" x14ac:dyDescent="0.25">
      <c r="A2023" s="381"/>
      <c r="B2023" s="381"/>
      <c r="C2023" s="381"/>
      <c r="D2023" s="381"/>
      <c r="E2023" s="381"/>
      <c r="F2023" s="378"/>
      <c r="G2023" s="378"/>
      <c r="H2023" s="378"/>
      <c r="I2023" s="378"/>
    </row>
    <row r="2024" spans="1:9" ht="15" customHeight="1" x14ac:dyDescent="0.25">
      <c r="A2024" s="381"/>
      <c r="B2024" s="381"/>
      <c r="C2024" s="381"/>
      <c r="D2024" s="381"/>
      <c r="E2024" s="381"/>
      <c r="F2024" s="378"/>
      <c r="G2024" s="378"/>
      <c r="H2024" s="378"/>
      <c r="I2024" s="378"/>
    </row>
    <row r="2025" spans="1:9" ht="15" customHeight="1" x14ac:dyDescent="0.25">
      <c r="A2025" s="381"/>
      <c r="B2025" s="381"/>
      <c r="C2025" s="381"/>
      <c r="D2025" s="381"/>
      <c r="E2025" s="381"/>
      <c r="F2025" s="378"/>
      <c r="G2025" s="378"/>
      <c r="H2025" s="378"/>
      <c r="I2025" s="378"/>
    </row>
    <row r="2026" spans="1:9" ht="15" customHeight="1" x14ac:dyDescent="0.25">
      <c r="A2026" s="381"/>
      <c r="B2026" s="381"/>
      <c r="C2026" s="381"/>
      <c r="D2026" s="381"/>
      <c r="E2026" s="381"/>
      <c r="F2026" s="378"/>
      <c r="G2026" s="378"/>
      <c r="H2026" s="378"/>
      <c r="I2026" s="378"/>
    </row>
    <row r="2027" spans="1:9" ht="15" customHeight="1" x14ac:dyDescent="0.25">
      <c r="A2027" s="381"/>
      <c r="B2027" s="381"/>
      <c r="C2027" s="381"/>
      <c r="D2027" s="381"/>
      <c r="E2027" s="381"/>
      <c r="F2027" s="378"/>
      <c r="G2027" s="378"/>
      <c r="H2027" s="378"/>
      <c r="I2027" s="378"/>
    </row>
    <row r="2028" spans="1:9" ht="15" customHeight="1" x14ac:dyDescent="0.25">
      <c r="A2028" s="381"/>
      <c r="B2028" s="381"/>
      <c r="C2028" s="381"/>
      <c r="D2028" s="381"/>
      <c r="E2028" s="381"/>
      <c r="F2028" s="378"/>
      <c r="G2028" s="378"/>
      <c r="H2028" s="378"/>
      <c r="I2028" s="378"/>
    </row>
    <row r="2029" spans="1:9" ht="15" customHeight="1" x14ac:dyDescent="0.25">
      <c r="A2029" s="381"/>
      <c r="B2029" s="381"/>
      <c r="C2029" s="381"/>
      <c r="D2029" s="381"/>
      <c r="E2029" s="381"/>
      <c r="F2029" s="378"/>
      <c r="G2029" s="378"/>
      <c r="H2029" s="378"/>
      <c r="I2029" s="378"/>
    </row>
    <row r="2030" spans="1:9" ht="15" customHeight="1" x14ac:dyDescent="0.25">
      <c r="A2030" s="381"/>
      <c r="B2030" s="381"/>
      <c r="C2030" s="381"/>
      <c r="D2030" s="381"/>
      <c r="E2030" s="381"/>
      <c r="F2030" s="378"/>
      <c r="G2030" s="378"/>
      <c r="H2030" s="378"/>
      <c r="I2030" s="378"/>
    </row>
    <row r="2031" spans="1:9" ht="15" customHeight="1" x14ac:dyDescent="0.25">
      <c r="A2031" s="381"/>
      <c r="B2031" s="381"/>
      <c r="C2031" s="381"/>
      <c r="D2031" s="381"/>
      <c r="E2031" s="381"/>
      <c r="F2031" s="378"/>
      <c r="G2031" s="378"/>
      <c r="H2031" s="378"/>
      <c r="I2031" s="378"/>
    </row>
    <row r="2032" spans="1:9" ht="15" customHeight="1" x14ac:dyDescent="0.25">
      <c r="A2032" s="381"/>
      <c r="B2032" s="381"/>
      <c r="C2032" s="381"/>
      <c r="D2032" s="381"/>
      <c r="E2032" s="381"/>
      <c r="F2032" s="378"/>
      <c r="G2032" s="378"/>
      <c r="H2032" s="378"/>
      <c r="I2032" s="378"/>
    </row>
    <row r="2033" spans="1:9" ht="15" customHeight="1" x14ac:dyDescent="0.25">
      <c r="A2033" s="381"/>
      <c r="B2033" s="381"/>
      <c r="C2033" s="381"/>
      <c r="D2033" s="381"/>
      <c r="E2033" s="381"/>
      <c r="F2033" s="378"/>
      <c r="G2033" s="378"/>
      <c r="H2033" s="378"/>
      <c r="I2033" s="378"/>
    </row>
    <row r="2034" spans="1:9" ht="15" customHeight="1" x14ac:dyDescent="0.25">
      <c r="A2034" s="381"/>
      <c r="B2034" s="381"/>
      <c r="C2034" s="381"/>
      <c r="D2034" s="381"/>
      <c r="E2034" s="381"/>
      <c r="F2034" s="378"/>
      <c r="G2034" s="378"/>
      <c r="H2034" s="378"/>
      <c r="I2034" s="378"/>
    </row>
    <row r="2035" spans="1:9" ht="15" customHeight="1" x14ac:dyDescent="0.25">
      <c r="A2035" s="381"/>
      <c r="B2035" s="381"/>
      <c r="C2035" s="381"/>
      <c r="D2035" s="381"/>
      <c r="E2035" s="381"/>
      <c r="F2035" s="378"/>
      <c r="G2035" s="378"/>
      <c r="H2035" s="378"/>
      <c r="I2035" s="378"/>
    </row>
    <row r="2036" spans="1:9" ht="15" customHeight="1" x14ac:dyDescent="0.25">
      <c r="A2036" s="381"/>
      <c r="B2036" s="381"/>
      <c r="C2036" s="381"/>
      <c r="D2036" s="381"/>
      <c r="E2036" s="381"/>
      <c r="F2036" s="378"/>
      <c r="G2036" s="378"/>
      <c r="H2036" s="378"/>
      <c r="I2036" s="378"/>
    </row>
    <row r="2037" spans="1:9" ht="15" customHeight="1" x14ac:dyDescent="0.25">
      <c r="A2037" s="381"/>
      <c r="B2037" s="381"/>
      <c r="C2037" s="381"/>
      <c r="D2037" s="381"/>
      <c r="E2037" s="381"/>
      <c r="F2037" s="378"/>
      <c r="G2037" s="378"/>
      <c r="H2037" s="378"/>
      <c r="I2037" s="378"/>
    </row>
    <row r="2038" spans="1:9" ht="15" customHeight="1" x14ac:dyDescent="0.25">
      <c r="A2038" s="381"/>
      <c r="B2038" s="381"/>
      <c r="C2038" s="381"/>
      <c r="D2038" s="381"/>
      <c r="E2038" s="381"/>
      <c r="F2038" s="378"/>
      <c r="G2038" s="378"/>
      <c r="H2038" s="378"/>
      <c r="I2038" s="378"/>
    </row>
    <row r="2039" spans="1:9" ht="15" customHeight="1" x14ac:dyDescent="0.25">
      <c r="A2039" s="381"/>
      <c r="B2039" s="381"/>
      <c r="C2039" s="381"/>
      <c r="D2039" s="381"/>
      <c r="E2039" s="381"/>
      <c r="F2039" s="378"/>
      <c r="G2039" s="378"/>
      <c r="H2039" s="378"/>
      <c r="I2039" s="378"/>
    </row>
    <row r="2040" spans="1:9" ht="15" customHeight="1" x14ac:dyDescent="0.25">
      <c r="A2040" s="381"/>
      <c r="B2040" s="381"/>
      <c r="C2040" s="381"/>
      <c r="D2040" s="381"/>
      <c r="E2040" s="381"/>
      <c r="F2040" s="378"/>
      <c r="G2040" s="378"/>
      <c r="H2040" s="378"/>
      <c r="I2040" s="378"/>
    </row>
    <row r="2041" spans="1:9" ht="15" customHeight="1" x14ac:dyDescent="0.25">
      <c r="A2041" s="381"/>
      <c r="B2041" s="381"/>
      <c r="C2041" s="381"/>
      <c r="D2041" s="381"/>
      <c r="E2041" s="381"/>
      <c r="F2041" s="378"/>
      <c r="G2041" s="378"/>
      <c r="H2041" s="378"/>
      <c r="I2041" s="378"/>
    </row>
    <row r="2042" spans="1:9" ht="15" customHeight="1" x14ac:dyDescent="0.25">
      <c r="A2042" s="381"/>
      <c r="B2042" s="381"/>
      <c r="C2042" s="381"/>
      <c r="D2042" s="381"/>
      <c r="E2042" s="381"/>
      <c r="F2042" s="378"/>
      <c r="G2042" s="378"/>
      <c r="H2042" s="378"/>
      <c r="I2042" s="378"/>
    </row>
    <row r="2043" spans="1:9" ht="15" customHeight="1" x14ac:dyDescent="0.25">
      <c r="A2043" s="381"/>
      <c r="B2043" s="381"/>
      <c r="C2043" s="381"/>
      <c r="D2043" s="381"/>
      <c r="E2043" s="381"/>
      <c r="F2043" s="378"/>
      <c r="G2043" s="378"/>
      <c r="H2043" s="378"/>
      <c r="I2043" s="378"/>
    </row>
    <row r="2044" spans="1:9" ht="15" customHeight="1" x14ac:dyDescent="0.25">
      <c r="A2044" s="381"/>
      <c r="B2044" s="381"/>
      <c r="C2044" s="381"/>
      <c r="D2044" s="381"/>
      <c r="E2044" s="381"/>
      <c r="F2044" s="378"/>
      <c r="G2044" s="378"/>
      <c r="H2044" s="378"/>
      <c r="I2044" s="378"/>
    </row>
    <row r="2045" spans="1:9" ht="15" customHeight="1" x14ac:dyDescent="0.25">
      <c r="A2045" s="381"/>
      <c r="B2045" s="381"/>
      <c r="C2045" s="381"/>
      <c r="D2045" s="381"/>
      <c r="E2045" s="381"/>
      <c r="F2045" s="378"/>
      <c r="G2045" s="378"/>
      <c r="H2045" s="378"/>
      <c r="I2045" s="378"/>
    </row>
    <row r="2046" spans="1:9" ht="15" customHeight="1" x14ac:dyDescent="0.25">
      <c r="A2046" s="381"/>
      <c r="B2046" s="381"/>
      <c r="C2046" s="381"/>
      <c r="D2046" s="381"/>
      <c r="E2046" s="381"/>
      <c r="F2046" s="378"/>
      <c r="G2046" s="378"/>
      <c r="H2046" s="378"/>
      <c r="I2046" s="378"/>
    </row>
    <row r="2047" spans="1:9" ht="15" customHeight="1" x14ac:dyDescent="0.25">
      <c r="A2047" s="381"/>
      <c r="B2047" s="381"/>
      <c r="C2047" s="381"/>
      <c r="D2047" s="381"/>
      <c r="E2047" s="381"/>
      <c r="F2047" s="378"/>
      <c r="G2047" s="378"/>
      <c r="H2047" s="378"/>
      <c r="I2047" s="378"/>
    </row>
    <row r="2048" spans="1:9" ht="15" customHeight="1" x14ac:dyDescent="0.25">
      <c r="A2048" s="381"/>
      <c r="B2048" s="381"/>
      <c r="C2048" s="381"/>
      <c r="D2048" s="381"/>
      <c r="E2048" s="381"/>
      <c r="F2048" s="378"/>
      <c r="G2048" s="378"/>
      <c r="H2048" s="378"/>
      <c r="I2048" s="378"/>
    </row>
    <row r="2049" spans="1:9" ht="15" customHeight="1" x14ac:dyDescent="0.25">
      <c r="A2049" s="381"/>
      <c r="B2049" s="381"/>
      <c r="C2049" s="381"/>
      <c r="D2049" s="381"/>
      <c r="E2049" s="381"/>
      <c r="F2049" s="378"/>
      <c r="G2049" s="378"/>
      <c r="H2049" s="378"/>
      <c r="I2049" s="378"/>
    </row>
    <row r="2050" spans="1:9" ht="15" customHeight="1" x14ac:dyDescent="0.25">
      <c r="A2050" s="381"/>
      <c r="B2050" s="381"/>
      <c r="C2050" s="381"/>
      <c r="D2050" s="381"/>
      <c r="E2050" s="381"/>
      <c r="F2050" s="378"/>
      <c r="G2050" s="378"/>
      <c r="H2050" s="378"/>
      <c r="I2050" s="378"/>
    </row>
    <row r="2051" spans="1:9" ht="15" customHeight="1" x14ac:dyDescent="0.25">
      <c r="A2051" s="381"/>
      <c r="B2051" s="381"/>
      <c r="C2051" s="381"/>
      <c r="D2051" s="381"/>
      <c r="E2051" s="381"/>
      <c r="F2051" s="378"/>
      <c r="G2051" s="378"/>
      <c r="H2051" s="378"/>
      <c r="I2051" s="378"/>
    </row>
    <row r="2052" spans="1:9" ht="15" customHeight="1" x14ac:dyDescent="0.25">
      <c r="A2052" s="381"/>
      <c r="B2052" s="381"/>
      <c r="C2052" s="381"/>
      <c r="D2052" s="381"/>
      <c r="E2052" s="381"/>
      <c r="F2052" s="378"/>
      <c r="G2052" s="378"/>
      <c r="H2052" s="378"/>
      <c r="I2052" s="378"/>
    </row>
    <row r="2053" spans="1:9" ht="15" customHeight="1" x14ac:dyDescent="0.25">
      <c r="A2053" s="381"/>
      <c r="B2053" s="381"/>
      <c r="C2053" s="381"/>
      <c r="D2053" s="381"/>
      <c r="E2053" s="381"/>
      <c r="F2053" s="378"/>
      <c r="G2053" s="378"/>
      <c r="H2053" s="378"/>
      <c r="I2053" s="378"/>
    </row>
    <row r="2054" spans="1:9" ht="15" customHeight="1" x14ac:dyDescent="0.25">
      <c r="A2054" s="381"/>
      <c r="B2054" s="381"/>
      <c r="C2054" s="381"/>
      <c r="D2054" s="381"/>
      <c r="E2054" s="381"/>
      <c r="F2054" s="378"/>
      <c r="G2054" s="378"/>
      <c r="H2054" s="378"/>
      <c r="I2054" s="378"/>
    </row>
    <row r="2055" spans="1:9" ht="15" customHeight="1" x14ac:dyDescent="0.25">
      <c r="A2055" s="381"/>
      <c r="B2055" s="381"/>
      <c r="C2055" s="381"/>
      <c r="D2055" s="381"/>
      <c r="E2055" s="381"/>
      <c r="F2055" s="378"/>
      <c r="G2055" s="378"/>
      <c r="H2055" s="378"/>
      <c r="I2055" s="378"/>
    </row>
    <row r="2056" spans="1:9" ht="15" customHeight="1" x14ac:dyDescent="0.25">
      <c r="A2056" s="381"/>
      <c r="B2056" s="381"/>
      <c r="C2056" s="381"/>
      <c r="D2056" s="381"/>
      <c r="E2056" s="381"/>
      <c r="F2056" s="378"/>
      <c r="G2056" s="378"/>
      <c r="H2056" s="378"/>
      <c r="I2056" s="378"/>
    </row>
    <row r="2057" spans="1:9" ht="15" customHeight="1" x14ac:dyDescent="0.25">
      <c r="A2057" s="381"/>
      <c r="B2057" s="381"/>
      <c r="C2057" s="381"/>
      <c r="D2057" s="381"/>
      <c r="E2057" s="381"/>
      <c r="F2057" s="378"/>
      <c r="G2057" s="378"/>
      <c r="H2057" s="378"/>
      <c r="I2057" s="378"/>
    </row>
    <row r="2058" spans="1:9" ht="15" customHeight="1" x14ac:dyDescent="0.25">
      <c r="A2058" s="381"/>
      <c r="B2058" s="381"/>
      <c r="C2058" s="381"/>
      <c r="D2058" s="381"/>
      <c r="E2058" s="381"/>
      <c r="F2058" s="378"/>
      <c r="G2058" s="378"/>
      <c r="H2058" s="378"/>
      <c r="I2058" s="378"/>
    </row>
    <row r="2059" spans="1:9" ht="15" customHeight="1" x14ac:dyDescent="0.25">
      <c r="A2059" s="381"/>
      <c r="B2059" s="381"/>
      <c r="C2059" s="381"/>
      <c r="D2059" s="381"/>
      <c r="E2059" s="381"/>
      <c r="F2059" s="378"/>
      <c r="G2059" s="378"/>
      <c r="H2059" s="378"/>
      <c r="I2059" s="378"/>
    </row>
    <row r="2060" spans="1:9" ht="15" customHeight="1" x14ac:dyDescent="0.25">
      <c r="A2060" s="381"/>
      <c r="B2060" s="381"/>
      <c r="C2060" s="381"/>
      <c r="D2060" s="381"/>
      <c r="E2060" s="381"/>
      <c r="F2060" s="378"/>
      <c r="G2060" s="378"/>
      <c r="H2060" s="378"/>
      <c r="I2060" s="378"/>
    </row>
    <row r="2061" spans="1:9" ht="15" customHeight="1" x14ac:dyDescent="0.25">
      <c r="A2061" s="381"/>
      <c r="B2061" s="381"/>
      <c r="C2061" s="381"/>
      <c r="D2061" s="381"/>
      <c r="E2061" s="381"/>
      <c r="F2061" s="378"/>
      <c r="G2061" s="378"/>
      <c r="H2061" s="378"/>
      <c r="I2061" s="378"/>
    </row>
    <row r="2062" spans="1:9" ht="15" customHeight="1" x14ac:dyDescent="0.25">
      <c r="A2062" s="381"/>
      <c r="B2062" s="381"/>
      <c r="C2062" s="381"/>
      <c r="D2062" s="381"/>
      <c r="E2062" s="381"/>
      <c r="F2062" s="378"/>
      <c r="G2062" s="378"/>
      <c r="H2062" s="378"/>
      <c r="I2062" s="378"/>
    </row>
    <row r="2063" spans="1:9" ht="15" customHeight="1" x14ac:dyDescent="0.25">
      <c r="A2063" s="381"/>
      <c r="B2063" s="381"/>
      <c r="C2063" s="381"/>
      <c r="D2063" s="381"/>
      <c r="E2063" s="381"/>
      <c r="F2063" s="378"/>
      <c r="G2063" s="378"/>
      <c r="H2063" s="378"/>
      <c r="I2063" s="378"/>
    </row>
    <row r="2064" spans="1:9" ht="15" customHeight="1" x14ac:dyDescent="0.25">
      <c r="A2064" s="381"/>
      <c r="B2064" s="381"/>
      <c r="C2064" s="381"/>
      <c r="D2064" s="381"/>
      <c r="E2064" s="381"/>
      <c r="F2064" s="378"/>
      <c r="G2064" s="378"/>
      <c r="H2064" s="378"/>
      <c r="I2064" s="378"/>
    </row>
    <row r="2065" spans="1:9" ht="15" customHeight="1" x14ac:dyDescent="0.25">
      <c r="A2065" s="381"/>
      <c r="B2065" s="381"/>
      <c r="C2065" s="381"/>
      <c r="D2065" s="381"/>
      <c r="E2065" s="381"/>
      <c r="F2065" s="378"/>
      <c r="G2065" s="378"/>
      <c r="H2065" s="378"/>
      <c r="I2065" s="378"/>
    </row>
    <row r="2066" spans="1:9" ht="15" customHeight="1" x14ac:dyDescent="0.25">
      <c r="A2066" s="381"/>
      <c r="B2066" s="381"/>
      <c r="C2066" s="381"/>
      <c r="D2066" s="381"/>
      <c r="E2066" s="381"/>
      <c r="F2066" s="378"/>
      <c r="G2066" s="378"/>
      <c r="H2066" s="378"/>
      <c r="I2066" s="378"/>
    </row>
    <row r="2067" spans="1:9" ht="15" customHeight="1" x14ac:dyDescent="0.25">
      <c r="A2067" s="381"/>
      <c r="B2067" s="381"/>
      <c r="C2067" s="381"/>
      <c r="D2067" s="381"/>
      <c r="E2067" s="381"/>
      <c r="F2067" s="378"/>
      <c r="G2067" s="378"/>
      <c r="H2067" s="378"/>
      <c r="I2067" s="378"/>
    </row>
    <row r="2068" spans="1:9" ht="15" customHeight="1" x14ac:dyDescent="0.25">
      <c r="A2068" s="381"/>
      <c r="B2068" s="381"/>
      <c r="C2068" s="381"/>
      <c r="D2068" s="381"/>
      <c r="E2068" s="381"/>
      <c r="F2068" s="378"/>
      <c r="G2068" s="378"/>
      <c r="H2068" s="378"/>
      <c r="I2068" s="378"/>
    </row>
    <row r="2069" spans="1:9" ht="15" customHeight="1" x14ac:dyDescent="0.25">
      <c r="A2069" s="381"/>
      <c r="B2069" s="381"/>
      <c r="C2069" s="381"/>
      <c r="D2069" s="381"/>
      <c r="E2069" s="381"/>
      <c r="F2069" s="378"/>
      <c r="G2069" s="378"/>
      <c r="H2069" s="378"/>
      <c r="I2069" s="378"/>
    </row>
    <row r="2070" spans="1:9" ht="15" customHeight="1" x14ac:dyDescent="0.25">
      <c r="A2070" s="381"/>
      <c r="B2070" s="381"/>
      <c r="C2070" s="381"/>
      <c r="D2070" s="381"/>
      <c r="E2070" s="381"/>
      <c r="F2070" s="378"/>
      <c r="G2070" s="378"/>
      <c r="H2070" s="378"/>
      <c r="I2070" s="378"/>
    </row>
    <row r="2071" spans="1:9" ht="15" customHeight="1" x14ac:dyDescent="0.25">
      <c r="A2071" s="381"/>
      <c r="B2071" s="381"/>
      <c r="C2071" s="381"/>
      <c r="D2071" s="381"/>
      <c r="E2071" s="381"/>
      <c r="F2071" s="378"/>
      <c r="G2071" s="378"/>
      <c r="H2071" s="378"/>
      <c r="I2071" s="378"/>
    </row>
    <row r="2072" spans="1:9" ht="15" customHeight="1" x14ac:dyDescent="0.25">
      <c r="A2072" s="381"/>
      <c r="B2072" s="381"/>
      <c r="C2072" s="381"/>
      <c r="D2072" s="381"/>
      <c r="E2072" s="381"/>
      <c r="F2072" s="378"/>
      <c r="G2072" s="378"/>
      <c r="H2072" s="378"/>
      <c r="I2072" s="378"/>
    </row>
    <row r="2073" spans="1:9" ht="15" customHeight="1" x14ac:dyDescent="0.25">
      <c r="A2073" s="381"/>
      <c r="B2073" s="381"/>
      <c r="C2073" s="381"/>
      <c r="D2073" s="381"/>
      <c r="E2073" s="381"/>
      <c r="F2073" s="378"/>
      <c r="G2073" s="378"/>
      <c r="H2073" s="378"/>
      <c r="I2073" s="378"/>
    </row>
    <row r="2074" spans="1:9" ht="15" customHeight="1" x14ac:dyDescent="0.25">
      <c r="A2074" s="381"/>
      <c r="B2074" s="381"/>
      <c r="C2074" s="381"/>
      <c r="D2074" s="381"/>
      <c r="E2074" s="381"/>
      <c r="F2074" s="378"/>
      <c r="G2074" s="378"/>
      <c r="H2074" s="378"/>
      <c r="I2074" s="378"/>
    </row>
    <row r="2075" spans="1:9" ht="15" customHeight="1" x14ac:dyDescent="0.25">
      <c r="A2075" s="381"/>
      <c r="B2075" s="381"/>
      <c r="C2075" s="381"/>
      <c r="D2075" s="381"/>
      <c r="E2075" s="381"/>
      <c r="F2075" s="378"/>
      <c r="G2075" s="378"/>
      <c r="H2075" s="378"/>
      <c r="I2075" s="378"/>
    </row>
    <row r="2076" spans="1:9" ht="15" customHeight="1" x14ac:dyDescent="0.25">
      <c r="A2076" s="381"/>
      <c r="B2076" s="381"/>
      <c r="C2076" s="381"/>
      <c r="D2076" s="381"/>
      <c r="E2076" s="381"/>
      <c r="F2076" s="378"/>
      <c r="G2076" s="378"/>
      <c r="H2076" s="378"/>
      <c r="I2076" s="378"/>
    </row>
    <row r="2077" spans="1:9" ht="15" customHeight="1" x14ac:dyDescent="0.25">
      <c r="A2077" s="381"/>
      <c r="B2077" s="381"/>
      <c r="C2077" s="381"/>
      <c r="D2077" s="381"/>
      <c r="E2077" s="381"/>
      <c r="F2077" s="378"/>
      <c r="G2077" s="378"/>
      <c r="H2077" s="378"/>
      <c r="I2077" s="378"/>
    </row>
    <row r="2078" spans="1:9" ht="15" customHeight="1" x14ac:dyDescent="0.25">
      <c r="A2078" s="381"/>
      <c r="B2078" s="381"/>
      <c r="C2078" s="381"/>
      <c r="D2078" s="381"/>
      <c r="E2078" s="381"/>
      <c r="F2078" s="378"/>
      <c r="G2078" s="378"/>
      <c r="H2078" s="378"/>
      <c r="I2078" s="378"/>
    </row>
    <row r="2079" spans="1:9" ht="15" customHeight="1" x14ac:dyDescent="0.25">
      <c r="A2079" s="381"/>
      <c r="B2079" s="381"/>
      <c r="C2079" s="381"/>
      <c r="D2079" s="381"/>
      <c r="E2079" s="381"/>
      <c r="F2079" s="378"/>
      <c r="G2079" s="378"/>
      <c r="H2079" s="378"/>
      <c r="I2079" s="378"/>
    </row>
    <row r="2080" spans="1:9" ht="15" customHeight="1" x14ac:dyDescent="0.25">
      <c r="A2080" s="381"/>
      <c r="B2080" s="381"/>
      <c r="C2080" s="381"/>
      <c r="D2080" s="381"/>
      <c r="E2080" s="381"/>
      <c r="F2080" s="378"/>
      <c r="G2080" s="378"/>
      <c r="H2080" s="378"/>
      <c r="I2080" s="378"/>
    </row>
    <row r="2081" spans="1:9" ht="15" customHeight="1" x14ac:dyDescent="0.25">
      <c r="A2081" s="381"/>
      <c r="B2081" s="381"/>
      <c r="C2081" s="381"/>
      <c r="D2081" s="381"/>
      <c r="E2081" s="381"/>
      <c r="F2081" s="378"/>
      <c r="G2081" s="378"/>
      <c r="H2081" s="378"/>
      <c r="I2081" s="378"/>
    </row>
    <row r="2082" spans="1:9" ht="15" customHeight="1" x14ac:dyDescent="0.25">
      <c r="A2082" s="381"/>
      <c r="B2082" s="381"/>
      <c r="C2082" s="381"/>
      <c r="D2082" s="381"/>
      <c r="E2082" s="381"/>
      <c r="F2082" s="378"/>
      <c r="G2082" s="378"/>
      <c r="H2082" s="378"/>
      <c r="I2082" s="378"/>
    </row>
    <row r="2083" spans="1:9" ht="15" customHeight="1" x14ac:dyDescent="0.25">
      <c r="A2083" s="381"/>
      <c r="B2083" s="381"/>
      <c r="C2083" s="381"/>
      <c r="D2083" s="381"/>
      <c r="E2083" s="381"/>
      <c r="F2083" s="378"/>
      <c r="G2083" s="378"/>
      <c r="H2083" s="378"/>
      <c r="I2083" s="378"/>
    </row>
    <row r="2084" spans="1:9" ht="15" customHeight="1" x14ac:dyDescent="0.25">
      <c r="A2084" s="381"/>
      <c r="B2084" s="381"/>
      <c r="C2084" s="381"/>
      <c r="D2084" s="381"/>
      <c r="E2084" s="381"/>
      <c r="F2084" s="378"/>
      <c r="G2084" s="378"/>
      <c r="H2084" s="378"/>
      <c r="I2084" s="378"/>
    </row>
    <row r="2085" spans="1:9" ht="15" customHeight="1" x14ac:dyDescent="0.25">
      <c r="A2085" s="381"/>
      <c r="B2085" s="381"/>
      <c r="C2085" s="381"/>
      <c r="D2085" s="381"/>
      <c r="E2085" s="381"/>
      <c r="F2085" s="378"/>
      <c r="G2085" s="378"/>
      <c r="H2085" s="378"/>
      <c r="I2085" s="378"/>
    </row>
    <row r="2086" spans="1:9" ht="15" customHeight="1" x14ac:dyDescent="0.25">
      <c r="A2086" s="381"/>
      <c r="B2086" s="381"/>
      <c r="C2086" s="381"/>
      <c r="D2086" s="381"/>
      <c r="E2086" s="381"/>
      <c r="F2086" s="378"/>
      <c r="G2086" s="378"/>
      <c r="H2086" s="378"/>
      <c r="I2086" s="378"/>
    </row>
    <row r="2087" spans="1:9" ht="15" customHeight="1" x14ac:dyDescent="0.25">
      <c r="A2087" s="381"/>
      <c r="B2087" s="381"/>
      <c r="C2087" s="381"/>
      <c r="D2087" s="381"/>
      <c r="E2087" s="381"/>
      <c r="F2087" s="378"/>
      <c r="G2087" s="378"/>
      <c r="H2087" s="378"/>
      <c r="I2087" s="378"/>
    </row>
    <row r="2088" spans="1:9" ht="15" customHeight="1" x14ac:dyDescent="0.25">
      <c r="A2088" s="381"/>
      <c r="B2088" s="381"/>
      <c r="C2088" s="381"/>
      <c r="D2088" s="381"/>
      <c r="E2088" s="381"/>
      <c r="F2088" s="378"/>
      <c r="G2088" s="378"/>
      <c r="H2088" s="378"/>
      <c r="I2088" s="378"/>
    </row>
    <row r="2089" spans="1:9" ht="15" customHeight="1" x14ac:dyDescent="0.25">
      <c r="A2089" s="381"/>
      <c r="B2089" s="381"/>
      <c r="C2089" s="381"/>
      <c r="D2089" s="381"/>
      <c r="E2089" s="381"/>
      <c r="F2089" s="378"/>
      <c r="G2089" s="378"/>
      <c r="H2089" s="378"/>
      <c r="I2089" s="378"/>
    </row>
    <row r="2090" spans="1:9" ht="15" customHeight="1" x14ac:dyDescent="0.25">
      <c r="A2090" s="381"/>
      <c r="B2090" s="381"/>
      <c r="C2090" s="381"/>
      <c r="D2090" s="381"/>
      <c r="E2090" s="381"/>
      <c r="F2090" s="378"/>
      <c r="G2090" s="378"/>
      <c r="H2090" s="378"/>
      <c r="I2090" s="378"/>
    </row>
    <row r="2091" spans="1:9" ht="15" customHeight="1" x14ac:dyDescent="0.25">
      <c r="A2091" s="381"/>
      <c r="B2091" s="381"/>
      <c r="C2091" s="381"/>
      <c r="D2091" s="381"/>
      <c r="E2091" s="381"/>
      <c r="F2091" s="378"/>
      <c r="G2091" s="378"/>
      <c r="H2091" s="378"/>
      <c r="I2091" s="378"/>
    </row>
    <row r="2092" spans="1:9" ht="15" customHeight="1" x14ac:dyDescent="0.25">
      <c r="A2092" s="381"/>
      <c r="B2092" s="381"/>
      <c r="C2092" s="381"/>
      <c r="D2092" s="381"/>
      <c r="E2092" s="381"/>
      <c r="F2092" s="378"/>
      <c r="G2092" s="378"/>
      <c r="H2092" s="378"/>
      <c r="I2092" s="378"/>
    </row>
    <row r="2093" spans="1:9" ht="15" customHeight="1" x14ac:dyDescent="0.25">
      <c r="A2093" s="381"/>
      <c r="B2093" s="381"/>
      <c r="C2093" s="381"/>
      <c r="D2093" s="381"/>
      <c r="E2093" s="381"/>
      <c r="F2093" s="378"/>
      <c r="G2093" s="378"/>
      <c r="H2093" s="378"/>
      <c r="I2093" s="378"/>
    </row>
    <row r="2094" spans="1:9" ht="15" customHeight="1" x14ac:dyDescent="0.25">
      <c r="A2094" s="381"/>
      <c r="B2094" s="381"/>
      <c r="C2094" s="381"/>
      <c r="D2094" s="381"/>
      <c r="E2094" s="381"/>
      <c r="F2094" s="378"/>
      <c r="G2094" s="378"/>
      <c r="H2094" s="378"/>
      <c r="I2094" s="378"/>
    </row>
    <row r="2095" spans="1:9" ht="15" customHeight="1" x14ac:dyDescent="0.25">
      <c r="A2095" s="381"/>
      <c r="B2095" s="381"/>
      <c r="C2095" s="381"/>
      <c r="D2095" s="381"/>
      <c r="E2095" s="381"/>
      <c r="F2095" s="378"/>
      <c r="G2095" s="378"/>
      <c r="H2095" s="378"/>
      <c r="I2095" s="378"/>
    </row>
    <row r="2096" spans="1:9" ht="15" customHeight="1" x14ac:dyDescent="0.25">
      <c r="A2096" s="381"/>
      <c r="B2096" s="381"/>
      <c r="C2096" s="381"/>
      <c r="D2096" s="381"/>
      <c r="E2096" s="381"/>
      <c r="F2096" s="378"/>
      <c r="G2096" s="378"/>
      <c r="H2096" s="378"/>
      <c r="I2096" s="378"/>
    </row>
    <row r="2097" spans="1:9" ht="15" customHeight="1" x14ac:dyDescent="0.25">
      <c r="A2097" s="381"/>
      <c r="B2097" s="381"/>
      <c r="C2097" s="381"/>
      <c r="D2097" s="381"/>
      <c r="E2097" s="381"/>
      <c r="F2097" s="378"/>
      <c r="G2097" s="378"/>
      <c r="H2097" s="378"/>
      <c r="I2097" s="378"/>
    </row>
    <row r="2098" spans="1:9" ht="15" customHeight="1" x14ac:dyDescent="0.25">
      <c r="A2098" s="381"/>
      <c r="B2098" s="381"/>
      <c r="C2098" s="381"/>
      <c r="D2098" s="381"/>
      <c r="E2098" s="381"/>
      <c r="F2098" s="378"/>
      <c r="G2098" s="378"/>
      <c r="H2098" s="378"/>
      <c r="I2098" s="378"/>
    </row>
    <row r="2099" spans="1:9" ht="15" customHeight="1" x14ac:dyDescent="0.25">
      <c r="A2099" s="381"/>
      <c r="B2099" s="381"/>
      <c r="C2099" s="381"/>
      <c r="D2099" s="381"/>
      <c r="E2099" s="381"/>
      <c r="F2099" s="378"/>
      <c r="G2099" s="378"/>
      <c r="H2099" s="378"/>
      <c r="I2099" s="378"/>
    </row>
    <row r="2100" spans="1:9" ht="15" customHeight="1" x14ac:dyDescent="0.25">
      <c r="A2100" s="381"/>
      <c r="B2100" s="381"/>
      <c r="C2100" s="381"/>
      <c r="D2100" s="381"/>
      <c r="E2100" s="381"/>
      <c r="F2100" s="378"/>
      <c r="G2100" s="378"/>
      <c r="H2100" s="378"/>
      <c r="I2100" s="378"/>
    </row>
    <row r="2101" spans="1:9" ht="15" customHeight="1" x14ac:dyDescent="0.25">
      <c r="A2101" s="381"/>
      <c r="B2101" s="381"/>
      <c r="C2101" s="381"/>
      <c r="D2101" s="381"/>
      <c r="E2101" s="381"/>
      <c r="F2101" s="378"/>
      <c r="G2101" s="378"/>
      <c r="H2101" s="378"/>
      <c r="I2101" s="378"/>
    </row>
    <row r="2102" spans="1:9" ht="15" customHeight="1" x14ac:dyDescent="0.25">
      <c r="A2102" s="381"/>
      <c r="B2102" s="381"/>
      <c r="C2102" s="381"/>
      <c r="D2102" s="381"/>
      <c r="E2102" s="381"/>
      <c r="F2102" s="378"/>
      <c r="G2102" s="378"/>
      <c r="H2102" s="378"/>
      <c r="I2102" s="378"/>
    </row>
    <row r="2103" spans="1:9" ht="15" customHeight="1" x14ac:dyDescent="0.25">
      <c r="A2103" s="381"/>
      <c r="B2103" s="381"/>
      <c r="C2103" s="381"/>
      <c r="D2103" s="381"/>
      <c r="E2103" s="381"/>
      <c r="F2103" s="378"/>
      <c r="G2103" s="378"/>
      <c r="H2103" s="378"/>
      <c r="I2103" s="378"/>
    </row>
    <row r="2104" spans="1:9" ht="15" customHeight="1" x14ac:dyDescent="0.25">
      <c r="A2104" s="381"/>
      <c r="B2104" s="381"/>
      <c r="C2104" s="381"/>
      <c r="D2104" s="381"/>
      <c r="E2104" s="381"/>
      <c r="F2104" s="378"/>
      <c r="G2104" s="378"/>
      <c r="H2104" s="378"/>
      <c r="I2104" s="378"/>
    </row>
    <row r="2105" spans="1:9" ht="15" customHeight="1" x14ac:dyDescent="0.25">
      <c r="A2105" s="381"/>
      <c r="B2105" s="381"/>
      <c r="C2105" s="381"/>
      <c r="D2105" s="381"/>
      <c r="E2105" s="381"/>
      <c r="F2105" s="378"/>
      <c r="G2105" s="378"/>
      <c r="H2105" s="378"/>
      <c r="I2105" s="378"/>
    </row>
    <row r="2106" spans="1:9" ht="15" customHeight="1" x14ac:dyDescent="0.25">
      <c r="A2106" s="381"/>
      <c r="B2106" s="381"/>
      <c r="C2106" s="381"/>
      <c r="D2106" s="381"/>
      <c r="E2106" s="381"/>
      <c r="F2106" s="378"/>
      <c r="G2106" s="378"/>
      <c r="H2106" s="378"/>
      <c r="I2106" s="378"/>
    </row>
    <row r="2107" spans="1:9" ht="15" customHeight="1" x14ac:dyDescent="0.25">
      <c r="A2107" s="381"/>
      <c r="B2107" s="381"/>
      <c r="C2107" s="381"/>
      <c r="D2107" s="381"/>
      <c r="E2107" s="381"/>
      <c r="F2107" s="378"/>
      <c r="G2107" s="378"/>
      <c r="H2107" s="378"/>
      <c r="I2107" s="378"/>
    </row>
    <row r="2108" spans="1:9" ht="15" customHeight="1" x14ac:dyDescent="0.25">
      <c r="A2108" s="381"/>
      <c r="B2108" s="381"/>
      <c r="C2108" s="381"/>
      <c r="D2108" s="381"/>
      <c r="E2108" s="381"/>
      <c r="F2108" s="378"/>
      <c r="G2108" s="378"/>
      <c r="H2108" s="378"/>
      <c r="I2108" s="378"/>
    </row>
    <row r="2109" spans="1:9" ht="15" customHeight="1" x14ac:dyDescent="0.25">
      <c r="A2109" s="381"/>
      <c r="B2109" s="381"/>
      <c r="C2109" s="381"/>
      <c r="D2109" s="381"/>
      <c r="E2109" s="381"/>
      <c r="F2109" s="378"/>
      <c r="G2109" s="378"/>
      <c r="H2109" s="378"/>
      <c r="I2109" s="378"/>
    </row>
    <row r="2110" spans="1:9" ht="15" customHeight="1" x14ac:dyDescent="0.25">
      <c r="A2110" s="381"/>
      <c r="B2110" s="381"/>
      <c r="C2110" s="381"/>
      <c r="D2110" s="381"/>
      <c r="E2110" s="381"/>
      <c r="F2110" s="378"/>
      <c r="G2110" s="378"/>
      <c r="H2110" s="378"/>
      <c r="I2110" s="378"/>
    </row>
    <row r="2111" spans="1:9" ht="15" customHeight="1" x14ac:dyDescent="0.25">
      <c r="A2111" s="381"/>
      <c r="B2111" s="381"/>
      <c r="C2111" s="381"/>
      <c r="D2111" s="381"/>
      <c r="E2111" s="381"/>
      <c r="F2111" s="378"/>
      <c r="G2111" s="378"/>
      <c r="H2111" s="378"/>
      <c r="I2111" s="378"/>
    </row>
    <row r="2112" spans="1:9" ht="15" customHeight="1" x14ac:dyDescent="0.25">
      <c r="A2112" s="381"/>
      <c r="B2112" s="381"/>
      <c r="C2112" s="381"/>
      <c r="D2112" s="381"/>
      <c r="E2112" s="381"/>
      <c r="F2112" s="378"/>
      <c r="G2112" s="378"/>
      <c r="H2112" s="378"/>
      <c r="I2112" s="378"/>
    </row>
    <row r="2113" spans="1:9" ht="15" customHeight="1" x14ac:dyDescent="0.25">
      <c r="A2113" s="381" t="e">
        <v>#N/A</v>
      </c>
      <c r="B2113" s="381" t="e">
        <v>#N/A</v>
      </c>
      <c r="C2113" s="381" t="e">
        <v>#N/A</v>
      </c>
      <c r="D2113" s="381" t="e">
        <v>#N/A</v>
      </c>
      <c r="E2113" s="381" t="e">
        <v>#N/A</v>
      </c>
      <c r="F2113" s="378" t="e">
        <v>#N/A</v>
      </c>
      <c r="G2113" s="378" t="e">
        <v>#N/A</v>
      </c>
      <c r="H2113" s="378" t="e">
        <v>#N/A</v>
      </c>
      <c r="I2113" s="378" t="e">
        <v>#N/A</v>
      </c>
    </row>
  </sheetData>
  <autoFilter ref="A3:K2113" xr:uid="{00000000-0009-0000-0000-000007000000}"/>
  <mergeCells count="2">
    <mergeCell ref="A1:I1"/>
    <mergeCell ref="A2:I2"/>
  </mergeCells>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890"/>
  <sheetViews>
    <sheetView topLeftCell="A2893" workbookViewId="0">
      <selection activeCell="G2899" sqref="G2899"/>
    </sheetView>
  </sheetViews>
  <sheetFormatPr baseColWidth="10" defaultColWidth="14.42578125" defaultRowHeight="15" customHeight="1" x14ac:dyDescent="0.25"/>
  <cols>
    <col min="1" max="1" width="12.140625" customWidth="1"/>
    <col min="2" max="2" width="14" customWidth="1"/>
    <col min="3" max="3" width="31.140625" customWidth="1"/>
    <col min="4" max="4" width="12.5703125" customWidth="1"/>
    <col min="5" max="5" width="31.5703125" customWidth="1"/>
    <col min="6" max="6" width="13.42578125" customWidth="1"/>
    <col min="7" max="8" width="13" customWidth="1"/>
    <col min="9" max="9" width="13.42578125" customWidth="1"/>
    <col min="10" max="10" width="11.42578125" customWidth="1"/>
  </cols>
  <sheetData>
    <row r="1" spans="1:10" x14ac:dyDescent="0.25">
      <c r="A1" s="434" t="s">
        <v>692</v>
      </c>
      <c r="B1" s="435"/>
      <c r="C1" s="435"/>
      <c r="D1" s="435"/>
      <c r="E1" s="435"/>
      <c r="F1" s="435"/>
      <c r="G1" s="435"/>
      <c r="H1" s="435"/>
      <c r="I1" s="435"/>
      <c r="J1" s="2"/>
    </row>
    <row r="2" spans="1:10" x14ac:dyDescent="0.25">
      <c r="A2" s="436" t="s">
        <v>1502</v>
      </c>
      <c r="B2" s="437"/>
      <c r="C2" s="437"/>
      <c r="D2" s="437"/>
      <c r="E2" s="437"/>
      <c r="F2" s="437"/>
      <c r="G2" s="437"/>
      <c r="H2" s="437"/>
      <c r="I2" s="437"/>
      <c r="J2" s="2"/>
    </row>
    <row r="3" spans="1:10" x14ac:dyDescent="0.25">
      <c r="A3" s="379" t="s">
        <v>306</v>
      </c>
      <c r="B3" s="379" t="s">
        <v>307</v>
      </c>
      <c r="C3" s="379" t="s">
        <v>308</v>
      </c>
      <c r="D3" s="379" t="s">
        <v>11</v>
      </c>
      <c r="E3" s="379" t="s">
        <v>645</v>
      </c>
      <c r="F3" s="377" t="s">
        <v>309</v>
      </c>
      <c r="G3" s="377" t="s">
        <v>310</v>
      </c>
      <c r="H3" s="377" t="s">
        <v>311</v>
      </c>
      <c r="I3" s="377" t="s">
        <v>312</v>
      </c>
      <c r="J3" s="214" t="s">
        <v>313</v>
      </c>
    </row>
    <row r="4" spans="1:10" x14ac:dyDescent="0.25">
      <c r="A4" s="380">
        <v>1</v>
      </c>
      <c r="B4" s="381" t="s">
        <v>315</v>
      </c>
      <c r="C4" s="381" t="s">
        <v>4</v>
      </c>
      <c r="D4" s="381" t="s">
        <v>315</v>
      </c>
      <c r="E4" s="381" t="s">
        <v>315</v>
      </c>
      <c r="F4" s="378">
        <v>2917581838.0500002</v>
      </c>
      <c r="G4" s="378">
        <v>2008493868.23</v>
      </c>
      <c r="H4" s="378">
        <v>1978693450.23</v>
      </c>
      <c r="I4" s="378">
        <v>2947382256.0500002</v>
      </c>
      <c r="J4" s="2">
        <f t="shared" ref="J4:J5" si="0">+LEN(A4)</f>
        <v>1</v>
      </c>
    </row>
    <row r="5" spans="1:10" x14ac:dyDescent="0.25">
      <c r="A5" s="380">
        <v>11</v>
      </c>
      <c r="B5" s="381" t="s">
        <v>315</v>
      </c>
      <c r="C5" s="381" t="s">
        <v>6</v>
      </c>
      <c r="D5" s="381" t="s">
        <v>315</v>
      </c>
      <c r="E5" s="381" t="s">
        <v>315</v>
      </c>
      <c r="F5" s="378">
        <v>-174100875.16</v>
      </c>
      <c r="G5" s="378">
        <v>1731098785.75</v>
      </c>
      <c r="H5" s="378">
        <v>1240654553.95</v>
      </c>
      <c r="I5" s="378">
        <v>316343356.63999999</v>
      </c>
      <c r="J5" s="2">
        <f t="shared" si="0"/>
        <v>2</v>
      </c>
    </row>
    <row r="6" spans="1:10" x14ac:dyDescent="0.25">
      <c r="A6" s="380">
        <v>1105</v>
      </c>
      <c r="B6" s="381" t="s">
        <v>315</v>
      </c>
      <c r="C6" s="381" t="s">
        <v>7</v>
      </c>
      <c r="D6" s="381" t="s">
        <v>315</v>
      </c>
      <c r="E6" s="381" t="s">
        <v>315</v>
      </c>
      <c r="F6" s="378">
        <v>-271131163.31</v>
      </c>
      <c r="G6" s="378">
        <v>1106516846</v>
      </c>
      <c r="H6" s="378">
        <v>621146791</v>
      </c>
      <c r="I6" s="378">
        <v>214238891.69</v>
      </c>
      <c r="J6" s="2">
        <f t="shared" ref="J6:J12" si="1">+LEN(A6)</f>
        <v>4</v>
      </c>
    </row>
    <row r="7" spans="1:10" x14ac:dyDescent="0.25">
      <c r="A7" s="380">
        <v>110505</v>
      </c>
      <c r="B7" s="381" t="s">
        <v>315</v>
      </c>
      <c r="C7" s="381" t="s">
        <v>318</v>
      </c>
      <c r="D7" s="381" t="s">
        <v>315</v>
      </c>
      <c r="E7" s="381" t="s">
        <v>315</v>
      </c>
      <c r="F7" s="378">
        <v>-282902529.04000002</v>
      </c>
      <c r="G7" s="378">
        <v>1106516846</v>
      </c>
      <c r="H7" s="378">
        <v>621146791</v>
      </c>
      <c r="I7" s="378">
        <v>202467525.96000001</v>
      </c>
      <c r="J7" s="2">
        <f t="shared" si="1"/>
        <v>6</v>
      </c>
    </row>
    <row r="8" spans="1:10" x14ac:dyDescent="0.25">
      <c r="A8" s="380">
        <v>11050503</v>
      </c>
      <c r="B8" s="381" t="s">
        <v>321</v>
      </c>
      <c r="C8" s="381" t="s">
        <v>693</v>
      </c>
      <c r="D8" s="381" t="s">
        <v>315</v>
      </c>
      <c r="E8" s="381" t="s">
        <v>315</v>
      </c>
      <c r="F8" s="378">
        <v>0</v>
      </c>
      <c r="G8" s="378">
        <v>37353530</v>
      </c>
      <c r="H8" s="378">
        <v>37353530</v>
      </c>
      <c r="I8" s="378">
        <v>0</v>
      </c>
      <c r="J8" s="2">
        <f t="shared" si="1"/>
        <v>8</v>
      </c>
    </row>
    <row r="9" spans="1:10" x14ac:dyDescent="0.25">
      <c r="A9" s="380">
        <v>11050504</v>
      </c>
      <c r="B9" s="381" t="s">
        <v>321</v>
      </c>
      <c r="C9" s="381" t="s">
        <v>694</v>
      </c>
      <c r="D9" s="381" t="s">
        <v>315</v>
      </c>
      <c r="E9" s="381" t="s">
        <v>315</v>
      </c>
      <c r="F9" s="378">
        <v>0</v>
      </c>
      <c r="G9" s="378">
        <v>72393220</v>
      </c>
      <c r="H9" s="378">
        <v>72393220</v>
      </c>
      <c r="I9" s="378">
        <v>0</v>
      </c>
      <c r="J9" s="2">
        <f t="shared" si="1"/>
        <v>8</v>
      </c>
    </row>
    <row r="10" spans="1:10" x14ac:dyDescent="0.25">
      <c r="A10" s="380">
        <v>11050505</v>
      </c>
      <c r="B10" s="381" t="s">
        <v>315</v>
      </c>
      <c r="C10" s="381" t="s">
        <v>318</v>
      </c>
      <c r="D10" s="381" t="s">
        <v>315</v>
      </c>
      <c r="E10" s="381" t="s">
        <v>315</v>
      </c>
      <c r="F10" s="378">
        <v>1.5832483768463098E-8</v>
      </c>
      <c r="G10" s="378">
        <v>180309302</v>
      </c>
      <c r="H10" s="378">
        <v>180309302</v>
      </c>
      <c r="I10" s="378">
        <v>1.5832483768463098E-8</v>
      </c>
      <c r="J10" s="2">
        <f t="shared" si="1"/>
        <v>8</v>
      </c>
    </row>
    <row r="11" spans="1:10" x14ac:dyDescent="0.25">
      <c r="A11" s="380">
        <v>11050507</v>
      </c>
      <c r="B11" s="381" t="s">
        <v>321</v>
      </c>
      <c r="C11" s="381" t="s">
        <v>695</v>
      </c>
      <c r="D11" s="381" t="s">
        <v>315</v>
      </c>
      <c r="E11" s="381" t="s">
        <v>315</v>
      </c>
      <c r="F11" s="378">
        <v>0</v>
      </c>
      <c r="G11" s="378">
        <v>49900830</v>
      </c>
      <c r="H11" s="378">
        <v>49900830</v>
      </c>
      <c r="I11" s="378">
        <v>0</v>
      </c>
      <c r="J11" s="2">
        <f t="shared" si="1"/>
        <v>8</v>
      </c>
    </row>
    <row r="12" spans="1:10" x14ac:dyDescent="0.25">
      <c r="A12" s="380">
        <v>11050508</v>
      </c>
      <c r="B12" s="381" t="s">
        <v>321</v>
      </c>
      <c r="C12" s="381" t="s">
        <v>696</v>
      </c>
      <c r="D12" s="381" t="s">
        <v>315</v>
      </c>
      <c r="E12" s="381" t="s">
        <v>315</v>
      </c>
      <c r="F12" s="378">
        <v>0</v>
      </c>
      <c r="G12" s="378">
        <v>68309480</v>
      </c>
      <c r="H12" s="378">
        <v>68309480</v>
      </c>
      <c r="I12" s="378">
        <v>0</v>
      </c>
      <c r="J12" s="2">
        <f t="shared" si="1"/>
        <v>8</v>
      </c>
    </row>
    <row r="13" spans="1:10" x14ac:dyDescent="0.25">
      <c r="A13" s="380">
        <v>11050509</v>
      </c>
      <c r="B13" s="381" t="s">
        <v>321</v>
      </c>
      <c r="C13" s="381" t="s">
        <v>697</v>
      </c>
      <c r="D13" s="381" t="s">
        <v>315</v>
      </c>
      <c r="E13" s="381" t="s">
        <v>315</v>
      </c>
      <c r="F13" s="378">
        <v>0</v>
      </c>
      <c r="G13" s="378">
        <v>95381350</v>
      </c>
      <c r="H13" s="378">
        <v>95381350</v>
      </c>
      <c r="I13" s="378">
        <v>0</v>
      </c>
      <c r="J13" s="2">
        <f t="shared" ref="J13:J76" si="2">+LEN(A13)</f>
        <v>8</v>
      </c>
    </row>
    <row r="14" spans="1:10" x14ac:dyDescent="0.25">
      <c r="A14" s="380">
        <v>11050511</v>
      </c>
      <c r="B14" s="381" t="s">
        <v>321</v>
      </c>
      <c r="C14" s="381" t="s">
        <v>698</v>
      </c>
      <c r="D14" s="381" t="s">
        <v>315</v>
      </c>
      <c r="E14" s="381" t="s">
        <v>315</v>
      </c>
      <c r="F14" s="378">
        <v>0</v>
      </c>
      <c r="G14" s="378">
        <v>51646160</v>
      </c>
      <c r="H14" s="378">
        <v>51646160</v>
      </c>
      <c r="I14" s="378">
        <v>0</v>
      </c>
      <c r="J14" s="2">
        <f t="shared" si="2"/>
        <v>8</v>
      </c>
    </row>
    <row r="15" spans="1:10" x14ac:dyDescent="0.25">
      <c r="A15" s="380">
        <v>11050512</v>
      </c>
      <c r="B15" s="381" t="s">
        <v>321</v>
      </c>
      <c r="C15" s="381" t="s">
        <v>699</v>
      </c>
      <c r="D15" s="381" t="s">
        <v>315</v>
      </c>
      <c r="E15" s="381" t="s">
        <v>315</v>
      </c>
      <c r="F15" s="378">
        <v>-283202529.04000002</v>
      </c>
      <c r="G15" s="378">
        <v>489289834</v>
      </c>
      <c r="H15" s="378">
        <v>3919779</v>
      </c>
      <c r="I15" s="378">
        <v>202167525.96000001</v>
      </c>
      <c r="J15" s="2">
        <f t="shared" si="2"/>
        <v>8</v>
      </c>
    </row>
    <row r="16" spans="1:10" x14ac:dyDescent="0.25">
      <c r="A16" s="380">
        <v>11050513</v>
      </c>
      <c r="B16" s="381" t="s">
        <v>321</v>
      </c>
      <c r="C16" s="381" t="s">
        <v>700</v>
      </c>
      <c r="D16" s="381" t="s">
        <v>315</v>
      </c>
      <c r="E16" s="381" t="s">
        <v>315</v>
      </c>
      <c r="F16" s="378">
        <v>300000</v>
      </c>
      <c r="G16" s="378">
        <v>61933140</v>
      </c>
      <c r="H16" s="378">
        <v>61933140</v>
      </c>
      <c r="I16" s="378">
        <v>300000</v>
      </c>
      <c r="J16" s="2">
        <f t="shared" si="2"/>
        <v>8</v>
      </c>
    </row>
    <row r="17" spans="1:10" x14ac:dyDescent="0.25">
      <c r="A17" s="380">
        <v>110510</v>
      </c>
      <c r="B17" s="381" t="s">
        <v>315</v>
      </c>
      <c r="C17" s="381" t="s">
        <v>701</v>
      </c>
      <c r="D17" s="381" t="s">
        <v>315</v>
      </c>
      <c r="E17" s="381" t="s">
        <v>315</v>
      </c>
      <c r="F17" s="378">
        <v>5700000</v>
      </c>
      <c r="G17" s="378">
        <v>0</v>
      </c>
      <c r="H17" s="378">
        <v>0</v>
      </c>
      <c r="I17" s="378">
        <v>5700000</v>
      </c>
      <c r="J17" s="2">
        <f t="shared" si="2"/>
        <v>6</v>
      </c>
    </row>
    <row r="18" spans="1:10" x14ac:dyDescent="0.25">
      <c r="A18" s="380">
        <v>11051001</v>
      </c>
      <c r="B18" s="381" t="s">
        <v>315</v>
      </c>
      <c r="C18" s="381" t="s">
        <v>701</v>
      </c>
      <c r="D18" s="381" t="s">
        <v>315</v>
      </c>
      <c r="E18" s="381" t="s">
        <v>315</v>
      </c>
      <c r="F18" s="378">
        <v>3900000</v>
      </c>
      <c r="G18" s="378">
        <v>0</v>
      </c>
      <c r="H18" s="378">
        <v>0</v>
      </c>
      <c r="I18" s="378">
        <v>3900000</v>
      </c>
      <c r="J18" s="2">
        <f t="shared" si="2"/>
        <v>8</v>
      </c>
    </row>
    <row r="19" spans="1:10" x14ac:dyDescent="0.25">
      <c r="A19" s="380">
        <v>11051003</v>
      </c>
      <c r="B19" s="381" t="s">
        <v>321</v>
      </c>
      <c r="C19" s="381" t="s">
        <v>693</v>
      </c>
      <c r="D19" s="381" t="s">
        <v>315</v>
      </c>
      <c r="E19" s="381" t="s">
        <v>315</v>
      </c>
      <c r="F19" s="378">
        <v>300000</v>
      </c>
      <c r="G19" s="378">
        <v>0</v>
      </c>
      <c r="H19" s="378">
        <v>0</v>
      </c>
      <c r="I19" s="378">
        <v>300000</v>
      </c>
      <c r="J19" s="2">
        <f t="shared" si="2"/>
        <v>8</v>
      </c>
    </row>
    <row r="20" spans="1:10" x14ac:dyDescent="0.25">
      <c r="A20" s="380">
        <v>11051004</v>
      </c>
      <c r="B20" s="381" t="s">
        <v>321</v>
      </c>
      <c r="C20" s="381" t="s">
        <v>694</v>
      </c>
      <c r="D20" s="381" t="s">
        <v>315</v>
      </c>
      <c r="E20" s="381" t="s">
        <v>315</v>
      </c>
      <c r="F20" s="378">
        <v>300000</v>
      </c>
      <c r="G20" s="378">
        <v>0</v>
      </c>
      <c r="H20" s="378">
        <v>0</v>
      </c>
      <c r="I20" s="378">
        <v>300000</v>
      </c>
      <c r="J20" s="2">
        <f t="shared" si="2"/>
        <v>8</v>
      </c>
    </row>
    <row r="21" spans="1:10" ht="15.75" customHeight="1" x14ac:dyDescent="0.25">
      <c r="A21" s="380">
        <v>11051007</v>
      </c>
      <c r="B21" s="381" t="s">
        <v>321</v>
      </c>
      <c r="C21" s="381" t="s">
        <v>695</v>
      </c>
      <c r="D21" s="381" t="s">
        <v>315</v>
      </c>
      <c r="E21" s="381" t="s">
        <v>315</v>
      </c>
      <c r="F21" s="378">
        <v>300000</v>
      </c>
      <c r="G21" s="378">
        <v>0</v>
      </c>
      <c r="H21" s="378">
        <v>0</v>
      </c>
      <c r="I21" s="378">
        <v>300000</v>
      </c>
      <c r="J21" s="2">
        <f t="shared" si="2"/>
        <v>8</v>
      </c>
    </row>
    <row r="22" spans="1:10" ht="15.75" customHeight="1" x14ac:dyDescent="0.25">
      <c r="A22" s="380">
        <v>11051008</v>
      </c>
      <c r="B22" s="381" t="s">
        <v>321</v>
      </c>
      <c r="C22" s="381" t="s">
        <v>696</v>
      </c>
      <c r="D22" s="381" t="s">
        <v>315</v>
      </c>
      <c r="E22" s="381" t="s">
        <v>315</v>
      </c>
      <c r="F22" s="378">
        <v>300000</v>
      </c>
      <c r="G22" s="378">
        <v>0</v>
      </c>
      <c r="H22" s="378">
        <v>0</v>
      </c>
      <c r="I22" s="378">
        <v>300000</v>
      </c>
      <c r="J22" s="2">
        <f t="shared" si="2"/>
        <v>8</v>
      </c>
    </row>
    <row r="23" spans="1:10" ht="15.75" customHeight="1" x14ac:dyDescent="0.25">
      <c r="A23" s="380">
        <v>11051009</v>
      </c>
      <c r="B23" s="381" t="s">
        <v>321</v>
      </c>
      <c r="C23" s="381" t="s">
        <v>697</v>
      </c>
      <c r="D23" s="381" t="s">
        <v>315</v>
      </c>
      <c r="E23" s="381" t="s">
        <v>315</v>
      </c>
      <c r="F23" s="378">
        <v>300000</v>
      </c>
      <c r="G23" s="378">
        <v>0</v>
      </c>
      <c r="H23" s="378">
        <v>0</v>
      </c>
      <c r="I23" s="378">
        <v>300000</v>
      </c>
      <c r="J23" s="2">
        <f t="shared" si="2"/>
        <v>8</v>
      </c>
    </row>
    <row r="24" spans="1:10" ht="15.75" customHeight="1" x14ac:dyDescent="0.25">
      <c r="A24" s="380">
        <v>11051011</v>
      </c>
      <c r="B24" s="381" t="s">
        <v>321</v>
      </c>
      <c r="C24" s="381" t="s">
        <v>698</v>
      </c>
      <c r="D24" s="381" t="s">
        <v>315</v>
      </c>
      <c r="E24" s="381" t="s">
        <v>315</v>
      </c>
      <c r="F24" s="378">
        <v>300000</v>
      </c>
      <c r="G24" s="378">
        <v>0</v>
      </c>
      <c r="H24" s="378">
        <v>0</v>
      </c>
      <c r="I24" s="378">
        <v>300000</v>
      </c>
      <c r="J24" s="2">
        <f t="shared" si="2"/>
        <v>8</v>
      </c>
    </row>
    <row r="25" spans="1:10" ht="15.75" customHeight="1" x14ac:dyDescent="0.25">
      <c r="A25" s="380">
        <v>110599</v>
      </c>
      <c r="B25" s="381" t="s">
        <v>321</v>
      </c>
      <c r="C25" s="381" t="s">
        <v>1503</v>
      </c>
      <c r="D25" s="381" t="s">
        <v>315</v>
      </c>
      <c r="E25" s="381" t="s">
        <v>315</v>
      </c>
      <c r="F25" s="378">
        <v>6071365.7300000004</v>
      </c>
      <c r="G25" s="378">
        <v>0</v>
      </c>
      <c r="H25" s="378">
        <v>0</v>
      </c>
      <c r="I25" s="378">
        <v>6071365.7300000004</v>
      </c>
      <c r="J25" s="2">
        <f t="shared" si="2"/>
        <v>6</v>
      </c>
    </row>
    <row r="26" spans="1:10" ht="15.75" customHeight="1" x14ac:dyDescent="0.25">
      <c r="A26" s="380">
        <v>1110</v>
      </c>
      <c r="B26" s="381" t="s">
        <v>315</v>
      </c>
      <c r="C26" s="381" t="s">
        <v>10</v>
      </c>
      <c r="D26" s="381" t="s">
        <v>315</v>
      </c>
      <c r="E26" s="381" t="s">
        <v>315</v>
      </c>
      <c r="F26" s="378">
        <v>75646551.1300001</v>
      </c>
      <c r="G26" s="378">
        <v>591129863.63</v>
      </c>
      <c r="H26" s="378">
        <v>585560816.10000002</v>
      </c>
      <c r="I26" s="378">
        <v>81215598.660000205</v>
      </c>
      <c r="J26" s="2">
        <f t="shared" si="2"/>
        <v>4</v>
      </c>
    </row>
    <row r="27" spans="1:10" ht="15.75" customHeight="1" x14ac:dyDescent="0.25">
      <c r="A27" s="380">
        <v>111005</v>
      </c>
      <c r="B27" s="381" t="s">
        <v>315</v>
      </c>
      <c r="C27" s="381" t="s">
        <v>323</v>
      </c>
      <c r="D27" s="381" t="s">
        <v>315</v>
      </c>
      <c r="E27" s="381" t="s">
        <v>315</v>
      </c>
      <c r="F27" s="378">
        <v>75646551.1300001</v>
      </c>
      <c r="G27" s="378">
        <v>591129863.63</v>
      </c>
      <c r="H27" s="378">
        <v>585560816.10000002</v>
      </c>
      <c r="I27" s="378">
        <v>81215598.660000205</v>
      </c>
      <c r="J27" s="2">
        <f t="shared" si="2"/>
        <v>6</v>
      </c>
    </row>
    <row r="28" spans="1:10" ht="15.75" customHeight="1" x14ac:dyDescent="0.25">
      <c r="A28" s="380">
        <v>11100505</v>
      </c>
      <c r="B28" s="381" t="s">
        <v>321</v>
      </c>
      <c r="C28" s="381" t="s">
        <v>702</v>
      </c>
      <c r="D28" s="381" t="s">
        <v>315</v>
      </c>
      <c r="E28" s="381" t="s">
        <v>315</v>
      </c>
      <c r="F28" s="378">
        <v>11376899.16</v>
      </c>
      <c r="G28" s="378">
        <v>17372900</v>
      </c>
      <c r="H28" s="378">
        <v>26040256.030000001</v>
      </c>
      <c r="I28" s="378">
        <v>2709543.1300000302</v>
      </c>
      <c r="J28" s="2">
        <f t="shared" si="2"/>
        <v>8</v>
      </c>
    </row>
    <row r="29" spans="1:10" ht="15.75" customHeight="1" x14ac:dyDescent="0.25">
      <c r="A29" s="380">
        <v>11100520</v>
      </c>
      <c r="B29" s="381" t="s">
        <v>321</v>
      </c>
      <c r="C29" s="381" t="s">
        <v>703</v>
      </c>
      <c r="D29" s="381" t="s">
        <v>315</v>
      </c>
      <c r="E29" s="381" t="s">
        <v>315</v>
      </c>
      <c r="F29" s="378">
        <v>36217.230000019103</v>
      </c>
      <c r="G29" s="378">
        <v>0</v>
      </c>
      <c r="H29" s="378">
        <v>0</v>
      </c>
      <c r="I29" s="378">
        <v>36217.230000019103</v>
      </c>
      <c r="J29" s="2">
        <f t="shared" si="2"/>
        <v>8</v>
      </c>
    </row>
    <row r="30" spans="1:10" ht="15.75" customHeight="1" x14ac:dyDescent="0.25">
      <c r="A30" s="380">
        <v>11100522</v>
      </c>
      <c r="B30" s="381" t="s">
        <v>321</v>
      </c>
      <c r="C30" s="381" t="s">
        <v>704</v>
      </c>
      <c r="D30" s="381" t="s">
        <v>315</v>
      </c>
      <c r="E30" s="381" t="s">
        <v>315</v>
      </c>
      <c r="F30" s="378">
        <v>729617.42000001704</v>
      </c>
      <c r="G30" s="378">
        <v>0</v>
      </c>
      <c r="H30" s="378">
        <v>0</v>
      </c>
      <c r="I30" s="378">
        <v>729617.42000001704</v>
      </c>
      <c r="J30" s="2">
        <f t="shared" si="2"/>
        <v>8</v>
      </c>
    </row>
    <row r="31" spans="1:10" ht="15.75" customHeight="1" x14ac:dyDescent="0.25">
      <c r="A31" s="380">
        <v>11100524</v>
      </c>
      <c r="B31" s="381" t="s">
        <v>321</v>
      </c>
      <c r="C31" s="381" t="s">
        <v>705</v>
      </c>
      <c r="D31" s="381" t="s">
        <v>315</v>
      </c>
      <c r="E31" s="381" t="s">
        <v>315</v>
      </c>
      <c r="F31" s="378">
        <v>93567.22</v>
      </c>
      <c r="G31" s="378">
        <v>0</v>
      </c>
      <c r="H31" s="378">
        <v>0</v>
      </c>
      <c r="I31" s="378">
        <v>93567.22</v>
      </c>
      <c r="J31" s="2">
        <f t="shared" si="2"/>
        <v>8</v>
      </c>
    </row>
    <row r="32" spans="1:10" ht="15.75" customHeight="1" x14ac:dyDescent="0.25">
      <c r="A32" s="380">
        <v>11100528</v>
      </c>
      <c r="B32" s="381" t="s">
        <v>321</v>
      </c>
      <c r="C32" s="381" t="s">
        <v>706</v>
      </c>
      <c r="D32" s="381" t="s">
        <v>315</v>
      </c>
      <c r="E32" s="381" t="s">
        <v>315</v>
      </c>
      <c r="F32" s="378">
        <v>2502249.23</v>
      </c>
      <c r="G32" s="378">
        <v>0</v>
      </c>
      <c r="H32" s="378">
        <v>0</v>
      </c>
      <c r="I32" s="378">
        <v>2502249.23</v>
      </c>
      <c r="J32" s="2">
        <f t="shared" si="2"/>
        <v>8</v>
      </c>
    </row>
    <row r="33" spans="1:10" ht="15.75" customHeight="1" x14ac:dyDescent="0.25">
      <c r="A33" s="380">
        <v>11100529</v>
      </c>
      <c r="B33" s="381" t="s">
        <v>321</v>
      </c>
      <c r="C33" s="381" t="s">
        <v>707</v>
      </c>
      <c r="D33" s="381" t="s">
        <v>315</v>
      </c>
      <c r="E33" s="381" t="s">
        <v>315</v>
      </c>
      <c r="F33" s="378">
        <v>17134.009999999998</v>
      </c>
      <c r="G33" s="378">
        <v>0</v>
      </c>
      <c r="H33" s="378">
        <v>0</v>
      </c>
      <c r="I33" s="378">
        <v>17134.009999999998</v>
      </c>
      <c r="J33" s="2">
        <f t="shared" si="2"/>
        <v>8</v>
      </c>
    </row>
    <row r="34" spans="1:10" ht="15.75" customHeight="1" x14ac:dyDescent="0.25">
      <c r="A34" s="380">
        <v>11100599</v>
      </c>
      <c r="B34" s="381" t="s">
        <v>315</v>
      </c>
      <c r="C34" s="381" t="s">
        <v>708</v>
      </c>
      <c r="D34" s="381" t="s">
        <v>315</v>
      </c>
      <c r="E34" s="381" t="s">
        <v>315</v>
      </c>
      <c r="F34" s="378">
        <v>60890866.860000104</v>
      </c>
      <c r="G34" s="378">
        <v>573756963.63</v>
      </c>
      <c r="H34" s="378">
        <v>559520560.07000005</v>
      </c>
      <c r="I34" s="378">
        <v>75127270.420000106</v>
      </c>
      <c r="J34" s="2">
        <f t="shared" si="2"/>
        <v>8</v>
      </c>
    </row>
    <row r="35" spans="1:10" ht="15.75" customHeight="1" x14ac:dyDescent="0.25">
      <c r="A35" s="380">
        <v>1120</v>
      </c>
      <c r="B35" s="381" t="s">
        <v>315</v>
      </c>
      <c r="C35" s="381" t="s">
        <v>325</v>
      </c>
      <c r="D35" s="381" t="s">
        <v>315</v>
      </c>
      <c r="E35" s="381" t="s">
        <v>315</v>
      </c>
      <c r="F35" s="378">
        <v>19441170.920000002</v>
      </c>
      <c r="G35" s="378">
        <v>33442200</v>
      </c>
      <c r="H35" s="378">
        <v>33946946.850000001</v>
      </c>
      <c r="I35" s="378">
        <v>18936424.07</v>
      </c>
      <c r="J35" s="2">
        <f t="shared" si="2"/>
        <v>4</v>
      </c>
    </row>
    <row r="36" spans="1:10" ht="15.75" customHeight="1" x14ac:dyDescent="0.25">
      <c r="A36" s="380">
        <v>112005</v>
      </c>
      <c r="B36" s="381" t="s">
        <v>315</v>
      </c>
      <c r="C36" s="381" t="s">
        <v>10</v>
      </c>
      <c r="D36" s="381" t="s">
        <v>315</v>
      </c>
      <c r="E36" s="381" t="s">
        <v>315</v>
      </c>
      <c r="F36" s="378">
        <v>19441170.920000002</v>
      </c>
      <c r="G36" s="378">
        <v>33442200</v>
      </c>
      <c r="H36" s="378">
        <v>33946946.850000001</v>
      </c>
      <c r="I36" s="378">
        <v>18936424.07</v>
      </c>
      <c r="J36" s="2">
        <f t="shared" si="2"/>
        <v>6</v>
      </c>
    </row>
    <row r="37" spans="1:10" ht="15.75" customHeight="1" x14ac:dyDescent="0.25">
      <c r="A37" s="380">
        <v>11200501</v>
      </c>
      <c r="B37" s="381" t="s">
        <v>321</v>
      </c>
      <c r="C37" s="381" t="s">
        <v>709</v>
      </c>
      <c r="D37" s="381" t="s">
        <v>315</v>
      </c>
      <c r="E37" s="381" t="s">
        <v>315</v>
      </c>
      <c r="F37" s="378">
        <v>9773.0699999857497</v>
      </c>
      <c r="G37" s="378">
        <v>0</v>
      </c>
      <c r="H37" s="378">
        <v>0</v>
      </c>
      <c r="I37" s="378">
        <v>9773.0699999857497</v>
      </c>
      <c r="J37" s="2">
        <f t="shared" si="2"/>
        <v>8</v>
      </c>
    </row>
    <row r="38" spans="1:10" ht="15.75" customHeight="1" x14ac:dyDescent="0.25">
      <c r="A38" s="380">
        <v>11200513</v>
      </c>
      <c r="B38" s="381" t="s">
        <v>321</v>
      </c>
      <c r="C38" s="381" t="s">
        <v>710</v>
      </c>
      <c r="D38" s="381" t="s">
        <v>315</v>
      </c>
      <c r="E38" s="381" t="s">
        <v>315</v>
      </c>
      <c r="F38" s="378">
        <v>19431397.850000001</v>
      </c>
      <c r="G38" s="378">
        <v>33442200</v>
      </c>
      <c r="H38" s="378">
        <v>33946946.850000001</v>
      </c>
      <c r="I38" s="378">
        <v>18926651</v>
      </c>
      <c r="J38" s="2">
        <f t="shared" si="2"/>
        <v>8</v>
      </c>
    </row>
    <row r="39" spans="1:10" ht="15.75" customHeight="1" x14ac:dyDescent="0.25">
      <c r="A39" s="380">
        <v>1130</v>
      </c>
      <c r="B39" s="381" t="s">
        <v>315</v>
      </c>
      <c r="C39" s="381" t="s">
        <v>711</v>
      </c>
      <c r="D39" s="381" t="s">
        <v>315</v>
      </c>
      <c r="E39" s="381" t="s">
        <v>315</v>
      </c>
      <c r="F39" s="378">
        <v>1942566.1</v>
      </c>
      <c r="G39" s="378">
        <v>9876.1200000000008</v>
      </c>
      <c r="H39" s="378">
        <v>0</v>
      </c>
      <c r="I39" s="378">
        <v>1952442.22</v>
      </c>
      <c r="J39" s="2">
        <f t="shared" si="2"/>
        <v>4</v>
      </c>
    </row>
    <row r="40" spans="1:10" ht="15.75" customHeight="1" x14ac:dyDescent="0.25">
      <c r="A40" s="380">
        <v>113040</v>
      </c>
      <c r="B40" s="381" t="s">
        <v>321</v>
      </c>
      <c r="C40" s="381" t="s">
        <v>712</v>
      </c>
      <c r="D40" s="381" t="s">
        <v>315</v>
      </c>
      <c r="E40" s="381" t="s">
        <v>315</v>
      </c>
      <c r="F40" s="378">
        <v>1942566.1</v>
      </c>
      <c r="G40" s="378">
        <v>9876.1200000000008</v>
      </c>
      <c r="H40" s="378">
        <v>0</v>
      </c>
      <c r="I40" s="378">
        <v>1952442.22</v>
      </c>
      <c r="J40" s="2">
        <f t="shared" si="2"/>
        <v>6</v>
      </c>
    </row>
    <row r="41" spans="1:10" ht="15.75" customHeight="1" x14ac:dyDescent="0.25">
      <c r="A41" s="380">
        <v>11304001</v>
      </c>
      <c r="B41" s="381" t="s">
        <v>321</v>
      </c>
      <c r="C41" s="381" t="s">
        <v>713</v>
      </c>
      <c r="D41" s="381" t="s">
        <v>315</v>
      </c>
      <c r="E41" s="381" t="s">
        <v>315</v>
      </c>
      <c r="F41" s="378">
        <v>388115.21</v>
      </c>
      <c r="G41" s="378">
        <v>2105.21</v>
      </c>
      <c r="H41" s="378">
        <v>0</v>
      </c>
      <c r="I41" s="378">
        <v>390220.42</v>
      </c>
      <c r="J41" s="2">
        <f t="shared" si="2"/>
        <v>8</v>
      </c>
    </row>
    <row r="42" spans="1:10" ht="15.75" customHeight="1" x14ac:dyDescent="0.25">
      <c r="A42" s="380">
        <v>11304002</v>
      </c>
      <c r="B42" s="381" t="s">
        <v>321</v>
      </c>
      <c r="C42" s="381" t="s">
        <v>714</v>
      </c>
      <c r="D42" s="381" t="s">
        <v>315</v>
      </c>
      <c r="E42" s="381" t="s">
        <v>315</v>
      </c>
      <c r="F42" s="378">
        <v>1554450.89</v>
      </c>
      <c r="G42" s="378">
        <v>7770.91</v>
      </c>
      <c r="H42" s="378">
        <v>0</v>
      </c>
      <c r="I42" s="378">
        <v>1562221.8</v>
      </c>
      <c r="J42" s="2">
        <f t="shared" si="2"/>
        <v>8</v>
      </c>
    </row>
    <row r="43" spans="1:10" ht="15.75" customHeight="1" x14ac:dyDescent="0.25">
      <c r="A43" s="380">
        <v>13</v>
      </c>
      <c r="B43" s="381" t="s">
        <v>315</v>
      </c>
      <c r="C43" s="381" t="s">
        <v>331</v>
      </c>
      <c r="D43" s="381" t="s">
        <v>315</v>
      </c>
      <c r="E43" s="381" t="s">
        <v>315</v>
      </c>
      <c r="F43" s="378">
        <v>705355192.40999997</v>
      </c>
      <c r="G43" s="378">
        <v>42494880.869999997</v>
      </c>
      <c r="H43" s="378">
        <v>514922208.63</v>
      </c>
      <c r="I43" s="378">
        <v>232927864.65000001</v>
      </c>
      <c r="J43" s="2">
        <f t="shared" si="2"/>
        <v>2</v>
      </c>
    </row>
    <row r="44" spans="1:10" ht="15.75" customHeight="1" x14ac:dyDescent="0.25">
      <c r="A44" s="380">
        <v>1305</v>
      </c>
      <c r="B44" s="381" t="s">
        <v>315</v>
      </c>
      <c r="C44" s="381" t="s">
        <v>18</v>
      </c>
      <c r="D44" s="381" t="s">
        <v>315</v>
      </c>
      <c r="E44" s="381" t="s">
        <v>315</v>
      </c>
      <c r="F44" s="378">
        <v>495790144.36000001</v>
      </c>
      <c r="G44" s="378">
        <v>8088791.8700000001</v>
      </c>
      <c r="H44" s="378">
        <v>497847060.63</v>
      </c>
      <c r="I44" s="378">
        <v>6031875.6000003703</v>
      </c>
      <c r="J44" s="2">
        <f t="shared" si="2"/>
        <v>4</v>
      </c>
    </row>
    <row r="45" spans="1:10" ht="15.75" customHeight="1" x14ac:dyDescent="0.25">
      <c r="A45" s="380">
        <v>130505</v>
      </c>
      <c r="B45" s="381" t="s">
        <v>315</v>
      </c>
      <c r="C45" s="381" t="s">
        <v>332</v>
      </c>
      <c r="D45" s="381" t="s">
        <v>315</v>
      </c>
      <c r="E45" s="381" t="s">
        <v>315</v>
      </c>
      <c r="F45" s="378">
        <v>495790144.36000001</v>
      </c>
      <c r="G45" s="378">
        <v>8088791.8700000001</v>
      </c>
      <c r="H45" s="378">
        <v>497847060.63</v>
      </c>
      <c r="I45" s="378">
        <v>6031875.6000003703</v>
      </c>
      <c r="J45" s="2">
        <f t="shared" si="2"/>
        <v>6</v>
      </c>
    </row>
    <row r="46" spans="1:10" ht="15.75" customHeight="1" x14ac:dyDescent="0.25">
      <c r="A46" s="380">
        <v>13050501</v>
      </c>
      <c r="B46" s="381" t="s">
        <v>315</v>
      </c>
      <c r="C46" s="381" t="s">
        <v>334</v>
      </c>
      <c r="D46" s="381" t="s">
        <v>315</v>
      </c>
      <c r="E46" s="381" t="s">
        <v>315</v>
      </c>
      <c r="F46" s="378">
        <v>495547144.33999997</v>
      </c>
      <c r="G46" s="378">
        <v>7931791.8700000001</v>
      </c>
      <c r="H46" s="378">
        <v>497604060.63</v>
      </c>
      <c r="I46" s="378">
        <v>5874875.5800003903</v>
      </c>
      <c r="J46" s="2">
        <f t="shared" si="2"/>
        <v>8</v>
      </c>
    </row>
    <row r="47" spans="1:10" ht="15.75" customHeight="1" x14ac:dyDescent="0.25">
      <c r="A47" s="380">
        <v>13050501</v>
      </c>
      <c r="B47" s="381" t="s">
        <v>315</v>
      </c>
      <c r="C47" s="381" t="s">
        <v>334</v>
      </c>
      <c r="D47" s="381" t="s">
        <v>734</v>
      </c>
      <c r="E47" s="381" t="s">
        <v>735</v>
      </c>
      <c r="F47" s="378">
        <v>989000</v>
      </c>
      <c r="G47" s="378">
        <v>0</v>
      </c>
      <c r="H47" s="378">
        <v>989000</v>
      </c>
      <c r="I47" s="378">
        <v>0</v>
      </c>
      <c r="J47" s="2">
        <f t="shared" si="2"/>
        <v>8</v>
      </c>
    </row>
    <row r="48" spans="1:10" ht="15.75" customHeight="1" x14ac:dyDescent="0.25">
      <c r="A48" s="380">
        <v>13050501</v>
      </c>
      <c r="B48" s="381" t="s">
        <v>315</v>
      </c>
      <c r="C48" s="381" t="s">
        <v>334</v>
      </c>
      <c r="D48" s="381" t="s">
        <v>715</v>
      </c>
      <c r="E48" s="381" t="s">
        <v>716</v>
      </c>
      <c r="F48" s="378">
        <v>137100</v>
      </c>
      <c r="G48" s="378">
        <v>62100</v>
      </c>
      <c r="H48" s="378">
        <v>137100</v>
      </c>
      <c r="I48" s="378">
        <v>62100</v>
      </c>
      <c r="J48" s="2">
        <f t="shared" si="2"/>
        <v>8</v>
      </c>
    </row>
    <row r="49" spans="1:10" ht="15.75" customHeight="1" x14ac:dyDescent="0.25">
      <c r="A49" s="380">
        <v>13050501</v>
      </c>
      <c r="B49" s="381" t="s">
        <v>315</v>
      </c>
      <c r="C49" s="381" t="s">
        <v>334</v>
      </c>
      <c r="D49" s="381" t="s">
        <v>347</v>
      </c>
      <c r="E49" s="381" t="s">
        <v>348</v>
      </c>
      <c r="F49" s="378">
        <v>3407521.44</v>
      </c>
      <c r="G49" s="378">
        <v>1634511.87</v>
      </c>
      <c r="H49" s="378">
        <v>1368673.48</v>
      </c>
      <c r="I49" s="378">
        <v>3673359.83</v>
      </c>
      <c r="J49" s="2">
        <f t="shared" si="2"/>
        <v>8</v>
      </c>
    </row>
    <row r="50" spans="1:10" ht="15.75" customHeight="1" x14ac:dyDescent="0.25">
      <c r="A50" s="380">
        <v>13050501</v>
      </c>
      <c r="B50" s="381" t="s">
        <v>315</v>
      </c>
      <c r="C50" s="381" t="s">
        <v>334</v>
      </c>
      <c r="D50" s="381" t="s">
        <v>717</v>
      </c>
      <c r="E50" s="381" t="s">
        <v>718</v>
      </c>
      <c r="F50" s="378">
        <v>768375.75</v>
      </c>
      <c r="G50" s="378">
        <v>5859280</v>
      </c>
      <c r="H50" s="378">
        <v>4714540</v>
      </c>
      <c r="I50" s="378">
        <v>1913115.75</v>
      </c>
      <c r="J50" s="2">
        <f t="shared" si="2"/>
        <v>8</v>
      </c>
    </row>
    <row r="51" spans="1:10" ht="15.75" customHeight="1" x14ac:dyDescent="0.25">
      <c r="A51" s="380">
        <v>13050501</v>
      </c>
      <c r="B51" s="381" t="s">
        <v>315</v>
      </c>
      <c r="C51" s="381" t="s">
        <v>334</v>
      </c>
      <c r="D51" s="381" t="s">
        <v>719</v>
      </c>
      <c r="E51" s="381" t="s">
        <v>720</v>
      </c>
      <c r="F51" s="378">
        <v>186400</v>
      </c>
      <c r="G51" s="378">
        <v>39900</v>
      </c>
      <c r="H51" s="378">
        <v>0</v>
      </c>
      <c r="I51" s="378">
        <v>226300</v>
      </c>
      <c r="J51" s="2">
        <f t="shared" si="2"/>
        <v>8</v>
      </c>
    </row>
    <row r="52" spans="1:10" ht="15.75" customHeight="1" x14ac:dyDescent="0.25">
      <c r="A52" s="380">
        <v>13050501</v>
      </c>
      <c r="B52" s="381" t="s">
        <v>315</v>
      </c>
      <c r="C52" s="381" t="s">
        <v>334</v>
      </c>
      <c r="D52" s="381" t="s">
        <v>918</v>
      </c>
      <c r="E52" s="381" t="s">
        <v>919</v>
      </c>
      <c r="F52" s="378">
        <v>496700</v>
      </c>
      <c r="G52" s="378">
        <v>336000</v>
      </c>
      <c r="H52" s="378">
        <v>832700</v>
      </c>
      <c r="I52" s="378">
        <v>0</v>
      </c>
      <c r="J52" s="2">
        <f t="shared" si="2"/>
        <v>8</v>
      </c>
    </row>
    <row r="53" spans="1:10" ht="15.75" customHeight="1" x14ac:dyDescent="0.25">
      <c r="A53" s="380">
        <v>13050501</v>
      </c>
      <c r="B53" s="381" t="s">
        <v>315</v>
      </c>
      <c r="C53" s="381" t="s">
        <v>334</v>
      </c>
      <c r="D53" s="381" t="s">
        <v>927</v>
      </c>
      <c r="E53" s="381" t="s">
        <v>928</v>
      </c>
      <c r="F53" s="378">
        <v>138018.4</v>
      </c>
      <c r="G53" s="378">
        <v>0</v>
      </c>
      <c r="H53" s="378">
        <v>138018.4</v>
      </c>
      <c r="I53" s="378">
        <v>0</v>
      </c>
      <c r="J53" s="2">
        <f t="shared" si="2"/>
        <v>8</v>
      </c>
    </row>
    <row r="54" spans="1:10" ht="15.75" customHeight="1" x14ac:dyDescent="0.25">
      <c r="A54" s="380">
        <v>13050501</v>
      </c>
      <c r="B54" s="381" t="s">
        <v>315</v>
      </c>
      <c r="C54" s="381" t="s">
        <v>334</v>
      </c>
      <c r="D54" s="381" t="s">
        <v>723</v>
      </c>
      <c r="E54" s="381" t="s">
        <v>724</v>
      </c>
      <c r="F54" s="378">
        <v>171194.75</v>
      </c>
      <c r="G54" s="378">
        <v>0</v>
      </c>
      <c r="H54" s="378">
        <v>171194.75</v>
      </c>
      <c r="I54" s="378">
        <v>0</v>
      </c>
      <c r="J54" s="2">
        <f t="shared" si="2"/>
        <v>8</v>
      </c>
    </row>
    <row r="55" spans="1:10" ht="15.75" customHeight="1" x14ac:dyDescent="0.25">
      <c r="A55" s="380">
        <v>13050501</v>
      </c>
      <c r="B55" s="381" t="s">
        <v>315</v>
      </c>
      <c r="C55" s="381" t="s">
        <v>334</v>
      </c>
      <c r="D55" s="381" t="s">
        <v>804</v>
      </c>
      <c r="E55" s="381" t="s">
        <v>805</v>
      </c>
      <c r="F55" s="378">
        <v>131848502</v>
      </c>
      <c r="G55" s="378">
        <v>0</v>
      </c>
      <c r="H55" s="378">
        <v>131848502</v>
      </c>
      <c r="I55" s="378">
        <v>0</v>
      </c>
      <c r="J55" s="2">
        <f t="shared" si="2"/>
        <v>8</v>
      </c>
    </row>
    <row r="56" spans="1:10" ht="15.75" customHeight="1" x14ac:dyDescent="0.25">
      <c r="A56" s="380">
        <v>13050501</v>
      </c>
      <c r="B56" s="381" t="s">
        <v>315</v>
      </c>
      <c r="C56" s="381" t="s">
        <v>334</v>
      </c>
      <c r="D56" s="381" t="s">
        <v>801</v>
      </c>
      <c r="E56" s="381" t="s">
        <v>802</v>
      </c>
      <c r="F56" s="378">
        <v>53463134</v>
      </c>
      <c r="G56" s="378">
        <v>0</v>
      </c>
      <c r="H56" s="378">
        <v>53463134</v>
      </c>
      <c r="I56" s="378">
        <v>0</v>
      </c>
      <c r="J56" s="2">
        <f t="shared" si="2"/>
        <v>8</v>
      </c>
    </row>
    <row r="57" spans="1:10" ht="15.75" customHeight="1" x14ac:dyDescent="0.25">
      <c r="A57" s="380">
        <v>13050501</v>
      </c>
      <c r="B57" s="381" t="s">
        <v>315</v>
      </c>
      <c r="C57" s="381" t="s">
        <v>334</v>
      </c>
      <c r="D57" s="381" t="s">
        <v>725</v>
      </c>
      <c r="E57" s="381" t="s">
        <v>726</v>
      </c>
      <c r="F57" s="378">
        <v>303941198</v>
      </c>
      <c r="G57" s="378">
        <v>0</v>
      </c>
      <c r="H57" s="378">
        <v>303941198</v>
      </c>
      <c r="I57" s="378">
        <v>0</v>
      </c>
      <c r="J57" s="2">
        <f t="shared" si="2"/>
        <v>8</v>
      </c>
    </row>
    <row r="58" spans="1:10" ht="15.75" customHeight="1" x14ac:dyDescent="0.25">
      <c r="A58" s="380">
        <v>13050502</v>
      </c>
      <c r="B58" s="381" t="s">
        <v>321</v>
      </c>
      <c r="C58" s="381" t="s">
        <v>727</v>
      </c>
      <c r="D58" s="381" t="s">
        <v>315</v>
      </c>
      <c r="E58" s="381" t="s">
        <v>315</v>
      </c>
      <c r="F58" s="378">
        <v>243000.02</v>
      </c>
      <c r="G58" s="378">
        <v>157000</v>
      </c>
      <c r="H58" s="378">
        <v>243000</v>
      </c>
      <c r="I58" s="378">
        <v>157000.01999999999</v>
      </c>
      <c r="J58" s="2">
        <f t="shared" si="2"/>
        <v>8</v>
      </c>
    </row>
    <row r="59" spans="1:10" ht="15.75" customHeight="1" x14ac:dyDescent="0.25">
      <c r="A59" s="380">
        <v>13050502</v>
      </c>
      <c r="B59" s="381" t="s">
        <v>321</v>
      </c>
      <c r="C59" s="381" t="s">
        <v>727</v>
      </c>
      <c r="D59" s="381" t="s">
        <v>779</v>
      </c>
      <c r="E59" s="381" t="s">
        <v>780</v>
      </c>
      <c r="F59" s="378">
        <v>36000</v>
      </c>
      <c r="G59" s="378">
        <v>0</v>
      </c>
      <c r="H59" s="378">
        <v>36000</v>
      </c>
      <c r="I59" s="378">
        <v>0</v>
      </c>
      <c r="J59" s="2">
        <f t="shared" si="2"/>
        <v>8</v>
      </c>
    </row>
    <row r="60" spans="1:10" ht="15.75" customHeight="1" x14ac:dyDescent="0.25">
      <c r="A60" s="380">
        <v>13050502</v>
      </c>
      <c r="B60" s="381" t="s">
        <v>321</v>
      </c>
      <c r="C60" s="381" t="s">
        <v>727</v>
      </c>
      <c r="D60" s="381" t="s">
        <v>1078</v>
      </c>
      <c r="E60" s="381" t="s">
        <v>1079</v>
      </c>
      <c r="F60" s="378">
        <v>31000</v>
      </c>
      <c r="G60" s="378">
        <v>28000</v>
      </c>
      <c r="H60" s="378">
        <v>31000</v>
      </c>
      <c r="I60" s="378">
        <v>28000</v>
      </c>
      <c r="J60" s="2">
        <f t="shared" si="2"/>
        <v>8</v>
      </c>
    </row>
    <row r="61" spans="1:10" ht="15.75" customHeight="1" x14ac:dyDescent="0.25">
      <c r="A61" s="380">
        <v>13050502</v>
      </c>
      <c r="B61" s="381" t="s">
        <v>321</v>
      </c>
      <c r="C61" s="381" t="s">
        <v>727</v>
      </c>
      <c r="D61" s="381" t="s">
        <v>728</v>
      </c>
      <c r="E61" s="381" t="s">
        <v>729</v>
      </c>
      <c r="F61" s="378">
        <v>52000</v>
      </c>
      <c r="G61" s="378">
        <v>45000</v>
      </c>
      <c r="H61" s="378">
        <v>52000</v>
      </c>
      <c r="I61" s="378">
        <v>45000</v>
      </c>
      <c r="J61" s="2">
        <f t="shared" si="2"/>
        <v>8</v>
      </c>
    </row>
    <row r="62" spans="1:10" ht="15.75" customHeight="1" x14ac:dyDescent="0.25">
      <c r="A62" s="380">
        <v>13050502</v>
      </c>
      <c r="B62" s="381" t="s">
        <v>321</v>
      </c>
      <c r="C62" s="381" t="s">
        <v>727</v>
      </c>
      <c r="D62" s="381" t="s">
        <v>786</v>
      </c>
      <c r="E62" s="381" t="s">
        <v>787</v>
      </c>
      <c r="F62" s="378">
        <v>30000</v>
      </c>
      <c r="G62" s="378">
        <v>0</v>
      </c>
      <c r="H62" s="378">
        <v>30000</v>
      </c>
      <c r="I62" s="378">
        <v>0</v>
      </c>
      <c r="J62" s="2">
        <f t="shared" si="2"/>
        <v>8</v>
      </c>
    </row>
    <row r="63" spans="1:10" ht="15.75" customHeight="1" x14ac:dyDescent="0.25">
      <c r="A63" s="380">
        <v>13050502</v>
      </c>
      <c r="B63" s="381" t="s">
        <v>321</v>
      </c>
      <c r="C63" s="381" t="s">
        <v>727</v>
      </c>
      <c r="D63" s="381" t="s">
        <v>559</v>
      </c>
      <c r="E63" s="381" t="s">
        <v>560</v>
      </c>
      <c r="F63" s="378">
        <v>39000.019999999997</v>
      </c>
      <c r="G63" s="378">
        <v>0</v>
      </c>
      <c r="H63" s="378">
        <v>0</v>
      </c>
      <c r="I63" s="378">
        <v>39000.019999999997</v>
      </c>
      <c r="J63" s="2">
        <f t="shared" si="2"/>
        <v>8</v>
      </c>
    </row>
    <row r="64" spans="1:10" ht="15.75" customHeight="1" x14ac:dyDescent="0.25">
      <c r="A64" s="380">
        <v>13050502</v>
      </c>
      <c r="B64" s="381" t="s">
        <v>321</v>
      </c>
      <c r="C64" s="381" t="s">
        <v>727</v>
      </c>
      <c r="D64" s="381" t="s">
        <v>1090</v>
      </c>
      <c r="E64" s="381" t="s">
        <v>1091</v>
      </c>
      <c r="F64" s="378">
        <v>0</v>
      </c>
      <c r="G64" s="378">
        <v>84000</v>
      </c>
      <c r="H64" s="378">
        <v>39000</v>
      </c>
      <c r="I64" s="378">
        <v>45000</v>
      </c>
      <c r="J64" s="2">
        <f t="shared" si="2"/>
        <v>8</v>
      </c>
    </row>
    <row r="65" spans="1:10" ht="15.75" customHeight="1" x14ac:dyDescent="0.25">
      <c r="A65" s="380">
        <v>13050502</v>
      </c>
      <c r="B65" s="381" t="s">
        <v>321</v>
      </c>
      <c r="C65" s="381" t="s">
        <v>727</v>
      </c>
      <c r="D65" s="381" t="s">
        <v>1092</v>
      </c>
      <c r="E65" s="381" t="s">
        <v>1093</v>
      </c>
      <c r="F65" s="378">
        <v>18000</v>
      </c>
      <c r="G65" s="378">
        <v>0</v>
      </c>
      <c r="H65" s="378">
        <v>18000</v>
      </c>
      <c r="I65" s="378">
        <v>0</v>
      </c>
      <c r="J65" s="2">
        <f t="shared" si="2"/>
        <v>8</v>
      </c>
    </row>
    <row r="66" spans="1:10" ht="15.75" customHeight="1" x14ac:dyDescent="0.25">
      <c r="A66" s="380">
        <v>13050502</v>
      </c>
      <c r="B66" s="381" t="s">
        <v>321</v>
      </c>
      <c r="C66" s="381" t="s">
        <v>727</v>
      </c>
      <c r="D66" s="381" t="s">
        <v>1430</v>
      </c>
      <c r="E66" s="381" t="s">
        <v>1431</v>
      </c>
      <c r="F66" s="378">
        <v>37000</v>
      </c>
      <c r="G66" s="378">
        <v>0</v>
      </c>
      <c r="H66" s="378">
        <v>37000</v>
      </c>
      <c r="I66" s="378">
        <v>0</v>
      </c>
      <c r="J66" s="2">
        <f t="shared" si="2"/>
        <v>8</v>
      </c>
    </row>
    <row r="67" spans="1:10" ht="15.75" customHeight="1" x14ac:dyDescent="0.25">
      <c r="A67" s="380">
        <v>1325</v>
      </c>
      <c r="B67" s="381" t="s">
        <v>315</v>
      </c>
      <c r="C67" s="381" t="s">
        <v>730</v>
      </c>
      <c r="D67" s="381" t="s">
        <v>315</v>
      </c>
      <c r="E67" s="381" t="s">
        <v>315</v>
      </c>
      <c r="F67" s="378">
        <v>0</v>
      </c>
      <c r="G67" s="378">
        <v>0</v>
      </c>
      <c r="H67" s="378">
        <v>0</v>
      </c>
      <c r="I67" s="378">
        <v>0</v>
      </c>
      <c r="J67" s="2">
        <f t="shared" si="2"/>
        <v>4</v>
      </c>
    </row>
    <row r="68" spans="1:10" ht="15.75" customHeight="1" x14ac:dyDescent="0.25">
      <c r="A68" s="380">
        <v>132510</v>
      </c>
      <c r="B68" s="381" t="s">
        <v>315</v>
      </c>
      <c r="C68" s="381" t="s">
        <v>731</v>
      </c>
      <c r="D68" s="381" t="s">
        <v>315</v>
      </c>
      <c r="E68" s="381" t="s">
        <v>315</v>
      </c>
      <c r="F68" s="378">
        <v>0</v>
      </c>
      <c r="G68" s="378">
        <v>0</v>
      </c>
      <c r="H68" s="378">
        <v>0</v>
      </c>
      <c r="I68" s="378">
        <v>0</v>
      </c>
      <c r="J68" s="2">
        <f t="shared" si="2"/>
        <v>6</v>
      </c>
    </row>
    <row r="69" spans="1:10" ht="15.75" customHeight="1" x14ac:dyDescent="0.25">
      <c r="A69" s="380">
        <v>13251005</v>
      </c>
      <c r="B69" s="381" t="s">
        <v>315</v>
      </c>
      <c r="C69" s="381" t="s">
        <v>731</v>
      </c>
      <c r="D69" s="381" t="s">
        <v>315</v>
      </c>
      <c r="E69" s="381" t="s">
        <v>315</v>
      </c>
      <c r="F69" s="378">
        <v>0</v>
      </c>
      <c r="G69" s="378">
        <v>0</v>
      </c>
      <c r="H69" s="378">
        <v>0</v>
      </c>
      <c r="I69" s="378">
        <v>0</v>
      </c>
      <c r="J69" s="2">
        <f t="shared" si="2"/>
        <v>8</v>
      </c>
    </row>
    <row r="70" spans="1:10" ht="15.75" customHeight="1" x14ac:dyDescent="0.25">
      <c r="A70" s="380">
        <v>1330</v>
      </c>
      <c r="B70" s="381" t="s">
        <v>315</v>
      </c>
      <c r="C70" s="381" t="s">
        <v>20</v>
      </c>
      <c r="D70" s="381" t="s">
        <v>315</v>
      </c>
      <c r="E70" s="381" t="s">
        <v>315</v>
      </c>
      <c r="F70" s="378">
        <v>165936464.05000001</v>
      </c>
      <c r="G70" s="378">
        <v>27380603</v>
      </c>
      <c r="H70" s="378">
        <v>8670103</v>
      </c>
      <c r="I70" s="378">
        <v>184646964.05000001</v>
      </c>
      <c r="J70" s="2">
        <f t="shared" si="2"/>
        <v>4</v>
      </c>
    </row>
    <row r="71" spans="1:10" ht="15.75" customHeight="1" x14ac:dyDescent="0.25">
      <c r="A71" s="380">
        <v>133005</v>
      </c>
      <c r="B71" s="381" t="s">
        <v>315</v>
      </c>
      <c r="C71" s="381" t="s">
        <v>346</v>
      </c>
      <c r="D71" s="381" t="s">
        <v>315</v>
      </c>
      <c r="E71" s="381" t="s">
        <v>315</v>
      </c>
      <c r="F71" s="378">
        <v>7502000</v>
      </c>
      <c r="G71" s="378">
        <v>3264700</v>
      </c>
      <c r="H71" s="378">
        <v>2164700</v>
      </c>
      <c r="I71" s="378">
        <v>8602000</v>
      </c>
      <c r="J71" s="2">
        <f t="shared" si="2"/>
        <v>6</v>
      </c>
    </row>
    <row r="72" spans="1:10" ht="15.75" customHeight="1" x14ac:dyDescent="0.25">
      <c r="A72" s="380">
        <v>13300501</v>
      </c>
      <c r="B72" s="381" t="s">
        <v>321</v>
      </c>
      <c r="C72" s="381" t="s">
        <v>346</v>
      </c>
      <c r="D72" s="381" t="s">
        <v>315</v>
      </c>
      <c r="E72" s="381" t="s">
        <v>315</v>
      </c>
      <c r="F72" s="378">
        <v>7502000</v>
      </c>
      <c r="G72" s="378">
        <v>1100000</v>
      </c>
      <c r="H72" s="378">
        <v>0</v>
      </c>
      <c r="I72" s="378">
        <v>8602000</v>
      </c>
      <c r="J72" s="2">
        <f t="shared" si="2"/>
        <v>8</v>
      </c>
    </row>
    <row r="73" spans="1:10" ht="15.75" customHeight="1" x14ac:dyDescent="0.25">
      <c r="A73" s="380">
        <v>13300501</v>
      </c>
      <c r="B73" s="381" t="s">
        <v>321</v>
      </c>
      <c r="C73" s="381" t="s">
        <v>346</v>
      </c>
      <c r="D73" s="381" t="s">
        <v>1032</v>
      </c>
      <c r="E73" s="381" t="s">
        <v>1033</v>
      </c>
      <c r="F73" s="378">
        <v>0</v>
      </c>
      <c r="G73" s="378">
        <v>1100000</v>
      </c>
      <c r="H73" s="378">
        <v>0</v>
      </c>
      <c r="I73" s="378">
        <v>1100000</v>
      </c>
      <c r="J73" s="2">
        <f t="shared" si="2"/>
        <v>8</v>
      </c>
    </row>
    <row r="74" spans="1:10" ht="15.75" customHeight="1" x14ac:dyDescent="0.25">
      <c r="A74" s="380">
        <v>13300501</v>
      </c>
      <c r="B74" s="381" t="s">
        <v>321</v>
      </c>
      <c r="C74" s="381" t="s">
        <v>346</v>
      </c>
      <c r="D74" s="381" t="s">
        <v>734</v>
      </c>
      <c r="E74" s="381" t="s">
        <v>735</v>
      </c>
      <c r="F74" s="378">
        <v>7502000</v>
      </c>
      <c r="G74" s="378">
        <v>0</v>
      </c>
      <c r="H74" s="378">
        <v>0</v>
      </c>
      <c r="I74" s="378">
        <v>7502000</v>
      </c>
      <c r="J74" s="2">
        <f t="shared" si="2"/>
        <v>8</v>
      </c>
    </row>
    <row r="75" spans="1:10" ht="15.75" customHeight="1" x14ac:dyDescent="0.25">
      <c r="A75" s="380">
        <v>13300502</v>
      </c>
      <c r="B75" s="381" t="s">
        <v>321</v>
      </c>
      <c r="C75" s="381" t="s">
        <v>737</v>
      </c>
      <c r="D75" s="381" t="s">
        <v>315</v>
      </c>
      <c r="E75" s="381" t="s">
        <v>315</v>
      </c>
      <c r="F75" s="378">
        <v>0</v>
      </c>
      <c r="G75" s="378">
        <v>2164700</v>
      </c>
      <c r="H75" s="378">
        <v>2164700</v>
      </c>
      <c r="I75" s="378">
        <v>0</v>
      </c>
      <c r="J75" s="2">
        <f t="shared" si="2"/>
        <v>8</v>
      </c>
    </row>
    <row r="76" spans="1:10" ht="15.75" customHeight="1" x14ac:dyDescent="0.25">
      <c r="A76" s="380">
        <v>13300502</v>
      </c>
      <c r="B76" s="381" t="s">
        <v>321</v>
      </c>
      <c r="C76" s="381" t="s">
        <v>737</v>
      </c>
      <c r="D76" s="381" t="s">
        <v>740</v>
      </c>
      <c r="E76" s="381" t="s">
        <v>741</v>
      </c>
      <c r="F76" s="378">
        <v>0</v>
      </c>
      <c r="G76" s="378">
        <v>791700</v>
      </c>
      <c r="H76" s="378">
        <v>791700</v>
      </c>
      <c r="I76" s="378">
        <v>0</v>
      </c>
      <c r="J76" s="2">
        <f t="shared" si="2"/>
        <v>8</v>
      </c>
    </row>
    <row r="77" spans="1:10" ht="15.75" customHeight="1" x14ac:dyDescent="0.25">
      <c r="A77" s="380">
        <v>13300502</v>
      </c>
      <c r="B77" s="381" t="s">
        <v>321</v>
      </c>
      <c r="C77" s="381" t="s">
        <v>737</v>
      </c>
      <c r="D77" s="381" t="s">
        <v>1359</v>
      </c>
      <c r="E77" s="381" t="s">
        <v>1360</v>
      </c>
      <c r="F77" s="378">
        <v>0</v>
      </c>
      <c r="G77" s="378">
        <v>90000</v>
      </c>
      <c r="H77" s="378">
        <v>90000</v>
      </c>
      <c r="I77" s="378">
        <v>0</v>
      </c>
      <c r="J77" s="2">
        <f t="shared" ref="J77:J140" si="3">+LEN(A77)</f>
        <v>8</v>
      </c>
    </row>
    <row r="78" spans="1:10" ht="15.75" customHeight="1" x14ac:dyDescent="0.25">
      <c r="A78" s="380">
        <v>13300502</v>
      </c>
      <c r="B78" s="381" t="s">
        <v>321</v>
      </c>
      <c r="C78" s="381" t="s">
        <v>737</v>
      </c>
      <c r="D78" s="381" t="s">
        <v>742</v>
      </c>
      <c r="E78" s="381" t="s">
        <v>743</v>
      </c>
      <c r="F78" s="378">
        <v>0</v>
      </c>
      <c r="G78" s="378">
        <v>266000</v>
      </c>
      <c r="H78" s="378">
        <v>266000</v>
      </c>
      <c r="I78" s="378">
        <v>0</v>
      </c>
      <c r="J78" s="2">
        <f t="shared" si="3"/>
        <v>8</v>
      </c>
    </row>
    <row r="79" spans="1:10" ht="15.75" customHeight="1" x14ac:dyDescent="0.25">
      <c r="A79" s="380">
        <v>13300502</v>
      </c>
      <c r="B79" s="381" t="s">
        <v>321</v>
      </c>
      <c r="C79" s="381" t="s">
        <v>737</v>
      </c>
      <c r="D79" s="381" t="s">
        <v>744</v>
      </c>
      <c r="E79" s="381" t="s">
        <v>745</v>
      </c>
      <c r="F79" s="378">
        <v>0</v>
      </c>
      <c r="G79" s="378">
        <v>90000</v>
      </c>
      <c r="H79" s="378">
        <v>90000</v>
      </c>
      <c r="I79" s="378">
        <v>0</v>
      </c>
      <c r="J79" s="2">
        <f t="shared" si="3"/>
        <v>8</v>
      </c>
    </row>
    <row r="80" spans="1:10" ht="15.75" customHeight="1" x14ac:dyDescent="0.25">
      <c r="A80" s="380">
        <v>13300502</v>
      </c>
      <c r="B80" s="381" t="s">
        <v>321</v>
      </c>
      <c r="C80" s="381" t="s">
        <v>737</v>
      </c>
      <c r="D80" s="381" t="s">
        <v>746</v>
      </c>
      <c r="E80" s="381" t="s">
        <v>1478</v>
      </c>
      <c r="F80" s="378">
        <v>0</v>
      </c>
      <c r="G80" s="378">
        <v>28000</v>
      </c>
      <c r="H80" s="378">
        <v>28000</v>
      </c>
      <c r="I80" s="378">
        <v>0</v>
      </c>
      <c r="J80" s="2">
        <f t="shared" si="3"/>
        <v>8</v>
      </c>
    </row>
    <row r="81" spans="1:10" ht="15.75" customHeight="1" x14ac:dyDescent="0.25">
      <c r="A81" s="380">
        <v>13300502</v>
      </c>
      <c r="B81" s="381" t="s">
        <v>321</v>
      </c>
      <c r="C81" s="381" t="s">
        <v>737</v>
      </c>
      <c r="D81" s="381" t="s">
        <v>1380</v>
      </c>
      <c r="E81" s="381" t="s">
        <v>1381</v>
      </c>
      <c r="F81" s="378">
        <v>0</v>
      </c>
      <c r="G81" s="378">
        <v>4000</v>
      </c>
      <c r="H81" s="378">
        <v>4000</v>
      </c>
      <c r="I81" s="378">
        <v>0</v>
      </c>
      <c r="J81" s="2">
        <f t="shared" si="3"/>
        <v>8</v>
      </c>
    </row>
    <row r="82" spans="1:10" ht="15.75" customHeight="1" x14ac:dyDescent="0.25">
      <c r="A82" s="380">
        <v>13300502</v>
      </c>
      <c r="B82" s="381" t="s">
        <v>321</v>
      </c>
      <c r="C82" s="381" t="s">
        <v>737</v>
      </c>
      <c r="D82" s="381" t="s">
        <v>747</v>
      </c>
      <c r="E82" s="381" t="s">
        <v>748</v>
      </c>
      <c r="F82" s="378">
        <v>0</v>
      </c>
      <c r="G82" s="378">
        <v>345000</v>
      </c>
      <c r="H82" s="378">
        <v>345000</v>
      </c>
      <c r="I82" s="378">
        <v>0</v>
      </c>
      <c r="J82" s="2">
        <f t="shared" si="3"/>
        <v>8</v>
      </c>
    </row>
    <row r="83" spans="1:10" ht="15.75" customHeight="1" x14ac:dyDescent="0.25">
      <c r="A83" s="380">
        <v>13300502</v>
      </c>
      <c r="B83" s="381" t="s">
        <v>321</v>
      </c>
      <c r="C83" s="381" t="s">
        <v>737</v>
      </c>
      <c r="D83" s="381" t="s">
        <v>1365</v>
      </c>
      <c r="E83" s="381" t="s">
        <v>1366</v>
      </c>
      <c r="F83" s="378">
        <v>0</v>
      </c>
      <c r="G83" s="378">
        <v>550000</v>
      </c>
      <c r="H83" s="378">
        <v>550000</v>
      </c>
      <c r="I83" s="378">
        <v>0</v>
      </c>
      <c r="J83" s="2">
        <f t="shared" si="3"/>
        <v>8</v>
      </c>
    </row>
    <row r="84" spans="1:10" ht="15.75" customHeight="1" x14ac:dyDescent="0.25">
      <c r="A84" s="380">
        <v>133010</v>
      </c>
      <c r="B84" s="381" t="s">
        <v>321</v>
      </c>
      <c r="C84" s="381" t="s">
        <v>749</v>
      </c>
      <c r="D84" s="381" t="s">
        <v>315</v>
      </c>
      <c r="E84" s="381" t="s">
        <v>315</v>
      </c>
      <c r="F84" s="378">
        <v>158434464.05000001</v>
      </c>
      <c r="G84" s="378">
        <v>24115903</v>
      </c>
      <c r="H84" s="378">
        <v>6505403</v>
      </c>
      <c r="I84" s="378">
        <v>176044964.05000001</v>
      </c>
      <c r="J84" s="2">
        <f t="shared" si="3"/>
        <v>6</v>
      </c>
    </row>
    <row r="85" spans="1:10" ht="15.75" customHeight="1" x14ac:dyDescent="0.25">
      <c r="A85" s="380">
        <v>13301001</v>
      </c>
      <c r="B85" s="381" t="s">
        <v>321</v>
      </c>
      <c r="C85" s="381" t="s">
        <v>749</v>
      </c>
      <c r="D85" s="381" t="s">
        <v>315</v>
      </c>
      <c r="E85" s="381" t="s">
        <v>315</v>
      </c>
      <c r="F85" s="378">
        <v>158434464.05000001</v>
      </c>
      <c r="G85" s="378">
        <v>24115903</v>
      </c>
      <c r="H85" s="378">
        <v>6505403</v>
      </c>
      <c r="I85" s="378">
        <v>176044964.05000001</v>
      </c>
      <c r="J85" s="2">
        <f t="shared" si="3"/>
        <v>8</v>
      </c>
    </row>
    <row r="86" spans="1:10" ht="15.75" customHeight="1" x14ac:dyDescent="0.25">
      <c r="A86" s="380">
        <v>13301001</v>
      </c>
      <c r="B86" s="381" t="s">
        <v>321</v>
      </c>
      <c r="C86" s="381" t="s">
        <v>749</v>
      </c>
      <c r="D86" s="381" t="s">
        <v>751</v>
      </c>
      <c r="E86" s="381" t="s">
        <v>752</v>
      </c>
      <c r="F86" s="378">
        <v>27460413</v>
      </c>
      <c r="G86" s="378">
        <v>0</v>
      </c>
      <c r="H86" s="378">
        <v>0</v>
      </c>
      <c r="I86" s="378">
        <v>27460413</v>
      </c>
      <c r="J86" s="2">
        <f t="shared" si="3"/>
        <v>8</v>
      </c>
    </row>
    <row r="87" spans="1:10" ht="15.75" customHeight="1" x14ac:dyDescent="0.25">
      <c r="A87" s="380">
        <v>13301001</v>
      </c>
      <c r="B87" s="381" t="s">
        <v>321</v>
      </c>
      <c r="C87" s="381" t="s">
        <v>749</v>
      </c>
      <c r="D87" s="381" t="s">
        <v>753</v>
      </c>
      <c r="E87" s="381" t="s">
        <v>754</v>
      </c>
      <c r="F87" s="378">
        <v>12483272</v>
      </c>
      <c r="G87" s="378">
        <v>0</v>
      </c>
      <c r="H87" s="378">
        <v>0</v>
      </c>
      <c r="I87" s="378">
        <v>12483272</v>
      </c>
      <c r="J87" s="2">
        <f t="shared" si="3"/>
        <v>8</v>
      </c>
    </row>
    <row r="88" spans="1:10" ht="15.75" customHeight="1" x14ac:dyDescent="0.25">
      <c r="A88" s="380">
        <v>13301001</v>
      </c>
      <c r="B88" s="381" t="s">
        <v>321</v>
      </c>
      <c r="C88" s="381" t="s">
        <v>749</v>
      </c>
      <c r="D88" s="381" t="s">
        <v>757</v>
      </c>
      <c r="E88" s="381" t="s">
        <v>758</v>
      </c>
      <c r="F88" s="378">
        <v>2299962</v>
      </c>
      <c r="G88" s="378">
        <v>3751593</v>
      </c>
      <c r="H88" s="378">
        <v>0</v>
      </c>
      <c r="I88" s="378">
        <v>6051555</v>
      </c>
      <c r="J88" s="2">
        <f t="shared" si="3"/>
        <v>8</v>
      </c>
    </row>
    <row r="89" spans="1:10" ht="15.75" customHeight="1" x14ac:dyDescent="0.25">
      <c r="A89" s="380">
        <v>13301001</v>
      </c>
      <c r="B89" s="381" t="s">
        <v>321</v>
      </c>
      <c r="C89" s="381" t="s">
        <v>749</v>
      </c>
      <c r="D89" s="381" t="s">
        <v>759</v>
      </c>
      <c r="E89" s="381" t="s">
        <v>760</v>
      </c>
      <c r="F89" s="378">
        <v>11233740</v>
      </c>
      <c r="G89" s="378">
        <v>4054896</v>
      </c>
      <c r="H89" s="378">
        <v>0</v>
      </c>
      <c r="I89" s="378">
        <v>15288636</v>
      </c>
      <c r="J89" s="2">
        <f t="shared" si="3"/>
        <v>8</v>
      </c>
    </row>
    <row r="90" spans="1:10" ht="15.75" customHeight="1" x14ac:dyDescent="0.25">
      <c r="A90" s="380">
        <v>13301001</v>
      </c>
      <c r="B90" s="381" t="s">
        <v>321</v>
      </c>
      <c r="C90" s="381" t="s">
        <v>749</v>
      </c>
      <c r="D90" s="381" t="s">
        <v>498</v>
      </c>
      <c r="E90" s="381" t="s">
        <v>1102</v>
      </c>
      <c r="F90" s="378">
        <v>0</v>
      </c>
      <c r="G90" s="378">
        <v>432864</v>
      </c>
      <c r="H90" s="378">
        <v>432864</v>
      </c>
      <c r="I90" s="378">
        <v>0</v>
      </c>
      <c r="J90" s="2">
        <f t="shared" si="3"/>
        <v>8</v>
      </c>
    </row>
    <row r="91" spans="1:10" ht="15.75" customHeight="1" x14ac:dyDescent="0.25">
      <c r="A91" s="380">
        <v>13301001</v>
      </c>
      <c r="B91" s="381" t="s">
        <v>321</v>
      </c>
      <c r="C91" s="381" t="s">
        <v>749</v>
      </c>
      <c r="D91" s="381" t="s">
        <v>763</v>
      </c>
      <c r="E91" s="381" t="s">
        <v>764</v>
      </c>
      <c r="F91" s="378">
        <v>28532604</v>
      </c>
      <c r="G91" s="378">
        <v>4961422</v>
      </c>
      <c r="H91" s="378">
        <v>2341825</v>
      </c>
      <c r="I91" s="378">
        <v>31152201</v>
      </c>
      <c r="J91" s="2">
        <f t="shared" si="3"/>
        <v>8</v>
      </c>
    </row>
    <row r="92" spans="1:10" ht="15.75" customHeight="1" x14ac:dyDescent="0.25">
      <c r="A92" s="380">
        <v>13301001</v>
      </c>
      <c r="B92" s="381" t="s">
        <v>321</v>
      </c>
      <c r="C92" s="381" t="s">
        <v>749</v>
      </c>
      <c r="D92" s="381" t="s">
        <v>765</v>
      </c>
      <c r="E92" s="381" t="s">
        <v>766</v>
      </c>
      <c r="F92" s="378">
        <v>50472887.049999997</v>
      </c>
      <c r="G92" s="378">
        <v>2976853</v>
      </c>
      <c r="H92" s="378">
        <v>694445</v>
      </c>
      <c r="I92" s="378">
        <v>52755295.049999997</v>
      </c>
      <c r="J92" s="2">
        <f t="shared" si="3"/>
        <v>8</v>
      </c>
    </row>
    <row r="93" spans="1:10" ht="15.75" customHeight="1" x14ac:dyDescent="0.25">
      <c r="A93" s="380">
        <v>13301001</v>
      </c>
      <c r="B93" s="381" t="s">
        <v>321</v>
      </c>
      <c r="C93" s="381" t="s">
        <v>749</v>
      </c>
      <c r="D93" s="381" t="s">
        <v>767</v>
      </c>
      <c r="E93" s="381" t="s">
        <v>768</v>
      </c>
      <c r="F93" s="378">
        <v>26972197</v>
      </c>
      <c r="G93" s="378">
        <v>4961422</v>
      </c>
      <c r="H93" s="378">
        <v>2341825</v>
      </c>
      <c r="I93" s="378">
        <v>29591794</v>
      </c>
      <c r="J93" s="2">
        <f t="shared" si="3"/>
        <v>8</v>
      </c>
    </row>
    <row r="94" spans="1:10" ht="15.75" customHeight="1" x14ac:dyDescent="0.25">
      <c r="A94" s="380">
        <v>13301001</v>
      </c>
      <c r="B94" s="381" t="s">
        <v>321</v>
      </c>
      <c r="C94" s="381" t="s">
        <v>749</v>
      </c>
      <c r="D94" s="381" t="s">
        <v>769</v>
      </c>
      <c r="E94" s="381" t="s">
        <v>770</v>
      </c>
      <c r="F94" s="378">
        <v>-1020611</v>
      </c>
      <c r="G94" s="378">
        <v>2976853</v>
      </c>
      <c r="H94" s="378">
        <v>694444</v>
      </c>
      <c r="I94" s="378">
        <v>1261798</v>
      </c>
      <c r="J94" s="2">
        <f t="shared" si="3"/>
        <v>8</v>
      </c>
    </row>
    <row r="95" spans="1:10" ht="15.75" customHeight="1" x14ac:dyDescent="0.25">
      <c r="A95" s="380">
        <v>1365</v>
      </c>
      <c r="B95" s="381" t="s">
        <v>315</v>
      </c>
      <c r="C95" s="381" t="s">
        <v>771</v>
      </c>
      <c r="D95" s="381" t="s">
        <v>315</v>
      </c>
      <c r="E95" s="381" t="s">
        <v>315</v>
      </c>
      <c r="F95" s="378">
        <v>2109257</v>
      </c>
      <c r="G95" s="378">
        <v>924606</v>
      </c>
      <c r="H95" s="378">
        <v>1036278</v>
      </c>
      <c r="I95" s="378">
        <v>1997585</v>
      </c>
      <c r="J95" s="2">
        <f t="shared" si="3"/>
        <v>4</v>
      </c>
    </row>
    <row r="96" spans="1:10" ht="15.75" customHeight="1" x14ac:dyDescent="0.25">
      <c r="A96" s="380">
        <v>136525</v>
      </c>
      <c r="B96" s="381" t="s">
        <v>315</v>
      </c>
      <c r="C96" s="381" t="s">
        <v>772</v>
      </c>
      <c r="D96" s="381" t="s">
        <v>315</v>
      </c>
      <c r="E96" s="381" t="s">
        <v>315</v>
      </c>
      <c r="F96" s="378">
        <v>1079998</v>
      </c>
      <c r="G96" s="378">
        <v>38024</v>
      </c>
      <c r="H96" s="378">
        <v>279691</v>
      </c>
      <c r="I96" s="378">
        <v>838331</v>
      </c>
      <c r="J96" s="2">
        <f t="shared" si="3"/>
        <v>6</v>
      </c>
    </row>
    <row r="97" spans="1:10" ht="15.75" customHeight="1" x14ac:dyDescent="0.25">
      <c r="A97" s="380">
        <v>13652501</v>
      </c>
      <c r="B97" s="381" t="s">
        <v>315</v>
      </c>
      <c r="C97" s="381" t="s">
        <v>773</v>
      </c>
      <c r="D97" s="381" t="s">
        <v>315</v>
      </c>
      <c r="E97" s="381" t="s">
        <v>315</v>
      </c>
      <c r="F97" s="378">
        <v>1079998</v>
      </c>
      <c r="G97" s="378">
        <v>38024</v>
      </c>
      <c r="H97" s="378">
        <v>279691</v>
      </c>
      <c r="I97" s="378">
        <v>838331</v>
      </c>
      <c r="J97" s="2">
        <f t="shared" si="3"/>
        <v>8</v>
      </c>
    </row>
    <row r="98" spans="1:10" ht="15.75" customHeight="1" x14ac:dyDescent="0.25">
      <c r="A98" s="380">
        <v>13652501</v>
      </c>
      <c r="B98" s="381" t="s">
        <v>315</v>
      </c>
      <c r="C98" s="381" t="s">
        <v>773</v>
      </c>
      <c r="D98" s="381" t="s">
        <v>797</v>
      </c>
      <c r="E98" s="381" t="s">
        <v>798</v>
      </c>
      <c r="F98" s="378">
        <v>966666</v>
      </c>
      <c r="G98" s="378">
        <v>0</v>
      </c>
      <c r="H98" s="378">
        <v>241667</v>
      </c>
      <c r="I98" s="378">
        <v>724999</v>
      </c>
      <c r="J98" s="2">
        <f t="shared" si="3"/>
        <v>8</v>
      </c>
    </row>
    <row r="99" spans="1:10" ht="15.75" customHeight="1" x14ac:dyDescent="0.25">
      <c r="A99" s="380">
        <v>13652501</v>
      </c>
      <c r="B99" s="381" t="s">
        <v>315</v>
      </c>
      <c r="C99" s="381" t="s">
        <v>773</v>
      </c>
      <c r="D99" s="381" t="s">
        <v>1228</v>
      </c>
      <c r="E99" s="381" t="s">
        <v>1229</v>
      </c>
      <c r="F99" s="378">
        <v>0</v>
      </c>
      <c r="G99" s="378">
        <v>8900</v>
      </c>
      <c r="H99" s="378">
        <v>8900</v>
      </c>
      <c r="I99" s="378">
        <v>0</v>
      </c>
      <c r="J99" s="2">
        <f t="shared" si="3"/>
        <v>8</v>
      </c>
    </row>
    <row r="100" spans="1:10" ht="15.75" customHeight="1" x14ac:dyDescent="0.25">
      <c r="A100" s="380">
        <v>13652501</v>
      </c>
      <c r="B100" s="381" t="s">
        <v>315</v>
      </c>
      <c r="C100" s="381" t="s">
        <v>773</v>
      </c>
      <c r="D100" s="381" t="s">
        <v>1088</v>
      </c>
      <c r="E100" s="381" t="s">
        <v>1089</v>
      </c>
      <c r="F100" s="378">
        <v>0</v>
      </c>
      <c r="G100" s="378">
        <v>29124</v>
      </c>
      <c r="H100" s="378">
        <v>29124</v>
      </c>
      <c r="I100" s="378">
        <v>0</v>
      </c>
      <c r="J100" s="2">
        <f t="shared" si="3"/>
        <v>8</v>
      </c>
    </row>
    <row r="101" spans="1:10" ht="15.75" customHeight="1" x14ac:dyDescent="0.25">
      <c r="A101" s="380">
        <v>13652501</v>
      </c>
      <c r="B101" s="381" t="s">
        <v>315</v>
      </c>
      <c r="C101" s="381" t="s">
        <v>773</v>
      </c>
      <c r="D101" s="381" t="s">
        <v>1210</v>
      </c>
      <c r="E101" s="381" t="s">
        <v>1211</v>
      </c>
      <c r="F101" s="378">
        <v>113332</v>
      </c>
      <c r="G101" s="378">
        <v>0</v>
      </c>
      <c r="H101" s="378">
        <v>0</v>
      </c>
      <c r="I101" s="378">
        <v>113332</v>
      </c>
      <c r="J101" s="2">
        <f t="shared" si="3"/>
        <v>8</v>
      </c>
    </row>
    <row r="102" spans="1:10" ht="15.75" customHeight="1" x14ac:dyDescent="0.25">
      <c r="A102" s="380">
        <v>136595</v>
      </c>
      <c r="B102" s="381" t="s">
        <v>315</v>
      </c>
      <c r="C102" s="381" t="s">
        <v>238</v>
      </c>
      <c r="D102" s="381" t="s">
        <v>315</v>
      </c>
      <c r="E102" s="381" t="s">
        <v>315</v>
      </c>
      <c r="F102" s="378">
        <v>1029259</v>
      </c>
      <c r="G102" s="378">
        <v>886582</v>
      </c>
      <c r="H102" s="378">
        <v>756587</v>
      </c>
      <c r="I102" s="378">
        <v>1159254</v>
      </c>
      <c r="J102" s="2">
        <f t="shared" si="3"/>
        <v>6</v>
      </c>
    </row>
    <row r="103" spans="1:10" ht="15.75" customHeight="1" x14ac:dyDescent="0.25">
      <c r="A103" s="380">
        <v>13659501</v>
      </c>
      <c r="B103" s="381" t="s">
        <v>315</v>
      </c>
      <c r="C103" s="381" t="s">
        <v>778</v>
      </c>
      <c r="D103" s="381" t="s">
        <v>315</v>
      </c>
      <c r="E103" s="381" t="s">
        <v>315</v>
      </c>
      <c r="F103" s="378">
        <v>891959</v>
      </c>
      <c r="G103" s="378">
        <v>612032</v>
      </c>
      <c r="H103" s="378">
        <v>594678</v>
      </c>
      <c r="I103" s="378">
        <v>909313</v>
      </c>
      <c r="J103" s="2">
        <f t="shared" si="3"/>
        <v>8</v>
      </c>
    </row>
    <row r="104" spans="1:10" ht="15.75" customHeight="1" x14ac:dyDescent="0.25">
      <c r="A104" s="380">
        <v>13659501</v>
      </c>
      <c r="B104" s="381" t="s">
        <v>315</v>
      </c>
      <c r="C104" s="381" t="s">
        <v>778</v>
      </c>
      <c r="D104" s="381" t="s">
        <v>779</v>
      </c>
      <c r="E104" s="381" t="s">
        <v>780</v>
      </c>
      <c r="F104" s="378">
        <v>59928</v>
      </c>
      <c r="G104" s="378">
        <v>64970</v>
      </c>
      <c r="H104" s="378">
        <v>104250</v>
      </c>
      <c r="I104" s="378">
        <v>20648</v>
      </c>
      <c r="J104" s="2">
        <f t="shared" si="3"/>
        <v>8</v>
      </c>
    </row>
    <row r="105" spans="1:10" ht="15.75" customHeight="1" x14ac:dyDescent="0.25">
      <c r="A105" s="380">
        <v>13659501</v>
      </c>
      <c r="B105" s="381" t="s">
        <v>315</v>
      </c>
      <c r="C105" s="381" t="s">
        <v>778</v>
      </c>
      <c r="D105" s="381" t="s">
        <v>781</v>
      </c>
      <c r="E105" s="381" t="s">
        <v>782</v>
      </c>
      <c r="F105" s="378">
        <v>64473</v>
      </c>
      <c r="G105" s="378">
        <v>147166</v>
      </c>
      <c r="H105" s="378">
        <v>160900</v>
      </c>
      <c r="I105" s="378">
        <v>50739</v>
      </c>
      <c r="J105" s="2">
        <f t="shared" si="3"/>
        <v>8</v>
      </c>
    </row>
    <row r="106" spans="1:10" ht="15.75" customHeight="1" x14ac:dyDescent="0.25">
      <c r="A106" s="380">
        <v>13659501</v>
      </c>
      <c r="B106" s="381" t="s">
        <v>315</v>
      </c>
      <c r="C106" s="381" t="s">
        <v>778</v>
      </c>
      <c r="D106" s="381" t="s">
        <v>728</v>
      </c>
      <c r="E106" s="381" t="s">
        <v>729</v>
      </c>
      <c r="F106" s="378">
        <v>459122</v>
      </c>
      <c r="G106" s="378">
        <v>0</v>
      </c>
      <c r="H106" s="378">
        <v>0</v>
      </c>
      <c r="I106" s="378">
        <v>459122</v>
      </c>
      <c r="J106" s="2">
        <f t="shared" si="3"/>
        <v>8</v>
      </c>
    </row>
    <row r="107" spans="1:10" ht="15.75" customHeight="1" x14ac:dyDescent="0.25">
      <c r="A107" s="380">
        <v>13659501</v>
      </c>
      <c r="B107" s="381" t="s">
        <v>315</v>
      </c>
      <c r="C107" s="381" t="s">
        <v>778</v>
      </c>
      <c r="D107" s="381" t="s">
        <v>1221</v>
      </c>
      <c r="E107" s="381" t="s">
        <v>1494</v>
      </c>
      <c r="F107" s="378">
        <v>54122</v>
      </c>
      <c r="G107" s="378">
        <v>0</v>
      </c>
      <c r="H107" s="378">
        <v>0</v>
      </c>
      <c r="I107" s="378">
        <v>54122</v>
      </c>
      <c r="J107" s="2">
        <f t="shared" si="3"/>
        <v>8</v>
      </c>
    </row>
    <row r="108" spans="1:10" ht="15.75" customHeight="1" x14ac:dyDescent="0.25">
      <c r="A108" s="380">
        <v>13659501</v>
      </c>
      <c r="B108" s="381" t="s">
        <v>315</v>
      </c>
      <c r="C108" s="381" t="s">
        <v>778</v>
      </c>
      <c r="D108" s="381" t="s">
        <v>1440</v>
      </c>
      <c r="E108" s="381" t="s">
        <v>1441</v>
      </c>
      <c r="F108" s="378">
        <v>7.2759576141834308E-12</v>
      </c>
      <c r="G108" s="378">
        <v>0</v>
      </c>
      <c r="H108" s="378">
        <v>0</v>
      </c>
      <c r="I108" s="378">
        <v>7.2759576141834308E-12</v>
      </c>
      <c r="J108" s="2">
        <f t="shared" si="3"/>
        <v>8</v>
      </c>
    </row>
    <row r="109" spans="1:10" ht="15.75" customHeight="1" x14ac:dyDescent="0.25">
      <c r="A109" s="380">
        <v>13659501</v>
      </c>
      <c r="B109" s="381" t="s">
        <v>315</v>
      </c>
      <c r="C109" s="381" t="s">
        <v>778</v>
      </c>
      <c r="D109" s="381" t="s">
        <v>785</v>
      </c>
      <c r="E109" s="381" t="s">
        <v>1469</v>
      </c>
      <c r="F109" s="378">
        <v>11460</v>
      </c>
      <c r="G109" s="378">
        <v>44920</v>
      </c>
      <c r="H109" s="378">
        <v>27210</v>
      </c>
      <c r="I109" s="378">
        <v>29170</v>
      </c>
      <c r="J109" s="2">
        <f t="shared" si="3"/>
        <v>8</v>
      </c>
    </row>
    <row r="110" spans="1:10" ht="15.75" customHeight="1" x14ac:dyDescent="0.25">
      <c r="A110" s="380">
        <v>13659501</v>
      </c>
      <c r="B110" s="381" t="s">
        <v>315</v>
      </c>
      <c r="C110" s="381" t="s">
        <v>778</v>
      </c>
      <c r="D110" s="381" t="s">
        <v>786</v>
      </c>
      <c r="E110" s="381" t="s">
        <v>787</v>
      </c>
      <c r="F110" s="378">
        <v>38822</v>
      </c>
      <c r="G110" s="378">
        <v>48060</v>
      </c>
      <c r="H110" s="378">
        <v>32200</v>
      </c>
      <c r="I110" s="378">
        <v>54682</v>
      </c>
      <c r="J110" s="2">
        <f t="shared" si="3"/>
        <v>8</v>
      </c>
    </row>
    <row r="111" spans="1:10" ht="15.75" customHeight="1" x14ac:dyDescent="0.25">
      <c r="A111" s="380">
        <v>13659501</v>
      </c>
      <c r="B111" s="381" t="s">
        <v>315</v>
      </c>
      <c r="C111" s="381" t="s">
        <v>778</v>
      </c>
      <c r="D111" s="381" t="s">
        <v>1284</v>
      </c>
      <c r="E111" s="381" t="s">
        <v>1285</v>
      </c>
      <c r="F111" s="378">
        <v>30400</v>
      </c>
      <c r="G111" s="378">
        <v>0</v>
      </c>
      <c r="H111" s="378">
        <v>0</v>
      </c>
      <c r="I111" s="378">
        <v>30400</v>
      </c>
      <c r="J111" s="2">
        <f t="shared" si="3"/>
        <v>8</v>
      </c>
    </row>
    <row r="112" spans="1:10" ht="15.75" customHeight="1" x14ac:dyDescent="0.25">
      <c r="A112" s="380">
        <v>13659501</v>
      </c>
      <c r="B112" s="381" t="s">
        <v>315</v>
      </c>
      <c r="C112" s="381" t="s">
        <v>778</v>
      </c>
      <c r="D112" s="381" t="s">
        <v>788</v>
      </c>
      <c r="E112" s="381" t="s">
        <v>789</v>
      </c>
      <c r="F112" s="378">
        <v>-75465</v>
      </c>
      <c r="G112" s="378">
        <v>202021</v>
      </c>
      <c r="H112" s="378">
        <v>182500</v>
      </c>
      <c r="I112" s="378">
        <v>-55944</v>
      </c>
      <c r="J112" s="2">
        <f t="shared" si="3"/>
        <v>8</v>
      </c>
    </row>
    <row r="113" spans="1:10" ht="15.75" customHeight="1" x14ac:dyDescent="0.25">
      <c r="A113" s="380">
        <v>13659501</v>
      </c>
      <c r="B113" s="381" t="s">
        <v>315</v>
      </c>
      <c r="C113" s="381" t="s">
        <v>778</v>
      </c>
      <c r="D113" s="381" t="s">
        <v>776</v>
      </c>
      <c r="E113" s="381" t="s">
        <v>777</v>
      </c>
      <c r="F113" s="378">
        <v>24832</v>
      </c>
      <c r="G113" s="378">
        <v>16418</v>
      </c>
      <c r="H113" s="378">
        <v>41250</v>
      </c>
      <c r="I113" s="378">
        <v>0</v>
      </c>
      <c r="J113" s="2">
        <f t="shared" si="3"/>
        <v>8</v>
      </c>
    </row>
    <row r="114" spans="1:10" ht="15.75" customHeight="1" x14ac:dyDescent="0.25">
      <c r="A114" s="380">
        <v>13659501</v>
      </c>
      <c r="B114" s="381" t="s">
        <v>315</v>
      </c>
      <c r="C114" s="381" t="s">
        <v>778</v>
      </c>
      <c r="D114" s="381" t="s">
        <v>1210</v>
      </c>
      <c r="E114" s="381" t="s">
        <v>1211</v>
      </c>
      <c r="F114" s="378">
        <v>170000</v>
      </c>
      <c r="G114" s="378">
        <v>0</v>
      </c>
      <c r="H114" s="378">
        <v>0</v>
      </c>
      <c r="I114" s="378">
        <v>170000</v>
      </c>
      <c r="J114" s="2">
        <f t="shared" si="3"/>
        <v>8</v>
      </c>
    </row>
    <row r="115" spans="1:10" ht="15.75" customHeight="1" x14ac:dyDescent="0.25">
      <c r="A115" s="380">
        <v>13659501</v>
      </c>
      <c r="B115" s="381" t="s">
        <v>315</v>
      </c>
      <c r="C115" s="381" t="s">
        <v>778</v>
      </c>
      <c r="D115" s="381" t="s">
        <v>1090</v>
      </c>
      <c r="E115" s="381" t="s">
        <v>1091</v>
      </c>
      <c r="F115" s="378">
        <v>76670</v>
      </c>
      <c r="G115" s="378">
        <v>25204</v>
      </c>
      <c r="H115" s="378">
        <v>4102</v>
      </c>
      <c r="I115" s="378">
        <v>97772</v>
      </c>
      <c r="J115" s="2">
        <f t="shared" si="3"/>
        <v>8</v>
      </c>
    </row>
    <row r="116" spans="1:10" ht="15.75" customHeight="1" x14ac:dyDescent="0.25">
      <c r="A116" s="380">
        <v>13659501</v>
      </c>
      <c r="B116" s="381" t="s">
        <v>315</v>
      </c>
      <c r="C116" s="381" t="s">
        <v>778</v>
      </c>
      <c r="D116" s="381" t="s">
        <v>792</v>
      </c>
      <c r="E116" s="381" t="s">
        <v>793</v>
      </c>
      <c r="F116" s="378">
        <v>91686</v>
      </c>
      <c r="G116" s="378">
        <v>61273</v>
      </c>
      <c r="H116" s="378">
        <v>42266</v>
      </c>
      <c r="I116" s="378">
        <v>110693</v>
      </c>
      <c r="J116" s="2">
        <f t="shared" si="3"/>
        <v>8</v>
      </c>
    </row>
    <row r="117" spans="1:10" ht="15.75" customHeight="1" x14ac:dyDescent="0.25">
      <c r="A117" s="380">
        <v>13659501</v>
      </c>
      <c r="B117" s="381" t="s">
        <v>315</v>
      </c>
      <c r="C117" s="381" t="s">
        <v>778</v>
      </c>
      <c r="D117" s="381" t="s">
        <v>794</v>
      </c>
      <c r="E117" s="381" t="s">
        <v>795</v>
      </c>
      <c r="F117" s="378">
        <v>-114091</v>
      </c>
      <c r="G117" s="378">
        <v>2000</v>
      </c>
      <c r="H117" s="378">
        <v>0</v>
      </c>
      <c r="I117" s="378">
        <v>-112091</v>
      </c>
      <c r="J117" s="2">
        <f t="shared" si="3"/>
        <v>8</v>
      </c>
    </row>
    <row r="118" spans="1:10" ht="15.75" customHeight="1" x14ac:dyDescent="0.25">
      <c r="A118" s="380">
        <v>13659502</v>
      </c>
      <c r="B118" s="381" t="s">
        <v>315</v>
      </c>
      <c r="C118" s="381" t="s">
        <v>796</v>
      </c>
      <c r="D118" s="381" t="s">
        <v>315</v>
      </c>
      <c r="E118" s="381" t="s">
        <v>315</v>
      </c>
      <c r="F118" s="378">
        <v>137300</v>
      </c>
      <c r="G118" s="378">
        <v>274550</v>
      </c>
      <c r="H118" s="378">
        <v>161909</v>
      </c>
      <c r="I118" s="378">
        <v>249941</v>
      </c>
      <c r="J118" s="2">
        <f t="shared" si="3"/>
        <v>8</v>
      </c>
    </row>
    <row r="119" spans="1:10" ht="15.75" customHeight="1" x14ac:dyDescent="0.25">
      <c r="A119" s="380">
        <v>13659502</v>
      </c>
      <c r="B119" s="381" t="s">
        <v>315</v>
      </c>
      <c r="C119" s="381" t="s">
        <v>796</v>
      </c>
      <c r="D119" s="381" t="s">
        <v>776</v>
      </c>
      <c r="E119" s="381" t="s">
        <v>777</v>
      </c>
      <c r="F119" s="378">
        <v>0</v>
      </c>
      <c r="G119" s="378">
        <v>274550</v>
      </c>
      <c r="H119" s="378">
        <v>137276</v>
      </c>
      <c r="I119" s="378">
        <v>137274</v>
      </c>
      <c r="J119" s="2">
        <f t="shared" si="3"/>
        <v>8</v>
      </c>
    </row>
    <row r="120" spans="1:10" ht="15.75" customHeight="1" x14ac:dyDescent="0.25">
      <c r="A120" s="380">
        <v>13659502</v>
      </c>
      <c r="B120" s="381" t="s">
        <v>315</v>
      </c>
      <c r="C120" s="381" t="s">
        <v>796</v>
      </c>
      <c r="D120" s="381" t="s">
        <v>790</v>
      </c>
      <c r="E120" s="381" t="s">
        <v>791</v>
      </c>
      <c r="F120" s="378">
        <v>73900</v>
      </c>
      <c r="G120" s="378">
        <v>0</v>
      </c>
      <c r="H120" s="378">
        <v>24633</v>
      </c>
      <c r="I120" s="378">
        <v>49267</v>
      </c>
      <c r="J120" s="2">
        <f t="shared" si="3"/>
        <v>8</v>
      </c>
    </row>
    <row r="121" spans="1:10" ht="15.75" customHeight="1" x14ac:dyDescent="0.25">
      <c r="A121" s="380">
        <v>13659502</v>
      </c>
      <c r="B121" s="381" t="s">
        <v>315</v>
      </c>
      <c r="C121" s="381" t="s">
        <v>796</v>
      </c>
      <c r="D121" s="381" t="s">
        <v>1412</v>
      </c>
      <c r="E121" s="381" t="s">
        <v>1413</v>
      </c>
      <c r="F121" s="378">
        <v>63400</v>
      </c>
      <c r="G121" s="378">
        <v>0</v>
      </c>
      <c r="H121" s="378">
        <v>0</v>
      </c>
      <c r="I121" s="378">
        <v>63400</v>
      </c>
      <c r="J121" s="2">
        <f t="shared" si="3"/>
        <v>8</v>
      </c>
    </row>
    <row r="122" spans="1:10" ht="15.75" customHeight="1" x14ac:dyDescent="0.25">
      <c r="A122" s="380">
        <v>1380</v>
      </c>
      <c r="B122" s="381" t="s">
        <v>315</v>
      </c>
      <c r="C122" s="381" t="s">
        <v>24</v>
      </c>
      <c r="D122" s="381" t="s">
        <v>315</v>
      </c>
      <c r="E122" s="381" t="s">
        <v>315</v>
      </c>
      <c r="F122" s="378">
        <v>41519327</v>
      </c>
      <c r="G122" s="378">
        <v>6100880</v>
      </c>
      <c r="H122" s="378">
        <v>7368767</v>
      </c>
      <c r="I122" s="378">
        <v>40251440</v>
      </c>
      <c r="J122" s="2">
        <f t="shared" si="3"/>
        <v>4</v>
      </c>
    </row>
    <row r="123" spans="1:10" ht="15.75" customHeight="1" x14ac:dyDescent="0.25">
      <c r="A123" s="380">
        <v>138095</v>
      </c>
      <c r="B123" s="381" t="s">
        <v>315</v>
      </c>
      <c r="C123" s="381" t="s">
        <v>799</v>
      </c>
      <c r="D123" s="381" t="s">
        <v>315</v>
      </c>
      <c r="E123" s="381" t="s">
        <v>315</v>
      </c>
      <c r="F123" s="378">
        <v>41519327</v>
      </c>
      <c r="G123" s="378">
        <v>6100880</v>
      </c>
      <c r="H123" s="378">
        <v>7368767</v>
      </c>
      <c r="I123" s="378">
        <v>40251440</v>
      </c>
      <c r="J123" s="2">
        <f t="shared" si="3"/>
        <v>6</v>
      </c>
    </row>
    <row r="124" spans="1:10" ht="15.75" customHeight="1" x14ac:dyDescent="0.25">
      <c r="A124" s="380">
        <v>13809501</v>
      </c>
      <c r="B124" s="381" t="s">
        <v>321</v>
      </c>
      <c r="C124" s="381" t="s">
        <v>800</v>
      </c>
      <c r="D124" s="381" t="s">
        <v>315</v>
      </c>
      <c r="E124" s="381" t="s">
        <v>315</v>
      </c>
      <c r="F124" s="378">
        <v>34386483</v>
      </c>
      <c r="G124" s="378">
        <v>4523314</v>
      </c>
      <c r="H124" s="378">
        <v>5576160</v>
      </c>
      <c r="I124" s="378">
        <v>33333637</v>
      </c>
      <c r="J124" s="2">
        <f t="shared" si="3"/>
        <v>8</v>
      </c>
    </row>
    <row r="125" spans="1:10" ht="15.75" customHeight="1" x14ac:dyDescent="0.25">
      <c r="A125" s="380">
        <v>13809501</v>
      </c>
      <c r="B125" s="381" t="s">
        <v>321</v>
      </c>
      <c r="C125" s="381" t="s">
        <v>800</v>
      </c>
      <c r="D125" s="381" t="s">
        <v>717</v>
      </c>
      <c r="E125" s="381" t="s">
        <v>718</v>
      </c>
      <c r="F125" s="378">
        <v>218800</v>
      </c>
      <c r="G125" s="378">
        <v>0</v>
      </c>
      <c r="H125" s="378">
        <v>0</v>
      </c>
      <c r="I125" s="378">
        <v>218800</v>
      </c>
      <c r="J125" s="2">
        <f t="shared" si="3"/>
        <v>8</v>
      </c>
    </row>
    <row r="126" spans="1:10" ht="15.75" customHeight="1" x14ac:dyDescent="0.25">
      <c r="A126" s="380">
        <v>13809501</v>
      </c>
      <c r="B126" s="381" t="s">
        <v>321</v>
      </c>
      <c r="C126" s="381" t="s">
        <v>800</v>
      </c>
      <c r="D126" s="381" t="s">
        <v>801</v>
      </c>
      <c r="E126" s="381" t="s">
        <v>802</v>
      </c>
      <c r="F126" s="378">
        <v>21554353</v>
      </c>
      <c r="G126" s="378">
        <v>3914734</v>
      </c>
      <c r="H126" s="378">
        <v>0</v>
      </c>
      <c r="I126" s="378">
        <v>25469087</v>
      </c>
      <c r="J126" s="2">
        <f t="shared" si="3"/>
        <v>8</v>
      </c>
    </row>
    <row r="127" spans="1:10" ht="15.75" customHeight="1" x14ac:dyDescent="0.25">
      <c r="A127" s="380">
        <v>13809501</v>
      </c>
      <c r="B127" s="381" t="s">
        <v>321</v>
      </c>
      <c r="C127" s="381" t="s">
        <v>800</v>
      </c>
      <c r="D127" s="381" t="s">
        <v>725</v>
      </c>
      <c r="E127" s="381" t="s">
        <v>726</v>
      </c>
      <c r="F127" s="378">
        <v>12613330</v>
      </c>
      <c r="G127" s="378">
        <v>608580</v>
      </c>
      <c r="H127" s="378">
        <v>5576160</v>
      </c>
      <c r="I127" s="378">
        <v>7645750</v>
      </c>
      <c r="J127" s="2">
        <f t="shared" si="3"/>
        <v>8</v>
      </c>
    </row>
    <row r="128" spans="1:10" ht="15.75" customHeight="1" x14ac:dyDescent="0.25">
      <c r="A128" s="380">
        <v>13809502</v>
      </c>
      <c r="B128" s="381" t="s">
        <v>321</v>
      </c>
      <c r="C128" s="381" t="s">
        <v>803</v>
      </c>
      <c r="D128" s="381" t="s">
        <v>315</v>
      </c>
      <c r="E128" s="381" t="s">
        <v>315</v>
      </c>
      <c r="F128" s="378">
        <v>4484084</v>
      </c>
      <c r="G128" s="378">
        <v>1457966</v>
      </c>
      <c r="H128" s="378">
        <v>0</v>
      </c>
      <c r="I128" s="378">
        <v>5942050</v>
      </c>
      <c r="J128" s="2">
        <f t="shared" si="3"/>
        <v>8</v>
      </c>
    </row>
    <row r="129" spans="1:10" ht="15.75" customHeight="1" x14ac:dyDescent="0.25">
      <c r="A129" s="380">
        <v>13809502</v>
      </c>
      <c r="B129" s="381" t="s">
        <v>321</v>
      </c>
      <c r="C129" s="381" t="s">
        <v>803</v>
      </c>
      <c r="D129" s="381" t="s">
        <v>804</v>
      </c>
      <c r="E129" s="381" t="s">
        <v>805</v>
      </c>
      <c r="F129" s="378">
        <v>4484084</v>
      </c>
      <c r="G129" s="378">
        <v>1457966</v>
      </c>
      <c r="H129" s="378">
        <v>0</v>
      </c>
      <c r="I129" s="378">
        <v>5942050</v>
      </c>
      <c r="J129" s="2">
        <f t="shared" si="3"/>
        <v>8</v>
      </c>
    </row>
    <row r="130" spans="1:10" ht="15.75" customHeight="1" x14ac:dyDescent="0.25">
      <c r="A130" s="380">
        <v>13809503</v>
      </c>
      <c r="B130" s="381" t="s">
        <v>321</v>
      </c>
      <c r="C130" s="381" t="s">
        <v>806</v>
      </c>
      <c r="D130" s="381" t="s">
        <v>315</v>
      </c>
      <c r="E130" s="381" t="s">
        <v>315</v>
      </c>
      <c r="F130" s="378">
        <v>2586160</v>
      </c>
      <c r="G130" s="378">
        <v>0</v>
      </c>
      <c r="H130" s="378">
        <v>1792607</v>
      </c>
      <c r="I130" s="378">
        <v>793553</v>
      </c>
      <c r="J130" s="2">
        <f t="shared" si="3"/>
        <v>8</v>
      </c>
    </row>
    <row r="131" spans="1:10" ht="15.75" customHeight="1" x14ac:dyDescent="0.25">
      <c r="A131" s="380">
        <v>13809503</v>
      </c>
      <c r="B131" s="381" t="s">
        <v>321</v>
      </c>
      <c r="C131" s="381" t="s">
        <v>806</v>
      </c>
      <c r="D131" s="381" t="s">
        <v>723</v>
      </c>
      <c r="E131" s="381" t="s">
        <v>724</v>
      </c>
      <c r="F131" s="378">
        <v>2586160</v>
      </c>
      <c r="G131" s="378">
        <v>0</v>
      </c>
      <c r="H131" s="378">
        <v>1792607</v>
      </c>
      <c r="I131" s="378">
        <v>793553</v>
      </c>
      <c r="J131" s="2">
        <f t="shared" si="3"/>
        <v>8</v>
      </c>
    </row>
    <row r="132" spans="1:10" ht="15.75" customHeight="1" x14ac:dyDescent="0.25">
      <c r="A132" s="380">
        <v>13809520</v>
      </c>
      <c r="B132" s="381" t="s">
        <v>315</v>
      </c>
      <c r="C132" s="381" t="s">
        <v>807</v>
      </c>
      <c r="D132" s="381" t="s">
        <v>315</v>
      </c>
      <c r="E132" s="381" t="s">
        <v>315</v>
      </c>
      <c r="F132" s="378">
        <v>0</v>
      </c>
      <c r="G132" s="378">
        <v>0</v>
      </c>
      <c r="H132" s="378">
        <v>0</v>
      </c>
      <c r="I132" s="378">
        <v>0</v>
      </c>
      <c r="J132" s="2">
        <f t="shared" si="3"/>
        <v>8</v>
      </c>
    </row>
    <row r="133" spans="1:10" ht="15.75" customHeight="1" x14ac:dyDescent="0.25">
      <c r="A133" s="380">
        <v>13809521</v>
      </c>
      <c r="B133" s="381" t="s">
        <v>321</v>
      </c>
      <c r="C133" s="381" t="s">
        <v>808</v>
      </c>
      <c r="D133" s="381" t="s">
        <v>315</v>
      </c>
      <c r="E133" s="381" t="s">
        <v>315</v>
      </c>
      <c r="F133" s="378">
        <v>62600</v>
      </c>
      <c r="G133" s="378">
        <v>119600</v>
      </c>
      <c r="H133" s="378">
        <v>0</v>
      </c>
      <c r="I133" s="378">
        <v>182200</v>
      </c>
      <c r="J133" s="2">
        <f t="shared" si="3"/>
        <v>8</v>
      </c>
    </row>
    <row r="134" spans="1:10" ht="15.75" customHeight="1" x14ac:dyDescent="0.25">
      <c r="A134" s="380">
        <v>13809521</v>
      </c>
      <c r="B134" s="381" t="s">
        <v>321</v>
      </c>
      <c r="C134" s="381" t="s">
        <v>808</v>
      </c>
      <c r="D134" s="381" t="s">
        <v>493</v>
      </c>
      <c r="E134" s="381" t="s">
        <v>494</v>
      </c>
      <c r="F134" s="378">
        <v>62600</v>
      </c>
      <c r="G134" s="378">
        <v>119600</v>
      </c>
      <c r="H134" s="378">
        <v>0</v>
      </c>
      <c r="I134" s="378">
        <v>182200</v>
      </c>
      <c r="J134" s="2">
        <f t="shared" si="3"/>
        <v>8</v>
      </c>
    </row>
    <row r="135" spans="1:10" ht="15.75" customHeight="1" x14ac:dyDescent="0.25">
      <c r="A135" s="380">
        <v>14</v>
      </c>
      <c r="B135" s="381" t="s">
        <v>315</v>
      </c>
      <c r="C135" s="381" t="s">
        <v>31</v>
      </c>
      <c r="D135" s="381" t="s">
        <v>315</v>
      </c>
      <c r="E135" s="381" t="s">
        <v>315</v>
      </c>
      <c r="F135" s="378">
        <v>92469293</v>
      </c>
      <c r="G135" s="378">
        <v>211607415</v>
      </c>
      <c r="H135" s="378">
        <v>222227120</v>
      </c>
      <c r="I135" s="378">
        <v>81849588</v>
      </c>
      <c r="J135" s="2">
        <f t="shared" si="3"/>
        <v>2</v>
      </c>
    </row>
    <row r="136" spans="1:10" ht="15.75" customHeight="1" x14ac:dyDescent="0.25">
      <c r="A136" s="380">
        <v>1435</v>
      </c>
      <c r="B136" s="381" t="s">
        <v>315</v>
      </c>
      <c r="C136" s="381" t="s">
        <v>809</v>
      </c>
      <c r="D136" s="381" t="s">
        <v>315</v>
      </c>
      <c r="E136" s="381" t="s">
        <v>315</v>
      </c>
      <c r="F136" s="378">
        <v>92469293</v>
      </c>
      <c r="G136" s="378">
        <v>211607415</v>
      </c>
      <c r="H136" s="378">
        <v>222227120</v>
      </c>
      <c r="I136" s="378">
        <v>81849588</v>
      </c>
      <c r="J136" s="2">
        <f t="shared" si="3"/>
        <v>4</v>
      </c>
    </row>
    <row r="137" spans="1:10" ht="15.75" customHeight="1" x14ac:dyDescent="0.25">
      <c r="A137" s="380">
        <v>143502</v>
      </c>
      <c r="B137" s="381" t="s">
        <v>321</v>
      </c>
      <c r="C137" s="381" t="s">
        <v>810</v>
      </c>
      <c r="D137" s="381" t="s">
        <v>315</v>
      </c>
      <c r="E137" s="381" t="s">
        <v>315</v>
      </c>
      <c r="F137" s="378">
        <v>70971664</v>
      </c>
      <c r="G137" s="378">
        <v>0</v>
      </c>
      <c r="H137" s="378">
        <v>0</v>
      </c>
      <c r="I137" s="378">
        <v>70971664</v>
      </c>
      <c r="J137" s="2">
        <f t="shared" si="3"/>
        <v>6</v>
      </c>
    </row>
    <row r="138" spans="1:10" ht="15.75" customHeight="1" x14ac:dyDescent="0.25">
      <c r="A138" s="380">
        <v>143502</v>
      </c>
      <c r="B138" s="381" t="s">
        <v>321</v>
      </c>
      <c r="C138" s="381" t="s">
        <v>810</v>
      </c>
      <c r="D138" s="381" t="s">
        <v>356</v>
      </c>
      <c r="E138" s="381" t="s">
        <v>357</v>
      </c>
      <c r="F138" s="378">
        <v>70971664</v>
      </c>
      <c r="G138" s="378">
        <v>0</v>
      </c>
      <c r="H138" s="378">
        <v>0</v>
      </c>
      <c r="I138" s="378">
        <v>70971664</v>
      </c>
      <c r="J138" s="2">
        <f t="shared" si="3"/>
        <v>6</v>
      </c>
    </row>
    <row r="139" spans="1:10" ht="15.75" customHeight="1" x14ac:dyDescent="0.25">
      <c r="A139" s="380">
        <v>143505</v>
      </c>
      <c r="B139" s="381" t="s">
        <v>315</v>
      </c>
      <c r="C139" s="381" t="s">
        <v>811</v>
      </c>
      <c r="D139" s="381" t="s">
        <v>315</v>
      </c>
      <c r="E139" s="381" t="s">
        <v>315</v>
      </c>
      <c r="F139" s="378">
        <v>989866647</v>
      </c>
      <c r="G139" s="378">
        <v>201155947</v>
      </c>
      <c r="H139" s="378">
        <v>0</v>
      </c>
      <c r="I139" s="378">
        <v>1191022594</v>
      </c>
      <c r="J139" s="2">
        <f t="shared" si="3"/>
        <v>6</v>
      </c>
    </row>
    <row r="140" spans="1:10" ht="15.75" customHeight="1" x14ac:dyDescent="0.25">
      <c r="A140" s="380">
        <v>14350501</v>
      </c>
      <c r="B140" s="381" t="s">
        <v>315</v>
      </c>
      <c r="C140" s="381" t="s">
        <v>811</v>
      </c>
      <c r="D140" s="381" t="s">
        <v>315</v>
      </c>
      <c r="E140" s="381" t="s">
        <v>315</v>
      </c>
      <c r="F140" s="378">
        <v>712719258</v>
      </c>
      <c r="G140" s="378">
        <v>142008951</v>
      </c>
      <c r="H140" s="378">
        <v>0</v>
      </c>
      <c r="I140" s="378">
        <v>854728209</v>
      </c>
      <c r="J140" s="2">
        <f t="shared" si="3"/>
        <v>8</v>
      </c>
    </row>
    <row r="141" spans="1:10" ht="15.75" customHeight="1" x14ac:dyDescent="0.25">
      <c r="A141" s="380">
        <v>14350501</v>
      </c>
      <c r="B141" s="381" t="s">
        <v>315</v>
      </c>
      <c r="C141" s="381" t="s">
        <v>811</v>
      </c>
      <c r="D141" s="381" t="s">
        <v>630</v>
      </c>
      <c r="E141" s="381" t="s">
        <v>813</v>
      </c>
      <c r="F141" s="378">
        <v>20800</v>
      </c>
      <c r="G141" s="378">
        <v>0</v>
      </c>
      <c r="H141" s="378">
        <v>0</v>
      </c>
      <c r="I141" s="378">
        <v>20800</v>
      </c>
      <c r="J141" s="2">
        <f t="shared" ref="J141:J204" si="4">+LEN(A141)</f>
        <v>8</v>
      </c>
    </row>
    <row r="142" spans="1:10" ht="15.75" customHeight="1" x14ac:dyDescent="0.25">
      <c r="A142" s="380">
        <v>14350501</v>
      </c>
      <c r="B142" s="381" t="s">
        <v>315</v>
      </c>
      <c r="C142" s="381" t="s">
        <v>811</v>
      </c>
      <c r="D142" s="381" t="s">
        <v>365</v>
      </c>
      <c r="E142" s="381" t="s">
        <v>366</v>
      </c>
      <c r="F142" s="378">
        <v>79075</v>
      </c>
      <c r="G142" s="378">
        <v>0</v>
      </c>
      <c r="H142" s="378">
        <v>0</v>
      </c>
      <c r="I142" s="378">
        <v>79075</v>
      </c>
      <c r="J142" s="2">
        <f t="shared" si="4"/>
        <v>8</v>
      </c>
    </row>
    <row r="143" spans="1:10" ht="15.75" customHeight="1" x14ac:dyDescent="0.25">
      <c r="A143" s="380">
        <v>14350501</v>
      </c>
      <c r="B143" s="381" t="s">
        <v>315</v>
      </c>
      <c r="C143" s="381" t="s">
        <v>811</v>
      </c>
      <c r="D143" s="381" t="s">
        <v>367</v>
      </c>
      <c r="E143" s="381" t="s">
        <v>814</v>
      </c>
      <c r="F143" s="378">
        <v>20524683</v>
      </c>
      <c r="G143" s="378">
        <v>4346025</v>
      </c>
      <c r="H143" s="378">
        <v>0</v>
      </c>
      <c r="I143" s="378">
        <v>24870708</v>
      </c>
      <c r="J143" s="2">
        <f t="shared" si="4"/>
        <v>8</v>
      </c>
    </row>
    <row r="144" spans="1:10" ht="15.75" customHeight="1" x14ac:dyDescent="0.25">
      <c r="A144" s="380">
        <v>14350501</v>
      </c>
      <c r="B144" s="381" t="s">
        <v>315</v>
      </c>
      <c r="C144" s="381" t="s">
        <v>811</v>
      </c>
      <c r="D144" s="381" t="s">
        <v>369</v>
      </c>
      <c r="E144" s="381" t="s">
        <v>815</v>
      </c>
      <c r="F144" s="378">
        <v>5469693</v>
      </c>
      <c r="G144" s="378">
        <v>1142468</v>
      </c>
      <c r="H144" s="378">
        <v>0</v>
      </c>
      <c r="I144" s="378">
        <v>6612161</v>
      </c>
      <c r="J144" s="2">
        <f t="shared" si="4"/>
        <v>8</v>
      </c>
    </row>
    <row r="145" spans="1:10" ht="15.75" customHeight="1" x14ac:dyDescent="0.25">
      <c r="A145" s="380">
        <v>14350501</v>
      </c>
      <c r="B145" s="381" t="s">
        <v>315</v>
      </c>
      <c r="C145" s="381" t="s">
        <v>811</v>
      </c>
      <c r="D145" s="381" t="s">
        <v>371</v>
      </c>
      <c r="E145" s="381" t="s">
        <v>816</v>
      </c>
      <c r="F145" s="378">
        <v>31235</v>
      </c>
      <c r="G145" s="378">
        <v>0</v>
      </c>
      <c r="H145" s="378">
        <v>0</v>
      </c>
      <c r="I145" s="378">
        <v>31235</v>
      </c>
      <c r="J145" s="2">
        <f t="shared" si="4"/>
        <v>8</v>
      </c>
    </row>
    <row r="146" spans="1:10" ht="15.75" customHeight="1" x14ac:dyDescent="0.25">
      <c r="A146" s="380">
        <v>14350501</v>
      </c>
      <c r="B146" s="381" t="s">
        <v>315</v>
      </c>
      <c r="C146" s="381" t="s">
        <v>811</v>
      </c>
      <c r="D146" s="381" t="s">
        <v>347</v>
      </c>
      <c r="E146" s="381" t="s">
        <v>348</v>
      </c>
      <c r="F146" s="378">
        <v>539952219</v>
      </c>
      <c r="G146" s="378">
        <v>109012433</v>
      </c>
      <c r="H146" s="378">
        <v>0</v>
      </c>
      <c r="I146" s="378">
        <v>648964652</v>
      </c>
      <c r="J146" s="2">
        <f t="shared" si="4"/>
        <v>8</v>
      </c>
    </row>
    <row r="147" spans="1:10" ht="15.75" customHeight="1" x14ac:dyDescent="0.25">
      <c r="A147" s="380">
        <v>14350501</v>
      </c>
      <c r="B147" s="381" t="s">
        <v>315</v>
      </c>
      <c r="C147" s="381" t="s">
        <v>811</v>
      </c>
      <c r="D147" s="381" t="s">
        <v>373</v>
      </c>
      <c r="E147" s="381" t="s">
        <v>374</v>
      </c>
      <c r="F147" s="378">
        <v>20167195</v>
      </c>
      <c r="G147" s="378">
        <v>4186648</v>
      </c>
      <c r="H147" s="378">
        <v>0</v>
      </c>
      <c r="I147" s="378">
        <v>24353843</v>
      </c>
      <c r="J147" s="2">
        <f t="shared" si="4"/>
        <v>8</v>
      </c>
    </row>
    <row r="148" spans="1:10" ht="15.75" customHeight="1" x14ac:dyDescent="0.25">
      <c r="A148" s="380">
        <v>14350501</v>
      </c>
      <c r="B148" s="381" t="s">
        <v>315</v>
      </c>
      <c r="C148" s="381" t="s">
        <v>811</v>
      </c>
      <c r="D148" s="381" t="s">
        <v>377</v>
      </c>
      <c r="E148" s="381" t="s">
        <v>378</v>
      </c>
      <c r="F148" s="378">
        <v>120914295</v>
      </c>
      <c r="G148" s="378">
        <v>22193357</v>
      </c>
      <c r="H148" s="378">
        <v>0</v>
      </c>
      <c r="I148" s="378">
        <v>143107652</v>
      </c>
      <c r="J148" s="2">
        <f t="shared" si="4"/>
        <v>8</v>
      </c>
    </row>
    <row r="149" spans="1:10" ht="15.75" customHeight="1" x14ac:dyDescent="0.25">
      <c r="A149" s="380">
        <v>14350501</v>
      </c>
      <c r="B149" s="381" t="s">
        <v>315</v>
      </c>
      <c r="C149" s="381" t="s">
        <v>811</v>
      </c>
      <c r="D149" s="381" t="s">
        <v>818</v>
      </c>
      <c r="E149" s="381" t="s">
        <v>819</v>
      </c>
      <c r="F149" s="378">
        <v>15546</v>
      </c>
      <c r="G149" s="378">
        <v>0</v>
      </c>
      <c r="H149" s="378">
        <v>0</v>
      </c>
      <c r="I149" s="378">
        <v>15546</v>
      </c>
      <c r="J149" s="2">
        <f t="shared" si="4"/>
        <v>8</v>
      </c>
    </row>
    <row r="150" spans="1:10" ht="15.75" customHeight="1" x14ac:dyDescent="0.25">
      <c r="A150" s="380">
        <v>14350501</v>
      </c>
      <c r="B150" s="381" t="s">
        <v>315</v>
      </c>
      <c r="C150" s="381" t="s">
        <v>811</v>
      </c>
      <c r="D150" s="381" t="s">
        <v>344</v>
      </c>
      <c r="E150" s="381" t="s">
        <v>820</v>
      </c>
      <c r="F150" s="378">
        <v>979197</v>
      </c>
      <c r="G150" s="378">
        <v>50836</v>
      </c>
      <c r="H150" s="378">
        <v>0</v>
      </c>
      <c r="I150" s="378">
        <v>1030033</v>
      </c>
      <c r="J150" s="2">
        <f t="shared" si="4"/>
        <v>8</v>
      </c>
    </row>
    <row r="151" spans="1:10" ht="15.75" customHeight="1" x14ac:dyDescent="0.25">
      <c r="A151" s="380">
        <v>14350501</v>
      </c>
      <c r="B151" s="381" t="s">
        <v>315</v>
      </c>
      <c r="C151" s="381" t="s">
        <v>811</v>
      </c>
      <c r="D151" s="381" t="s">
        <v>822</v>
      </c>
      <c r="E151" s="381" t="s">
        <v>823</v>
      </c>
      <c r="F151" s="378">
        <v>1185188</v>
      </c>
      <c r="G151" s="378">
        <v>371722</v>
      </c>
      <c r="H151" s="378">
        <v>0</v>
      </c>
      <c r="I151" s="378">
        <v>1556910</v>
      </c>
      <c r="J151" s="2">
        <f t="shared" si="4"/>
        <v>8</v>
      </c>
    </row>
    <row r="152" spans="1:10" ht="15.75" customHeight="1" x14ac:dyDescent="0.25">
      <c r="A152" s="380">
        <v>14350501</v>
      </c>
      <c r="B152" s="381" t="s">
        <v>315</v>
      </c>
      <c r="C152" s="381" t="s">
        <v>811</v>
      </c>
      <c r="D152" s="381" t="s">
        <v>723</v>
      </c>
      <c r="E152" s="381" t="s">
        <v>724</v>
      </c>
      <c r="F152" s="378">
        <v>431932</v>
      </c>
      <c r="G152" s="378">
        <v>155462</v>
      </c>
      <c r="H152" s="378">
        <v>0</v>
      </c>
      <c r="I152" s="378">
        <v>587394</v>
      </c>
      <c r="J152" s="2">
        <f t="shared" si="4"/>
        <v>8</v>
      </c>
    </row>
    <row r="153" spans="1:10" ht="15.75" customHeight="1" x14ac:dyDescent="0.25">
      <c r="A153" s="380">
        <v>14350501</v>
      </c>
      <c r="B153" s="381" t="s">
        <v>315</v>
      </c>
      <c r="C153" s="381" t="s">
        <v>811</v>
      </c>
      <c r="D153" s="381" t="s">
        <v>665</v>
      </c>
      <c r="E153" s="381" t="s">
        <v>824</v>
      </c>
      <c r="F153" s="378">
        <v>2948200</v>
      </c>
      <c r="G153" s="378">
        <v>550000</v>
      </c>
      <c r="H153" s="378">
        <v>0</v>
      </c>
      <c r="I153" s="378">
        <v>3498200</v>
      </c>
      <c r="J153" s="2">
        <f t="shared" si="4"/>
        <v>8</v>
      </c>
    </row>
    <row r="154" spans="1:10" ht="15.75" customHeight="1" x14ac:dyDescent="0.25">
      <c r="A154" s="380">
        <v>14350502</v>
      </c>
      <c r="B154" s="381" t="s">
        <v>315</v>
      </c>
      <c r="C154" s="381" t="s">
        <v>381</v>
      </c>
      <c r="D154" s="381" t="s">
        <v>315</v>
      </c>
      <c r="E154" s="381" t="s">
        <v>315</v>
      </c>
      <c r="F154" s="378">
        <v>116161382</v>
      </c>
      <c r="G154" s="378">
        <v>25137140</v>
      </c>
      <c r="H154" s="378">
        <v>0</v>
      </c>
      <c r="I154" s="378">
        <v>141298522</v>
      </c>
      <c r="J154" s="2">
        <f t="shared" si="4"/>
        <v>8</v>
      </c>
    </row>
    <row r="155" spans="1:10" ht="15.75" customHeight="1" x14ac:dyDescent="0.25">
      <c r="A155" s="380">
        <v>14350502</v>
      </c>
      <c r="B155" s="381" t="s">
        <v>315</v>
      </c>
      <c r="C155" s="381" t="s">
        <v>381</v>
      </c>
      <c r="D155" s="381" t="s">
        <v>347</v>
      </c>
      <c r="E155" s="381" t="s">
        <v>348</v>
      </c>
      <c r="F155" s="378">
        <v>116144742</v>
      </c>
      <c r="G155" s="378">
        <v>25137140</v>
      </c>
      <c r="H155" s="378">
        <v>0</v>
      </c>
      <c r="I155" s="378">
        <v>141281882</v>
      </c>
      <c r="J155" s="2">
        <f t="shared" si="4"/>
        <v>8</v>
      </c>
    </row>
    <row r="156" spans="1:10" ht="15.75" customHeight="1" x14ac:dyDescent="0.25">
      <c r="A156" s="380">
        <v>14350502</v>
      </c>
      <c r="B156" s="381" t="s">
        <v>315</v>
      </c>
      <c r="C156" s="381" t="s">
        <v>381</v>
      </c>
      <c r="D156" s="381" t="s">
        <v>373</v>
      </c>
      <c r="E156" s="381" t="s">
        <v>374</v>
      </c>
      <c r="F156" s="378">
        <v>16640</v>
      </c>
      <c r="G156" s="378">
        <v>0</v>
      </c>
      <c r="H156" s="378">
        <v>0</v>
      </c>
      <c r="I156" s="378">
        <v>16640</v>
      </c>
      <c r="J156" s="2">
        <f t="shared" si="4"/>
        <v>8</v>
      </c>
    </row>
    <row r="157" spans="1:10" ht="15.75" customHeight="1" x14ac:dyDescent="0.25">
      <c r="A157" s="380">
        <v>14350503</v>
      </c>
      <c r="B157" s="381" t="s">
        <v>315</v>
      </c>
      <c r="C157" s="381" t="s">
        <v>360</v>
      </c>
      <c r="D157" s="381" t="s">
        <v>315</v>
      </c>
      <c r="E157" s="381" t="s">
        <v>315</v>
      </c>
      <c r="F157" s="378">
        <v>151244307</v>
      </c>
      <c r="G157" s="378">
        <v>32261856</v>
      </c>
      <c r="H157" s="378">
        <v>0</v>
      </c>
      <c r="I157" s="378">
        <v>183506163</v>
      </c>
      <c r="J157" s="2">
        <f t="shared" si="4"/>
        <v>8</v>
      </c>
    </row>
    <row r="158" spans="1:10" ht="15.75" customHeight="1" x14ac:dyDescent="0.25">
      <c r="A158" s="380">
        <v>14350503</v>
      </c>
      <c r="B158" s="381" t="s">
        <v>315</v>
      </c>
      <c r="C158" s="381" t="s">
        <v>360</v>
      </c>
      <c r="D158" s="381" t="s">
        <v>635</v>
      </c>
      <c r="E158" s="381" t="s">
        <v>812</v>
      </c>
      <c r="F158" s="378">
        <v>8030171</v>
      </c>
      <c r="G158" s="378">
        <v>1065900</v>
      </c>
      <c r="H158" s="378">
        <v>0</v>
      </c>
      <c r="I158" s="378">
        <v>9096071</v>
      </c>
      <c r="J158" s="2">
        <f t="shared" si="4"/>
        <v>8</v>
      </c>
    </row>
    <row r="159" spans="1:10" ht="15.75" customHeight="1" x14ac:dyDescent="0.25">
      <c r="A159" s="380">
        <v>14350503</v>
      </c>
      <c r="B159" s="381" t="s">
        <v>315</v>
      </c>
      <c r="C159" s="381" t="s">
        <v>360</v>
      </c>
      <c r="D159" s="381" t="s">
        <v>630</v>
      </c>
      <c r="E159" s="381" t="s">
        <v>813</v>
      </c>
      <c r="F159" s="378">
        <v>6609623</v>
      </c>
      <c r="G159" s="378">
        <v>1186965</v>
      </c>
      <c r="H159" s="378">
        <v>0</v>
      </c>
      <c r="I159" s="378">
        <v>7796588</v>
      </c>
      <c r="J159" s="2">
        <f t="shared" si="4"/>
        <v>8</v>
      </c>
    </row>
    <row r="160" spans="1:10" ht="15.75" customHeight="1" x14ac:dyDescent="0.25">
      <c r="A160" s="380">
        <v>14350503</v>
      </c>
      <c r="B160" s="381" t="s">
        <v>315</v>
      </c>
      <c r="C160" s="381" t="s">
        <v>360</v>
      </c>
      <c r="D160" s="381" t="s">
        <v>365</v>
      </c>
      <c r="E160" s="381" t="s">
        <v>366</v>
      </c>
      <c r="F160" s="378">
        <v>647395</v>
      </c>
      <c r="G160" s="378">
        <v>169895</v>
      </c>
      <c r="H160" s="378">
        <v>0</v>
      </c>
      <c r="I160" s="378">
        <v>817290</v>
      </c>
      <c r="J160" s="2">
        <f t="shared" si="4"/>
        <v>8</v>
      </c>
    </row>
    <row r="161" spans="1:10" ht="15.75" customHeight="1" x14ac:dyDescent="0.25">
      <c r="A161" s="380">
        <v>14350503</v>
      </c>
      <c r="B161" s="381" t="s">
        <v>315</v>
      </c>
      <c r="C161" s="381" t="s">
        <v>360</v>
      </c>
      <c r="D161" s="381" t="s">
        <v>367</v>
      </c>
      <c r="E161" s="381" t="s">
        <v>814</v>
      </c>
      <c r="F161" s="378">
        <v>24407726</v>
      </c>
      <c r="G161" s="378">
        <v>5641380</v>
      </c>
      <c r="H161" s="378">
        <v>0</v>
      </c>
      <c r="I161" s="378">
        <v>30049106</v>
      </c>
      <c r="J161" s="2">
        <f t="shared" si="4"/>
        <v>8</v>
      </c>
    </row>
    <row r="162" spans="1:10" ht="15.75" customHeight="1" x14ac:dyDescent="0.25">
      <c r="A162" s="380">
        <v>14350503</v>
      </c>
      <c r="B162" s="381" t="s">
        <v>315</v>
      </c>
      <c r="C162" s="381" t="s">
        <v>360</v>
      </c>
      <c r="D162" s="381" t="s">
        <v>369</v>
      </c>
      <c r="E162" s="381" t="s">
        <v>815</v>
      </c>
      <c r="F162" s="378">
        <v>18326314</v>
      </c>
      <c r="G162" s="378">
        <v>4097852</v>
      </c>
      <c r="H162" s="378">
        <v>0</v>
      </c>
      <c r="I162" s="378">
        <v>22424166</v>
      </c>
      <c r="J162" s="2">
        <f t="shared" si="4"/>
        <v>8</v>
      </c>
    </row>
    <row r="163" spans="1:10" ht="15.75" customHeight="1" x14ac:dyDescent="0.25">
      <c r="A163" s="380">
        <v>14350503</v>
      </c>
      <c r="B163" s="381" t="s">
        <v>315</v>
      </c>
      <c r="C163" s="381" t="s">
        <v>360</v>
      </c>
      <c r="D163" s="381" t="s">
        <v>347</v>
      </c>
      <c r="E163" s="381" t="s">
        <v>348</v>
      </c>
      <c r="F163" s="378">
        <v>69523997</v>
      </c>
      <c r="G163" s="378">
        <v>14182008</v>
      </c>
      <c r="H163" s="378">
        <v>0</v>
      </c>
      <c r="I163" s="378">
        <v>83706005</v>
      </c>
      <c r="J163" s="2">
        <f t="shared" si="4"/>
        <v>8</v>
      </c>
    </row>
    <row r="164" spans="1:10" ht="15.75" customHeight="1" x14ac:dyDescent="0.25">
      <c r="A164" s="380">
        <v>14350503</v>
      </c>
      <c r="B164" s="381" t="s">
        <v>315</v>
      </c>
      <c r="C164" s="381" t="s">
        <v>360</v>
      </c>
      <c r="D164" s="381" t="s">
        <v>373</v>
      </c>
      <c r="E164" s="381" t="s">
        <v>374</v>
      </c>
      <c r="F164" s="378">
        <v>21671032</v>
      </c>
      <c r="G164" s="378">
        <v>5385150</v>
      </c>
      <c r="H164" s="378">
        <v>0</v>
      </c>
      <c r="I164" s="378">
        <v>27056182</v>
      </c>
      <c r="J164" s="2">
        <f t="shared" si="4"/>
        <v>8</v>
      </c>
    </row>
    <row r="165" spans="1:10" ht="15.75" customHeight="1" x14ac:dyDescent="0.25">
      <c r="A165" s="380">
        <v>14350503</v>
      </c>
      <c r="B165" s="381" t="s">
        <v>315</v>
      </c>
      <c r="C165" s="381" t="s">
        <v>360</v>
      </c>
      <c r="D165" s="381" t="s">
        <v>377</v>
      </c>
      <c r="E165" s="381" t="s">
        <v>378</v>
      </c>
      <c r="F165" s="378">
        <v>1783474</v>
      </c>
      <c r="G165" s="378">
        <v>403255</v>
      </c>
      <c r="H165" s="378">
        <v>0</v>
      </c>
      <c r="I165" s="378">
        <v>2186729</v>
      </c>
      <c r="J165" s="2">
        <f t="shared" si="4"/>
        <v>8</v>
      </c>
    </row>
    <row r="166" spans="1:10" ht="15.75" customHeight="1" x14ac:dyDescent="0.25">
      <c r="A166" s="380">
        <v>14350503</v>
      </c>
      <c r="B166" s="381" t="s">
        <v>315</v>
      </c>
      <c r="C166" s="381" t="s">
        <v>360</v>
      </c>
      <c r="D166" s="381" t="s">
        <v>825</v>
      </c>
      <c r="E166" s="381" t="s">
        <v>826</v>
      </c>
      <c r="F166" s="378">
        <v>63550</v>
      </c>
      <c r="G166" s="378">
        <v>0</v>
      </c>
      <c r="H166" s="378">
        <v>0</v>
      </c>
      <c r="I166" s="378">
        <v>63550</v>
      </c>
      <c r="J166" s="2">
        <f t="shared" si="4"/>
        <v>8</v>
      </c>
    </row>
    <row r="167" spans="1:10" ht="15.75" customHeight="1" x14ac:dyDescent="0.25">
      <c r="A167" s="380">
        <v>14350503</v>
      </c>
      <c r="B167" s="381" t="s">
        <v>315</v>
      </c>
      <c r="C167" s="381" t="s">
        <v>360</v>
      </c>
      <c r="D167" s="381" t="s">
        <v>822</v>
      </c>
      <c r="E167" s="381" t="s">
        <v>823</v>
      </c>
      <c r="F167" s="378">
        <v>111025</v>
      </c>
      <c r="G167" s="378">
        <v>35251</v>
      </c>
      <c r="H167" s="378">
        <v>0</v>
      </c>
      <c r="I167" s="378">
        <v>146276</v>
      </c>
      <c r="J167" s="2">
        <f t="shared" si="4"/>
        <v>8</v>
      </c>
    </row>
    <row r="168" spans="1:10" ht="15.75" customHeight="1" x14ac:dyDescent="0.25">
      <c r="A168" s="380">
        <v>14350503</v>
      </c>
      <c r="B168" s="381" t="s">
        <v>315</v>
      </c>
      <c r="C168" s="381" t="s">
        <v>360</v>
      </c>
      <c r="D168" s="381" t="s">
        <v>665</v>
      </c>
      <c r="E168" s="381" t="s">
        <v>824</v>
      </c>
      <c r="F168" s="378">
        <v>70000</v>
      </c>
      <c r="G168" s="378">
        <v>79200</v>
      </c>
      <c r="H168" s="378">
        <v>0</v>
      </c>
      <c r="I168" s="378">
        <v>149200</v>
      </c>
      <c r="J168" s="2">
        <f t="shared" si="4"/>
        <v>8</v>
      </c>
    </row>
    <row r="169" spans="1:10" ht="15.75" customHeight="1" x14ac:dyDescent="0.25">
      <c r="A169" s="380">
        <v>14350503</v>
      </c>
      <c r="B169" s="381" t="s">
        <v>315</v>
      </c>
      <c r="C169" s="381" t="s">
        <v>360</v>
      </c>
      <c r="D169" s="381" t="s">
        <v>827</v>
      </c>
      <c r="E169" s="381" t="s">
        <v>828</v>
      </c>
      <c r="F169" s="378">
        <v>0</v>
      </c>
      <c r="G169" s="378">
        <v>15000</v>
      </c>
      <c r="H169" s="378">
        <v>0</v>
      </c>
      <c r="I169" s="378">
        <v>15000</v>
      </c>
      <c r="J169" s="2">
        <f t="shared" si="4"/>
        <v>8</v>
      </c>
    </row>
    <row r="170" spans="1:10" ht="15.75" customHeight="1" x14ac:dyDescent="0.25">
      <c r="A170" s="380">
        <v>14350504</v>
      </c>
      <c r="B170" s="381" t="s">
        <v>315</v>
      </c>
      <c r="C170" s="381" t="s">
        <v>829</v>
      </c>
      <c r="D170" s="381" t="s">
        <v>315</v>
      </c>
      <c r="E170" s="381" t="s">
        <v>315</v>
      </c>
      <c r="F170" s="378">
        <v>89500</v>
      </c>
      <c r="G170" s="378">
        <v>0</v>
      </c>
      <c r="H170" s="378">
        <v>0</v>
      </c>
      <c r="I170" s="378">
        <v>89500</v>
      </c>
      <c r="J170" s="2">
        <f t="shared" si="4"/>
        <v>8</v>
      </c>
    </row>
    <row r="171" spans="1:10" ht="15.75" customHeight="1" x14ac:dyDescent="0.25">
      <c r="A171" s="380">
        <v>14350504</v>
      </c>
      <c r="B171" s="381" t="s">
        <v>315</v>
      </c>
      <c r="C171" s="381" t="s">
        <v>829</v>
      </c>
      <c r="D171" s="381" t="s">
        <v>496</v>
      </c>
      <c r="E171" s="381" t="s">
        <v>497</v>
      </c>
      <c r="F171" s="378">
        <v>89500</v>
      </c>
      <c r="G171" s="378">
        <v>0</v>
      </c>
      <c r="H171" s="378">
        <v>0</v>
      </c>
      <c r="I171" s="378">
        <v>89500</v>
      </c>
      <c r="J171" s="2">
        <f t="shared" si="4"/>
        <v>8</v>
      </c>
    </row>
    <row r="172" spans="1:10" ht="15.75" customHeight="1" x14ac:dyDescent="0.25">
      <c r="A172" s="380">
        <v>14350505</v>
      </c>
      <c r="B172" s="381" t="s">
        <v>321</v>
      </c>
      <c r="C172" s="381" t="s">
        <v>830</v>
      </c>
      <c r="D172" s="381" t="s">
        <v>315</v>
      </c>
      <c r="E172" s="381" t="s">
        <v>315</v>
      </c>
      <c r="F172" s="378">
        <v>9652200</v>
      </c>
      <c r="G172" s="378">
        <v>1748000</v>
      </c>
      <c r="H172" s="378">
        <v>0</v>
      </c>
      <c r="I172" s="378">
        <v>11400200</v>
      </c>
      <c r="J172" s="2">
        <f t="shared" si="4"/>
        <v>8</v>
      </c>
    </row>
    <row r="173" spans="1:10" ht="15.75" customHeight="1" x14ac:dyDescent="0.25">
      <c r="A173" s="380">
        <v>14350505</v>
      </c>
      <c r="B173" s="381" t="s">
        <v>321</v>
      </c>
      <c r="C173" s="381" t="s">
        <v>830</v>
      </c>
      <c r="D173" s="381" t="s">
        <v>496</v>
      </c>
      <c r="E173" s="381" t="s">
        <v>497</v>
      </c>
      <c r="F173" s="378">
        <v>9652200</v>
      </c>
      <c r="G173" s="378">
        <v>1748000</v>
      </c>
      <c r="H173" s="378">
        <v>0</v>
      </c>
      <c r="I173" s="378">
        <v>11400200</v>
      </c>
      <c r="J173" s="2">
        <f t="shared" si="4"/>
        <v>8</v>
      </c>
    </row>
    <row r="174" spans="1:10" ht="15.75" customHeight="1" x14ac:dyDescent="0.25">
      <c r="A174" s="380">
        <v>143522</v>
      </c>
      <c r="B174" s="381" t="s">
        <v>321</v>
      </c>
      <c r="C174" s="381" t="s">
        <v>831</v>
      </c>
      <c r="D174" s="381" t="s">
        <v>315</v>
      </c>
      <c r="E174" s="381" t="s">
        <v>315</v>
      </c>
      <c r="F174" s="378">
        <v>53609191</v>
      </c>
      <c r="G174" s="378">
        <v>10451468</v>
      </c>
      <c r="H174" s="378">
        <v>0</v>
      </c>
      <c r="I174" s="378">
        <v>64060659</v>
      </c>
      <c r="J174" s="2">
        <f t="shared" si="4"/>
        <v>6</v>
      </c>
    </row>
    <row r="175" spans="1:10" ht="15.75" customHeight="1" x14ac:dyDescent="0.25">
      <c r="A175" s="380">
        <v>14352201</v>
      </c>
      <c r="B175" s="381" t="s">
        <v>321</v>
      </c>
      <c r="C175" s="381" t="s">
        <v>831</v>
      </c>
      <c r="D175" s="381" t="s">
        <v>315</v>
      </c>
      <c r="E175" s="381" t="s">
        <v>315</v>
      </c>
      <c r="F175" s="378">
        <v>0</v>
      </c>
      <c r="G175" s="378">
        <v>0</v>
      </c>
      <c r="H175" s="378">
        <v>0</v>
      </c>
      <c r="I175" s="378">
        <v>0</v>
      </c>
      <c r="J175" s="2">
        <f t="shared" si="4"/>
        <v>8</v>
      </c>
    </row>
    <row r="176" spans="1:10" ht="15.75" customHeight="1" x14ac:dyDescent="0.25">
      <c r="A176" s="380">
        <v>14352201</v>
      </c>
      <c r="B176" s="381" t="s">
        <v>321</v>
      </c>
      <c r="C176" s="381" t="s">
        <v>831</v>
      </c>
      <c r="D176" s="381" t="s">
        <v>356</v>
      </c>
      <c r="E176" s="381" t="s">
        <v>357</v>
      </c>
      <c r="F176" s="378">
        <v>-75614468</v>
      </c>
      <c r="G176" s="378">
        <v>0</v>
      </c>
      <c r="H176" s="378">
        <v>0</v>
      </c>
      <c r="I176" s="378">
        <v>-75614468</v>
      </c>
      <c r="J176" s="2">
        <f t="shared" si="4"/>
        <v>8</v>
      </c>
    </row>
    <row r="177" spans="1:10" ht="15.75" customHeight="1" x14ac:dyDescent="0.25">
      <c r="A177" s="380">
        <v>14352201</v>
      </c>
      <c r="B177" s="381" t="s">
        <v>321</v>
      </c>
      <c r="C177" s="381" t="s">
        <v>831</v>
      </c>
      <c r="D177" s="381" t="s">
        <v>367</v>
      </c>
      <c r="E177" s="381" t="s">
        <v>814</v>
      </c>
      <c r="F177" s="378">
        <v>81757</v>
      </c>
      <c r="G177" s="378">
        <v>0</v>
      </c>
      <c r="H177" s="378">
        <v>0</v>
      </c>
      <c r="I177" s="378">
        <v>81757</v>
      </c>
      <c r="J177" s="2">
        <f t="shared" si="4"/>
        <v>8</v>
      </c>
    </row>
    <row r="178" spans="1:10" ht="15.75" customHeight="1" x14ac:dyDescent="0.25">
      <c r="A178" s="380">
        <v>14352201</v>
      </c>
      <c r="B178" s="381" t="s">
        <v>321</v>
      </c>
      <c r="C178" s="381" t="s">
        <v>831</v>
      </c>
      <c r="D178" s="381" t="s">
        <v>369</v>
      </c>
      <c r="E178" s="381" t="s">
        <v>815</v>
      </c>
      <c r="F178" s="378">
        <v>520137</v>
      </c>
      <c r="G178" s="378">
        <v>0</v>
      </c>
      <c r="H178" s="378">
        <v>0</v>
      </c>
      <c r="I178" s="378">
        <v>520137</v>
      </c>
      <c r="J178" s="2">
        <f t="shared" si="4"/>
        <v>8</v>
      </c>
    </row>
    <row r="179" spans="1:10" ht="15.75" customHeight="1" x14ac:dyDescent="0.25">
      <c r="A179" s="380">
        <v>14352201</v>
      </c>
      <c r="B179" s="381" t="s">
        <v>321</v>
      </c>
      <c r="C179" s="381" t="s">
        <v>831</v>
      </c>
      <c r="D179" s="381" t="s">
        <v>347</v>
      </c>
      <c r="E179" s="381" t="s">
        <v>348</v>
      </c>
      <c r="F179" s="378">
        <v>71409269</v>
      </c>
      <c r="G179" s="378">
        <v>0</v>
      </c>
      <c r="H179" s="378">
        <v>0</v>
      </c>
      <c r="I179" s="378">
        <v>71409269</v>
      </c>
      <c r="J179" s="2">
        <f t="shared" si="4"/>
        <v>8</v>
      </c>
    </row>
    <row r="180" spans="1:10" ht="15.75" customHeight="1" x14ac:dyDescent="0.25">
      <c r="A180" s="380">
        <v>14352201</v>
      </c>
      <c r="B180" s="381" t="s">
        <v>321</v>
      </c>
      <c r="C180" s="381" t="s">
        <v>831</v>
      </c>
      <c r="D180" s="381" t="s">
        <v>373</v>
      </c>
      <c r="E180" s="381" t="s">
        <v>374</v>
      </c>
      <c r="F180" s="378">
        <v>234127</v>
      </c>
      <c r="G180" s="378">
        <v>0</v>
      </c>
      <c r="H180" s="378">
        <v>0</v>
      </c>
      <c r="I180" s="378">
        <v>234127</v>
      </c>
      <c r="J180" s="2">
        <f t="shared" si="4"/>
        <v>8</v>
      </c>
    </row>
    <row r="181" spans="1:10" ht="15.75" customHeight="1" x14ac:dyDescent="0.25">
      <c r="A181" s="380">
        <v>14352201</v>
      </c>
      <c r="B181" s="381" t="s">
        <v>321</v>
      </c>
      <c r="C181" s="381" t="s">
        <v>831</v>
      </c>
      <c r="D181" s="381" t="s">
        <v>377</v>
      </c>
      <c r="E181" s="381" t="s">
        <v>378</v>
      </c>
      <c r="F181" s="378">
        <v>3369178</v>
      </c>
      <c r="G181" s="378">
        <v>0</v>
      </c>
      <c r="H181" s="378">
        <v>0</v>
      </c>
      <c r="I181" s="378">
        <v>3369178</v>
      </c>
      <c r="J181" s="2">
        <f t="shared" si="4"/>
        <v>8</v>
      </c>
    </row>
    <row r="182" spans="1:10" ht="15.75" customHeight="1" x14ac:dyDescent="0.25">
      <c r="A182" s="380">
        <v>14352202</v>
      </c>
      <c r="B182" s="381" t="s">
        <v>321</v>
      </c>
      <c r="C182" s="381" t="s">
        <v>832</v>
      </c>
      <c r="D182" s="381" t="s">
        <v>315</v>
      </c>
      <c r="E182" s="381" t="s">
        <v>315</v>
      </c>
      <c r="F182" s="378">
        <v>53609191</v>
      </c>
      <c r="G182" s="378">
        <v>10451468</v>
      </c>
      <c r="H182" s="378">
        <v>0</v>
      </c>
      <c r="I182" s="378">
        <v>64060659</v>
      </c>
      <c r="J182" s="2">
        <f t="shared" si="4"/>
        <v>8</v>
      </c>
    </row>
    <row r="183" spans="1:10" ht="15.75" customHeight="1" x14ac:dyDescent="0.25">
      <c r="A183" s="380">
        <v>14352202</v>
      </c>
      <c r="B183" s="381" t="s">
        <v>321</v>
      </c>
      <c r="C183" s="381" t="s">
        <v>832</v>
      </c>
      <c r="D183" s="381" t="s">
        <v>367</v>
      </c>
      <c r="E183" s="381" t="s">
        <v>814</v>
      </c>
      <c r="F183" s="378">
        <v>76350</v>
      </c>
      <c r="G183" s="378">
        <v>8035</v>
      </c>
      <c r="H183" s="378">
        <v>0</v>
      </c>
      <c r="I183" s="378">
        <v>84385</v>
      </c>
      <c r="J183" s="2">
        <f t="shared" si="4"/>
        <v>8</v>
      </c>
    </row>
    <row r="184" spans="1:10" ht="15.75" customHeight="1" x14ac:dyDescent="0.25">
      <c r="A184" s="380">
        <v>14352202</v>
      </c>
      <c r="B184" s="381" t="s">
        <v>321</v>
      </c>
      <c r="C184" s="381" t="s">
        <v>832</v>
      </c>
      <c r="D184" s="381" t="s">
        <v>369</v>
      </c>
      <c r="E184" s="381" t="s">
        <v>815</v>
      </c>
      <c r="F184" s="378">
        <v>477211</v>
      </c>
      <c r="G184" s="378">
        <v>96570</v>
      </c>
      <c r="H184" s="378">
        <v>0</v>
      </c>
      <c r="I184" s="378">
        <v>573781</v>
      </c>
      <c r="J184" s="2">
        <f t="shared" si="4"/>
        <v>8</v>
      </c>
    </row>
    <row r="185" spans="1:10" ht="15.75" customHeight="1" x14ac:dyDescent="0.25">
      <c r="A185" s="380">
        <v>14352202</v>
      </c>
      <c r="B185" s="381" t="s">
        <v>321</v>
      </c>
      <c r="C185" s="381" t="s">
        <v>832</v>
      </c>
      <c r="D185" s="381" t="s">
        <v>347</v>
      </c>
      <c r="E185" s="381" t="s">
        <v>348</v>
      </c>
      <c r="F185" s="378">
        <v>49312162</v>
      </c>
      <c r="G185" s="378">
        <v>9547942</v>
      </c>
      <c r="H185" s="378">
        <v>0</v>
      </c>
      <c r="I185" s="378">
        <v>58860104</v>
      </c>
      <c r="J185" s="2">
        <f t="shared" si="4"/>
        <v>8</v>
      </c>
    </row>
    <row r="186" spans="1:10" ht="15.75" customHeight="1" x14ac:dyDescent="0.25">
      <c r="A186" s="380">
        <v>14352202</v>
      </c>
      <c r="B186" s="381" t="s">
        <v>321</v>
      </c>
      <c r="C186" s="381" t="s">
        <v>832</v>
      </c>
      <c r="D186" s="381" t="s">
        <v>377</v>
      </c>
      <c r="E186" s="381" t="s">
        <v>378</v>
      </c>
      <c r="F186" s="378">
        <v>3743468</v>
      </c>
      <c r="G186" s="378">
        <v>798921</v>
      </c>
      <c r="H186" s="378">
        <v>0</v>
      </c>
      <c r="I186" s="378">
        <v>4542389</v>
      </c>
      <c r="J186" s="2">
        <f t="shared" si="4"/>
        <v>8</v>
      </c>
    </row>
    <row r="187" spans="1:10" ht="15.75" customHeight="1" x14ac:dyDescent="0.25">
      <c r="A187" s="380">
        <v>143530</v>
      </c>
      <c r="B187" s="381" t="s">
        <v>315</v>
      </c>
      <c r="C187" s="381" t="s">
        <v>833</v>
      </c>
      <c r="D187" s="381" t="s">
        <v>315</v>
      </c>
      <c r="E187" s="381" t="s">
        <v>315</v>
      </c>
      <c r="F187" s="378">
        <v>0</v>
      </c>
      <c r="G187" s="378">
        <v>0</v>
      </c>
      <c r="H187" s="378">
        <v>0</v>
      </c>
      <c r="I187" s="378">
        <v>0</v>
      </c>
      <c r="J187" s="2">
        <f t="shared" si="4"/>
        <v>6</v>
      </c>
    </row>
    <row r="188" spans="1:10" ht="15.75" customHeight="1" x14ac:dyDescent="0.25">
      <c r="A188" s="380">
        <v>14353001</v>
      </c>
      <c r="B188" s="381" t="s">
        <v>315</v>
      </c>
      <c r="C188" s="381" t="s">
        <v>833</v>
      </c>
      <c r="D188" s="381" t="s">
        <v>315</v>
      </c>
      <c r="E188" s="381" t="s">
        <v>315</v>
      </c>
      <c r="F188" s="378">
        <v>0</v>
      </c>
      <c r="G188" s="378">
        <v>0</v>
      </c>
      <c r="H188" s="378">
        <v>0</v>
      </c>
      <c r="I188" s="378">
        <v>0</v>
      </c>
      <c r="J188" s="2">
        <f t="shared" si="4"/>
        <v>8</v>
      </c>
    </row>
    <row r="189" spans="1:10" ht="15.75" customHeight="1" x14ac:dyDescent="0.25">
      <c r="A189" s="380">
        <v>143575</v>
      </c>
      <c r="B189" s="381" t="s">
        <v>315</v>
      </c>
      <c r="C189" s="381" t="s">
        <v>390</v>
      </c>
      <c r="D189" s="381" t="s">
        <v>315</v>
      </c>
      <c r="E189" s="381" t="s">
        <v>315</v>
      </c>
      <c r="F189" s="378">
        <v>-2730268</v>
      </c>
      <c r="G189" s="378">
        <v>0</v>
      </c>
      <c r="H189" s="378">
        <v>410118</v>
      </c>
      <c r="I189" s="378">
        <v>-3140386</v>
      </c>
      <c r="J189" s="2">
        <f t="shared" si="4"/>
        <v>6</v>
      </c>
    </row>
    <row r="190" spans="1:10" ht="15.75" customHeight="1" x14ac:dyDescent="0.25">
      <c r="A190" s="380">
        <v>14357501</v>
      </c>
      <c r="B190" s="381" t="s">
        <v>321</v>
      </c>
      <c r="C190" s="381" t="s">
        <v>834</v>
      </c>
      <c r="D190" s="381" t="s">
        <v>315</v>
      </c>
      <c r="E190" s="381" t="s">
        <v>315</v>
      </c>
      <c r="F190" s="378">
        <v>-1793777</v>
      </c>
      <c r="G190" s="378">
        <v>0</v>
      </c>
      <c r="H190" s="378">
        <v>94687</v>
      </c>
      <c r="I190" s="378">
        <v>-1888464</v>
      </c>
      <c r="J190" s="2">
        <f t="shared" si="4"/>
        <v>8</v>
      </c>
    </row>
    <row r="191" spans="1:10" ht="15.75" customHeight="1" x14ac:dyDescent="0.25">
      <c r="A191" s="380">
        <v>14357501</v>
      </c>
      <c r="B191" s="381" t="s">
        <v>321</v>
      </c>
      <c r="C191" s="381" t="s">
        <v>834</v>
      </c>
      <c r="D191" s="381" t="s">
        <v>367</v>
      </c>
      <c r="E191" s="381" t="s">
        <v>814</v>
      </c>
      <c r="F191" s="378">
        <v>-1198729</v>
      </c>
      <c r="G191" s="378">
        <v>0</v>
      </c>
      <c r="H191" s="378">
        <v>63341</v>
      </c>
      <c r="I191" s="378">
        <v>-1262070</v>
      </c>
      <c r="J191" s="2">
        <f t="shared" si="4"/>
        <v>8</v>
      </c>
    </row>
    <row r="192" spans="1:10" ht="15.75" customHeight="1" x14ac:dyDescent="0.25">
      <c r="A192" s="380">
        <v>14357501</v>
      </c>
      <c r="B192" s="381" t="s">
        <v>321</v>
      </c>
      <c r="C192" s="381" t="s">
        <v>834</v>
      </c>
      <c r="D192" s="381" t="s">
        <v>369</v>
      </c>
      <c r="E192" s="381" t="s">
        <v>815</v>
      </c>
      <c r="F192" s="378">
        <v>-72043</v>
      </c>
      <c r="G192" s="378">
        <v>0</v>
      </c>
      <c r="H192" s="378">
        <v>7817</v>
      </c>
      <c r="I192" s="378">
        <v>-79860</v>
      </c>
      <c r="J192" s="2">
        <f t="shared" si="4"/>
        <v>8</v>
      </c>
    </row>
    <row r="193" spans="1:10" ht="15.75" customHeight="1" x14ac:dyDescent="0.25">
      <c r="A193" s="380">
        <v>14357501</v>
      </c>
      <c r="B193" s="381" t="s">
        <v>321</v>
      </c>
      <c r="C193" s="381" t="s">
        <v>834</v>
      </c>
      <c r="D193" s="381" t="s">
        <v>347</v>
      </c>
      <c r="E193" s="381" t="s">
        <v>348</v>
      </c>
      <c r="F193" s="378">
        <v>-31100</v>
      </c>
      <c r="G193" s="378">
        <v>0</v>
      </c>
      <c r="H193" s="378">
        <v>0</v>
      </c>
      <c r="I193" s="378">
        <v>-31100</v>
      </c>
      <c r="J193" s="2">
        <f t="shared" si="4"/>
        <v>8</v>
      </c>
    </row>
    <row r="194" spans="1:10" ht="15.75" customHeight="1" x14ac:dyDescent="0.25">
      <c r="A194" s="380">
        <v>14357501</v>
      </c>
      <c r="B194" s="381" t="s">
        <v>321</v>
      </c>
      <c r="C194" s="381" t="s">
        <v>834</v>
      </c>
      <c r="D194" s="381" t="s">
        <v>373</v>
      </c>
      <c r="E194" s="381" t="s">
        <v>374</v>
      </c>
      <c r="F194" s="378">
        <v>-302121</v>
      </c>
      <c r="G194" s="378">
        <v>0</v>
      </c>
      <c r="H194" s="378">
        <v>0</v>
      </c>
      <c r="I194" s="378">
        <v>-302121</v>
      </c>
      <c r="J194" s="2">
        <f t="shared" si="4"/>
        <v>8</v>
      </c>
    </row>
    <row r="195" spans="1:10" ht="15.75" customHeight="1" x14ac:dyDescent="0.25">
      <c r="A195" s="380">
        <v>14357501</v>
      </c>
      <c r="B195" s="381" t="s">
        <v>321</v>
      </c>
      <c r="C195" s="381" t="s">
        <v>834</v>
      </c>
      <c r="D195" s="381" t="s">
        <v>377</v>
      </c>
      <c r="E195" s="381" t="s">
        <v>378</v>
      </c>
      <c r="F195" s="378">
        <v>-189784</v>
      </c>
      <c r="G195" s="378">
        <v>0</v>
      </c>
      <c r="H195" s="378">
        <v>0</v>
      </c>
      <c r="I195" s="378">
        <v>-189784</v>
      </c>
      <c r="J195" s="2">
        <f t="shared" si="4"/>
        <v>8</v>
      </c>
    </row>
    <row r="196" spans="1:10" ht="15.75" customHeight="1" x14ac:dyDescent="0.25">
      <c r="A196" s="380">
        <v>14357501</v>
      </c>
      <c r="B196" s="381" t="s">
        <v>321</v>
      </c>
      <c r="C196" s="381" t="s">
        <v>834</v>
      </c>
      <c r="D196" s="381" t="s">
        <v>723</v>
      </c>
      <c r="E196" s="381" t="s">
        <v>724</v>
      </c>
      <c r="F196" s="378">
        <v>0</v>
      </c>
      <c r="G196" s="378">
        <v>0</v>
      </c>
      <c r="H196" s="378">
        <v>23529</v>
      </c>
      <c r="I196" s="378">
        <v>-23529</v>
      </c>
      <c r="J196" s="2">
        <f t="shared" si="4"/>
        <v>8</v>
      </c>
    </row>
    <row r="197" spans="1:10" ht="15.75" customHeight="1" x14ac:dyDescent="0.25">
      <c r="A197" s="380">
        <v>14357503</v>
      </c>
      <c r="B197" s="381" t="s">
        <v>315</v>
      </c>
      <c r="C197" s="381" t="s">
        <v>835</v>
      </c>
      <c r="D197" s="381" t="s">
        <v>315</v>
      </c>
      <c r="E197" s="381" t="s">
        <v>315</v>
      </c>
      <c r="F197" s="378">
        <v>-936491</v>
      </c>
      <c r="G197" s="378">
        <v>0</v>
      </c>
      <c r="H197" s="378">
        <v>315431</v>
      </c>
      <c r="I197" s="378">
        <v>-1251922</v>
      </c>
      <c r="J197" s="2">
        <f t="shared" si="4"/>
        <v>8</v>
      </c>
    </row>
    <row r="198" spans="1:10" ht="15.75" customHeight="1" x14ac:dyDescent="0.25">
      <c r="A198" s="380">
        <v>14357503</v>
      </c>
      <c r="B198" s="381" t="s">
        <v>315</v>
      </c>
      <c r="C198" s="381" t="s">
        <v>835</v>
      </c>
      <c r="D198" s="381" t="s">
        <v>635</v>
      </c>
      <c r="E198" s="381" t="s">
        <v>812</v>
      </c>
      <c r="F198" s="378">
        <v>-98150</v>
      </c>
      <c r="G198" s="378">
        <v>0</v>
      </c>
      <c r="H198" s="378">
        <v>0</v>
      </c>
      <c r="I198" s="378">
        <v>-98150</v>
      </c>
      <c r="J198" s="2">
        <f t="shared" si="4"/>
        <v>8</v>
      </c>
    </row>
    <row r="199" spans="1:10" ht="15.75" customHeight="1" x14ac:dyDescent="0.25">
      <c r="A199" s="380">
        <v>14357503</v>
      </c>
      <c r="B199" s="381" t="s">
        <v>315</v>
      </c>
      <c r="C199" s="381" t="s">
        <v>835</v>
      </c>
      <c r="D199" s="381" t="s">
        <v>630</v>
      </c>
      <c r="E199" s="381" t="s">
        <v>813</v>
      </c>
      <c r="F199" s="378">
        <v>-17120</v>
      </c>
      <c r="G199" s="378">
        <v>0</v>
      </c>
      <c r="H199" s="378">
        <v>6160</v>
      </c>
      <c r="I199" s="378">
        <v>-23280</v>
      </c>
      <c r="J199" s="2">
        <f t="shared" si="4"/>
        <v>8</v>
      </c>
    </row>
    <row r="200" spans="1:10" ht="15.75" customHeight="1" x14ac:dyDescent="0.25">
      <c r="A200" s="380">
        <v>14357503</v>
      </c>
      <c r="B200" s="381" t="s">
        <v>315</v>
      </c>
      <c r="C200" s="381" t="s">
        <v>835</v>
      </c>
      <c r="D200" s="381" t="s">
        <v>367</v>
      </c>
      <c r="E200" s="381" t="s">
        <v>814</v>
      </c>
      <c r="F200" s="378">
        <v>-629851</v>
      </c>
      <c r="G200" s="378">
        <v>0</v>
      </c>
      <c r="H200" s="378">
        <v>154071</v>
      </c>
      <c r="I200" s="378">
        <v>-783922</v>
      </c>
      <c r="J200" s="2">
        <f t="shared" si="4"/>
        <v>8</v>
      </c>
    </row>
    <row r="201" spans="1:10" ht="15.75" customHeight="1" x14ac:dyDescent="0.25">
      <c r="A201" s="380">
        <v>14357503</v>
      </c>
      <c r="B201" s="381" t="s">
        <v>315</v>
      </c>
      <c r="C201" s="381" t="s">
        <v>835</v>
      </c>
      <c r="D201" s="381" t="s">
        <v>369</v>
      </c>
      <c r="E201" s="381" t="s">
        <v>815</v>
      </c>
      <c r="F201" s="378">
        <v>-142820</v>
      </c>
      <c r="G201" s="378">
        <v>0</v>
      </c>
      <c r="H201" s="378">
        <v>0</v>
      </c>
      <c r="I201" s="378">
        <v>-142820</v>
      </c>
      <c r="J201" s="2">
        <f t="shared" si="4"/>
        <v>8</v>
      </c>
    </row>
    <row r="202" spans="1:10" ht="15.75" customHeight="1" x14ac:dyDescent="0.25">
      <c r="A202" s="380">
        <v>14357503</v>
      </c>
      <c r="B202" s="381" t="s">
        <v>315</v>
      </c>
      <c r="C202" s="381" t="s">
        <v>835</v>
      </c>
      <c r="D202" s="381" t="s">
        <v>347</v>
      </c>
      <c r="E202" s="381" t="s">
        <v>348</v>
      </c>
      <c r="F202" s="378">
        <v>0</v>
      </c>
      <c r="G202" s="378">
        <v>0</v>
      </c>
      <c r="H202" s="378">
        <v>88000</v>
      </c>
      <c r="I202" s="378">
        <v>-88000</v>
      </c>
      <c r="J202" s="2">
        <f t="shared" si="4"/>
        <v>8</v>
      </c>
    </row>
    <row r="203" spans="1:10" ht="15.75" customHeight="1" x14ac:dyDescent="0.25">
      <c r="A203" s="380">
        <v>14357503</v>
      </c>
      <c r="B203" s="381" t="s">
        <v>315</v>
      </c>
      <c r="C203" s="381" t="s">
        <v>835</v>
      </c>
      <c r="D203" s="381" t="s">
        <v>373</v>
      </c>
      <c r="E203" s="381" t="s">
        <v>374</v>
      </c>
      <c r="F203" s="378">
        <v>-7300</v>
      </c>
      <c r="G203" s="378">
        <v>0</v>
      </c>
      <c r="H203" s="378">
        <v>0</v>
      </c>
      <c r="I203" s="378">
        <v>-7300</v>
      </c>
      <c r="J203" s="2">
        <f t="shared" si="4"/>
        <v>8</v>
      </c>
    </row>
    <row r="204" spans="1:10" ht="15.75" customHeight="1" x14ac:dyDescent="0.25">
      <c r="A204" s="380">
        <v>14357503</v>
      </c>
      <c r="B204" s="381" t="s">
        <v>315</v>
      </c>
      <c r="C204" s="381" t="s">
        <v>835</v>
      </c>
      <c r="D204" s="381" t="s">
        <v>665</v>
      </c>
      <c r="E204" s="381" t="s">
        <v>824</v>
      </c>
      <c r="F204" s="378">
        <v>-41250</v>
      </c>
      <c r="G204" s="378">
        <v>0</v>
      </c>
      <c r="H204" s="378">
        <v>67200</v>
      </c>
      <c r="I204" s="378">
        <v>-108450</v>
      </c>
      <c r="J204" s="2">
        <f t="shared" si="4"/>
        <v>8</v>
      </c>
    </row>
    <row r="205" spans="1:10" ht="15.75" customHeight="1" x14ac:dyDescent="0.25">
      <c r="A205" s="380">
        <v>143599</v>
      </c>
      <c r="B205" s="381" t="s">
        <v>321</v>
      </c>
      <c r="C205" s="381" t="s">
        <v>393</v>
      </c>
      <c r="D205" s="381" t="s">
        <v>315</v>
      </c>
      <c r="E205" s="381" t="s">
        <v>315</v>
      </c>
      <c r="F205" s="378">
        <v>-1019247941</v>
      </c>
      <c r="G205" s="378">
        <v>0</v>
      </c>
      <c r="H205" s="378">
        <v>221817002</v>
      </c>
      <c r="I205" s="378">
        <v>-1241064943</v>
      </c>
      <c r="J205" s="2">
        <f t="shared" ref="J205:J268" si="5">+LEN(A205)</f>
        <v>6</v>
      </c>
    </row>
    <row r="206" spans="1:10" ht="15.75" customHeight="1" x14ac:dyDescent="0.25">
      <c r="A206" s="380">
        <v>143599</v>
      </c>
      <c r="B206" s="381" t="s">
        <v>321</v>
      </c>
      <c r="C206" s="381" t="s">
        <v>393</v>
      </c>
      <c r="D206" s="381" t="s">
        <v>837</v>
      </c>
      <c r="E206" s="381" t="s">
        <v>838</v>
      </c>
      <c r="F206" s="378">
        <v>-1019247941</v>
      </c>
      <c r="G206" s="378">
        <v>0</v>
      </c>
      <c r="H206" s="378">
        <v>221817002</v>
      </c>
      <c r="I206" s="378">
        <v>-1241064943</v>
      </c>
      <c r="J206" s="2">
        <f t="shared" si="5"/>
        <v>6</v>
      </c>
    </row>
    <row r="207" spans="1:10" ht="15.75" customHeight="1" x14ac:dyDescent="0.25">
      <c r="A207" s="380">
        <v>15</v>
      </c>
      <c r="B207" s="381" t="s">
        <v>315</v>
      </c>
      <c r="C207" s="381" t="s">
        <v>38</v>
      </c>
      <c r="D207" s="381" t="s">
        <v>315</v>
      </c>
      <c r="E207" s="381" t="s">
        <v>315</v>
      </c>
      <c r="F207" s="378">
        <v>2028319513.55</v>
      </c>
      <c r="G207" s="378">
        <v>950000</v>
      </c>
      <c r="H207" s="378">
        <v>889567.65</v>
      </c>
      <c r="I207" s="378">
        <v>2028379945.9000001</v>
      </c>
      <c r="J207" s="2">
        <f t="shared" si="5"/>
        <v>2</v>
      </c>
    </row>
    <row r="208" spans="1:10" ht="15.75" customHeight="1" x14ac:dyDescent="0.25">
      <c r="A208" s="380">
        <v>1510</v>
      </c>
      <c r="B208" s="381" t="s">
        <v>321</v>
      </c>
      <c r="C208" s="381" t="s">
        <v>839</v>
      </c>
      <c r="D208" s="381" t="s">
        <v>315</v>
      </c>
      <c r="E208" s="381" t="s">
        <v>315</v>
      </c>
      <c r="F208" s="378">
        <v>354906133.62</v>
      </c>
      <c r="G208" s="378">
        <v>950000</v>
      </c>
      <c r="H208" s="378">
        <v>0</v>
      </c>
      <c r="I208" s="378">
        <v>355856133.62</v>
      </c>
      <c r="J208" s="2">
        <f t="shared" si="5"/>
        <v>4</v>
      </c>
    </row>
    <row r="209" spans="1:10" ht="15.75" customHeight="1" x14ac:dyDescent="0.25">
      <c r="A209" s="380">
        <v>151005</v>
      </c>
      <c r="B209" s="381" t="s">
        <v>321</v>
      </c>
      <c r="C209" s="381" t="s">
        <v>839</v>
      </c>
      <c r="D209" s="381" t="s">
        <v>315</v>
      </c>
      <c r="E209" s="381" t="s">
        <v>315</v>
      </c>
      <c r="F209" s="378">
        <v>349872304.62</v>
      </c>
      <c r="G209" s="378">
        <v>950000</v>
      </c>
      <c r="H209" s="378">
        <v>0</v>
      </c>
      <c r="I209" s="378">
        <v>350822304.62</v>
      </c>
      <c r="J209" s="2">
        <f t="shared" si="5"/>
        <v>6</v>
      </c>
    </row>
    <row r="210" spans="1:10" ht="15.75" customHeight="1" x14ac:dyDescent="0.25">
      <c r="A210" s="380">
        <v>151005</v>
      </c>
      <c r="B210" s="381" t="s">
        <v>321</v>
      </c>
      <c r="C210" s="381" t="s">
        <v>839</v>
      </c>
      <c r="D210" s="381" t="s">
        <v>661</v>
      </c>
      <c r="E210" s="381" t="s">
        <v>662</v>
      </c>
      <c r="F210" s="378">
        <v>296679050</v>
      </c>
      <c r="G210" s="378">
        <v>950000</v>
      </c>
      <c r="H210" s="378">
        <v>0</v>
      </c>
      <c r="I210" s="378">
        <v>297629050</v>
      </c>
      <c r="J210" s="2">
        <f t="shared" si="5"/>
        <v>6</v>
      </c>
    </row>
    <row r="211" spans="1:10" ht="15.75" customHeight="1" x14ac:dyDescent="0.25">
      <c r="A211" s="380">
        <v>151005</v>
      </c>
      <c r="B211" s="381" t="s">
        <v>321</v>
      </c>
      <c r="C211" s="381" t="s">
        <v>839</v>
      </c>
      <c r="D211" s="381" t="s">
        <v>840</v>
      </c>
      <c r="E211" s="381" t="s">
        <v>841</v>
      </c>
      <c r="F211" s="378">
        <v>149800</v>
      </c>
      <c r="G211" s="378">
        <v>0</v>
      </c>
      <c r="H211" s="378">
        <v>0</v>
      </c>
      <c r="I211" s="378">
        <v>149800</v>
      </c>
      <c r="J211" s="2">
        <f t="shared" si="5"/>
        <v>6</v>
      </c>
    </row>
    <row r="212" spans="1:10" ht="15.75" customHeight="1" x14ac:dyDescent="0.25">
      <c r="A212" s="380">
        <v>151005</v>
      </c>
      <c r="B212" s="381" t="s">
        <v>321</v>
      </c>
      <c r="C212" s="381" t="s">
        <v>839</v>
      </c>
      <c r="D212" s="381" t="s">
        <v>842</v>
      </c>
      <c r="E212" s="381" t="s">
        <v>843</v>
      </c>
      <c r="F212" s="378">
        <v>6815000</v>
      </c>
      <c r="G212" s="378">
        <v>0</v>
      </c>
      <c r="H212" s="378">
        <v>0</v>
      </c>
      <c r="I212" s="378">
        <v>6815000</v>
      </c>
      <c r="J212" s="2">
        <f t="shared" si="5"/>
        <v>6</v>
      </c>
    </row>
    <row r="213" spans="1:10" ht="15.75" customHeight="1" x14ac:dyDescent="0.25">
      <c r="A213" s="380">
        <v>151005</v>
      </c>
      <c r="B213" s="381" t="s">
        <v>321</v>
      </c>
      <c r="C213" s="381" t="s">
        <v>839</v>
      </c>
      <c r="D213" s="381" t="s">
        <v>844</v>
      </c>
      <c r="E213" s="381" t="s">
        <v>845</v>
      </c>
      <c r="F213" s="378">
        <v>4704000</v>
      </c>
      <c r="G213" s="378">
        <v>0</v>
      </c>
      <c r="H213" s="378">
        <v>0</v>
      </c>
      <c r="I213" s="378">
        <v>4704000</v>
      </c>
      <c r="J213" s="2">
        <f t="shared" si="5"/>
        <v>6</v>
      </c>
    </row>
    <row r="214" spans="1:10" ht="15.75" customHeight="1" x14ac:dyDescent="0.25">
      <c r="A214" s="380">
        <v>151005</v>
      </c>
      <c r="B214" s="381" t="s">
        <v>321</v>
      </c>
      <c r="C214" s="381" t="s">
        <v>839</v>
      </c>
      <c r="D214" s="381" t="s">
        <v>397</v>
      </c>
      <c r="E214" s="381" t="s">
        <v>398</v>
      </c>
      <c r="F214" s="378">
        <v>37505</v>
      </c>
      <c r="G214" s="378">
        <v>0</v>
      </c>
      <c r="H214" s="378">
        <v>0</v>
      </c>
      <c r="I214" s="378">
        <v>37505</v>
      </c>
      <c r="J214" s="2">
        <f t="shared" si="5"/>
        <v>6</v>
      </c>
    </row>
    <row r="215" spans="1:10" ht="15.75" customHeight="1" x14ac:dyDescent="0.25">
      <c r="A215" s="380">
        <v>151005</v>
      </c>
      <c r="B215" s="381" t="s">
        <v>321</v>
      </c>
      <c r="C215" s="381" t="s">
        <v>839</v>
      </c>
      <c r="D215" s="381" t="s">
        <v>846</v>
      </c>
      <c r="E215" s="381" t="s">
        <v>847</v>
      </c>
      <c r="F215" s="378">
        <v>33523</v>
      </c>
      <c r="G215" s="378">
        <v>0</v>
      </c>
      <c r="H215" s="378">
        <v>0</v>
      </c>
      <c r="I215" s="378">
        <v>33523</v>
      </c>
      <c r="J215" s="2">
        <f t="shared" si="5"/>
        <v>6</v>
      </c>
    </row>
    <row r="216" spans="1:10" ht="15.75" customHeight="1" x14ac:dyDescent="0.25">
      <c r="A216" s="380">
        <v>151005</v>
      </c>
      <c r="B216" s="381" t="s">
        <v>321</v>
      </c>
      <c r="C216" s="381" t="s">
        <v>839</v>
      </c>
      <c r="D216" s="381" t="s">
        <v>734</v>
      </c>
      <c r="E216" s="381" t="s">
        <v>735</v>
      </c>
      <c r="F216" s="378">
        <v>17337900</v>
      </c>
      <c r="G216" s="378">
        <v>0</v>
      </c>
      <c r="H216" s="378">
        <v>0</v>
      </c>
      <c r="I216" s="378">
        <v>17337900</v>
      </c>
      <c r="J216" s="2">
        <f t="shared" si="5"/>
        <v>6</v>
      </c>
    </row>
    <row r="217" spans="1:10" ht="15.75" customHeight="1" x14ac:dyDescent="0.25">
      <c r="A217" s="380">
        <v>151005</v>
      </c>
      <c r="B217" s="381" t="s">
        <v>321</v>
      </c>
      <c r="C217" s="381" t="s">
        <v>839</v>
      </c>
      <c r="D217" s="381" t="s">
        <v>837</v>
      </c>
      <c r="E217" s="381" t="s">
        <v>838</v>
      </c>
      <c r="F217" s="378">
        <v>2</v>
      </c>
      <c r="G217" s="378">
        <v>0</v>
      </c>
      <c r="H217" s="378">
        <v>0</v>
      </c>
      <c r="I217" s="378">
        <v>2</v>
      </c>
      <c r="J217" s="2">
        <f t="shared" si="5"/>
        <v>6</v>
      </c>
    </row>
    <row r="218" spans="1:10" ht="15.75" customHeight="1" x14ac:dyDescent="0.25">
      <c r="A218" s="380">
        <v>151005</v>
      </c>
      <c r="B218" s="381" t="s">
        <v>321</v>
      </c>
      <c r="C218" s="381" t="s">
        <v>839</v>
      </c>
      <c r="D218" s="381" t="s">
        <v>848</v>
      </c>
      <c r="E218" s="381" t="s">
        <v>849</v>
      </c>
      <c r="F218" s="378">
        <v>18233.62</v>
      </c>
      <c r="G218" s="378">
        <v>0</v>
      </c>
      <c r="H218" s="378">
        <v>0</v>
      </c>
      <c r="I218" s="378">
        <v>18233.62</v>
      </c>
      <c r="J218" s="2">
        <f t="shared" si="5"/>
        <v>6</v>
      </c>
    </row>
    <row r="219" spans="1:10" ht="15.75" customHeight="1" x14ac:dyDescent="0.25">
      <c r="A219" s="380">
        <v>151005</v>
      </c>
      <c r="B219" s="381" t="s">
        <v>321</v>
      </c>
      <c r="C219" s="381" t="s">
        <v>839</v>
      </c>
      <c r="D219" s="381" t="s">
        <v>850</v>
      </c>
      <c r="E219" s="381" t="s">
        <v>851</v>
      </c>
      <c r="F219" s="378">
        <v>20897291</v>
      </c>
      <c r="G219" s="378">
        <v>0</v>
      </c>
      <c r="H219" s="378">
        <v>0</v>
      </c>
      <c r="I219" s="378">
        <v>20897291</v>
      </c>
      <c r="J219" s="2">
        <f t="shared" si="5"/>
        <v>6</v>
      </c>
    </row>
    <row r="220" spans="1:10" ht="15.75" customHeight="1" x14ac:dyDescent="0.25">
      <c r="A220" s="380">
        <v>151005</v>
      </c>
      <c r="B220" s="381" t="s">
        <v>321</v>
      </c>
      <c r="C220" s="381" t="s">
        <v>839</v>
      </c>
      <c r="D220" s="381" t="s">
        <v>852</v>
      </c>
      <c r="E220" s="381" t="s">
        <v>853</v>
      </c>
      <c r="F220" s="378">
        <v>3200000</v>
      </c>
      <c r="G220" s="378">
        <v>0</v>
      </c>
      <c r="H220" s="378">
        <v>0</v>
      </c>
      <c r="I220" s="378">
        <v>3200000</v>
      </c>
      <c r="J220" s="2">
        <f t="shared" si="5"/>
        <v>6</v>
      </c>
    </row>
    <row r="221" spans="1:10" ht="15.75" customHeight="1" x14ac:dyDescent="0.25">
      <c r="A221" s="380">
        <v>151024</v>
      </c>
      <c r="B221" s="381" t="s">
        <v>321</v>
      </c>
      <c r="C221" s="381" t="s">
        <v>854</v>
      </c>
      <c r="D221" s="381" t="s">
        <v>315</v>
      </c>
      <c r="E221" s="381" t="s">
        <v>315</v>
      </c>
      <c r="F221" s="378">
        <v>5033829</v>
      </c>
      <c r="G221" s="378">
        <v>0</v>
      </c>
      <c r="H221" s="378">
        <v>0</v>
      </c>
      <c r="I221" s="378">
        <v>5033829</v>
      </c>
      <c r="J221" s="2">
        <f t="shared" si="5"/>
        <v>6</v>
      </c>
    </row>
    <row r="222" spans="1:10" ht="15.75" customHeight="1" x14ac:dyDescent="0.25">
      <c r="A222" s="380">
        <v>151024</v>
      </c>
      <c r="B222" s="381" t="s">
        <v>321</v>
      </c>
      <c r="C222" s="381" t="s">
        <v>854</v>
      </c>
      <c r="D222" s="381" t="s">
        <v>848</v>
      </c>
      <c r="E222" s="381" t="s">
        <v>849</v>
      </c>
      <c r="F222" s="378">
        <v>345610</v>
      </c>
      <c r="G222" s="378">
        <v>0</v>
      </c>
      <c r="H222" s="378">
        <v>0</v>
      </c>
      <c r="I222" s="378">
        <v>345610</v>
      </c>
      <c r="J222" s="2">
        <f t="shared" si="5"/>
        <v>6</v>
      </c>
    </row>
    <row r="223" spans="1:10" ht="15.75" customHeight="1" x14ac:dyDescent="0.25">
      <c r="A223" s="380">
        <v>151024</v>
      </c>
      <c r="B223" s="381" t="s">
        <v>321</v>
      </c>
      <c r="C223" s="381" t="s">
        <v>854</v>
      </c>
      <c r="D223" s="381" t="s">
        <v>850</v>
      </c>
      <c r="E223" s="381" t="s">
        <v>851</v>
      </c>
      <c r="F223" s="378">
        <v>4688219</v>
      </c>
      <c r="G223" s="378">
        <v>0</v>
      </c>
      <c r="H223" s="378">
        <v>0</v>
      </c>
      <c r="I223" s="378">
        <v>4688219</v>
      </c>
      <c r="J223" s="2">
        <f t="shared" si="5"/>
        <v>6</v>
      </c>
    </row>
    <row r="224" spans="1:10" ht="15.75" customHeight="1" x14ac:dyDescent="0.25">
      <c r="A224" s="380">
        <v>1516</v>
      </c>
      <c r="B224" s="381" t="s">
        <v>315</v>
      </c>
      <c r="C224" s="381" t="s">
        <v>482</v>
      </c>
      <c r="D224" s="381" t="s">
        <v>315</v>
      </c>
      <c r="E224" s="381" t="s">
        <v>315</v>
      </c>
      <c r="F224" s="378">
        <v>1141462571.9300001</v>
      </c>
      <c r="G224" s="378">
        <v>0</v>
      </c>
      <c r="H224" s="378">
        <v>487067.65</v>
      </c>
      <c r="I224" s="378">
        <v>1140975504.28</v>
      </c>
      <c r="J224" s="2">
        <f t="shared" si="5"/>
        <v>4</v>
      </c>
    </row>
    <row r="225" spans="1:10" ht="15.75" customHeight="1" x14ac:dyDescent="0.25">
      <c r="A225" s="380">
        <v>151630</v>
      </c>
      <c r="B225" s="381" t="s">
        <v>321</v>
      </c>
      <c r="C225" s="381" t="s">
        <v>855</v>
      </c>
      <c r="D225" s="381" t="s">
        <v>315</v>
      </c>
      <c r="E225" s="381" t="s">
        <v>315</v>
      </c>
      <c r="F225" s="378">
        <v>1286225225</v>
      </c>
      <c r="G225" s="378">
        <v>0</v>
      </c>
      <c r="H225" s="378">
        <v>0</v>
      </c>
      <c r="I225" s="378">
        <v>1286225225</v>
      </c>
      <c r="J225" s="2">
        <f t="shared" si="5"/>
        <v>6</v>
      </c>
    </row>
    <row r="226" spans="1:10" ht="15.75" customHeight="1" x14ac:dyDescent="0.25">
      <c r="A226" s="380">
        <v>15163001</v>
      </c>
      <c r="B226" s="381" t="s">
        <v>321</v>
      </c>
      <c r="C226" s="381" t="s">
        <v>855</v>
      </c>
      <c r="D226" s="381" t="s">
        <v>315</v>
      </c>
      <c r="E226" s="381" t="s">
        <v>315</v>
      </c>
      <c r="F226" s="378">
        <v>550000000</v>
      </c>
      <c r="G226" s="378">
        <v>0</v>
      </c>
      <c r="H226" s="378">
        <v>0</v>
      </c>
      <c r="I226" s="378">
        <v>550000000</v>
      </c>
      <c r="J226" s="2">
        <f t="shared" si="5"/>
        <v>8</v>
      </c>
    </row>
    <row r="227" spans="1:10" ht="15.75" customHeight="1" x14ac:dyDescent="0.25">
      <c r="A227" s="380">
        <v>15163001</v>
      </c>
      <c r="B227" s="381" t="s">
        <v>321</v>
      </c>
      <c r="C227" s="381" t="s">
        <v>855</v>
      </c>
      <c r="D227" s="381" t="s">
        <v>856</v>
      </c>
      <c r="E227" s="381" t="s">
        <v>857</v>
      </c>
      <c r="F227" s="378">
        <v>550000000</v>
      </c>
      <c r="G227" s="378">
        <v>0</v>
      </c>
      <c r="H227" s="378">
        <v>0</v>
      </c>
      <c r="I227" s="378">
        <v>550000000</v>
      </c>
      <c r="J227" s="2">
        <f t="shared" si="5"/>
        <v>8</v>
      </c>
    </row>
    <row r="228" spans="1:10" ht="15.75" customHeight="1" x14ac:dyDescent="0.25">
      <c r="A228" s="380">
        <v>15163002</v>
      </c>
      <c r="B228" s="381" t="s">
        <v>321</v>
      </c>
      <c r="C228" s="381" t="s">
        <v>858</v>
      </c>
      <c r="D228" s="381" t="s">
        <v>315</v>
      </c>
      <c r="E228" s="381" t="s">
        <v>315</v>
      </c>
      <c r="F228" s="378">
        <v>736225225</v>
      </c>
      <c r="G228" s="378">
        <v>0</v>
      </c>
      <c r="H228" s="378">
        <v>0</v>
      </c>
      <c r="I228" s="378">
        <v>736225225</v>
      </c>
      <c r="J228" s="2">
        <f t="shared" si="5"/>
        <v>8</v>
      </c>
    </row>
    <row r="229" spans="1:10" ht="15.75" customHeight="1" x14ac:dyDescent="0.25">
      <c r="A229" s="380">
        <v>15163002</v>
      </c>
      <c r="B229" s="381" t="s">
        <v>321</v>
      </c>
      <c r="C229" s="381" t="s">
        <v>858</v>
      </c>
      <c r="D229" s="381" t="s">
        <v>837</v>
      </c>
      <c r="E229" s="381" t="s">
        <v>838</v>
      </c>
      <c r="F229" s="378">
        <v>736225225</v>
      </c>
      <c r="G229" s="378">
        <v>0</v>
      </c>
      <c r="H229" s="378">
        <v>0</v>
      </c>
      <c r="I229" s="378">
        <v>736225225</v>
      </c>
      <c r="J229" s="2">
        <f t="shared" si="5"/>
        <v>8</v>
      </c>
    </row>
    <row r="230" spans="1:10" ht="15.75" customHeight="1" x14ac:dyDescent="0.25">
      <c r="A230" s="380">
        <v>151692</v>
      </c>
      <c r="B230" s="381" t="s">
        <v>315</v>
      </c>
      <c r="C230" s="381" t="s">
        <v>405</v>
      </c>
      <c r="D230" s="381" t="s">
        <v>315</v>
      </c>
      <c r="E230" s="381" t="s">
        <v>315</v>
      </c>
      <c r="F230" s="378">
        <v>-144762653.06999999</v>
      </c>
      <c r="G230" s="378">
        <v>0</v>
      </c>
      <c r="H230" s="378">
        <v>487067.65</v>
      </c>
      <c r="I230" s="378">
        <v>-145249720.72</v>
      </c>
      <c r="J230" s="2">
        <f t="shared" si="5"/>
        <v>6</v>
      </c>
    </row>
    <row r="231" spans="1:10" ht="15.75" customHeight="1" x14ac:dyDescent="0.25">
      <c r="A231" s="380">
        <v>151692</v>
      </c>
      <c r="B231" s="381" t="s">
        <v>315</v>
      </c>
      <c r="C231" s="381" t="s">
        <v>405</v>
      </c>
      <c r="D231" s="381" t="s">
        <v>356</v>
      </c>
      <c r="E231" s="381" t="s">
        <v>357</v>
      </c>
      <c r="F231" s="378">
        <v>-8449644</v>
      </c>
      <c r="G231" s="378">
        <v>0</v>
      </c>
      <c r="H231" s="378">
        <v>0</v>
      </c>
      <c r="I231" s="378">
        <v>-8449644</v>
      </c>
      <c r="J231" s="2">
        <f t="shared" si="5"/>
        <v>6</v>
      </c>
    </row>
    <row r="232" spans="1:10" ht="15.75" customHeight="1" x14ac:dyDescent="0.25">
      <c r="A232" s="380">
        <v>151692</v>
      </c>
      <c r="B232" s="381" t="s">
        <v>315</v>
      </c>
      <c r="C232" s="381" t="s">
        <v>405</v>
      </c>
      <c r="D232" s="381" t="s">
        <v>837</v>
      </c>
      <c r="E232" s="381" t="s">
        <v>838</v>
      </c>
      <c r="F232" s="378">
        <v>-136313009.06999999</v>
      </c>
      <c r="G232" s="378">
        <v>0</v>
      </c>
      <c r="H232" s="378">
        <v>487067.65</v>
      </c>
      <c r="I232" s="378">
        <v>-136800076.72</v>
      </c>
      <c r="J232" s="2">
        <f t="shared" si="5"/>
        <v>6</v>
      </c>
    </row>
    <row r="233" spans="1:10" ht="15.75" customHeight="1" x14ac:dyDescent="0.25">
      <c r="A233" s="380">
        <v>1520</v>
      </c>
      <c r="B233" s="381" t="s">
        <v>315</v>
      </c>
      <c r="C233" s="381" t="s">
        <v>41</v>
      </c>
      <c r="D233" s="381" t="s">
        <v>315</v>
      </c>
      <c r="E233" s="381" t="s">
        <v>315</v>
      </c>
      <c r="F233" s="378">
        <v>351624529</v>
      </c>
      <c r="G233" s="378">
        <v>0</v>
      </c>
      <c r="H233" s="378">
        <v>210572</v>
      </c>
      <c r="I233" s="378">
        <v>351413957</v>
      </c>
      <c r="J233" s="2">
        <f t="shared" si="5"/>
        <v>4</v>
      </c>
    </row>
    <row r="234" spans="1:10" ht="15.75" customHeight="1" x14ac:dyDescent="0.25">
      <c r="A234" s="380">
        <v>152001</v>
      </c>
      <c r="B234" s="381" t="s">
        <v>315</v>
      </c>
      <c r="C234" s="381" t="s">
        <v>41</v>
      </c>
      <c r="D234" s="381" t="s">
        <v>315</v>
      </c>
      <c r="E234" s="381" t="s">
        <v>315</v>
      </c>
      <c r="F234" s="378">
        <v>438355422</v>
      </c>
      <c r="G234" s="378">
        <v>0</v>
      </c>
      <c r="H234" s="378">
        <v>0</v>
      </c>
      <c r="I234" s="378">
        <v>438355422</v>
      </c>
      <c r="J234" s="2">
        <f t="shared" si="5"/>
        <v>6</v>
      </c>
    </row>
    <row r="235" spans="1:10" ht="15.75" customHeight="1" x14ac:dyDescent="0.25">
      <c r="A235" s="380">
        <v>15200101</v>
      </c>
      <c r="B235" s="381" t="s">
        <v>315</v>
      </c>
      <c r="C235" s="381" t="s">
        <v>41</v>
      </c>
      <c r="D235" s="381" t="s">
        <v>315</v>
      </c>
      <c r="E235" s="381" t="s">
        <v>315</v>
      </c>
      <c r="F235" s="378">
        <v>438355422</v>
      </c>
      <c r="G235" s="378">
        <v>0</v>
      </c>
      <c r="H235" s="378">
        <v>0</v>
      </c>
      <c r="I235" s="378">
        <v>438355422</v>
      </c>
      <c r="J235" s="2">
        <f t="shared" si="5"/>
        <v>8</v>
      </c>
    </row>
    <row r="236" spans="1:10" ht="15.75" customHeight="1" x14ac:dyDescent="0.25">
      <c r="A236" s="380">
        <v>15200101</v>
      </c>
      <c r="B236" s="381" t="s">
        <v>315</v>
      </c>
      <c r="C236" s="381" t="s">
        <v>41</v>
      </c>
      <c r="D236" s="381" t="s">
        <v>356</v>
      </c>
      <c r="E236" s="381" t="s">
        <v>357</v>
      </c>
      <c r="F236" s="378">
        <v>198599209</v>
      </c>
      <c r="G236" s="378">
        <v>0</v>
      </c>
      <c r="H236" s="378">
        <v>0</v>
      </c>
      <c r="I236" s="378">
        <v>198599209</v>
      </c>
      <c r="J236" s="2">
        <f t="shared" si="5"/>
        <v>8</v>
      </c>
    </row>
    <row r="237" spans="1:10" ht="15.75" customHeight="1" x14ac:dyDescent="0.25">
      <c r="A237" s="380">
        <v>15200101</v>
      </c>
      <c r="B237" s="381" t="s">
        <v>315</v>
      </c>
      <c r="C237" s="381" t="s">
        <v>41</v>
      </c>
      <c r="D237" s="381" t="s">
        <v>394</v>
      </c>
      <c r="E237" s="381" t="s">
        <v>836</v>
      </c>
      <c r="F237" s="378">
        <v>1018519</v>
      </c>
      <c r="G237" s="378">
        <v>0</v>
      </c>
      <c r="H237" s="378">
        <v>0</v>
      </c>
      <c r="I237" s="378">
        <v>1018519</v>
      </c>
      <c r="J237" s="2">
        <f t="shared" si="5"/>
        <v>8</v>
      </c>
    </row>
    <row r="238" spans="1:10" ht="15.75" customHeight="1" x14ac:dyDescent="0.25">
      <c r="A238" s="380">
        <v>15200101</v>
      </c>
      <c r="B238" s="381" t="s">
        <v>315</v>
      </c>
      <c r="C238" s="381" t="s">
        <v>41</v>
      </c>
      <c r="D238" s="381" t="s">
        <v>409</v>
      </c>
      <c r="E238" s="381" t="s">
        <v>859</v>
      </c>
      <c r="F238" s="378">
        <v>20000000</v>
      </c>
      <c r="G238" s="378">
        <v>0</v>
      </c>
      <c r="H238" s="378">
        <v>0</v>
      </c>
      <c r="I238" s="378">
        <v>20000000</v>
      </c>
      <c r="J238" s="2">
        <f t="shared" si="5"/>
        <v>8</v>
      </c>
    </row>
    <row r="239" spans="1:10" ht="15.75" customHeight="1" x14ac:dyDescent="0.25">
      <c r="A239" s="380">
        <v>15200101</v>
      </c>
      <c r="B239" s="381" t="s">
        <v>315</v>
      </c>
      <c r="C239" s="381" t="s">
        <v>41</v>
      </c>
      <c r="D239" s="381" t="s">
        <v>397</v>
      </c>
      <c r="E239" s="381" t="s">
        <v>398</v>
      </c>
      <c r="F239" s="378">
        <v>8646000</v>
      </c>
      <c r="G239" s="378">
        <v>0</v>
      </c>
      <c r="H239" s="378">
        <v>0</v>
      </c>
      <c r="I239" s="378">
        <v>8646000</v>
      </c>
      <c r="J239" s="2">
        <f t="shared" si="5"/>
        <v>8</v>
      </c>
    </row>
    <row r="240" spans="1:10" ht="15.75" customHeight="1" x14ac:dyDescent="0.25">
      <c r="A240" s="380">
        <v>15200101</v>
      </c>
      <c r="B240" s="381" t="s">
        <v>315</v>
      </c>
      <c r="C240" s="381" t="s">
        <v>41</v>
      </c>
      <c r="D240" s="381" t="s">
        <v>395</v>
      </c>
      <c r="E240" s="381" t="s">
        <v>860</v>
      </c>
      <c r="F240" s="378">
        <v>22049714</v>
      </c>
      <c r="G240" s="378">
        <v>0</v>
      </c>
      <c r="H240" s="378">
        <v>0</v>
      </c>
      <c r="I240" s="378">
        <v>22049714</v>
      </c>
      <c r="J240" s="2">
        <f t="shared" si="5"/>
        <v>8</v>
      </c>
    </row>
    <row r="241" spans="1:10" ht="15.75" customHeight="1" x14ac:dyDescent="0.25">
      <c r="A241" s="380">
        <v>15200101</v>
      </c>
      <c r="B241" s="381" t="s">
        <v>315</v>
      </c>
      <c r="C241" s="381" t="s">
        <v>41</v>
      </c>
      <c r="D241" s="381" t="s">
        <v>861</v>
      </c>
      <c r="E241" s="381" t="s">
        <v>862</v>
      </c>
      <c r="F241" s="378">
        <v>359930</v>
      </c>
      <c r="G241" s="378">
        <v>0</v>
      </c>
      <c r="H241" s="378">
        <v>0</v>
      </c>
      <c r="I241" s="378">
        <v>359930</v>
      </c>
      <c r="J241" s="2">
        <f t="shared" si="5"/>
        <v>8</v>
      </c>
    </row>
    <row r="242" spans="1:10" ht="15.75" customHeight="1" x14ac:dyDescent="0.25">
      <c r="A242" s="380">
        <v>15200101</v>
      </c>
      <c r="B242" s="381" t="s">
        <v>315</v>
      </c>
      <c r="C242" s="381" t="s">
        <v>41</v>
      </c>
      <c r="D242" s="381" t="s">
        <v>399</v>
      </c>
      <c r="E242" s="381" t="s">
        <v>863</v>
      </c>
      <c r="F242" s="378">
        <v>83406637</v>
      </c>
      <c r="G242" s="378">
        <v>0</v>
      </c>
      <c r="H242" s="378">
        <v>0</v>
      </c>
      <c r="I242" s="378">
        <v>83406637</v>
      </c>
      <c r="J242" s="2">
        <f t="shared" si="5"/>
        <v>8</v>
      </c>
    </row>
    <row r="243" spans="1:10" ht="15.75" customHeight="1" x14ac:dyDescent="0.25">
      <c r="A243" s="380">
        <v>15200101</v>
      </c>
      <c r="B243" s="381" t="s">
        <v>315</v>
      </c>
      <c r="C243" s="381" t="s">
        <v>41</v>
      </c>
      <c r="D243" s="381" t="s">
        <v>864</v>
      </c>
      <c r="E243" s="381" t="s">
        <v>865</v>
      </c>
      <c r="F243" s="378">
        <v>11424000</v>
      </c>
      <c r="G243" s="378">
        <v>0</v>
      </c>
      <c r="H243" s="378">
        <v>0</v>
      </c>
      <c r="I243" s="378">
        <v>11424000</v>
      </c>
      <c r="J243" s="2">
        <f t="shared" si="5"/>
        <v>8</v>
      </c>
    </row>
    <row r="244" spans="1:10" ht="15.75" customHeight="1" x14ac:dyDescent="0.25">
      <c r="A244" s="380">
        <v>15200101</v>
      </c>
      <c r="B244" s="381" t="s">
        <v>315</v>
      </c>
      <c r="C244" s="381" t="s">
        <v>41</v>
      </c>
      <c r="D244" s="381" t="s">
        <v>866</v>
      </c>
      <c r="E244" s="381" t="s">
        <v>867</v>
      </c>
      <c r="F244" s="378">
        <v>1425000</v>
      </c>
      <c r="G244" s="378">
        <v>0</v>
      </c>
      <c r="H244" s="378">
        <v>0</v>
      </c>
      <c r="I244" s="378">
        <v>1425000</v>
      </c>
      <c r="J244" s="2">
        <f t="shared" si="5"/>
        <v>8</v>
      </c>
    </row>
    <row r="245" spans="1:10" ht="15.75" customHeight="1" x14ac:dyDescent="0.25">
      <c r="A245" s="380">
        <v>15200101</v>
      </c>
      <c r="B245" s="381" t="s">
        <v>315</v>
      </c>
      <c r="C245" s="381" t="s">
        <v>41</v>
      </c>
      <c r="D245" s="381" t="s">
        <v>396</v>
      </c>
      <c r="E245" s="381" t="s">
        <v>868</v>
      </c>
      <c r="F245" s="378">
        <v>21034481</v>
      </c>
      <c r="G245" s="378">
        <v>0</v>
      </c>
      <c r="H245" s="378">
        <v>0</v>
      </c>
      <c r="I245" s="378">
        <v>21034481</v>
      </c>
      <c r="J245" s="2">
        <f t="shared" si="5"/>
        <v>8</v>
      </c>
    </row>
    <row r="246" spans="1:10" ht="15.75" customHeight="1" x14ac:dyDescent="0.25">
      <c r="A246" s="380">
        <v>15200101</v>
      </c>
      <c r="B246" s="381" t="s">
        <v>315</v>
      </c>
      <c r="C246" s="381" t="s">
        <v>41</v>
      </c>
      <c r="D246" s="381" t="s">
        <v>869</v>
      </c>
      <c r="E246" s="381" t="s">
        <v>870</v>
      </c>
      <c r="F246" s="378">
        <v>8000000</v>
      </c>
      <c r="G246" s="378">
        <v>0</v>
      </c>
      <c r="H246" s="378">
        <v>0</v>
      </c>
      <c r="I246" s="378">
        <v>8000000</v>
      </c>
      <c r="J246" s="2">
        <f t="shared" si="5"/>
        <v>8</v>
      </c>
    </row>
    <row r="247" spans="1:10" ht="15.75" customHeight="1" x14ac:dyDescent="0.25">
      <c r="A247" s="380">
        <v>15200101</v>
      </c>
      <c r="B247" s="381" t="s">
        <v>315</v>
      </c>
      <c r="C247" s="381" t="s">
        <v>41</v>
      </c>
      <c r="D247" s="381" t="s">
        <v>871</v>
      </c>
      <c r="E247" s="381" t="s">
        <v>872</v>
      </c>
      <c r="F247" s="378">
        <v>16105276</v>
      </c>
      <c r="G247" s="378">
        <v>0</v>
      </c>
      <c r="H247" s="378">
        <v>0</v>
      </c>
      <c r="I247" s="378">
        <v>16105276</v>
      </c>
      <c r="J247" s="2">
        <f t="shared" si="5"/>
        <v>8</v>
      </c>
    </row>
    <row r="248" spans="1:10" ht="15.75" customHeight="1" x14ac:dyDescent="0.25">
      <c r="A248" s="380">
        <v>15200101</v>
      </c>
      <c r="B248" s="381" t="s">
        <v>315</v>
      </c>
      <c r="C248" s="381" t="s">
        <v>41</v>
      </c>
      <c r="D248" s="381" t="s">
        <v>873</v>
      </c>
      <c r="E248" s="381" t="s">
        <v>874</v>
      </c>
      <c r="F248" s="378">
        <v>1975000</v>
      </c>
      <c r="G248" s="378">
        <v>0</v>
      </c>
      <c r="H248" s="378">
        <v>0</v>
      </c>
      <c r="I248" s="378">
        <v>1975000</v>
      </c>
      <c r="J248" s="2">
        <f t="shared" si="5"/>
        <v>8</v>
      </c>
    </row>
    <row r="249" spans="1:10" ht="15.75" customHeight="1" x14ac:dyDescent="0.25">
      <c r="A249" s="380">
        <v>15200101</v>
      </c>
      <c r="B249" s="381" t="s">
        <v>315</v>
      </c>
      <c r="C249" s="381" t="s">
        <v>41</v>
      </c>
      <c r="D249" s="381" t="s">
        <v>875</v>
      </c>
      <c r="E249" s="381" t="s">
        <v>876</v>
      </c>
      <c r="F249" s="378">
        <v>16915195</v>
      </c>
      <c r="G249" s="378">
        <v>0</v>
      </c>
      <c r="H249" s="378">
        <v>0</v>
      </c>
      <c r="I249" s="378">
        <v>16915195</v>
      </c>
      <c r="J249" s="2">
        <f t="shared" si="5"/>
        <v>8</v>
      </c>
    </row>
    <row r="250" spans="1:10" ht="15.75" customHeight="1" x14ac:dyDescent="0.25">
      <c r="A250" s="380">
        <v>15200101</v>
      </c>
      <c r="B250" s="381" t="s">
        <v>315</v>
      </c>
      <c r="C250" s="381" t="s">
        <v>41</v>
      </c>
      <c r="D250" s="381" t="s">
        <v>877</v>
      </c>
      <c r="E250" s="381" t="s">
        <v>878</v>
      </c>
      <c r="F250" s="378">
        <v>7063461</v>
      </c>
      <c r="G250" s="378">
        <v>0</v>
      </c>
      <c r="H250" s="378">
        <v>0</v>
      </c>
      <c r="I250" s="378">
        <v>7063461</v>
      </c>
      <c r="J250" s="2">
        <f t="shared" si="5"/>
        <v>8</v>
      </c>
    </row>
    <row r="251" spans="1:10" ht="15.75" customHeight="1" x14ac:dyDescent="0.25">
      <c r="A251" s="380">
        <v>15200101</v>
      </c>
      <c r="B251" s="381" t="s">
        <v>315</v>
      </c>
      <c r="C251" s="381" t="s">
        <v>41</v>
      </c>
      <c r="D251" s="381" t="s">
        <v>400</v>
      </c>
      <c r="E251" s="381" t="s">
        <v>401</v>
      </c>
      <c r="F251" s="378">
        <v>4200000</v>
      </c>
      <c r="G251" s="378">
        <v>0</v>
      </c>
      <c r="H251" s="378">
        <v>0</v>
      </c>
      <c r="I251" s="378">
        <v>4200000</v>
      </c>
      <c r="J251" s="2">
        <f t="shared" si="5"/>
        <v>8</v>
      </c>
    </row>
    <row r="252" spans="1:10" ht="15.75" customHeight="1" x14ac:dyDescent="0.25">
      <c r="A252" s="380">
        <v>15200101</v>
      </c>
      <c r="B252" s="381" t="s">
        <v>315</v>
      </c>
      <c r="C252" s="381" t="s">
        <v>41</v>
      </c>
      <c r="D252" s="381" t="s">
        <v>879</v>
      </c>
      <c r="E252" s="381" t="s">
        <v>880</v>
      </c>
      <c r="F252" s="378">
        <v>16133000</v>
      </c>
      <c r="G252" s="378">
        <v>0</v>
      </c>
      <c r="H252" s="378">
        <v>0</v>
      </c>
      <c r="I252" s="378">
        <v>16133000</v>
      </c>
      <c r="J252" s="2">
        <f t="shared" si="5"/>
        <v>8</v>
      </c>
    </row>
    <row r="253" spans="1:10" ht="15.75" customHeight="1" x14ac:dyDescent="0.25">
      <c r="A253" s="380">
        <v>152010</v>
      </c>
      <c r="B253" s="381" t="s">
        <v>315</v>
      </c>
      <c r="C253" s="381" t="s">
        <v>881</v>
      </c>
      <c r="D253" s="381" t="s">
        <v>315</v>
      </c>
      <c r="E253" s="381" t="s">
        <v>315</v>
      </c>
      <c r="F253" s="378">
        <v>16671040</v>
      </c>
      <c r="G253" s="378">
        <v>0</v>
      </c>
      <c r="H253" s="378">
        <v>0</v>
      </c>
      <c r="I253" s="378">
        <v>16671040</v>
      </c>
      <c r="J253" s="2">
        <f t="shared" si="5"/>
        <v>6</v>
      </c>
    </row>
    <row r="254" spans="1:10" ht="15.75" customHeight="1" x14ac:dyDescent="0.25">
      <c r="A254" s="380">
        <v>15201001</v>
      </c>
      <c r="B254" s="381" t="s">
        <v>315</v>
      </c>
      <c r="C254" s="381" t="s">
        <v>881</v>
      </c>
      <c r="D254" s="381" t="s">
        <v>315</v>
      </c>
      <c r="E254" s="381" t="s">
        <v>315</v>
      </c>
      <c r="F254" s="378">
        <v>16671040</v>
      </c>
      <c r="G254" s="378">
        <v>0</v>
      </c>
      <c r="H254" s="378">
        <v>0</v>
      </c>
      <c r="I254" s="378">
        <v>16671040</v>
      </c>
      <c r="J254" s="2">
        <f t="shared" si="5"/>
        <v>8</v>
      </c>
    </row>
    <row r="255" spans="1:10" ht="15.75" customHeight="1" x14ac:dyDescent="0.25">
      <c r="A255" s="380">
        <v>15201001</v>
      </c>
      <c r="B255" s="381" t="s">
        <v>315</v>
      </c>
      <c r="C255" s="381" t="s">
        <v>881</v>
      </c>
      <c r="D255" s="381" t="s">
        <v>409</v>
      </c>
      <c r="E255" s="381" t="s">
        <v>859</v>
      </c>
      <c r="F255" s="378">
        <v>3800000</v>
      </c>
      <c r="G255" s="378">
        <v>0</v>
      </c>
      <c r="H255" s="378">
        <v>0</v>
      </c>
      <c r="I255" s="378">
        <v>3800000</v>
      </c>
      <c r="J255" s="2">
        <f t="shared" si="5"/>
        <v>8</v>
      </c>
    </row>
    <row r="256" spans="1:10" ht="15.75" customHeight="1" x14ac:dyDescent="0.25">
      <c r="A256" s="380">
        <v>15201001</v>
      </c>
      <c r="B256" s="381" t="s">
        <v>315</v>
      </c>
      <c r="C256" s="381" t="s">
        <v>881</v>
      </c>
      <c r="D256" s="381" t="s">
        <v>395</v>
      </c>
      <c r="E256" s="381" t="s">
        <v>860</v>
      </c>
      <c r="F256" s="378">
        <v>4035318</v>
      </c>
      <c r="G256" s="378">
        <v>0</v>
      </c>
      <c r="H256" s="378">
        <v>0</v>
      </c>
      <c r="I256" s="378">
        <v>4035318</v>
      </c>
      <c r="J256" s="2">
        <f t="shared" si="5"/>
        <v>8</v>
      </c>
    </row>
    <row r="257" spans="1:10" ht="15.75" customHeight="1" x14ac:dyDescent="0.25">
      <c r="A257" s="380">
        <v>15201001</v>
      </c>
      <c r="B257" s="381" t="s">
        <v>315</v>
      </c>
      <c r="C257" s="381" t="s">
        <v>881</v>
      </c>
      <c r="D257" s="381" t="s">
        <v>399</v>
      </c>
      <c r="E257" s="381" t="s">
        <v>863</v>
      </c>
      <c r="F257" s="378">
        <v>2155892</v>
      </c>
      <c r="G257" s="378">
        <v>0</v>
      </c>
      <c r="H257" s="378">
        <v>0</v>
      </c>
      <c r="I257" s="378">
        <v>2155892</v>
      </c>
      <c r="J257" s="2">
        <f t="shared" si="5"/>
        <v>8</v>
      </c>
    </row>
    <row r="258" spans="1:10" ht="15.75" customHeight="1" x14ac:dyDescent="0.25">
      <c r="A258" s="380">
        <v>15201001</v>
      </c>
      <c r="B258" s="381" t="s">
        <v>315</v>
      </c>
      <c r="C258" s="381" t="s">
        <v>881</v>
      </c>
      <c r="D258" s="381" t="s">
        <v>864</v>
      </c>
      <c r="E258" s="381" t="s">
        <v>865</v>
      </c>
      <c r="F258" s="378">
        <v>2170560</v>
      </c>
      <c r="G258" s="378">
        <v>0</v>
      </c>
      <c r="H258" s="378">
        <v>0</v>
      </c>
      <c r="I258" s="378">
        <v>2170560</v>
      </c>
      <c r="J258" s="2">
        <f t="shared" si="5"/>
        <v>8</v>
      </c>
    </row>
    <row r="259" spans="1:10" ht="15.75" customHeight="1" x14ac:dyDescent="0.25">
      <c r="A259" s="380">
        <v>15201001</v>
      </c>
      <c r="B259" s="381" t="s">
        <v>315</v>
      </c>
      <c r="C259" s="381" t="s">
        <v>881</v>
      </c>
      <c r="D259" s="381" t="s">
        <v>866</v>
      </c>
      <c r="E259" s="381" t="s">
        <v>867</v>
      </c>
      <c r="F259" s="378">
        <v>270750</v>
      </c>
      <c r="G259" s="378">
        <v>0</v>
      </c>
      <c r="H259" s="378">
        <v>0</v>
      </c>
      <c r="I259" s="378">
        <v>270750</v>
      </c>
      <c r="J259" s="2">
        <f t="shared" si="5"/>
        <v>8</v>
      </c>
    </row>
    <row r="260" spans="1:10" ht="15.75" customHeight="1" x14ac:dyDescent="0.25">
      <c r="A260" s="380">
        <v>15201001</v>
      </c>
      <c r="B260" s="381" t="s">
        <v>315</v>
      </c>
      <c r="C260" s="381" t="s">
        <v>881</v>
      </c>
      <c r="D260" s="381" t="s">
        <v>873</v>
      </c>
      <c r="E260" s="381" t="s">
        <v>874</v>
      </c>
      <c r="F260" s="378">
        <v>375250</v>
      </c>
      <c r="G260" s="378">
        <v>0</v>
      </c>
      <c r="H260" s="378">
        <v>0</v>
      </c>
      <c r="I260" s="378">
        <v>375250</v>
      </c>
      <c r="J260" s="2">
        <f t="shared" si="5"/>
        <v>8</v>
      </c>
    </row>
    <row r="261" spans="1:10" ht="15.75" customHeight="1" x14ac:dyDescent="0.25">
      <c r="A261" s="380">
        <v>15201001</v>
      </c>
      <c r="B261" s="381" t="s">
        <v>315</v>
      </c>
      <c r="C261" s="381" t="s">
        <v>881</v>
      </c>
      <c r="D261" s="381" t="s">
        <v>400</v>
      </c>
      <c r="E261" s="381" t="s">
        <v>401</v>
      </c>
      <c r="F261" s="378">
        <v>798000</v>
      </c>
      <c r="G261" s="378">
        <v>0</v>
      </c>
      <c r="H261" s="378">
        <v>0</v>
      </c>
      <c r="I261" s="378">
        <v>798000</v>
      </c>
      <c r="J261" s="2">
        <f t="shared" si="5"/>
        <v>8</v>
      </c>
    </row>
    <row r="262" spans="1:10" ht="15.75" customHeight="1" x14ac:dyDescent="0.25">
      <c r="A262" s="380">
        <v>15201001</v>
      </c>
      <c r="B262" s="381" t="s">
        <v>315</v>
      </c>
      <c r="C262" s="381" t="s">
        <v>881</v>
      </c>
      <c r="D262" s="381" t="s">
        <v>879</v>
      </c>
      <c r="E262" s="381" t="s">
        <v>880</v>
      </c>
      <c r="F262" s="378">
        <v>3065270</v>
      </c>
      <c r="G262" s="378">
        <v>0</v>
      </c>
      <c r="H262" s="378">
        <v>0</v>
      </c>
      <c r="I262" s="378">
        <v>3065270</v>
      </c>
      <c r="J262" s="2">
        <f t="shared" si="5"/>
        <v>8</v>
      </c>
    </row>
    <row r="263" spans="1:10" ht="15.75" customHeight="1" x14ac:dyDescent="0.25">
      <c r="A263" s="380">
        <v>152092</v>
      </c>
      <c r="B263" s="381" t="s">
        <v>315</v>
      </c>
      <c r="C263" s="381" t="s">
        <v>405</v>
      </c>
      <c r="D263" s="381" t="s">
        <v>315</v>
      </c>
      <c r="E263" s="381" t="s">
        <v>315</v>
      </c>
      <c r="F263" s="378">
        <v>-103401933</v>
      </c>
      <c r="G263" s="378">
        <v>0</v>
      </c>
      <c r="H263" s="378">
        <v>210572</v>
      </c>
      <c r="I263" s="378">
        <v>-103612505</v>
      </c>
      <c r="J263" s="2">
        <f t="shared" si="5"/>
        <v>6</v>
      </c>
    </row>
    <row r="264" spans="1:10" ht="15.75" customHeight="1" x14ac:dyDescent="0.25">
      <c r="A264" s="380">
        <v>152092</v>
      </c>
      <c r="B264" s="381" t="s">
        <v>315</v>
      </c>
      <c r="C264" s="381" t="s">
        <v>405</v>
      </c>
      <c r="D264" s="381" t="s">
        <v>837</v>
      </c>
      <c r="E264" s="381" t="s">
        <v>838</v>
      </c>
      <c r="F264" s="378">
        <v>-103401933</v>
      </c>
      <c r="G264" s="378">
        <v>0</v>
      </c>
      <c r="H264" s="378">
        <v>210572</v>
      </c>
      <c r="I264" s="378">
        <v>-103612505</v>
      </c>
      <c r="J264" s="2">
        <f t="shared" si="5"/>
        <v>6</v>
      </c>
    </row>
    <row r="265" spans="1:10" ht="15.75" customHeight="1" x14ac:dyDescent="0.25">
      <c r="A265" s="380">
        <v>1524</v>
      </c>
      <c r="B265" s="381" t="s">
        <v>315</v>
      </c>
      <c r="C265" s="381" t="s">
        <v>43</v>
      </c>
      <c r="D265" s="381" t="s">
        <v>315</v>
      </c>
      <c r="E265" s="381" t="s">
        <v>315</v>
      </c>
      <c r="F265" s="378">
        <v>165639984</v>
      </c>
      <c r="G265" s="378">
        <v>0</v>
      </c>
      <c r="H265" s="378">
        <v>144752</v>
      </c>
      <c r="I265" s="378">
        <v>165495232</v>
      </c>
      <c r="J265" s="2">
        <f t="shared" si="5"/>
        <v>4</v>
      </c>
    </row>
    <row r="266" spans="1:10" ht="15.75" customHeight="1" x14ac:dyDescent="0.25">
      <c r="A266" s="380">
        <v>152405</v>
      </c>
      <c r="B266" s="381" t="s">
        <v>315</v>
      </c>
      <c r="C266" s="381" t="s">
        <v>406</v>
      </c>
      <c r="D266" s="381" t="s">
        <v>315</v>
      </c>
      <c r="E266" s="381" t="s">
        <v>315</v>
      </c>
      <c r="F266" s="378">
        <v>197337981</v>
      </c>
      <c r="G266" s="378">
        <v>0</v>
      </c>
      <c r="H266" s="378">
        <v>0</v>
      </c>
      <c r="I266" s="378">
        <v>197337981</v>
      </c>
      <c r="J266" s="2">
        <f t="shared" si="5"/>
        <v>6</v>
      </c>
    </row>
    <row r="267" spans="1:10" ht="15.75" customHeight="1" x14ac:dyDescent="0.25">
      <c r="A267" s="380">
        <v>15240501</v>
      </c>
      <c r="B267" s="381" t="s">
        <v>315</v>
      </c>
      <c r="C267" s="381" t="s">
        <v>406</v>
      </c>
      <c r="D267" s="381" t="s">
        <v>315</v>
      </c>
      <c r="E267" s="381" t="s">
        <v>315</v>
      </c>
      <c r="F267" s="378">
        <v>197337981</v>
      </c>
      <c r="G267" s="378">
        <v>0</v>
      </c>
      <c r="H267" s="378">
        <v>0</v>
      </c>
      <c r="I267" s="378">
        <v>197337981</v>
      </c>
      <c r="J267" s="2">
        <f t="shared" si="5"/>
        <v>8</v>
      </c>
    </row>
    <row r="268" spans="1:10" ht="15.75" customHeight="1" x14ac:dyDescent="0.25">
      <c r="A268" s="380">
        <v>15240501</v>
      </c>
      <c r="B268" s="381" t="s">
        <v>315</v>
      </c>
      <c r="C268" s="381" t="s">
        <v>406</v>
      </c>
      <c r="D268" s="381" t="s">
        <v>356</v>
      </c>
      <c r="E268" s="381" t="s">
        <v>357</v>
      </c>
      <c r="F268" s="378">
        <v>27154068</v>
      </c>
      <c r="G268" s="378">
        <v>0</v>
      </c>
      <c r="H268" s="378">
        <v>0</v>
      </c>
      <c r="I268" s="378">
        <v>27154068</v>
      </c>
      <c r="J268" s="2">
        <f t="shared" si="5"/>
        <v>8</v>
      </c>
    </row>
    <row r="269" spans="1:10" ht="15.75" customHeight="1" x14ac:dyDescent="0.25">
      <c r="A269" s="380">
        <v>15240501</v>
      </c>
      <c r="B269" s="381" t="s">
        <v>315</v>
      </c>
      <c r="C269" s="381" t="s">
        <v>406</v>
      </c>
      <c r="D269" s="381" t="s">
        <v>409</v>
      </c>
      <c r="E269" s="381" t="s">
        <v>859</v>
      </c>
      <c r="F269" s="378">
        <v>11515000</v>
      </c>
      <c r="G269" s="378">
        <v>0</v>
      </c>
      <c r="H269" s="378">
        <v>0</v>
      </c>
      <c r="I269" s="378">
        <v>11515000</v>
      </c>
      <c r="J269" s="2">
        <f t="shared" ref="J269:J332" si="6">+LEN(A269)</f>
        <v>8</v>
      </c>
    </row>
    <row r="270" spans="1:10" ht="15.75" customHeight="1" x14ac:dyDescent="0.25">
      <c r="A270" s="380">
        <v>15240501</v>
      </c>
      <c r="B270" s="381" t="s">
        <v>315</v>
      </c>
      <c r="C270" s="381" t="s">
        <v>406</v>
      </c>
      <c r="D270" s="381" t="s">
        <v>661</v>
      </c>
      <c r="E270" s="381" t="s">
        <v>662</v>
      </c>
      <c r="F270" s="378">
        <v>15950000</v>
      </c>
      <c r="G270" s="378">
        <v>0</v>
      </c>
      <c r="H270" s="378">
        <v>0</v>
      </c>
      <c r="I270" s="378">
        <v>15950000</v>
      </c>
      <c r="J270" s="2">
        <f t="shared" si="6"/>
        <v>8</v>
      </c>
    </row>
    <row r="271" spans="1:10" ht="15.75" customHeight="1" x14ac:dyDescent="0.25">
      <c r="A271" s="380">
        <v>15240501</v>
      </c>
      <c r="B271" s="381" t="s">
        <v>315</v>
      </c>
      <c r="C271" s="381" t="s">
        <v>406</v>
      </c>
      <c r="D271" s="381" t="s">
        <v>882</v>
      </c>
      <c r="E271" s="381" t="s">
        <v>883</v>
      </c>
      <c r="F271" s="378">
        <v>2760000</v>
      </c>
      <c r="G271" s="378">
        <v>0</v>
      </c>
      <c r="H271" s="378">
        <v>0</v>
      </c>
      <c r="I271" s="378">
        <v>2760000</v>
      </c>
      <c r="J271" s="2">
        <f t="shared" si="6"/>
        <v>8</v>
      </c>
    </row>
    <row r="272" spans="1:10" ht="15.75" customHeight="1" x14ac:dyDescent="0.25">
      <c r="A272" s="380">
        <v>15240501</v>
      </c>
      <c r="B272" s="381" t="s">
        <v>315</v>
      </c>
      <c r="C272" s="381" t="s">
        <v>406</v>
      </c>
      <c r="D272" s="381" t="s">
        <v>408</v>
      </c>
      <c r="E272" s="381" t="s">
        <v>407</v>
      </c>
      <c r="F272" s="378">
        <v>8258400</v>
      </c>
      <c r="G272" s="378">
        <v>0</v>
      </c>
      <c r="H272" s="378">
        <v>0</v>
      </c>
      <c r="I272" s="378">
        <v>8258400</v>
      </c>
      <c r="J272" s="2">
        <f t="shared" si="6"/>
        <v>8</v>
      </c>
    </row>
    <row r="273" spans="1:10" ht="15.75" customHeight="1" x14ac:dyDescent="0.25">
      <c r="A273" s="380">
        <v>15240501</v>
      </c>
      <c r="B273" s="381" t="s">
        <v>315</v>
      </c>
      <c r="C273" s="381" t="s">
        <v>406</v>
      </c>
      <c r="D273" s="381" t="s">
        <v>884</v>
      </c>
      <c r="E273" s="381" t="s">
        <v>885</v>
      </c>
      <c r="F273" s="378">
        <v>1800000</v>
      </c>
      <c r="G273" s="378">
        <v>0</v>
      </c>
      <c r="H273" s="378">
        <v>0</v>
      </c>
      <c r="I273" s="378">
        <v>1800000</v>
      </c>
      <c r="J273" s="2">
        <f t="shared" si="6"/>
        <v>8</v>
      </c>
    </row>
    <row r="274" spans="1:10" ht="15.75" customHeight="1" x14ac:dyDescent="0.25">
      <c r="A274" s="380">
        <v>15240501</v>
      </c>
      <c r="B274" s="381" t="s">
        <v>315</v>
      </c>
      <c r="C274" s="381" t="s">
        <v>406</v>
      </c>
      <c r="D274" s="381" t="s">
        <v>397</v>
      </c>
      <c r="E274" s="381" t="s">
        <v>398</v>
      </c>
      <c r="F274" s="378">
        <v>18962800</v>
      </c>
      <c r="G274" s="378">
        <v>0</v>
      </c>
      <c r="H274" s="378">
        <v>0</v>
      </c>
      <c r="I274" s="378">
        <v>18962800</v>
      </c>
      <c r="J274" s="2">
        <f t="shared" si="6"/>
        <v>8</v>
      </c>
    </row>
    <row r="275" spans="1:10" ht="15.75" customHeight="1" x14ac:dyDescent="0.25">
      <c r="A275" s="380">
        <v>15240501</v>
      </c>
      <c r="B275" s="381" t="s">
        <v>315</v>
      </c>
      <c r="C275" s="381" t="s">
        <v>406</v>
      </c>
      <c r="D275" s="381" t="s">
        <v>886</v>
      </c>
      <c r="E275" s="381" t="s">
        <v>887</v>
      </c>
      <c r="F275" s="378">
        <v>5123900</v>
      </c>
      <c r="G275" s="378">
        <v>0</v>
      </c>
      <c r="H275" s="378">
        <v>0</v>
      </c>
      <c r="I275" s="378">
        <v>5123900</v>
      </c>
      <c r="J275" s="2">
        <f t="shared" si="6"/>
        <v>8</v>
      </c>
    </row>
    <row r="276" spans="1:10" ht="15.75" customHeight="1" x14ac:dyDescent="0.25">
      <c r="A276" s="380">
        <v>15240501</v>
      </c>
      <c r="B276" s="381" t="s">
        <v>315</v>
      </c>
      <c r="C276" s="381" t="s">
        <v>406</v>
      </c>
      <c r="D276" s="381" t="s">
        <v>888</v>
      </c>
      <c r="E276" s="381" t="s">
        <v>889</v>
      </c>
      <c r="F276" s="378">
        <v>4516598</v>
      </c>
      <c r="G276" s="378">
        <v>0</v>
      </c>
      <c r="H276" s="378">
        <v>0</v>
      </c>
      <c r="I276" s="378">
        <v>4516598</v>
      </c>
      <c r="J276" s="2">
        <f t="shared" si="6"/>
        <v>8</v>
      </c>
    </row>
    <row r="277" spans="1:10" ht="15.75" customHeight="1" x14ac:dyDescent="0.25">
      <c r="A277" s="380">
        <v>15240501</v>
      </c>
      <c r="B277" s="381" t="s">
        <v>315</v>
      </c>
      <c r="C277" s="381" t="s">
        <v>406</v>
      </c>
      <c r="D277" s="381" t="s">
        <v>402</v>
      </c>
      <c r="E277" s="381" t="s">
        <v>890</v>
      </c>
      <c r="F277" s="378">
        <v>28488360</v>
      </c>
      <c r="G277" s="378">
        <v>0</v>
      </c>
      <c r="H277" s="378">
        <v>0</v>
      </c>
      <c r="I277" s="378">
        <v>28488360</v>
      </c>
      <c r="J277" s="2">
        <f t="shared" si="6"/>
        <v>8</v>
      </c>
    </row>
    <row r="278" spans="1:10" ht="15.75" customHeight="1" x14ac:dyDescent="0.25">
      <c r="A278" s="380">
        <v>15240501</v>
      </c>
      <c r="B278" s="381" t="s">
        <v>315</v>
      </c>
      <c r="C278" s="381" t="s">
        <v>406</v>
      </c>
      <c r="D278" s="381" t="s">
        <v>648</v>
      </c>
      <c r="E278" s="381" t="s">
        <v>649</v>
      </c>
      <c r="F278" s="378">
        <v>999916</v>
      </c>
      <c r="G278" s="378">
        <v>0</v>
      </c>
      <c r="H278" s="378">
        <v>0</v>
      </c>
      <c r="I278" s="378">
        <v>999916</v>
      </c>
      <c r="J278" s="2">
        <f t="shared" si="6"/>
        <v>8</v>
      </c>
    </row>
    <row r="279" spans="1:10" ht="15.75" customHeight="1" x14ac:dyDescent="0.25">
      <c r="A279" s="380">
        <v>15240501</v>
      </c>
      <c r="B279" s="381" t="s">
        <v>315</v>
      </c>
      <c r="C279" s="381" t="s">
        <v>406</v>
      </c>
      <c r="D279" s="381" t="s">
        <v>396</v>
      </c>
      <c r="E279" s="381" t="s">
        <v>868</v>
      </c>
      <c r="F279" s="378">
        <v>5517242</v>
      </c>
      <c r="G279" s="378">
        <v>0</v>
      </c>
      <c r="H279" s="378">
        <v>0</v>
      </c>
      <c r="I279" s="378">
        <v>5517242</v>
      </c>
      <c r="J279" s="2">
        <f t="shared" si="6"/>
        <v>8</v>
      </c>
    </row>
    <row r="280" spans="1:10" ht="15.75" customHeight="1" x14ac:dyDescent="0.25">
      <c r="A280" s="380">
        <v>15240501</v>
      </c>
      <c r="B280" s="381" t="s">
        <v>315</v>
      </c>
      <c r="C280" s="381" t="s">
        <v>406</v>
      </c>
      <c r="D280" s="381" t="s">
        <v>837</v>
      </c>
      <c r="E280" s="381" t="s">
        <v>838</v>
      </c>
      <c r="F280" s="378">
        <v>-200</v>
      </c>
      <c r="G280" s="378">
        <v>0</v>
      </c>
      <c r="H280" s="378">
        <v>0</v>
      </c>
      <c r="I280" s="378">
        <v>-200</v>
      </c>
      <c r="J280" s="2">
        <f t="shared" si="6"/>
        <v>8</v>
      </c>
    </row>
    <row r="281" spans="1:10" ht="15.75" customHeight="1" x14ac:dyDescent="0.25">
      <c r="A281" s="380">
        <v>15240501</v>
      </c>
      <c r="B281" s="381" t="s">
        <v>315</v>
      </c>
      <c r="C281" s="381" t="s">
        <v>406</v>
      </c>
      <c r="D281" s="381" t="s">
        <v>891</v>
      </c>
      <c r="E281" s="381" t="s">
        <v>892</v>
      </c>
      <c r="F281" s="378">
        <v>4915000</v>
      </c>
      <c r="G281" s="378">
        <v>0</v>
      </c>
      <c r="H281" s="378">
        <v>0</v>
      </c>
      <c r="I281" s="378">
        <v>4915000</v>
      </c>
      <c r="J281" s="2">
        <f t="shared" si="6"/>
        <v>8</v>
      </c>
    </row>
    <row r="282" spans="1:10" ht="15.75" customHeight="1" x14ac:dyDescent="0.25">
      <c r="A282" s="380">
        <v>15240501</v>
      </c>
      <c r="B282" s="381" t="s">
        <v>315</v>
      </c>
      <c r="C282" s="381" t="s">
        <v>406</v>
      </c>
      <c r="D282" s="381" t="s">
        <v>893</v>
      </c>
      <c r="E282" s="381" t="s">
        <v>894</v>
      </c>
      <c r="F282" s="378">
        <v>405172</v>
      </c>
      <c r="G282" s="378">
        <v>0</v>
      </c>
      <c r="H282" s="378">
        <v>0</v>
      </c>
      <c r="I282" s="378">
        <v>405172</v>
      </c>
      <c r="J282" s="2">
        <f t="shared" si="6"/>
        <v>8</v>
      </c>
    </row>
    <row r="283" spans="1:10" ht="15.75" customHeight="1" x14ac:dyDescent="0.25">
      <c r="A283" s="380">
        <v>15240501</v>
      </c>
      <c r="B283" s="381" t="s">
        <v>315</v>
      </c>
      <c r="C283" s="381" t="s">
        <v>406</v>
      </c>
      <c r="D283" s="381" t="s">
        <v>871</v>
      </c>
      <c r="E283" s="381" t="s">
        <v>872</v>
      </c>
      <c r="F283" s="378">
        <v>4554900</v>
      </c>
      <c r="G283" s="378">
        <v>0</v>
      </c>
      <c r="H283" s="378">
        <v>0</v>
      </c>
      <c r="I283" s="378">
        <v>4554900</v>
      </c>
      <c r="J283" s="2">
        <f t="shared" si="6"/>
        <v>8</v>
      </c>
    </row>
    <row r="284" spans="1:10" ht="15.75" customHeight="1" x14ac:dyDescent="0.25">
      <c r="A284" s="380">
        <v>15240501</v>
      </c>
      <c r="B284" s="381" t="s">
        <v>315</v>
      </c>
      <c r="C284" s="381" t="s">
        <v>406</v>
      </c>
      <c r="D284" s="381" t="s">
        <v>413</v>
      </c>
      <c r="E284" s="381" t="s">
        <v>895</v>
      </c>
      <c r="F284" s="378">
        <v>1510000</v>
      </c>
      <c r="G284" s="378">
        <v>0</v>
      </c>
      <c r="H284" s="378">
        <v>0</v>
      </c>
      <c r="I284" s="378">
        <v>1510000</v>
      </c>
      <c r="J284" s="2">
        <f t="shared" si="6"/>
        <v>8</v>
      </c>
    </row>
    <row r="285" spans="1:10" ht="15.75" customHeight="1" x14ac:dyDescent="0.25">
      <c r="A285" s="380">
        <v>15240501</v>
      </c>
      <c r="B285" s="381" t="s">
        <v>315</v>
      </c>
      <c r="C285" s="381" t="s">
        <v>406</v>
      </c>
      <c r="D285" s="381" t="s">
        <v>875</v>
      </c>
      <c r="E285" s="381" t="s">
        <v>876</v>
      </c>
      <c r="F285" s="378">
        <v>6197573</v>
      </c>
      <c r="G285" s="378">
        <v>0</v>
      </c>
      <c r="H285" s="378">
        <v>0</v>
      </c>
      <c r="I285" s="378">
        <v>6197573</v>
      </c>
      <c r="J285" s="2">
        <f t="shared" si="6"/>
        <v>8</v>
      </c>
    </row>
    <row r="286" spans="1:10" ht="15.75" customHeight="1" x14ac:dyDescent="0.25">
      <c r="A286" s="380">
        <v>15240501</v>
      </c>
      <c r="B286" s="381" t="s">
        <v>315</v>
      </c>
      <c r="C286" s="381" t="s">
        <v>406</v>
      </c>
      <c r="D286" s="381" t="s">
        <v>400</v>
      </c>
      <c r="E286" s="381" t="s">
        <v>401</v>
      </c>
      <c r="F286" s="378">
        <v>11779000</v>
      </c>
      <c r="G286" s="378">
        <v>0</v>
      </c>
      <c r="H286" s="378">
        <v>0</v>
      </c>
      <c r="I286" s="378">
        <v>11779000</v>
      </c>
      <c r="J286" s="2">
        <f t="shared" si="6"/>
        <v>8</v>
      </c>
    </row>
    <row r="287" spans="1:10" ht="15.75" customHeight="1" x14ac:dyDescent="0.25">
      <c r="A287" s="380">
        <v>15240501</v>
      </c>
      <c r="B287" s="381" t="s">
        <v>315</v>
      </c>
      <c r="C287" s="381" t="s">
        <v>406</v>
      </c>
      <c r="D287" s="381" t="s">
        <v>663</v>
      </c>
      <c r="E287" s="381" t="s">
        <v>664</v>
      </c>
      <c r="F287" s="378">
        <v>25630252</v>
      </c>
      <c r="G287" s="378">
        <v>0</v>
      </c>
      <c r="H287" s="378">
        <v>0</v>
      </c>
      <c r="I287" s="378">
        <v>25630252</v>
      </c>
      <c r="J287" s="2">
        <f t="shared" si="6"/>
        <v>8</v>
      </c>
    </row>
    <row r="288" spans="1:10" ht="15.75" customHeight="1" x14ac:dyDescent="0.25">
      <c r="A288" s="380">
        <v>15240501</v>
      </c>
      <c r="B288" s="381" t="s">
        <v>315</v>
      </c>
      <c r="C288" s="381" t="s">
        <v>406</v>
      </c>
      <c r="D288" s="381" t="s">
        <v>852</v>
      </c>
      <c r="E288" s="381" t="s">
        <v>853</v>
      </c>
      <c r="F288" s="378">
        <v>11300000</v>
      </c>
      <c r="G288" s="378">
        <v>0</v>
      </c>
      <c r="H288" s="378">
        <v>0</v>
      </c>
      <c r="I288" s="378">
        <v>11300000</v>
      </c>
      <c r="J288" s="2">
        <f t="shared" si="6"/>
        <v>8</v>
      </c>
    </row>
    <row r="289" spans="1:10" ht="15.75" customHeight="1" x14ac:dyDescent="0.25">
      <c r="A289" s="380">
        <v>152410</v>
      </c>
      <c r="B289" s="381" t="s">
        <v>315</v>
      </c>
      <c r="C289" s="381" t="s">
        <v>896</v>
      </c>
      <c r="D289" s="381" t="s">
        <v>315</v>
      </c>
      <c r="E289" s="381" t="s">
        <v>315</v>
      </c>
      <c r="F289" s="378">
        <v>13652481</v>
      </c>
      <c r="G289" s="378">
        <v>0</v>
      </c>
      <c r="H289" s="378">
        <v>0</v>
      </c>
      <c r="I289" s="378">
        <v>13652481</v>
      </c>
      <c r="J289" s="2">
        <f t="shared" si="6"/>
        <v>6</v>
      </c>
    </row>
    <row r="290" spans="1:10" ht="15.75" customHeight="1" x14ac:dyDescent="0.25">
      <c r="A290" s="380">
        <v>15241001</v>
      </c>
      <c r="B290" s="381" t="s">
        <v>315</v>
      </c>
      <c r="C290" s="381" t="s">
        <v>896</v>
      </c>
      <c r="D290" s="381" t="s">
        <v>315</v>
      </c>
      <c r="E290" s="381" t="s">
        <v>315</v>
      </c>
      <c r="F290" s="378">
        <v>13652481</v>
      </c>
      <c r="G290" s="378">
        <v>0</v>
      </c>
      <c r="H290" s="378">
        <v>0</v>
      </c>
      <c r="I290" s="378">
        <v>13652481</v>
      </c>
      <c r="J290" s="2">
        <f t="shared" si="6"/>
        <v>8</v>
      </c>
    </row>
    <row r="291" spans="1:10" ht="15.75" customHeight="1" x14ac:dyDescent="0.25">
      <c r="A291" s="380">
        <v>15241001</v>
      </c>
      <c r="B291" s="381" t="s">
        <v>315</v>
      </c>
      <c r="C291" s="381" t="s">
        <v>896</v>
      </c>
      <c r="D291" s="381" t="s">
        <v>409</v>
      </c>
      <c r="E291" s="381" t="s">
        <v>859</v>
      </c>
      <c r="F291" s="378">
        <v>2187850</v>
      </c>
      <c r="G291" s="378">
        <v>0</v>
      </c>
      <c r="H291" s="378">
        <v>0</v>
      </c>
      <c r="I291" s="378">
        <v>2187850</v>
      </c>
      <c r="J291" s="2">
        <f t="shared" si="6"/>
        <v>8</v>
      </c>
    </row>
    <row r="292" spans="1:10" ht="15.75" customHeight="1" x14ac:dyDescent="0.25">
      <c r="A292" s="380">
        <v>15241001</v>
      </c>
      <c r="B292" s="381" t="s">
        <v>315</v>
      </c>
      <c r="C292" s="381" t="s">
        <v>896</v>
      </c>
      <c r="D292" s="381" t="s">
        <v>402</v>
      </c>
      <c r="E292" s="381" t="s">
        <v>890</v>
      </c>
      <c r="F292" s="378">
        <v>3221640</v>
      </c>
      <c r="G292" s="378">
        <v>0</v>
      </c>
      <c r="H292" s="378">
        <v>0</v>
      </c>
      <c r="I292" s="378">
        <v>3221640</v>
      </c>
      <c r="J292" s="2">
        <f t="shared" si="6"/>
        <v>8</v>
      </c>
    </row>
    <row r="293" spans="1:10" ht="15.75" customHeight="1" x14ac:dyDescent="0.25">
      <c r="A293" s="380">
        <v>15241001</v>
      </c>
      <c r="B293" s="381" t="s">
        <v>315</v>
      </c>
      <c r="C293" s="381" t="s">
        <v>896</v>
      </c>
      <c r="D293" s="381" t="s">
        <v>648</v>
      </c>
      <c r="E293" s="381" t="s">
        <v>649</v>
      </c>
      <c r="F293" s="378">
        <v>189984</v>
      </c>
      <c r="G293" s="378">
        <v>0</v>
      </c>
      <c r="H293" s="378">
        <v>0</v>
      </c>
      <c r="I293" s="378">
        <v>189984</v>
      </c>
      <c r="J293" s="2">
        <f t="shared" si="6"/>
        <v>8</v>
      </c>
    </row>
    <row r="294" spans="1:10" ht="15.75" customHeight="1" x14ac:dyDescent="0.25">
      <c r="A294" s="380">
        <v>15241001</v>
      </c>
      <c r="B294" s="381" t="s">
        <v>315</v>
      </c>
      <c r="C294" s="381" t="s">
        <v>896</v>
      </c>
      <c r="D294" s="381" t="s">
        <v>891</v>
      </c>
      <c r="E294" s="381" t="s">
        <v>892</v>
      </c>
      <c r="F294" s="378">
        <v>945250</v>
      </c>
      <c r="G294" s="378">
        <v>0</v>
      </c>
      <c r="H294" s="378">
        <v>0</v>
      </c>
      <c r="I294" s="378">
        <v>945250</v>
      </c>
      <c r="J294" s="2">
        <f t="shared" si="6"/>
        <v>8</v>
      </c>
    </row>
    <row r="295" spans="1:10" ht="15.75" customHeight="1" x14ac:dyDescent="0.25">
      <c r="A295" s="380">
        <v>15241001</v>
      </c>
      <c r="B295" s="381" t="s">
        <v>315</v>
      </c>
      <c r="C295" s="381" t="s">
        <v>896</v>
      </c>
      <c r="D295" s="381" t="s">
        <v>400</v>
      </c>
      <c r="E295" s="381" t="s">
        <v>401</v>
      </c>
      <c r="F295" s="378">
        <v>2238010</v>
      </c>
      <c r="G295" s="378">
        <v>0</v>
      </c>
      <c r="H295" s="378">
        <v>0</v>
      </c>
      <c r="I295" s="378">
        <v>2238010</v>
      </c>
      <c r="J295" s="2">
        <f t="shared" si="6"/>
        <v>8</v>
      </c>
    </row>
    <row r="296" spans="1:10" ht="15.75" customHeight="1" x14ac:dyDescent="0.25">
      <c r="A296" s="380">
        <v>15241001</v>
      </c>
      <c r="B296" s="381" t="s">
        <v>315</v>
      </c>
      <c r="C296" s="381" t="s">
        <v>896</v>
      </c>
      <c r="D296" s="381" t="s">
        <v>663</v>
      </c>
      <c r="E296" s="381" t="s">
        <v>664</v>
      </c>
      <c r="F296" s="378">
        <v>4869747</v>
      </c>
      <c r="G296" s="378">
        <v>0</v>
      </c>
      <c r="H296" s="378">
        <v>0</v>
      </c>
      <c r="I296" s="378">
        <v>4869747</v>
      </c>
      <c r="J296" s="2">
        <f t="shared" si="6"/>
        <v>8</v>
      </c>
    </row>
    <row r="297" spans="1:10" ht="15.75" customHeight="1" x14ac:dyDescent="0.25">
      <c r="A297" s="380">
        <v>152492</v>
      </c>
      <c r="B297" s="381" t="s">
        <v>315</v>
      </c>
      <c r="C297" s="381" t="s">
        <v>405</v>
      </c>
      <c r="D297" s="381" t="s">
        <v>315</v>
      </c>
      <c r="E297" s="381" t="s">
        <v>315</v>
      </c>
      <c r="F297" s="378">
        <v>-45350478</v>
      </c>
      <c r="G297" s="378">
        <v>0</v>
      </c>
      <c r="H297" s="378">
        <v>144752</v>
      </c>
      <c r="I297" s="378">
        <v>-45495230</v>
      </c>
      <c r="J297" s="2">
        <f t="shared" si="6"/>
        <v>6</v>
      </c>
    </row>
    <row r="298" spans="1:10" ht="15.75" customHeight="1" x14ac:dyDescent="0.25">
      <c r="A298" s="380">
        <v>152492</v>
      </c>
      <c r="B298" s="381" t="s">
        <v>315</v>
      </c>
      <c r="C298" s="381" t="s">
        <v>405</v>
      </c>
      <c r="D298" s="381" t="s">
        <v>837</v>
      </c>
      <c r="E298" s="381" t="s">
        <v>838</v>
      </c>
      <c r="F298" s="378">
        <v>-45350478</v>
      </c>
      <c r="G298" s="378">
        <v>0</v>
      </c>
      <c r="H298" s="378">
        <v>144752</v>
      </c>
      <c r="I298" s="378">
        <v>-45495230</v>
      </c>
      <c r="J298" s="2">
        <f t="shared" si="6"/>
        <v>6</v>
      </c>
    </row>
    <row r="299" spans="1:10" ht="15.75" customHeight="1" x14ac:dyDescent="0.25">
      <c r="A299" s="380">
        <v>1528</v>
      </c>
      <c r="B299" s="381" t="s">
        <v>315</v>
      </c>
      <c r="C299" s="381" t="s">
        <v>410</v>
      </c>
      <c r="D299" s="381" t="s">
        <v>315</v>
      </c>
      <c r="E299" s="381" t="s">
        <v>315</v>
      </c>
      <c r="F299" s="378">
        <v>14686295</v>
      </c>
      <c r="G299" s="378">
        <v>0</v>
      </c>
      <c r="H299" s="378">
        <v>47176</v>
      </c>
      <c r="I299" s="378">
        <v>14639119</v>
      </c>
      <c r="J299" s="2">
        <f t="shared" si="6"/>
        <v>4</v>
      </c>
    </row>
    <row r="300" spans="1:10" ht="15.75" customHeight="1" x14ac:dyDescent="0.25">
      <c r="A300" s="380">
        <v>152805</v>
      </c>
      <c r="B300" s="381" t="s">
        <v>315</v>
      </c>
      <c r="C300" s="381" t="s">
        <v>411</v>
      </c>
      <c r="D300" s="381" t="s">
        <v>315</v>
      </c>
      <c r="E300" s="381" t="s">
        <v>315</v>
      </c>
      <c r="F300" s="378">
        <v>38810105</v>
      </c>
      <c r="G300" s="378">
        <v>0</v>
      </c>
      <c r="H300" s="378">
        <v>0</v>
      </c>
      <c r="I300" s="378">
        <v>38810105</v>
      </c>
      <c r="J300" s="2">
        <f t="shared" si="6"/>
        <v>6</v>
      </c>
    </row>
    <row r="301" spans="1:10" ht="15.75" customHeight="1" x14ac:dyDescent="0.25">
      <c r="A301" s="380">
        <v>15280501</v>
      </c>
      <c r="B301" s="381" t="s">
        <v>315</v>
      </c>
      <c r="C301" s="381" t="s">
        <v>411</v>
      </c>
      <c r="D301" s="381" t="s">
        <v>315</v>
      </c>
      <c r="E301" s="381" t="s">
        <v>315</v>
      </c>
      <c r="F301" s="378">
        <v>38572205</v>
      </c>
      <c r="G301" s="378">
        <v>0</v>
      </c>
      <c r="H301" s="378">
        <v>0</v>
      </c>
      <c r="I301" s="378">
        <v>38572205</v>
      </c>
      <c r="J301" s="2">
        <f t="shared" si="6"/>
        <v>8</v>
      </c>
    </row>
    <row r="302" spans="1:10" ht="15.75" customHeight="1" x14ac:dyDescent="0.25">
      <c r="A302" s="380">
        <v>15280501</v>
      </c>
      <c r="B302" s="381" t="s">
        <v>315</v>
      </c>
      <c r="C302" s="381" t="s">
        <v>411</v>
      </c>
      <c r="D302" s="381" t="s">
        <v>356</v>
      </c>
      <c r="E302" s="381" t="s">
        <v>357</v>
      </c>
      <c r="F302" s="378">
        <v>11157228</v>
      </c>
      <c r="G302" s="378">
        <v>0</v>
      </c>
      <c r="H302" s="378">
        <v>0</v>
      </c>
      <c r="I302" s="378">
        <v>11157228</v>
      </c>
      <c r="J302" s="2">
        <f t="shared" si="6"/>
        <v>8</v>
      </c>
    </row>
    <row r="303" spans="1:10" ht="15.75" customHeight="1" x14ac:dyDescent="0.25">
      <c r="A303" s="380">
        <v>15280501</v>
      </c>
      <c r="B303" s="381" t="s">
        <v>315</v>
      </c>
      <c r="C303" s="381" t="s">
        <v>411</v>
      </c>
      <c r="D303" s="381" t="s">
        <v>897</v>
      </c>
      <c r="E303" s="381" t="s">
        <v>898</v>
      </c>
      <c r="F303" s="378">
        <v>3000000</v>
      </c>
      <c r="G303" s="378">
        <v>0</v>
      </c>
      <c r="H303" s="378">
        <v>0</v>
      </c>
      <c r="I303" s="378">
        <v>3000000</v>
      </c>
      <c r="J303" s="2">
        <f t="shared" si="6"/>
        <v>8</v>
      </c>
    </row>
    <row r="304" spans="1:10" ht="15.75" customHeight="1" x14ac:dyDescent="0.25">
      <c r="A304" s="380">
        <v>15280501</v>
      </c>
      <c r="B304" s="381" t="s">
        <v>315</v>
      </c>
      <c r="C304" s="381" t="s">
        <v>411</v>
      </c>
      <c r="D304" s="381" t="s">
        <v>837</v>
      </c>
      <c r="E304" s="381" t="s">
        <v>838</v>
      </c>
      <c r="F304" s="378">
        <v>-72599</v>
      </c>
      <c r="G304" s="378">
        <v>0</v>
      </c>
      <c r="H304" s="378">
        <v>0</v>
      </c>
      <c r="I304" s="378">
        <v>-72599</v>
      </c>
      <c r="J304" s="2">
        <f t="shared" si="6"/>
        <v>8</v>
      </c>
    </row>
    <row r="305" spans="1:10" ht="15.75" customHeight="1" x14ac:dyDescent="0.25">
      <c r="A305" s="380">
        <v>15280501</v>
      </c>
      <c r="B305" s="381" t="s">
        <v>315</v>
      </c>
      <c r="C305" s="381" t="s">
        <v>411</v>
      </c>
      <c r="D305" s="381" t="s">
        <v>899</v>
      </c>
      <c r="E305" s="381" t="s">
        <v>900</v>
      </c>
      <c r="F305" s="378">
        <v>1180000</v>
      </c>
      <c r="G305" s="378">
        <v>0</v>
      </c>
      <c r="H305" s="378">
        <v>0</v>
      </c>
      <c r="I305" s="378">
        <v>1180000</v>
      </c>
      <c r="J305" s="2">
        <f t="shared" si="6"/>
        <v>8</v>
      </c>
    </row>
    <row r="306" spans="1:10" ht="15.75" customHeight="1" x14ac:dyDescent="0.25">
      <c r="A306" s="380">
        <v>15280501</v>
      </c>
      <c r="B306" s="381" t="s">
        <v>315</v>
      </c>
      <c r="C306" s="381" t="s">
        <v>411</v>
      </c>
      <c r="D306" s="381" t="s">
        <v>686</v>
      </c>
      <c r="E306" s="381" t="s">
        <v>901</v>
      </c>
      <c r="F306" s="378">
        <v>337000</v>
      </c>
      <c r="G306" s="378">
        <v>0</v>
      </c>
      <c r="H306" s="378">
        <v>0</v>
      </c>
      <c r="I306" s="378">
        <v>337000</v>
      </c>
      <c r="J306" s="2">
        <f t="shared" si="6"/>
        <v>8</v>
      </c>
    </row>
    <row r="307" spans="1:10" ht="15.75" customHeight="1" x14ac:dyDescent="0.25">
      <c r="A307" s="380">
        <v>15280501</v>
      </c>
      <c r="B307" s="381" t="s">
        <v>315</v>
      </c>
      <c r="C307" s="381" t="s">
        <v>411</v>
      </c>
      <c r="D307" s="381" t="s">
        <v>893</v>
      </c>
      <c r="E307" s="381" t="s">
        <v>894</v>
      </c>
      <c r="F307" s="378">
        <v>1190000</v>
      </c>
      <c r="G307" s="378">
        <v>0</v>
      </c>
      <c r="H307" s="378">
        <v>0</v>
      </c>
      <c r="I307" s="378">
        <v>1190000</v>
      </c>
      <c r="J307" s="2">
        <f t="shared" si="6"/>
        <v>8</v>
      </c>
    </row>
    <row r="308" spans="1:10" ht="15.75" customHeight="1" x14ac:dyDescent="0.25">
      <c r="A308" s="380">
        <v>15280501</v>
      </c>
      <c r="B308" s="381" t="s">
        <v>315</v>
      </c>
      <c r="C308" s="381" t="s">
        <v>411</v>
      </c>
      <c r="D308" s="381" t="s">
        <v>871</v>
      </c>
      <c r="E308" s="381" t="s">
        <v>872</v>
      </c>
      <c r="F308" s="378">
        <v>2142772</v>
      </c>
      <c r="G308" s="378">
        <v>0</v>
      </c>
      <c r="H308" s="378">
        <v>0</v>
      </c>
      <c r="I308" s="378">
        <v>2142772</v>
      </c>
      <c r="J308" s="2">
        <f t="shared" si="6"/>
        <v>8</v>
      </c>
    </row>
    <row r="309" spans="1:10" ht="15.75" customHeight="1" x14ac:dyDescent="0.25">
      <c r="A309" s="380">
        <v>15280501</v>
      </c>
      <c r="B309" s="381" t="s">
        <v>315</v>
      </c>
      <c r="C309" s="381" t="s">
        <v>411</v>
      </c>
      <c r="D309" s="381" t="s">
        <v>413</v>
      </c>
      <c r="E309" s="381" t="s">
        <v>895</v>
      </c>
      <c r="F309" s="378">
        <v>3575586</v>
      </c>
      <c r="G309" s="378">
        <v>0</v>
      </c>
      <c r="H309" s="378">
        <v>0</v>
      </c>
      <c r="I309" s="378">
        <v>3575586</v>
      </c>
      <c r="J309" s="2">
        <f t="shared" si="6"/>
        <v>8</v>
      </c>
    </row>
    <row r="310" spans="1:10" ht="15.75" customHeight="1" x14ac:dyDescent="0.25">
      <c r="A310" s="380">
        <v>15280501</v>
      </c>
      <c r="B310" s="381" t="s">
        <v>315</v>
      </c>
      <c r="C310" s="381" t="s">
        <v>411</v>
      </c>
      <c r="D310" s="381" t="s">
        <v>902</v>
      </c>
      <c r="E310" s="381" t="s">
        <v>903</v>
      </c>
      <c r="F310" s="378">
        <v>8132100</v>
      </c>
      <c r="G310" s="378">
        <v>0</v>
      </c>
      <c r="H310" s="378">
        <v>0</v>
      </c>
      <c r="I310" s="378">
        <v>8132100</v>
      </c>
      <c r="J310" s="2">
        <f t="shared" si="6"/>
        <v>8</v>
      </c>
    </row>
    <row r="311" spans="1:10" ht="15.75" customHeight="1" x14ac:dyDescent="0.25">
      <c r="A311" s="380">
        <v>15280501</v>
      </c>
      <c r="B311" s="381" t="s">
        <v>315</v>
      </c>
      <c r="C311" s="381" t="s">
        <v>411</v>
      </c>
      <c r="D311" s="381" t="s">
        <v>904</v>
      </c>
      <c r="E311" s="381" t="s">
        <v>905</v>
      </c>
      <c r="F311" s="378">
        <v>1660118</v>
      </c>
      <c r="G311" s="378">
        <v>0</v>
      </c>
      <c r="H311" s="378">
        <v>0</v>
      </c>
      <c r="I311" s="378">
        <v>1660118</v>
      </c>
      <c r="J311" s="2">
        <f t="shared" si="6"/>
        <v>8</v>
      </c>
    </row>
    <row r="312" spans="1:10" ht="15.75" customHeight="1" x14ac:dyDescent="0.25">
      <c r="A312" s="380">
        <v>15280501</v>
      </c>
      <c r="B312" s="381" t="s">
        <v>315</v>
      </c>
      <c r="C312" s="381" t="s">
        <v>411</v>
      </c>
      <c r="D312" s="381" t="s">
        <v>906</v>
      </c>
      <c r="E312" s="381" t="s">
        <v>907</v>
      </c>
      <c r="F312" s="378">
        <v>6270000</v>
      </c>
      <c r="G312" s="378">
        <v>0</v>
      </c>
      <c r="H312" s="378">
        <v>0</v>
      </c>
      <c r="I312" s="378">
        <v>6270000</v>
      </c>
      <c r="J312" s="2">
        <f t="shared" si="6"/>
        <v>8</v>
      </c>
    </row>
    <row r="313" spans="1:10" ht="15.75" customHeight="1" x14ac:dyDescent="0.25">
      <c r="A313" s="380">
        <v>15280502</v>
      </c>
      <c r="B313" s="381" t="s">
        <v>321</v>
      </c>
      <c r="C313" s="381" t="s">
        <v>908</v>
      </c>
      <c r="D313" s="381" t="s">
        <v>315</v>
      </c>
      <c r="E313" s="381" t="s">
        <v>315</v>
      </c>
      <c r="F313" s="378">
        <v>237900</v>
      </c>
      <c r="G313" s="378">
        <v>0</v>
      </c>
      <c r="H313" s="378">
        <v>0</v>
      </c>
      <c r="I313" s="378">
        <v>237900</v>
      </c>
      <c r="J313" s="2">
        <f t="shared" si="6"/>
        <v>8</v>
      </c>
    </row>
    <row r="314" spans="1:10" ht="15.75" customHeight="1" x14ac:dyDescent="0.25">
      <c r="A314" s="380">
        <v>15280502</v>
      </c>
      <c r="B314" s="381" t="s">
        <v>321</v>
      </c>
      <c r="C314" s="381" t="s">
        <v>908</v>
      </c>
      <c r="D314" s="381" t="s">
        <v>902</v>
      </c>
      <c r="E314" s="381" t="s">
        <v>903</v>
      </c>
      <c r="F314" s="378">
        <v>237900</v>
      </c>
      <c r="G314" s="378">
        <v>0</v>
      </c>
      <c r="H314" s="378">
        <v>0</v>
      </c>
      <c r="I314" s="378">
        <v>237900</v>
      </c>
      <c r="J314" s="2">
        <f t="shared" si="6"/>
        <v>8</v>
      </c>
    </row>
    <row r="315" spans="1:10" ht="15.75" customHeight="1" x14ac:dyDescent="0.25">
      <c r="A315" s="380">
        <v>152810</v>
      </c>
      <c r="B315" s="381" t="s">
        <v>315</v>
      </c>
      <c r="C315" s="381" t="s">
        <v>909</v>
      </c>
      <c r="D315" s="381" t="s">
        <v>315</v>
      </c>
      <c r="E315" s="381" t="s">
        <v>315</v>
      </c>
      <c r="F315" s="378">
        <v>3891944</v>
      </c>
      <c r="G315" s="378">
        <v>0</v>
      </c>
      <c r="H315" s="378">
        <v>0</v>
      </c>
      <c r="I315" s="378">
        <v>3891944</v>
      </c>
      <c r="J315" s="2">
        <f t="shared" si="6"/>
        <v>6</v>
      </c>
    </row>
    <row r="316" spans="1:10" ht="15.75" customHeight="1" x14ac:dyDescent="0.25">
      <c r="A316" s="380">
        <v>15281001</v>
      </c>
      <c r="B316" s="381" t="s">
        <v>315</v>
      </c>
      <c r="C316" s="381" t="s">
        <v>909</v>
      </c>
      <c r="D316" s="381" t="s">
        <v>315</v>
      </c>
      <c r="E316" s="381" t="s">
        <v>315</v>
      </c>
      <c r="F316" s="378">
        <v>3891944</v>
      </c>
      <c r="G316" s="378">
        <v>0</v>
      </c>
      <c r="H316" s="378">
        <v>0</v>
      </c>
      <c r="I316" s="378">
        <v>3891944</v>
      </c>
      <c r="J316" s="2">
        <f t="shared" si="6"/>
        <v>8</v>
      </c>
    </row>
    <row r="317" spans="1:10" ht="15.75" customHeight="1" x14ac:dyDescent="0.25">
      <c r="A317" s="380">
        <v>15281001</v>
      </c>
      <c r="B317" s="381" t="s">
        <v>315</v>
      </c>
      <c r="C317" s="381" t="s">
        <v>909</v>
      </c>
      <c r="D317" s="381" t="s">
        <v>910</v>
      </c>
      <c r="E317" s="381" t="s">
        <v>911</v>
      </c>
      <c r="F317" s="378">
        <v>2193840</v>
      </c>
      <c r="G317" s="378">
        <v>0</v>
      </c>
      <c r="H317" s="378">
        <v>0</v>
      </c>
      <c r="I317" s="378">
        <v>2193840</v>
      </c>
      <c r="J317" s="2">
        <f t="shared" si="6"/>
        <v>8</v>
      </c>
    </row>
    <row r="318" spans="1:10" ht="15.75" customHeight="1" x14ac:dyDescent="0.25">
      <c r="A318" s="380">
        <v>15281001</v>
      </c>
      <c r="B318" s="381" t="s">
        <v>315</v>
      </c>
      <c r="C318" s="381" t="s">
        <v>909</v>
      </c>
      <c r="D318" s="381" t="s">
        <v>912</v>
      </c>
      <c r="E318" s="381" t="s">
        <v>913</v>
      </c>
      <c r="F318" s="378">
        <v>1698104</v>
      </c>
      <c r="G318" s="378">
        <v>0</v>
      </c>
      <c r="H318" s="378">
        <v>0</v>
      </c>
      <c r="I318" s="378">
        <v>1698104</v>
      </c>
      <c r="J318" s="2">
        <f t="shared" si="6"/>
        <v>8</v>
      </c>
    </row>
    <row r="319" spans="1:10" ht="15.75" customHeight="1" x14ac:dyDescent="0.25">
      <c r="A319" s="380">
        <v>152892</v>
      </c>
      <c r="B319" s="381" t="s">
        <v>315</v>
      </c>
      <c r="C319" s="381" t="s">
        <v>405</v>
      </c>
      <c r="D319" s="381" t="s">
        <v>315</v>
      </c>
      <c r="E319" s="381" t="s">
        <v>315</v>
      </c>
      <c r="F319" s="378">
        <v>-28015754</v>
      </c>
      <c r="G319" s="378">
        <v>0</v>
      </c>
      <c r="H319" s="378">
        <v>47176</v>
      </c>
      <c r="I319" s="378">
        <v>-28062930</v>
      </c>
      <c r="J319" s="2">
        <f t="shared" si="6"/>
        <v>6</v>
      </c>
    </row>
    <row r="320" spans="1:10" ht="15.75" customHeight="1" x14ac:dyDescent="0.25">
      <c r="A320" s="380">
        <v>152892</v>
      </c>
      <c r="B320" s="381" t="s">
        <v>315</v>
      </c>
      <c r="C320" s="381" t="s">
        <v>405</v>
      </c>
      <c r="D320" s="381" t="s">
        <v>837</v>
      </c>
      <c r="E320" s="381" t="s">
        <v>838</v>
      </c>
      <c r="F320" s="378">
        <v>-28015754</v>
      </c>
      <c r="G320" s="378">
        <v>0</v>
      </c>
      <c r="H320" s="378">
        <v>47176</v>
      </c>
      <c r="I320" s="378">
        <v>-28062930</v>
      </c>
      <c r="J320" s="2">
        <f t="shared" si="6"/>
        <v>6</v>
      </c>
    </row>
    <row r="321" spans="1:10" ht="15.75" customHeight="1" x14ac:dyDescent="0.25">
      <c r="A321" s="380">
        <v>16</v>
      </c>
      <c r="B321" s="381" t="s">
        <v>315</v>
      </c>
      <c r="C321" s="381" t="s">
        <v>414</v>
      </c>
      <c r="D321" s="381" t="s">
        <v>315</v>
      </c>
      <c r="E321" s="381" t="s">
        <v>315</v>
      </c>
      <c r="F321" s="378">
        <v>220000000</v>
      </c>
      <c r="G321" s="378">
        <v>0</v>
      </c>
      <c r="H321" s="378">
        <v>0</v>
      </c>
      <c r="I321" s="378">
        <v>220000000</v>
      </c>
      <c r="J321" s="2">
        <f t="shared" si="6"/>
        <v>2</v>
      </c>
    </row>
    <row r="322" spans="1:10" ht="15.75" customHeight="1" x14ac:dyDescent="0.25">
      <c r="A322" s="380">
        <v>1620</v>
      </c>
      <c r="B322" s="381" t="s">
        <v>315</v>
      </c>
      <c r="C322" s="381" t="s">
        <v>415</v>
      </c>
      <c r="D322" s="381" t="s">
        <v>315</v>
      </c>
      <c r="E322" s="381" t="s">
        <v>315</v>
      </c>
      <c r="F322" s="378">
        <v>220000000</v>
      </c>
      <c r="G322" s="378">
        <v>0</v>
      </c>
      <c r="H322" s="378">
        <v>0</v>
      </c>
      <c r="I322" s="378">
        <v>220000000</v>
      </c>
      <c r="J322" s="2">
        <f t="shared" si="6"/>
        <v>4</v>
      </c>
    </row>
    <row r="323" spans="1:10" ht="15.75" customHeight="1" x14ac:dyDescent="0.25">
      <c r="A323" s="380">
        <v>162010</v>
      </c>
      <c r="B323" s="381" t="s">
        <v>315</v>
      </c>
      <c r="C323" s="381" t="s">
        <v>416</v>
      </c>
      <c r="D323" s="381" t="s">
        <v>315</v>
      </c>
      <c r="E323" s="381" t="s">
        <v>315</v>
      </c>
      <c r="F323" s="378">
        <v>220000000</v>
      </c>
      <c r="G323" s="378">
        <v>0</v>
      </c>
      <c r="H323" s="378">
        <v>0</v>
      </c>
      <c r="I323" s="378">
        <v>220000000</v>
      </c>
      <c r="J323" s="2">
        <f t="shared" si="6"/>
        <v>6</v>
      </c>
    </row>
    <row r="324" spans="1:10" ht="15.75" customHeight="1" x14ac:dyDescent="0.25">
      <c r="A324" s="380">
        <v>16201001</v>
      </c>
      <c r="B324" s="381" t="s">
        <v>315</v>
      </c>
      <c r="C324" s="381" t="s">
        <v>416</v>
      </c>
      <c r="D324" s="381" t="s">
        <v>315</v>
      </c>
      <c r="E324" s="381" t="s">
        <v>315</v>
      </c>
      <c r="F324" s="378">
        <v>220000000</v>
      </c>
      <c r="G324" s="378">
        <v>0</v>
      </c>
      <c r="H324" s="378">
        <v>0</v>
      </c>
      <c r="I324" s="378">
        <v>220000000</v>
      </c>
      <c r="J324" s="2">
        <f t="shared" si="6"/>
        <v>8</v>
      </c>
    </row>
    <row r="325" spans="1:10" ht="15.75" customHeight="1" x14ac:dyDescent="0.25">
      <c r="A325" s="380">
        <v>16201001</v>
      </c>
      <c r="B325" s="381" t="s">
        <v>315</v>
      </c>
      <c r="C325" s="381" t="s">
        <v>416</v>
      </c>
      <c r="D325" s="381" t="s">
        <v>914</v>
      </c>
      <c r="E325" s="381" t="s">
        <v>915</v>
      </c>
      <c r="F325" s="378">
        <v>220000000</v>
      </c>
      <c r="G325" s="378">
        <v>0</v>
      </c>
      <c r="H325" s="378">
        <v>0</v>
      </c>
      <c r="I325" s="378">
        <v>220000000</v>
      </c>
      <c r="J325" s="2">
        <f t="shared" si="6"/>
        <v>8</v>
      </c>
    </row>
    <row r="326" spans="1:10" ht="15.75" customHeight="1" x14ac:dyDescent="0.25">
      <c r="A326" s="380">
        <v>19</v>
      </c>
      <c r="B326" s="381" t="s">
        <v>315</v>
      </c>
      <c r="C326" s="381" t="s">
        <v>417</v>
      </c>
      <c r="D326" s="381" t="s">
        <v>315</v>
      </c>
      <c r="E326" s="381" t="s">
        <v>315</v>
      </c>
      <c r="F326" s="378">
        <v>45538714.25</v>
      </c>
      <c r="G326" s="378">
        <v>22342786.609999999</v>
      </c>
      <c r="H326" s="378">
        <v>0</v>
      </c>
      <c r="I326" s="378">
        <v>67881500.859999999</v>
      </c>
      <c r="J326" s="2">
        <f t="shared" si="6"/>
        <v>2</v>
      </c>
    </row>
    <row r="327" spans="1:10" ht="15.75" customHeight="1" x14ac:dyDescent="0.25">
      <c r="A327" s="380">
        <v>1955</v>
      </c>
      <c r="B327" s="381" t="s">
        <v>315</v>
      </c>
      <c r="C327" s="381" t="s">
        <v>417</v>
      </c>
      <c r="D327" s="381" t="s">
        <v>315</v>
      </c>
      <c r="E327" s="381" t="s">
        <v>315</v>
      </c>
      <c r="F327" s="378">
        <v>45538714.25</v>
      </c>
      <c r="G327" s="378">
        <v>22342786.609999999</v>
      </c>
      <c r="H327" s="378">
        <v>0</v>
      </c>
      <c r="I327" s="378">
        <v>67881500.859999999</v>
      </c>
      <c r="J327" s="2">
        <f t="shared" si="6"/>
        <v>4</v>
      </c>
    </row>
    <row r="328" spans="1:10" ht="15.75" customHeight="1" x14ac:dyDescent="0.25">
      <c r="A328" s="380">
        <v>195510</v>
      </c>
      <c r="B328" s="381" t="s">
        <v>315</v>
      </c>
      <c r="C328" s="381" t="s">
        <v>916</v>
      </c>
      <c r="D328" s="381" t="s">
        <v>315</v>
      </c>
      <c r="E328" s="381" t="s">
        <v>315</v>
      </c>
      <c r="F328" s="378">
        <v>2281086.4900000002</v>
      </c>
      <c r="G328" s="378">
        <v>624831.5</v>
      </c>
      <c r="H328" s="378">
        <v>0</v>
      </c>
      <c r="I328" s="378">
        <v>2905917.99</v>
      </c>
      <c r="J328" s="2">
        <f t="shared" si="6"/>
        <v>6</v>
      </c>
    </row>
    <row r="329" spans="1:10" ht="15.75" customHeight="1" x14ac:dyDescent="0.25">
      <c r="A329" s="380">
        <v>19551001</v>
      </c>
      <c r="B329" s="381" t="s">
        <v>321</v>
      </c>
      <c r="C329" s="381" t="s">
        <v>917</v>
      </c>
      <c r="D329" s="381" t="s">
        <v>315</v>
      </c>
      <c r="E329" s="381" t="s">
        <v>315</v>
      </c>
      <c r="F329" s="378">
        <v>9277.0000000001201</v>
      </c>
      <c r="G329" s="378">
        <v>0</v>
      </c>
      <c r="H329" s="378">
        <v>0</v>
      </c>
      <c r="I329" s="378">
        <v>9277.0000000001201</v>
      </c>
      <c r="J329" s="2">
        <f t="shared" si="6"/>
        <v>8</v>
      </c>
    </row>
    <row r="330" spans="1:10" ht="15.75" customHeight="1" x14ac:dyDescent="0.25">
      <c r="A330" s="380">
        <v>19551001</v>
      </c>
      <c r="B330" s="381" t="s">
        <v>321</v>
      </c>
      <c r="C330" s="381" t="s">
        <v>917</v>
      </c>
      <c r="D330" s="381" t="s">
        <v>329</v>
      </c>
      <c r="E330" s="381" t="s">
        <v>330</v>
      </c>
      <c r="F330" s="378">
        <v>1.16415321826935E-10</v>
      </c>
      <c r="G330" s="378">
        <v>0</v>
      </c>
      <c r="H330" s="378">
        <v>0</v>
      </c>
      <c r="I330" s="378">
        <v>1.16415321826935E-10</v>
      </c>
      <c r="J330" s="2">
        <f t="shared" si="6"/>
        <v>8</v>
      </c>
    </row>
    <row r="331" spans="1:10" ht="15.75" customHeight="1" x14ac:dyDescent="0.25">
      <c r="A331" s="380">
        <v>19551001</v>
      </c>
      <c r="B331" s="381" t="s">
        <v>321</v>
      </c>
      <c r="C331" s="381" t="s">
        <v>917</v>
      </c>
      <c r="D331" s="381" t="s">
        <v>918</v>
      </c>
      <c r="E331" s="381" t="s">
        <v>919</v>
      </c>
      <c r="F331" s="378">
        <v>9277</v>
      </c>
      <c r="G331" s="378">
        <v>0</v>
      </c>
      <c r="H331" s="378">
        <v>0</v>
      </c>
      <c r="I331" s="378">
        <v>9277</v>
      </c>
      <c r="J331" s="2">
        <f t="shared" si="6"/>
        <v>8</v>
      </c>
    </row>
    <row r="332" spans="1:10" ht="15.75" customHeight="1" x14ac:dyDescent="0.25">
      <c r="A332" s="380">
        <v>19551002</v>
      </c>
      <c r="B332" s="381" t="s">
        <v>321</v>
      </c>
      <c r="C332" s="381" t="s">
        <v>920</v>
      </c>
      <c r="D332" s="381" t="s">
        <v>315</v>
      </c>
      <c r="E332" s="381" t="s">
        <v>315</v>
      </c>
      <c r="F332" s="378">
        <v>2271809.4900000002</v>
      </c>
      <c r="G332" s="378">
        <v>624831.5</v>
      </c>
      <c r="H332" s="378">
        <v>0</v>
      </c>
      <c r="I332" s="378">
        <v>2896640.99</v>
      </c>
      <c r="J332" s="2">
        <f t="shared" si="6"/>
        <v>8</v>
      </c>
    </row>
    <row r="333" spans="1:10" ht="15.75" customHeight="1" x14ac:dyDescent="0.25">
      <c r="A333" s="380">
        <v>19551002</v>
      </c>
      <c r="B333" s="381" t="s">
        <v>321</v>
      </c>
      <c r="C333" s="381" t="s">
        <v>920</v>
      </c>
      <c r="D333" s="381" t="s">
        <v>329</v>
      </c>
      <c r="E333" s="381" t="s">
        <v>330</v>
      </c>
      <c r="F333" s="378">
        <v>2271809.4900000002</v>
      </c>
      <c r="G333" s="378">
        <v>624831.5</v>
      </c>
      <c r="H333" s="378">
        <v>0</v>
      </c>
      <c r="I333" s="378">
        <v>2896640.99</v>
      </c>
      <c r="J333" s="2">
        <f t="shared" ref="J333:J396" si="7">+LEN(A333)</f>
        <v>8</v>
      </c>
    </row>
    <row r="334" spans="1:10" ht="15.75" customHeight="1" x14ac:dyDescent="0.25">
      <c r="A334" s="380">
        <v>195515</v>
      </c>
      <c r="B334" s="381" t="s">
        <v>315</v>
      </c>
      <c r="C334" s="381" t="s">
        <v>418</v>
      </c>
      <c r="D334" s="381" t="s">
        <v>315</v>
      </c>
      <c r="E334" s="381" t="s">
        <v>315</v>
      </c>
      <c r="F334" s="378">
        <v>16492502.76</v>
      </c>
      <c r="G334" s="378">
        <v>3606699.19</v>
      </c>
      <c r="H334" s="378">
        <v>0</v>
      </c>
      <c r="I334" s="378">
        <v>20099201.949999999</v>
      </c>
      <c r="J334" s="2">
        <f t="shared" si="7"/>
        <v>6</v>
      </c>
    </row>
    <row r="335" spans="1:10" ht="15.75" customHeight="1" x14ac:dyDescent="0.25">
      <c r="A335" s="380">
        <v>19551501</v>
      </c>
      <c r="B335" s="381" t="s">
        <v>315</v>
      </c>
      <c r="C335" s="381" t="s">
        <v>921</v>
      </c>
      <c r="D335" s="381" t="s">
        <v>315</v>
      </c>
      <c r="E335" s="381" t="s">
        <v>315</v>
      </c>
      <c r="F335" s="378">
        <v>79226</v>
      </c>
      <c r="G335" s="378">
        <v>0</v>
      </c>
      <c r="H335" s="378">
        <v>0</v>
      </c>
      <c r="I335" s="378">
        <v>79226</v>
      </c>
      <c r="J335" s="2">
        <f t="shared" si="7"/>
        <v>8</v>
      </c>
    </row>
    <row r="336" spans="1:10" ht="15.75" customHeight="1" x14ac:dyDescent="0.25">
      <c r="A336" s="380">
        <v>19551501</v>
      </c>
      <c r="B336" s="381" t="s">
        <v>315</v>
      </c>
      <c r="C336" s="381" t="s">
        <v>921</v>
      </c>
      <c r="D336" s="381" t="s">
        <v>715</v>
      </c>
      <c r="E336" s="381" t="s">
        <v>716</v>
      </c>
      <c r="F336" s="378">
        <v>31620</v>
      </c>
      <c r="G336" s="378">
        <v>0</v>
      </c>
      <c r="H336" s="378">
        <v>0</v>
      </c>
      <c r="I336" s="378">
        <v>31620</v>
      </c>
      <c r="J336" s="2">
        <f t="shared" si="7"/>
        <v>8</v>
      </c>
    </row>
    <row r="337" spans="1:10" ht="15.75" customHeight="1" x14ac:dyDescent="0.25">
      <c r="A337" s="380">
        <v>19551501</v>
      </c>
      <c r="B337" s="381" t="s">
        <v>315</v>
      </c>
      <c r="C337" s="381" t="s">
        <v>921</v>
      </c>
      <c r="D337" s="381" t="s">
        <v>347</v>
      </c>
      <c r="E337" s="381" t="s">
        <v>348</v>
      </c>
      <c r="F337" s="378">
        <v>47606</v>
      </c>
      <c r="G337" s="378">
        <v>0</v>
      </c>
      <c r="H337" s="378">
        <v>0</v>
      </c>
      <c r="I337" s="378">
        <v>47606</v>
      </c>
      <c r="J337" s="2">
        <f t="shared" si="7"/>
        <v>8</v>
      </c>
    </row>
    <row r="338" spans="1:10" ht="15.75" customHeight="1" x14ac:dyDescent="0.25">
      <c r="A338" s="380">
        <v>19551503</v>
      </c>
      <c r="B338" s="381" t="s">
        <v>315</v>
      </c>
      <c r="C338" s="381" t="s">
        <v>922</v>
      </c>
      <c r="D338" s="381" t="s">
        <v>315</v>
      </c>
      <c r="E338" s="381" t="s">
        <v>315</v>
      </c>
      <c r="F338" s="378">
        <v>122622</v>
      </c>
      <c r="G338" s="378">
        <v>0</v>
      </c>
      <c r="H338" s="378">
        <v>0</v>
      </c>
      <c r="I338" s="378">
        <v>122622</v>
      </c>
      <c r="J338" s="2">
        <f t="shared" si="7"/>
        <v>8</v>
      </c>
    </row>
    <row r="339" spans="1:10" ht="15.75" customHeight="1" x14ac:dyDescent="0.25">
      <c r="A339" s="380">
        <v>19551503</v>
      </c>
      <c r="B339" s="381" t="s">
        <v>315</v>
      </c>
      <c r="C339" s="381" t="s">
        <v>922</v>
      </c>
      <c r="D339" s="381" t="s">
        <v>923</v>
      </c>
      <c r="E339" s="381" t="s">
        <v>924</v>
      </c>
      <c r="F339" s="378">
        <v>111555</v>
      </c>
      <c r="G339" s="378">
        <v>0</v>
      </c>
      <c r="H339" s="378">
        <v>0</v>
      </c>
      <c r="I339" s="378">
        <v>111555</v>
      </c>
      <c r="J339" s="2">
        <f t="shared" si="7"/>
        <v>8</v>
      </c>
    </row>
    <row r="340" spans="1:10" ht="15.75" customHeight="1" x14ac:dyDescent="0.25">
      <c r="A340" s="380">
        <v>19551503</v>
      </c>
      <c r="B340" s="381" t="s">
        <v>315</v>
      </c>
      <c r="C340" s="381" t="s">
        <v>922</v>
      </c>
      <c r="D340" s="381" t="s">
        <v>495</v>
      </c>
      <c r="E340" s="381" t="s">
        <v>925</v>
      </c>
      <c r="F340" s="378">
        <v>11067</v>
      </c>
      <c r="G340" s="378">
        <v>0</v>
      </c>
      <c r="H340" s="378">
        <v>0</v>
      </c>
      <c r="I340" s="378">
        <v>11067</v>
      </c>
      <c r="J340" s="2">
        <f t="shared" si="7"/>
        <v>8</v>
      </c>
    </row>
    <row r="341" spans="1:10" ht="15.75" customHeight="1" x14ac:dyDescent="0.25">
      <c r="A341" s="380">
        <v>19551505</v>
      </c>
      <c r="B341" s="381" t="s">
        <v>315</v>
      </c>
      <c r="C341" s="381" t="s">
        <v>926</v>
      </c>
      <c r="D341" s="381" t="s">
        <v>315</v>
      </c>
      <c r="E341" s="381" t="s">
        <v>315</v>
      </c>
      <c r="F341" s="378">
        <v>92871.19</v>
      </c>
      <c r="G341" s="378">
        <v>68146.55</v>
      </c>
      <c r="H341" s="378">
        <v>0</v>
      </c>
      <c r="I341" s="378">
        <v>161017.74</v>
      </c>
      <c r="J341" s="2">
        <f t="shared" si="7"/>
        <v>8</v>
      </c>
    </row>
    <row r="342" spans="1:10" ht="15.75" customHeight="1" x14ac:dyDescent="0.25">
      <c r="A342" s="380">
        <v>19551505</v>
      </c>
      <c r="B342" s="381" t="s">
        <v>315</v>
      </c>
      <c r="C342" s="381" t="s">
        <v>926</v>
      </c>
      <c r="D342" s="381" t="s">
        <v>347</v>
      </c>
      <c r="E342" s="381" t="s">
        <v>348</v>
      </c>
      <c r="F342" s="378">
        <v>45006.95</v>
      </c>
      <c r="G342" s="378">
        <v>56852.55</v>
      </c>
      <c r="H342" s="378">
        <v>0</v>
      </c>
      <c r="I342" s="378">
        <v>101859.5</v>
      </c>
      <c r="J342" s="2">
        <f t="shared" si="7"/>
        <v>8</v>
      </c>
    </row>
    <row r="343" spans="1:10" ht="15.75" customHeight="1" x14ac:dyDescent="0.25">
      <c r="A343" s="380">
        <v>19551505</v>
      </c>
      <c r="B343" s="381" t="s">
        <v>315</v>
      </c>
      <c r="C343" s="381" t="s">
        <v>926</v>
      </c>
      <c r="D343" s="381" t="s">
        <v>918</v>
      </c>
      <c r="E343" s="381" t="s">
        <v>919</v>
      </c>
      <c r="F343" s="378">
        <v>37109</v>
      </c>
      <c r="G343" s="378">
        <v>11294</v>
      </c>
      <c r="H343" s="378">
        <v>0</v>
      </c>
      <c r="I343" s="378">
        <v>48403</v>
      </c>
      <c r="J343" s="2">
        <f t="shared" si="7"/>
        <v>8</v>
      </c>
    </row>
    <row r="344" spans="1:10" ht="15.75" customHeight="1" x14ac:dyDescent="0.25">
      <c r="A344" s="380">
        <v>19551505</v>
      </c>
      <c r="B344" s="381" t="s">
        <v>315</v>
      </c>
      <c r="C344" s="381" t="s">
        <v>926</v>
      </c>
      <c r="D344" s="381" t="s">
        <v>927</v>
      </c>
      <c r="E344" s="381" t="s">
        <v>928</v>
      </c>
      <c r="F344" s="378">
        <v>4800.6400000000003</v>
      </c>
      <c r="G344" s="378">
        <v>0</v>
      </c>
      <c r="H344" s="378">
        <v>0</v>
      </c>
      <c r="I344" s="378">
        <v>4800.6400000000003</v>
      </c>
      <c r="J344" s="2">
        <f t="shared" si="7"/>
        <v>8</v>
      </c>
    </row>
    <row r="345" spans="1:10" ht="15.75" customHeight="1" x14ac:dyDescent="0.25">
      <c r="A345" s="380">
        <v>19551505</v>
      </c>
      <c r="B345" s="381" t="s">
        <v>315</v>
      </c>
      <c r="C345" s="381" t="s">
        <v>926</v>
      </c>
      <c r="D345" s="381" t="s">
        <v>723</v>
      </c>
      <c r="E345" s="381" t="s">
        <v>724</v>
      </c>
      <c r="F345" s="378">
        <v>5954.6</v>
      </c>
      <c r="G345" s="378">
        <v>0</v>
      </c>
      <c r="H345" s="378">
        <v>0</v>
      </c>
      <c r="I345" s="378">
        <v>5954.6</v>
      </c>
      <c r="J345" s="2">
        <f t="shared" si="7"/>
        <v>8</v>
      </c>
    </row>
    <row r="346" spans="1:10" ht="15.75" customHeight="1" x14ac:dyDescent="0.25">
      <c r="A346" s="380">
        <v>19551507</v>
      </c>
      <c r="B346" s="381" t="s">
        <v>315</v>
      </c>
      <c r="C346" s="381" t="s">
        <v>929</v>
      </c>
      <c r="D346" s="381" t="s">
        <v>315</v>
      </c>
      <c r="E346" s="381" t="s">
        <v>315</v>
      </c>
      <c r="F346" s="378">
        <v>16171914.279999999</v>
      </c>
      <c r="G346" s="378">
        <v>3538552.64</v>
      </c>
      <c r="H346" s="378">
        <v>0</v>
      </c>
      <c r="I346" s="378">
        <v>19710466.920000002</v>
      </c>
      <c r="J346" s="2">
        <f t="shared" si="7"/>
        <v>8</v>
      </c>
    </row>
    <row r="347" spans="1:10" ht="15.75" customHeight="1" x14ac:dyDescent="0.25">
      <c r="A347" s="380">
        <v>19551507</v>
      </c>
      <c r="B347" s="381" t="s">
        <v>315</v>
      </c>
      <c r="C347" s="381" t="s">
        <v>929</v>
      </c>
      <c r="D347" s="381" t="s">
        <v>328</v>
      </c>
      <c r="E347" s="381" t="s">
        <v>930</v>
      </c>
      <c r="F347" s="378">
        <v>13079.59</v>
      </c>
      <c r="G347" s="378">
        <v>0</v>
      </c>
      <c r="H347" s="378">
        <v>0</v>
      </c>
      <c r="I347" s="378">
        <v>13079.59</v>
      </c>
      <c r="J347" s="2">
        <f t="shared" si="7"/>
        <v>8</v>
      </c>
    </row>
    <row r="348" spans="1:10" ht="15.75" customHeight="1" x14ac:dyDescent="0.25">
      <c r="A348" s="380">
        <v>19551507</v>
      </c>
      <c r="B348" s="381" t="s">
        <v>315</v>
      </c>
      <c r="C348" s="381" t="s">
        <v>929</v>
      </c>
      <c r="D348" s="381" t="s">
        <v>329</v>
      </c>
      <c r="E348" s="381" t="s">
        <v>330</v>
      </c>
      <c r="F348" s="378">
        <v>15942130.689999999</v>
      </c>
      <c r="G348" s="378">
        <v>3461370.64</v>
      </c>
      <c r="H348" s="378">
        <v>0</v>
      </c>
      <c r="I348" s="378">
        <v>19403501.329999998</v>
      </c>
      <c r="J348" s="2">
        <f t="shared" si="7"/>
        <v>8</v>
      </c>
    </row>
    <row r="349" spans="1:10" ht="15.75" customHeight="1" x14ac:dyDescent="0.25">
      <c r="A349" s="380">
        <v>19551507</v>
      </c>
      <c r="B349" s="381" t="s">
        <v>315</v>
      </c>
      <c r="C349" s="381" t="s">
        <v>929</v>
      </c>
      <c r="D349" s="381" t="s">
        <v>717</v>
      </c>
      <c r="E349" s="381" t="s">
        <v>718</v>
      </c>
      <c r="F349" s="378">
        <v>216704</v>
      </c>
      <c r="G349" s="378">
        <v>77182</v>
      </c>
      <c r="H349" s="378">
        <v>0</v>
      </c>
      <c r="I349" s="378">
        <v>293886</v>
      </c>
      <c r="J349" s="2">
        <f t="shared" si="7"/>
        <v>8</v>
      </c>
    </row>
    <row r="350" spans="1:10" ht="15.75" customHeight="1" x14ac:dyDescent="0.25">
      <c r="A350" s="380">
        <v>19551509</v>
      </c>
      <c r="B350" s="381" t="s">
        <v>315</v>
      </c>
      <c r="C350" s="381" t="s">
        <v>931</v>
      </c>
      <c r="D350" s="381" t="s">
        <v>315</v>
      </c>
      <c r="E350" s="381" t="s">
        <v>315</v>
      </c>
      <c r="F350" s="378">
        <v>25869.29</v>
      </c>
      <c r="G350" s="378">
        <v>0</v>
      </c>
      <c r="H350" s="378">
        <v>0</v>
      </c>
      <c r="I350" s="378">
        <v>25869.29</v>
      </c>
      <c r="J350" s="2">
        <f t="shared" si="7"/>
        <v>8</v>
      </c>
    </row>
    <row r="351" spans="1:10" ht="15.75" customHeight="1" x14ac:dyDescent="0.25">
      <c r="A351" s="380">
        <v>19551509</v>
      </c>
      <c r="B351" s="381" t="s">
        <v>315</v>
      </c>
      <c r="C351" s="381" t="s">
        <v>931</v>
      </c>
      <c r="D351" s="381" t="s">
        <v>328</v>
      </c>
      <c r="E351" s="381" t="s">
        <v>930</v>
      </c>
      <c r="F351" s="378">
        <v>25869.29</v>
      </c>
      <c r="G351" s="378">
        <v>0</v>
      </c>
      <c r="H351" s="378">
        <v>0</v>
      </c>
      <c r="I351" s="378">
        <v>25869.29</v>
      </c>
      <c r="J351" s="2">
        <f t="shared" si="7"/>
        <v>8</v>
      </c>
    </row>
    <row r="352" spans="1:10" ht="15.75" customHeight="1" x14ac:dyDescent="0.25">
      <c r="A352" s="380">
        <v>195519</v>
      </c>
      <c r="B352" s="381" t="s">
        <v>315</v>
      </c>
      <c r="C352" s="381" t="s">
        <v>932</v>
      </c>
      <c r="D352" s="381" t="s">
        <v>315</v>
      </c>
      <c r="E352" s="381" t="s">
        <v>315</v>
      </c>
      <c r="F352" s="378">
        <v>26765125</v>
      </c>
      <c r="G352" s="378">
        <v>18111255.920000002</v>
      </c>
      <c r="H352" s="378">
        <v>0</v>
      </c>
      <c r="I352" s="378">
        <v>44876380.920000002</v>
      </c>
      <c r="J352" s="2">
        <f t="shared" si="7"/>
        <v>6</v>
      </c>
    </row>
    <row r="353" spans="1:10" ht="15.75" customHeight="1" x14ac:dyDescent="0.25">
      <c r="A353" s="380">
        <v>19551903</v>
      </c>
      <c r="B353" s="381" t="s">
        <v>321</v>
      </c>
      <c r="C353" s="381" t="s">
        <v>933</v>
      </c>
      <c r="D353" s="381" t="s">
        <v>315</v>
      </c>
      <c r="E353" s="381" t="s">
        <v>315</v>
      </c>
      <c r="F353" s="378">
        <v>26765125</v>
      </c>
      <c r="G353" s="378">
        <v>0</v>
      </c>
      <c r="H353" s="378">
        <v>0</v>
      </c>
      <c r="I353" s="378">
        <v>26765125</v>
      </c>
      <c r="J353" s="2">
        <f t="shared" si="7"/>
        <v>8</v>
      </c>
    </row>
    <row r="354" spans="1:10" ht="15.75" customHeight="1" x14ac:dyDescent="0.25">
      <c r="A354" s="380">
        <v>19551903</v>
      </c>
      <c r="B354" s="381" t="s">
        <v>321</v>
      </c>
      <c r="C354" s="381" t="s">
        <v>933</v>
      </c>
      <c r="D354" s="381" t="s">
        <v>837</v>
      </c>
      <c r="E354" s="381" t="s">
        <v>838</v>
      </c>
      <c r="F354" s="378">
        <v>26765125</v>
      </c>
      <c r="G354" s="378">
        <v>0</v>
      </c>
      <c r="H354" s="378">
        <v>0</v>
      </c>
      <c r="I354" s="378">
        <v>26765125</v>
      </c>
      <c r="J354" s="2">
        <f t="shared" si="7"/>
        <v>8</v>
      </c>
    </row>
    <row r="355" spans="1:10" ht="15.75" customHeight="1" x14ac:dyDescent="0.25">
      <c r="A355" s="380">
        <v>19551904</v>
      </c>
      <c r="B355" s="381" t="s">
        <v>321</v>
      </c>
      <c r="C355" s="381" t="s">
        <v>934</v>
      </c>
      <c r="D355" s="381" t="s">
        <v>315</v>
      </c>
      <c r="E355" s="381" t="s">
        <v>315</v>
      </c>
      <c r="F355" s="378">
        <v>0</v>
      </c>
      <c r="G355" s="378">
        <v>18111255.920000002</v>
      </c>
      <c r="H355" s="378">
        <v>0</v>
      </c>
      <c r="I355" s="378">
        <v>18111255.920000002</v>
      </c>
      <c r="J355" s="2">
        <f t="shared" si="7"/>
        <v>8</v>
      </c>
    </row>
    <row r="356" spans="1:10" ht="15.75" customHeight="1" x14ac:dyDescent="0.25">
      <c r="A356" s="380">
        <v>19551904</v>
      </c>
      <c r="B356" s="381" t="s">
        <v>321</v>
      </c>
      <c r="C356" s="381" t="s">
        <v>934</v>
      </c>
      <c r="D356" s="381" t="s">
        <v>837</v>
      </c>
      <c r="E356" s="381" t="s">
        <v>838</v>
      </c>
      <c r="F356" s="378">
        <v>0</v>
      </c>
      <c r="G356" s="378">
        <v>18111255.920000002</v>
      </c>
      <c r="H356" s="378">
        <v>0</v>
      </c>
      <c r="I356" s="378">
        <v>18111255.920000002</v>
      </c>
      <c r="J356" s="2">
        <f t="shared" si="7"/>
        <v>8</v>
      </c>
    </row>
    <row r="357" spans="1:10" ht="15.75" customHeight="1" x14ac:dyDescent="0.25">
      <c r="A357" s="380">
        <v>195520</v>
      </c>
      <c r="B357" s="381" t="s">
        <v>315</v>
      </c>
      <c r="C357" s="381" t="s">
        <v>935</v>
      </c>
      <c r="D357" s="381" t="s">
        <v>315</v>
      </c>
      <c r="E357" s="381" t="s">
        <v>315</v>
      </c>
      <c r="F357" s="378">
        <v>-1.16415321826935E-9</v>
      </c>
      <c r="G357" s="378">
        <v>0</v>
      </c>
      <c r="H357" s="378">
        <v>0</v>
      </c>
      <c r="I357" s="378">
        <v>-1.16415321826935E-9</v>
      </c>
      <c r="J357" s="2">
        <f t="shared" si="7"/>
        <v>6</v>
      </c>
    </row>
    <row r="358" spans="1:10" ht="15.75" customHeight="1" x14ac:dyDescent="0.25">
      <c r="A358" s="380">
        <v>19552001</v>
      </c>
      <c r="B358" s="381" t="s">
        <v>315</v>
      </c>
      <c r="C358" s="381" t="s">
        <v>936</v>
      </c>
      <c r="D358" s="381" t="s">
        <v>315</v>
      </c>
      <c r="E358" s="381" t="s">
        <v>315</v>
      </c>
      <c r="F358" s="378">
        <v>-1.16415321826935E-9</v>
      </c>
      <c r="G358" s="378">
        <v>0</v>
      </c>
      <c r="H358" s="378">
        <v>0</v>
      </c>
      <c r="I358" s="378">
        <v>-1.16415321826935E-9</v>
      </c>
      <c r="J358" s="2">
        <f t="shared" si="7"/>
        <v>8</v>
      </c>
    </row>
    <row r="359" spans="1:10" ht="15.75" customHeight="1" x14ac:dyDescent="0.25">
      <c r="A359" s="380">
        <v>19552001</v>
      </c>
      <c r="B359" s="381" t="s">
        <v>315</v>
      </c>
      <c r="C359" s="381" t="s">
        <v>936</v>
      </c>
      <c r="D359" s="381" t="s">
        <v>356</v>
      </c>
      <c r="E359" s="381" t="s">
        <v>357</v>
      </c>
      <c r="F359" s="378">
        <v>-1.16415321826935E-9</v>
      </c>
      <c r="G359" s="378">
        <v>0</v>
      </c>
      <c r="H359" s="378">
        <v>0</v>
      </c>
      <c r="I359" s="378">
        <v>-1.16415321826935E-9</v>
      </c>
      <c r="J359" s="2">
        <f t="shared" si="7"/>
        <v>8</v>
      </c>
    </row>
    <row r="360" spans="1:10" ht="15.75" customHeight="1" x14ac:dyDescent="0.25">
      <c r="A360" s="380">
        <v>2</v>
      </c>
      <c r="B360" s="381" t="s">
        <v>315</v>
      </c>
      <c r="C360" s="381" t="s">
        <v>63</v>
      </c>
      <c r="D360" s="381" t="s">
        <v>315</v>
      </c>
      <c r="E360" s="381" t="s">
        <v>315</v>
      </c>
      <c r="F360" s="378">
        <v>-745865884.83000004</v>
      </c>
      <c r="G360" s="378">
        <v>784282815.74000001</v>
      </c>
      <c r="H360" s="378">
        <v>819770038.86000001</v>
      </c>
      <c r="I360" s="378">
        <v>-781353107.95000005</v>
      </c>
      <c r="J360" s="2">
        <f t="shared" si="7"/>
        <v>1</v>
      </c>
    </row>
    <row r="361" spans="1:10" ht="15.75" customHeight="1" x14ac:dyDescent="0.25">
      <c r="A361" s="380">
        <v>21</v>
      </c>
      <c r="B361" s="381" t="s">
        <v>315</v>
      </c>
      <c r="C361" s="381" t="s">
        <v>423</v>
      </c>
      <c r="D361" s="381" t="s">
        <v>315</v>
      </c>
      <c r="E361" s="381" t="s">
        <v>315</v>
      </c>
      <c r="F361" s="378">
        <v>-340862912.06999999</v>
      </c>
      <c r="G361" s="378">
        <v>15616417</v>
      </c>
      <c r="H361" s="378">
        <v>5372700</v>
      </c>
      <c r="I361" s="378">
        <v>-330619195.06999999</v>
      </c>
      <c r="J361" s="2">
        <f t="shared" si="7"/>
        <v>2</v>
      </c>
    </row>
    <row r="362" spans="1:10" ht="15.75" customHeight="1" x14ac:dyDescent="0.25">
      <c r="A362" s="380">
        <v>2105</v>
      </c>
      <c r="B362" s="381" t="s">
        <v>315</v>
      </c>
      <c r="C362" s="381" t="s">
        <v>68</v>
      </c>
      <c r="D362" s="381" t="s">
        <v>315</v>
      </c>
      <c r="E362" s="381" t="s">
        <v>315</v>
      </c>
      <c r="F362" s="378">
        <v>-310121691.97000003</v>
      </c>
      <c r="G362" s="378">
        <v>12580725</v>
      </c>
      <c r="H362" s="378">
        <v>5372700</v>
      </c>
      <c r="I362" s="378">
        <v>-302913666.97000003</v>
      </c>
      <c r="J362" s="2">
        <f t="shared" si="7"/>
        <v>4</v>
      </c>
    </row>
    <row r="363" spans="1:10" ht="15.75" customHeight="1" x14ac:dyDescent="0.25">
      <c r="A363" s="380">
        <v>210510</v>
      </c>
      <c r="B363" s="381" t="s">
        <v>315</v>
      </c>
      <c r="C363" s="381" t="s">
        <v>937</v>
      </c>
      <c r="D363" s="381" t="s">
        <v>315</v>
      </c>
      <c r="E363" s="381" t="s">
        <v>315</v>
      </c>
      <c r="F363" s="378">
        <v>-310121691.97000003</v>
      </c>
      <c r="G363" s="378">
        <v>12580725</v>
      </c>
      <c r="H363" s="378">
        <v>5372700</v>
      </c>
      <c r="I363" s="378">
        <v>-302913666.97000003</v>
      </c>
      <c r="J363" s="2">
        <f t="shared" si="7"/>
        <v>6</v>
      </c>
    </row>
    <row r="364" spans="1:10" ht="15.75" customHeight="1" x14ac:dyDescent="0.25">
      <c r="A364" s="380">
        <v>21051012</v>
      </c>
      <c r="B364" s="381" t="s">
        <v>321</v>
      </c>
      <c r="C364" s="381" t="s">
        <v>1433</v>
      </c>
      <c r="D364" s="381" t="s">
        <v>315</v>
      </c>
      <c r="E364" s="381" t="s">
        <v>315</v>
      </c>
      <c r="F364" s="378">
        <v>-4247393</v>
      </c>
      <c r="G364" s="378">
        <v>4247393</v>
      </c>
      <c r="H364" s="378">
        <v>0</v>
      </c>
      <c r="I364" s="378">
        <v>0</v>
      </c>
      <c r="J364" s="2">
        <f t="shared" si="7"/>
        <v>8</v>
      </c>
    </row>
    <row r="365" spans="1:10" ht="15.75" customHeight="1" x14ac:dyDescent="0.25">
      <c r="A365" s="380">
        <v>21051012</v>
      </c>
      <c r="B365" s="381" t="s">
        <v>321</v>
      </c>
      <c r="C365" s="381" t="s">
        <v>1433</v>
      </c>
      <c r="D365" s="381" t="s">
        <v>440</v>
      </c>
      <c r="E365" s="381" t="s">
        <v>441</v>
      </c>
      <c r="F365" s="378">
        <v>-4247393</v>
      </c>
      <c r="G365" s="378">
        <v>4247393</v>
      </c>
      <c r="H365" s="378">
        <v>0</v>
      </c>
      <c r="I365" s="378">
        <v>0</v>
      </c>
      <c r="J365" s="2">
        <f t="shared" si="7"/>
        <v>8</v>
      </c>
    </row>
    <row r="366" spans="1:10" ht="15.75" customHeight="1" x14ac:dyDescent="0.25">
      <c r="A366" s="380">
        <v>21051017</v>
      </c>
      <c r="B366" s="381" t="s">
        <v>321</v>
      </c>
      <c r="C366" s="381" t="s">
        <v>938</v>
      </c>
      <c r="D366" s="381" t="s">
        <v>315</v>
      </c>
      <c r="E366" s="381" t="s">
        <v>315</v>
      </c>
      <c r="F366" s="378">
        <v>-41435294</v>
      </c>
      <c r="G366" s="378">
        <v>2777777</v>
      </c>
      <c r="H366" s="378">
        <v>0</v>
      </c>
      <c r="I366" s="378">
        <v>-38657517</v>
      </c>
      <c r="J366" s="2">
        <f t="shared" si="7"/>
        <v>8</v>
      </c>
    </row>
    <row r="367" spans="1:10" ht="15.75" customHeight="1" x14ac:dyDescent="0.25">
      <c r="A367" s="380">
        <v>21051017</v>
      </c>
      <c r="B367" s="381" t="s">
        <v>321</v>
      </c>
      <c r="C367" s="381" t="s">
        <v>938</v>
      </c>
      <c r="D367" s="381" t="s">
        <v>440</v>
      </c>
      <c r="E367" s="381" t="s">
        <v>441</v>
      </c>
      <c r="F367" s="378">
        <v>-41435294</v>
      </c>
      <c r="G367" s="378">
        <v>2777777</v>
      </c>
      <c r="H367" s="378">
        <v>0</v>
      </c>
      <c r="I367" s="378">
        <v>-38657517</v>
      </c>
      <c r="J367" s="2">
        <f t="shared" si="7"/>
        <v>8</v>
      </c>
    </row>
    <row r="368" spans="1:10" ht="15.75" customHeight="1" x14ac:dyDescent="0.25">
      <c r="A368" s="380">
        <v>21051028</v>
      </c>
      <c r="B368" s="381" t="s">
        <v>321</v>
      </c>
      <c r="C368" s="381" t="s">
        <v>939</v>
      </c>
      <c r="D368" s="381" t="s">
        <v>315</v>
      </c>
      <c r="E368" s="381" t="s">
        <v>315</v>
      </c>
      <c r="F368" s="378">
        <v>7.4505805969238298E-9</v>
      </c>
      <c r="G368" s="378">
        <v>0</v>
      </c>
      <c r="H368" s="378">
        <v>0</v>
      </c>
      <c r="I368" s="378">
        <v>7.4505805969238298E-9</v>
      </c>
      <c r="J368" s="2">
        <f t="shared" si="7"/>
        <v>8</v>
      </c>
    </row>
    <row r="369" spans="1:10" ht="15.75" customHeight="1" x14ac:dyDescent="0.25">
      <c r="A369" s="380">
        <v>21051028</v>
      </c>
      <c r="B369" s="381" t="s">
        <v>321</v>
      </c>
      <c r="C369" s="381" t="s">
        <v>939</v>
      </c>
      <c r="D369" s="381" t="s">
        <v>856</v>
      </c>
      <c r="E369" s="381" t="s">
        <v>857</v>
      </c>
      <c r="F369" s="378">
        <v>7.4505805969238298E-9</v>
      </c>
      <c r="G369" s="378">
        <v>0</v>
      </c>
      <c r="H369" s="378">
        <v>0</v>
      </c>
      <c r="I369" s="378">
        <v>7.4505805969238298E-9</v>
      </c>
      <c r="J369" s="2">
        <f t="shared" si="7"/>
        <v>8</v>
      </c>
    </row>
    <row r="370" spans="1:10" ht="15.75" customHeight="1" x14ac:dyDescent="0.25">
      <c r="A370" s="380">
        <v>21051040</v>
      </c>
      <c r="B370" s="381" t="s">
        <v>321</v>
      </c>
      <c r="C370" s="381" t="s">
        <v>940</v>
      </c>
      <c r="D370" s="381" t="s">
        <v>315</v>
      </c>
      <c r="E370" s="381" t="s">
        <v>315</v>
      </c>
      <c r="F370" s="378">
        <v>-1.8626451492309599E-9</v>
      </c>
      <c r="G370" s="378">
        <v>0</v>
      </c>
      <c r="H370" s="378">
        <v>0</v>
      </c>
      <c r="I370" s="378">
        <v>-1.8626451492309599E-9</v>
      </c>
      <c r="J370" s="2">
        <f t="shared" si="7"/>
        <v>8</v>
      </c>
    </row>
    <row r="371" spans="1:10" ht="15.75" customHeight="1" x14ac:dyDescent="0.25">
      <c r="A371" s="380">
        <v>21051040</v>
      </c>
      <c r="B371" s="381" t="s">
        <v>321</v>
      </c>
      <c r="C371" s="381" t="s">
        <v>940</v>
      </c>
      <c r="D371" s="381" t="s">
        <v>329</v>
      </c>
      <c r="E371" s="381" t="s">
        <v>330</v>
      </c>
      <c r="F371" s="378">
        <v>-1.8626451492309599E-9</v>
      </c>
      <c r="G371" s="378">
        <v>0</v>
      </c>
      <c r="H371" s="378">
        <v>0</v>
      </c>
      <c r="I371" s="378">
        <v>-1.8626451492309599E-9</v>
      </c>
      <c r="J371" s="2">
        <f t="shared" si="7"/>
        <v>8</v>
      </c>
    </row>
    <row r="372" spans="1:10" ht="15.75" customHeight="1" x14ac:dyDescent="0.25">
      <c r="A372" s="380">
        <v>21051047</v>
      </c>
      <c r="B372" s="381" t="s">
        <v>321</v>
      </c>
      <c r="C372" s="381" t="s">
        <v>941</v>
      </c>
      <c r="D372" s="381" t="s">
        <v>315</v>
      </c>
      <c r="E372" s="381" t="s">
        <v>315</v>
      </c>
      <c r="F372" s="378">
        <v>2.7939677238464401E-9</v>
      </c>
      <c r="G372" s="378">
        <v>0</v>
      </c>
      <c r="H372" s="378">
        <v>0</v>
      </c>
      <c r="I372" s="378">
        <v>2.7939677238464401E-9</v>
      </c>
      <c r="J372" s="2">
        <f t="shared" si="7"/>
        <v>8</v>
      </c>
    </row>
    <row r="373" spans="1:10" ht="15.75" customHeight="1" x14ac:dyDescent="0.25">
      <c r="A373" s="380">
        <v>21051047</v>
      </c>
      <c r="B373" s="381" t="s">
        <v>321</v>
      </c>
      <c r="C373" s="381" t="s">
        <v>941</v>
      </c>
      <c r="D373" s="381" t="s">
        <v>942</v>
      </c>
      <c r="E373" s="381" t="s">
        <v>943</v>
      </c>
      <c r="F373" s="378">
        <v>2.7939677238464401E-9</v>
      </c>
      <c r="G373" s="378">
        <v>0</v>
      </c>
      <c r="H373" s="378">
        <v>0</v>
      </c>
      <c r="I373" s="378">
        <v>2.7939677238464401E-9</v>
      </c>
      <c r="J373" s="2">
        <f t="shared" si="7"/>
        <v>8</v>
      </c>
    </row>
    <row r="374" spans="1:10" ht="15.75" customHeight="1" x14ac:dyDescent="0.25">
      <c r="A374" s="380">
        <v>21051048</v>
      </c>
      <c r="B374" s="381" t="s">
        <v>321</v>
      </c>
      <c r="C374" s="381" t="s">
        <v>944</v>
      </c>
      <c r="D374" s="381" t="s">
        <v>315</v>
      </c>
      <c r="E374" s="381" t="s">
        <v>315</v>
      </c>
      <c r="F374" s="378">
        <v>-1.8626451492309599E-9</v>
      </c>
      <c r="G374" s="378">
        <v>0</v>
      </c>
      <c r="H374" s="378">
        <v>0</v>
      </c>
      <c r="I374" s="378">
        <v>-1.8626451492309599E-9</v>
      </c>
      <c r="J374" s="2">
        <f t="shared" si="7"/>
        <v>8</v>
      </c>
    </row>
    <row r="375" spans="1:10" ht="15.75" customHeight="1" x14ac:dyDescent="0.25">
      <c r="A375" s="380">
        <v>21051048</v>
      </c>
      <c r="B375" s="381" t="s">
        <v>321</v>
      </c>
      <c r="C375" s="381" t="s">
        <v>944</v>
      </c>
      <c r="D375" s="381" t="s">
        <v>942</v>
      </c>
      <c r="E375" s="381" t="s">
        <v>943</v>
      </c>
      <c r="F375" s="378">
        <v>-1.8626451492309599E-9</v>
      </c>
      <c r="G375" s="378">
        <v>0</v>
      </c>
      <c r="H375" s="378">
        <v>0</v>
      </c>
      <c r="I375" s="378">
        <v>-1.8626451492309599E-9</v>
      </c>
      <c r="J375" s="2">
        <f t="shared" si="7"/>
        <v>8</v>
      </c>
    </row>
    <row r="376" spans="1:10" ht="15.75" customHeight="1" x14ac:dyDescent="0.25">
      <c r="A376" s="380">
        <v>21051050</v>
      </c>
      <c r="B376" s="381" t="s">
        <v>321</v>
      </c>
      <c r="C376" s="381" t="s">
        <v>945</v>
      </c>
      <c r="D376" s="381" t="s">
        <v>315</v>
      </c>
      <c r="E376" s="381" t="s">
        <v>315</v>
      </c>
      <c r="F376" s="378">
        <v>-2.3283064365387E-9</v>
      </c>
      <c r="G376" s="378">
        <v>0</v>
      </c>
      <c r="H376" s="378">
        <v>0</v>
      </c>
      <c r="I376" s="378">
        <v>-2.3283064365387E-9</v>
      </c>
      <c r="J376" s="2">
        <f t="shared" si="7"/>
        <v>8</v>
      </c>
    </row>
    <row r="377" spans="1:10" ht="15.75" customHeight="1" x14ac:dyDescent="0.25">
      <c r="A377" s="380">
        <v>21051050</v>
      </c>
      <c r="B377" s="381" t="s">
        <v>321</v>
      </c>
      <c r="C377" s="381" t="s">
        <v>945</v>
      </c>
      <c r="D377" s="381" t="s">
        <v>942</v>
      </c>
      <c r="E377" s="381" t="s">
        <v>943</v>
      </c>
      <c r="F377" s="378">
        <v>-2.3283064365387E-9</v>
      </c>
      <c r="G377" s="378">
        <v>0</v>
      </c>
      <c r="H377" s="378">
        <v>0</v>
      </c>
      <c r="I377" s="378">
        <v>-2.3283064365387E-9</v>
      </c>
      <c r="J377" s="2">
        <f t="shared" si="7"/>
        <v>8</v>
      </c>
    </row>
    <row r="378" spans="1:10" ht="15.75" customHeight="1" x14ac:dyDescent="0.25">
      <c r="A378" s="380">
        <v>21051063</v>
      </c>
      <c r="B378" s="381" t="s">
        <v>321</v>
      </c>
      <c r="C378" s="381" t="s">
        <v>1476</v>
      </c>
      <c r="D378" s="381" t="s">
        <v>315</v>
      </c>
      <c r="E378" s="381" t="s">
        <v>315</v>
      </c>
      <c r="F378" s="378">
        <v>0</v>
      </c>
      <c r="G378" s="378">
        <v>0</v>
      </c>
      <c r="H378" s="378">
        <v>5372700</v>
      </c>
      <c r="I378" s="378">
        <v>-5372700</v>
      </c>
      <c r="J378" s="2">
        <f t="shared" si="7"/>
        <v>8</v>
      </c>
    </row>
    <row r="379" spans="1:10" ht="15.75" customHeight="1" x14ac:dyDescent="0.25">
      <c r="A379" s="380">
        <v>21051063</v>
      </c>
      <c r="B379" s="381" t="s">
        <v>321</v>
      </c>
      <c r="C379" s="381" t="s">
        <v>1476</v>
      </c>
      <c r="D379" s="381" t="s">
        <v>329</v>
      </c>
      <c r="E379" s="381" t="s">
        <v>330</v>
      </c>
      <c r="F379" s="378">
        <v>0</v>
      </c>
      <c r="G379" s="378">
        <v>0</v>
      </c>
      <c r="H379" s="378">
        <v>5372700</v>
      </c>
      <c r="I379" s="378">
        <v>-5372700</v>
      </c>
      <c r="J379" s="2">
        <f t="shared" si="7"/>
        <v>8</v>
      </c>
    </row>
    <row r="380" spans="1:10" ht="15.75" customHeight="1" x14ac:dyDescent="0.25">
      <c r="A380" s="380">
        <v>21051065</v>
      </c>
      <c r="B380" s="381" t="s">
        <v>321</v>
      </c>
      <c r="C380" s="381" t="s">
        <v>946</v>
      </c>
      <c r="D380" s="381" t="s">
        <v>315</v>
      </c>
      <c r="E380" s="381" t="s">
        <v>315</v>
      </c>
      <c r="F380" s="378">
        <v>-144439004.97</v>
      </c>
      <c r="G380" s="378">
        <v>5555555</v>
      </c>
      <c r="H380" s="378">
        <v>0</v>
      </c>
      <c r="I380" s="378">
        <v>-138883449.97</v>
      </c>
      <c r="J380" s="2">
        <f t="shared" si="7"/>
        <v>8</v>
      </c>
    </row>
    <row r="381" spans="1:10" ht="15.75" customHeight="1" x14ac:dyDescent="0.25">
      <c r="A381" s="380">
        <v>21051065</v>
      </c>
      <c r="B381" s="381" t="s">
        <v>321</v>
      </c>
      <c r="C381" s="381" t="s">
        <v>946</v>
      </c>
      <c r="D381" s="381" t="s">
        <v>419</v>
      </c>
      <c r="E381" s="381" t="s">
        <v>420</v>
      </c>
      <c r="F381" s="378">
        <v>-144439004.97</v>
      </c>
      <c r="G381" s="378">
        <v>5555555</v>
      </c>
      <c r="H381" s="378">
        <v>0</v>
      </c>
      <c r="I381" s="378">
        <v>-138883449.97</v>
      </c>
      <c r="J381" s="2">
        <f t="shared" si="7"/>
        <v>8</v>
      </c>
    </row>
    <row r="382" spans="1:10" ht="15.75" customHeight="1" x14ac:dyDescent="0.25">
      <c r="A382" s="380">
        <v>21051067</v>
      </c>
      <c r="B382" s="381" t="s">
        <v>321</v>
      </c>
      <c r="C382" s="381" t="s">
        <v>947</v>
      </c>
      <c r="D382" s="381" t="s">
        <v>315</v>
      </c>
      <c r="E382" s="381" t="s">
        <v>315</v>
      </c>
      <c r="F382" s="378">
        <v>-120000000</v>
      </c>
      <c r="G382" s="378">
        <v>0</v>
      </c>
      <c r="H382" s="378">
        <v>0</v>
      </c>
      <c r="I382" s="378">
        <v>-120000000</v>
      </c>
      <c r="J382" s="2">
        <f t="shared" si="7"/>
        <v>8</v>
      </c>
    </row>
    <row r="383" spans="1:10" ht="15.75" customHeight="1" x14ac:dyDescent="0.25">
      <c r="A383" s="380">
        <v>21051067</v>
      </c>
      <c r="B383" s="381" t="s">
        <v>321</v>
      </c>
      <c r="C383" s="381" t="s">
        <v>947</v>
      </c>
      <c r="D383" s="381" t="s">
        <v>440</v>
      </c>
      <c r="E383" s="381" t="s">
        <v>441</v>
      </c>
      <c r="F383" s="378">
        <v>-120000000</v>
      </c>
      <c r="G383" s="378">
        <v>0</v>
      </c>
      <c r="H383" s="378">
        <v>0</v>
      </c>
      <c r="I383" s="378">
        <v>-120000000</v>
      </c>
      <c r="J383" s="2">
        <f t="shared" si="7"/>
        <v>8</v>
      </c>
    </row>
    <row r="384" spans="1:10" ht="15.75" customHeight="1" x14ac:dyDescent="0.25">
      <c r="A384" s="380">
        <v>2120</v>
      </c>
      <c r="B384" s="381" t="s">
        <v>315</v>
      </c>
      <c r="C384" s="381" t="s">
        <v>948</v>
      </c>
      <c r="D384" s="381" t="s">
        <v>315</v>
      </c>
      <c r="E384" s="381" t="s">
        <v>315</v>
      </c>
      <c r="F384" s="378">
        <v>-3419998.1</v>
      </c>
      <c r="G384" s="378">
        <v>0</v>
      </c>
      <c r="H384" s="378">
        <v>0</v>
      </c>
      <c r="I384" s="378">
        <v>-3419998.1</v>
      </c>
      <c r="J384" s="2">
        <f t="shared" si="7"/>
        <v>4</v>
      </c>
    </row>
    <row r="385" spans="1:10" ht="15.75" customHeight="1" x14ac:dyDescent="0.25">
      <c r="A385" s="380">
        <v>212020</v>
      </c>
      <c r="B385" s="381" t="s">
        <v>315</v>
      </c>
      <c r="C385" s="381" t="s">
        <v>949</v>
      </c>
      <c r="D385" s="381" t="s">
        <v>315</v>
      </c>
      <c r="E385" s="381" t="s">
        <v>315</v>
      </c>
      <c r="F385" s="378">
        <v>-3419998.1</v>
      </c>
      <c r="G385" s="378">
        <v>0</v>
      </c>
      <c r="H385" s="378">
        <v>0</v>
      </c>
      <c r="I385" s="378">
        <v>-3419998.1</v>
      </c>
      <c r="J385" s="2">
        <f t="shared" si="7"/>
        <v>6</v>
      </c>
    </row>
    <row r="386" spans="1:10" ht="15.75" customHeight="1" x14ac:dyDescent="0.25">
      <c r="A386" s="380">
        <v>21202002</v>
      </c>
      <c r="B386" s="381" t="s">
        <v>321</v>
      </c>
      <c r="C386" s="381" t="s">
        <v>950</v>
      </c>
      <c r="D386" s="381" t="s">
        <v>315</v>
      </c>
      <c r="E386" s="381" t="s">
        <v>315</v>
      </c>
      <c r="F386" s="378">
        <v>-3419998.1</v>
      </c>
      <c r="G386" s="378">
        <v>0</v>
      </c>
      <c r="H386" s="378">
        <v>0</v>
      </c>
      <c r="I386" s="378">
        <v>-3419998.1</v>
      </c>
      <c r="J386" s="2">
        <f t="shared" si="7"/>
        <v>8</v>
      </c>
    </row>
    <row r="387" spans="1:10" ht="15.75" customHeight="1" x14ac:dyDescent="0.25">
      <c r="A387" s="380">
        <v>21202002</v>
      </c>
      <c r="B387" s="381" t="s">
        <v>321</v>
      </c>
      <c r="C387" s="381" t="s">
        <v>950</v>
      </c>
      <c r="D387" s="381" t="s">
        <v>856</v>
      </c>
      <c r="E387" s="381" t="s">
        <v>857</v>
      </c>
      <c r="F387" s="378">
        <v>-3419998.1</v>
      </c>
      <c r="G387" s="378">
        <v>0</v>
      </c>
      <c r="H387" s="378">
        <v>0</v>
      </c>
      <c r="I387" s="378">
        <v>-3419998.1</v>
      </c>
      <c r="J387" s="2">
        <f t="shared" si="7"/>
        <v>8</v>
      </c>
    </row>
    <row r="388" spans="1:10" ht="15.75" customHeight="1" x14ac:dyDescent="0.25">
      <c r="A388" s="380">
        <v>2195</v>
      </c>
      <c r="B388" s="381" t="s">
        <v>315</v>
      </c>
      <c r="C388" s="381" t="s">
        <v>424</v>
      </c>
      <c r="D388" s="381" t="s">
        <v>315</v>
      </c>
      <c r="E388" s="381" t="s">
        <v>315</v>
      </c>
      <c r="F388" s="378">
        <v>-27321222.000000101</v>
      </c>
      <c r="G388" s="378">
        <v>3035692</v>
      </c>
      <c r="H388" s="378">
        <v>0</v>
      </c>
      <c r="I388" s="378">
        <v>-24285530.000000101</v>
      </c>
      <c r="J388" s="2">
        <f t="shared" si="7"/>
        <v>4</v>
      </c>
    </row>
    <row r="389" spans="1:10" ht="15.75" customHeight="1" x14ac:dyDescent="0.25">
      <c r="A389" s="380">
        <v>219520</v>
      </c>
      <c r="B389" s="381" t="s">
        <v>321</v>
      </c>
      <c r="C389" s="381" t="s">
        <v>951</v>
      </c>
      <c r="D389" s="381" t="s">
        <v>315</v>
      </c>
      <c r="E389" s="381" t="s">
        <v>315</v>
      </c>
      <c r="F389" s="378">
        <v>-5.9604644775390599E-8</v>
      </c>
      <c r="G389" s="378">
        <v>0</v>
      </c>
      <c r="H389" s="378">
        <v>0</v>
      </c>
      <c r="I389" s="378">
        <v>-5.9604644775390599E-8</v>
      </c>
      <c r="J389" s="2">
        <f t="shared" si="7"/>
        <v>6</v>
      </c>
    </row>
    <row r="390" spans="1:10" ht="15.75" customHeight="1" x14ac:dyDescent="0.25">
      <c r="A390" s="380">
        <v>21952001</v>
      </c>
      <c r="B390" s="381" t="s">
        <v>321</v>
      </c>
      <c r="C390" s="381" t="s">
        <v>951</v>
      </c>
      <c r="D390" s="381" t="s">
        <v>315</v>
      </c>
      <c r="E390" s="381" t="s">
        <v>315</v>
      </c>
      <c r="F390" s="378">
        <v>-5.9604644775390599E-8</v>
      </c>
      <c r="G390" s="378">
        <v>0</v>
      </c>
      <c r="H390" s="378">
        <v>0</v>
      </c>
      <c r="I390" s="378">
        <v>-5.9604644775390599E-8</v>
      </c>
      <c r="J390" s="2">
        <f t="shared" si="7"/>
        <v>8</v>
      </c>
    </row>
    <row r="391" spans="1:10" ht="15.75" customHeight="1" x14ac:dyDescent="0.25">
      <c r="A391" s="380">
        <v>219595</v>
      </c>
      <c r="B391" s="381" t="s">
        <v>315</v>
      </c>
      <c r="C391" s="381" t="s">
        <v>238</v>
      </c>
      <c r="D391" s="381" t="s">
        <v>315</v>
      </c>
      <c r="E391" s="381" t="s">
        <v>315</v>
      </c>
      <c r="F391" s="378">
        <v>-27321222</v>
      </c>
      <c r="G391" s="378">
        <v>3035692</v>
      </c>
      <c r="H391" s="378">
        <v>0</v>
      </c>
      <c r="I391" s="378">
        <v>-24285530</v>
      </c>
      <c r="J391" s="2">
        <f t="shared" si="7"/>
        <v>6</v>
      </c>
    </row>
    <row r="392" spans="1:10" ht="15.75" customHeight="1" x14ac:dyDescent="0.25">
      <c r="A392" s="380">
        <v>21959503</v>
      </c>
      <c r="B392" s="381" t="s">
        <v>321</v>
      </c>
      <c r="C392" s="381" t="s">
        <v>952</v>
      </c>
      <c r="D392" s="381" t="s">
        <v>315</v>
      </c>
      <c r="E392" s="381" t="s">
        <v>315</v>
      </c>
      <c r="F392" s="378">
        <v>-27321222</v>
      </c>
      <c r="G392" s="378">
        <v>3035692</v>
      </c>
      <c r="H392" s="378">
        <v>0</v>
      </c>
      <c r="I392" s="378">
        <v>-24285530</v>
      </c>
      <c r="J392" s="2">
        <f t="shared" si="7"/>
        <v>8</v>
      </c>
    </row>
    <row r="393" spans="1:10" ht="15.75" customHeight="1" x14ac:dyDescent="0.25">
      <c r="A393" s="380">
        <v>21959503</v>
      </c>
      <c r="B393" s="381" t="s">
        <v>321</v>
      </c>
      <c r="C393" s="381" t="s">
        <v>952</v>
      </c>
      <c r="D393" s="381" t="s">
        <v>725</v>
      </c>
      <c r="E393" s="381" t="s">
        <v>726</v>
      </c>
      <c r="F393" s="378">
        <v>-27321222</v>
      </c>
      <c r="G393" s="378">
        <v>3035692</v>
      </c>
      <c r="H393" s="378">
        <v>0</v>
      </c>
      <c r="I393" s="378">
        <v>-24285530</v>
      </c>
      <c r="J393" s="2">
        <f t="shared" si="7"/>
        <v>8</v>
      </c>
    </row>
    <row r="394" spans="1:10" ht="15.75" customHeight="1" x14ac:dyDescent="0.25">
      <c r="A394" s="380">
        <v>22</v>
      </c>
      <c r="B394" s="381" t="s">
        <v>315</v>
      </c>
      <c r="C394" s="381" t="s">
        <v>72</v>
      </c>
      <c r="D394" s="381" t="s">
        <v>315</v>
      </c>
      <c r="E394" s="381" t="s">
        <v>315</v>
      </c>
      <c r="F394" s="378">
        <v>-180932486</v>
      </c>
      <c r="G394" s="378">
        <v>496357656</v>
      </c>
      <c r="H394" s="378">
        <v>514222380</v>
      </c>
      <c r="I394" s="378">
        <v>-198797210</v>
      </c>
      <c r="J394" s="2">
        <f t="shared" si="7"/>
        <v>2</v>
      </c>
    </row>
    <row r="395" spans="1:10" ht="15.75" customHeight="1" x14ac:dyDescent="0.25">
      <c r="A395" s="380">
        <v>2205</v>
      </c>
      <c r="B395" s="381" t="s">
        <v>315</v>
      </c>
      <c r="C395" s="381" t="s">
        <v>332</v>
      </c>
      <c r="D395" s="381" t="s">
        <v>315</v>
      </c>
      <c r="E395" s="381" t="s">
        <v>315</v>
      </c>
      <c r="F395" s="378">
        <v>-180932486</v>
      </c>
      <c r="G395" s="378">
        <v>496357656</v>
      </c>
      <c r="H395" s="378">
        <v>514222380</v>
      </c>
      <c r="I395" s="378">
        <v>-198797210</v>
      </c>
      <c r="J395" s="2">
        <f t="shared" si="7"/>
        <v>4</v>
      </c>
    </row>
    <row r="396" spans="1:10" ht="15.75" customHeight="1" x14ac:dyDescent="0.25">
      <c r="A396" s="380">
        <v>220501</v>
      </c>
      <c r="B396" s="381" t="s">
        <v>315</v>
      </c>
      <c r="C396" s="381" t="s">
        <v>332</v>
      </c>
      <c r="D396" s="381" t="s">
        <v>315</v>
      </c>
      <c r="E396" s="381" t="s">
        <v>315</v>
      </c>
      <c r="F396" s="378">
        <v>-180932486</v>
      </c>
      <c r="G396" s="378">
        <v>496357656</v>
      </c>
      <c r="H396" s="378">
        <v>514222380</v>
      </c>
      <c r="I396" s="378">
        <v>-198797210</v>
      </c>
      <c r="J396" s="2">
        <f t="shared" si="7"/>
        <v>6</v>
      </c>
    </row>
    <row r="397" spans="1:10" ht="15.75" customHeight="1" x14ac:dyDescent="0.25">
      <c r="A397" s="380">
        <v>22050101</v>
      </c>
      <c r="B397" s="381" t="s">
        <v>315</v>
      </c>
      <c r="C397" s="381" t="s">
        <v>73</v>
      </c>
      <c r="D397" s="381" t="s">
        <v>315</v>
      </c>
      <c r="E397" s="381" t="s">
        <v>315</v>
      </c>
      <c r="F397" s="378">
        <v>-180932486</v>
      </c>
      <c r="G397" s="378">
        <v>494192956</v>
      </c>
      <c r="H397" s="378">
        <v>512057680</v>
      </c>
      <c r="I397" s="378">
        <v>-198797210</v>
      </c>
      <c r="J397" s="2">
        <f t="shared" ref="J397:J460" si="8">+LEN(A397)</f>
        <v>8</v>
      </c>
    </row>
    <row r="398" spans="1:10" ht="15.75" customHeight="1" x14ac:dyDescent="0.25">
      <c r="A398" s="380">
        <v>22050101</v>
      </c>
      <c r="B398" s="381" t="s">
        <v>315</v>
      </c>
      <c r="C398" s="381" t="s">
        <v>73</v>
      </c>
      <c r="D398" s="381" t="s">
        <v>661</v>
      </c>
      <c r="E398" s="381" t="s">
        <v>662</v>
      </c>
      <c r="F398" s="378">
        <v>0</v>
      </c>
      <c r="G398" s="378">
        <v>912000</v>
      </c>
      <c r="H398" s="378">
        <v>912000</v>
      </c>
      <c r="I398" s="378">
        <v>0</v>
      </c>
      <c r="J398" s="2">
        <f t="shared" si="8"/>
        <v>8</v>
      </c>
    </row>
    <row r="399" spans="1:10" ht="15.75" customHeight="1" x14ac:dyDescent="0.25">
      <c r="A399" s="380">
        <v>22050101</v>
      </c>
      <c r="B399" s="381" t="s">
        <v>315</v>
      </c>
      <c r="C399" s="381" t="s">
        <v>73</v>
      </c>
      <c r="D399" s="381" t="s">
        <v>953</v>
      </c>
      <c r="E399" s="381" t="s">
        <v>954</v>
      </c>
      <c r="F399" s="378">
        <v>0</v>
      </c>
      <c r="G399" s="378">
        <v>283870</v>
      </c>
      <c r="H399" s="378">
        <v>283870</v>
      </c>
      <c r="I399" s="378">
        <v>0</v>
      </c>
      <c r="J399" s="2">
        <f t="shared" si="8"/>
        <v>8</v>
      </c>
    </row>
    <row r="400" spans="1:10" ht="15.75" customHeight="1" x14ac:dyDescent="0.25">
      <c r="A400" s="380">
        <v>22050101</v>
      </c>
      <c r="B400" s="381" t="s">
        <v>315</v>
      </c>
      <c r="C400" s="381" t="s">
        <v>73</v>
      </c>
      <c r="D400" s="381" t="s">
        <v>955</v>
      </c>
      <c r="E400" s="381" t="s">
        <v>956</v>
      </c>
      <c r="F400" s="378">
        <v>0</v>
      </c>
      <c r="G400" s="378">
        <v>929045</v>
      </c>
      <c r="H400" s="378">
        <v>929045</v>
      </c>
      <c r="I400" s="378">
        <v>0</v>
      </c>
      <c r="J400" s="2">
        <f t="shared" si="8"/>
        <v>8</v>
      </c>
    </row>
    <row r="401" spans="1:10" ht="15.75" customHeight="1" x14ac:dyDescent="0.25">
      <c r="A401" s="380">
        <v>22050101</v>
      </c>
      <c r="B401" s="381" t="s">
        <v>315</v>
      </c>
      <c r="C401" s="381" t="s">
        <v>73</v>
      </c>
      <c r="D401" s="381" t="s">
        <v>957</v>
      </c>
      <c r="E401" s="381" t="s">
        <v>958</v>
      </c>
      <c r="F401" s="378">
        <v>0</v>
      </c>
      <c r="G401" s="378">
        <v>4149827</v>
      </c>
      <c r="H401" s="378">
        <v>4149827</v>
      </c>
      <c r="I401" s="378">
        <v>0</v>
      </c>
      <c r="J401" s="2">
        <f t="shared" si="8"/>
        <v>8</v>
      </c>
    </row>
    <row r="402" spans="1:10" ht="15.75" customHeight="1" x14ac:dyDescent="0.25">
      <c r="A402" s="380">
        <v>22050101</v>
      </c>
      <c r="B402" s="381" t="s">
        <v>315</v>
      </c>
      <c r="C402" s="381" t="s">
        <v>73</v>
      </c>
      <c r="D402" s="381" t="s">
        <v>959</v>
      </c>
      <c r="E402" s="381" t="s">
        <v>960</v>
      </c>
      <c r="F402" s="378">
        <v>-42999</v>
      </c>
      <c r="G402" s="378">
        <v>0</v>
      </c>
      <c r="H402" s="378">
        <v>0</v>
      </c>
      <c r="I402" s="378">
        <v>-42999</v>
      </c>
      <c r="J402" s="2">
        <f t="shared" si="8"/>
        <v>8</v>
      </c>
    </row>
    <row r="403" spans="1:10" ht="15.75" customHeight="1" x14ac:dyDescent="0.25">
      <c r="A403" s="380">
        <v>22050101</v>
      </c>
      <c r="B403" s="381" t="s">
        <v>315</v>
      </c>
      <c r="C403" s="381" t="s">
        <v>73</v>
      </c>
      <c r="D403" s="381" t="s">
        <v>496</v>
      </c>
      <c r="E403" s="381" t="s">
        <v>497</v>
      </c>
      <c r="F403" s="378">
        <v>-2149500</v>
      </c>
      <c r="G403" s="378">
        <v>2149500</v>
      </c>
      <c r="H403" s="378">
        <v>1748000</v>
      </c>
      <c r="I403" s="378">
        <v>-1748000</v>
      </c>
      <c r="J403" s="2">
        <f t="shared" si="8"/>
        <v>8</v>
      </c>
    </row>
    <row r="404" spans="1:10" ht="15.75" customHeight="1" x14ac:dyDescent="0.25">
      <c r="A404" s="380">
        <v>22050101</v>
      </c>
      <c r="B404" s="381" t="s">
        <v>315</v>
      </c>
      <c r="C404" s="381" t="s">
        <v>73</v>
      </c>
      <c r="D404" s="381" t="s">
        <v>1038</v>
      </c>
      <c r="E404" s="381" t="s">
        <v>1039</v>
      </c>
      <c r="F404" s="378">
        <v>0</v>
      </c>
      <c r="G404" s="378">
        <v>24624153</v>
      </c>
      <c r="H404" s="378">
        <v>24624153</v>
      </c>
      <c r="I404" s="378">
        <v>0</v>
      </c>
      <c r="J404" s="2">
        <f t="shared" si="8"/>
        <v>8</v>
      </c>
    </row>
    <row r="405" spans="1:10" ht="15.75" customHeight="1" x14ac:dyDescent="0.25">
      <c r="A405" s="380">
        <v>22050101</v>
      </c>
      <c r="B405" s="381" t="s">
        <v>315</v>
      </c>
      <c r="C405" s="381" t="s">
        <v>73</v>
      </c>
      <c r="D405" s="381" t="s">
        <v>961</v>
      </c>
      <c r="E405" s="381" t="s">
        <v>962</v>
      </c>
      <c r="F405" s="378">
        <v>-774000</v>
      </c>
      <c r="G405" s="378">
        <v>0</v>
      </c>
      <c r="H405" s="378">
        <v>0</v>
      </c>
      <c r="I405" s="378">
        <v>-774000</v>
      </c>
      <c r="J405" s="2">
        <f t="shared" si="8"/>
        <v>8</v>
      </c>
    </row>
    <row r="406" spans="1:10" ht="15.75" customHeight="1" x14ac:dyDescent="0.25">
      <c r="A406" s="380">
        <v>22050101</v>
      </c>
      <c r="B406" s="381" t="s">
        <v>315</v>
      </c>
      <c r="C406" s="381" t="s">
        <v>73</v>
      </c>
      <c r="D406" s="381" t="s">
        <v>963</v>
      </c>
      <c r="E406" s="381" t="s">
        <v>964</v>
      </c>
      <c r="F406" s="378">
        <v>0</v>
      </c>
      <c r="G406" s="378">
        <v>80000</v>
      </c>
      <c r="H406" s="378">
        <v>80000</v>
      </c>
      <c r="I406" s="378">
        <v>0</v>
      </c>
      <c r="J406" s="2">
        <f t="shared" si="8"/>
        <v>8</v>
      </c>
    </row>
    <row r="407" spans="1:10" ht="15.75" customHeight="1" x14ac:dyDescent="0.25">
      <c r="A407" s="380">
        <v>22050101</v>
      </c>
      <c r="B407" s="381" t="s">
        <v>315</v>
      </c>
      <c r="C407" s="381" t="s">
        <v>73</v>
      </c>
      <c r="D407" s="381" t="s">
        <v>965</v>
      </c>
      <c r="E407" s="381" t="s">
        <v>966</v>
      </c>
      <c r="F407" s="378">
        <v>-1055000</v>
      </c>
      <c r="G407" s="378">
        <v>1055000</v>
      </c>
      <c r="H407" s="378">
        <v>1274200</v>
      </c>
      <c r="I407" s="378">
        <v>-1274200</v>
      </c>
      <c r="J407" s="2">
        <f t="shared" si="8"/>
        <v>8</v>
      </c>
    </row>
    <row r="408" spans="1:10" ht="15.75" customHeight="1" x14ac:dyDescent="0.25">
      <c r="A408" s="380">
        <v>22050101</v>
      </c>
      <c r="B408" s="381" t="s">
        <v>315</v>
      </c>
      <c r="C408" s="381" t="s">
        <v>73</v>
      </c>
      <c r="D408" s="381" t="s">
        <v>968</v>
      </c>
      <c r="E408" s="381" t="s">
        <v>969</v>
      </c>
      <c r="F408" s="378">
        <v>0</v>
      </c>
      <c r="G408" s="378">
        <v>4149827</v>
      </c>
      <c r="H408" s="378">
        <v>4149827</v>
      </c>
      <c r="I408" s="378">
        <v>0</v>
      </c>
      <c r="J408" s="2">
        <f t="shared" si="8"/>
        <v>8</v>
      </c>
    </row>
    <row r="409" spans="1:10" ht="15.75" customHeight="1" x14ac:dyDescent="0.25">
      <c r="A409" s="380">
        <v>22050101</v>
      </c>
      <c r="B409" s="381" t="s">
        <v>315</v>
      </c>
      <c r="C409" s="381" t="s">
        <v>73</v>
      </c>
      <c r="D409" s="381" t="s">
        <v>732</v>
      </c>
      <c r="E409" s="381" t="s">
        <v>733</v>
      </c>
      <c r="F409" s="378">
        <v>-110000</v>
      </c>
      <c r="G409" s="378">
        <v>110000</v>
      </c>
      <c r="H409" s="378">
        <v>856400</v>
      </c>
      <c r="I409" s="378">
        <v>-856400</v>
      </c>
      <c r="J409" s="2">
        <f t="shared" si="8"/>
        <v>8</v>
      </c>
    </row>
    <row r="410" spans="1:10" ht="15.75" customHeight="1" x14ac:dyDescent="0.25">
      <c r="A410" s="380">
        <v>22050101</v>
      </c>
      <c r="B410" s="381" t="s">
        <v>315</v>
      </c>
      <c r="C410" s="381" t="s">
        <v>73</v>
      </c>
      <c r="D410" s="381" t="s">
        <v>970</v>
      </c>
      <c r="E410" s="381" t="s">
        <v>971</v>
      </c>
      <c r="F410" s="378">
        <v>-151200</v>
      </c>
      <c r="G410" s="378">
        <v>0</v>
      </c>
      <c r="H410" s="378">
        <v>0</v>
      </c>
      <c r="I410" s="378">
        <v>-151200</v>
      </c>
      <c r="J410" s="2">
        <f t="shared" si="8"/>
        <v>8</v>
      </c>
    </row>
    <row r="411" spans="1:10" ht="15.75" customHeight="1" x14ac:dyDescent="0.25">
      <c r="A411" s="380">
        <v>22050101</v>
      </c>
      <c r="B411" s="381" t="s">
        <v>315</v>
      </c>
      <c r="C411" s="381" t="s">
        <v>73</v>
      </c>
      <c r="D411" s="381" t="s">
        <v>884</v>
      </c>
      <c r="E411" s="381" t="s">
        <v>885</v>
      </c>
      <c r="F411" s="378">
        <v>0</v>
      </c>
      <c r="G411" s="378">
        <v>0</v>
      </c>
      <c r="H411" s="378">
        <v>748800</v>
      </c>
      <c r="I411" s="378">
        <v>-748800</v>
      </c>
      <c r="J411" s="2">
        <f t="shared" si="8"/>
        <v>8</v>
      </c>
    </row>
    <row r="412" spans="1:10" ht="15.75" customHeight="1" x14ac:dyDescent="0.25">
      <c r="A412" s="380">
        <v>22050101</v>
      </c>
      <c r="B412" s="381" t="s">
        <v>315</v>
      </c>
      <c r="C412" s="381" t="s">
        <v>73</v>
      </c>
      <c r="D412" s="381" t="s">
        <v>1040</v>
      </c>
      <c r="E412" s="381" t="s">
        <v>750</v>
      </c>
      <c r="F412" s="378">
        <v>0</v>
      </c>
      <c r="G412" s="378">
        <v>2282254</v>
      </c>
      <c r="H412" s="378">
        <v>2282254</v>
      </c>
      <c r="I412" s="378">
        <v>0</v>
      </c>
      <c r="J412" s="2">
        <f t="shared" si="8"/>
        <v>8</v>
      </c>
    </row>
    <row r="413" spans="1:10" ht="15.75" customHeight="1" x14ac:dyDescent="0.25">
      <c r="A413" s="380">
        <v>22050101</v>
      </c>
      <c r="B413" s="381" t="s">
        <v>315</v>
      </c>
      <c r="C413" s="381" t="s">
        <v>73</v>
      </c>
      <c r="D413" s="381" t="s">
        <v>923</v>
      </c>
      <c r="E413" s="381" t="s">
        <v>924</v>
      </c>
      <c r="F413" s="378">
        <v>0</v>
      </c>
      <c r="G413" s="378">
        <v>5424948</v>
      </c>
      <c r="H413" s="378">
        <v>5424948</v>
      </c>
      <c r="I413" s="378">
        <v>0</v>
      </c>
      <c r="J413" s="2">
        <f t="shared" si="8"/>
        <v>8</v>
      </c>
    </row>
    <row r="414" spans="1:10" ht="15.75" customHeight="1" x14ac:dyDescent="0.25">
      <c r="A414" s="380">
        <v>22050101</v>
      </c>
      <c r="B414" s="381" t="s">
        <v>315</v>
      </c>
      <c r="C414" s="381" t="s">
        <v>73</v>
      </c>
      <c r="D414" s="381" t="s">
        <v>734</v>
      </c>
      <c r="E414" s="381" t="s">
        <v>735</v>
      </c>
      <c r="F414" s="378">
        <v>-377801</v>
      </c>
      <c r="G414" s="378">
        <v>377801</v>
      </c>
      <c r="H414" s="378">
        <v>0</v>
      </c>
      <c r="I414" s="378">
        <v>0</v>
      </c>
      <c r="J414" s="2">
        <f t="shared" si="8"/>
        <v>8</v>
      </c>
    </row>
    <row r="415" spans="1:10" ht="15.75" customHeight="1" x14ac:dyDescent="0.25">
      <c r="A415" s="380">
        <v>22050101</v>
      </c>
      <c r="B415" s="381" t="s">
        <v>315</v>
      </c>
      <c r="C415" s="381" t="s">
        <v>73</v>
      </c>
      <c r="D415" s="381" t="s">
        <v>972</v>
      </c>
      <c r="E415" s="381" t="s">
        <v>973</v>
      </c>
      <c r="F415" s="378">
        <v>0</v>
      </c>
      <c r="G415" s="378">
        <v>542699</v>
      </c>
      <c r="H415" s="378">
        <v>542699</v>
      </c>
      <c r="I415" s="378">
        <v>0</v>
      </c>
      <c r="J415" s="2">
        <f t="shared" si="8"/>
        <v>8</v>
      </c>
    </row>
    <row r="416" spans="1:10" ht="15.75" customHeight="1" x14ac:dyDescent="0.25">
      <c r="A416" s="380">
        <v>22050101</v>
      </c>
      <c r="B416" s="381" t="s">
        <v>315</v>
      </c>
      <c r="C416" s="381" t="s">
        <v>73</v>
      </c>
      <c r="D416" s="381" t="s">
        <v>493</v>
      </c>
      <c r="E416" s="381" t="s">
        <v>494</v>
      </c>
      <c r="F416" s="378">
        <v>-1641378</v>
      </c>
      <c r="G416" s="378">
        <v>0</v>
      </c>
      <c r="H416" s="378">
        <v>0</v>
      </c>
      <c r="I416" s="378">
        <v>-1641378</v>
      </c>
      <c r="J416" s="2">
        <f t="shared" si="8"/>
        <v>8</v>
      </c>
    </row>
    <row r="417" spans="1:10" ht="15.75" customHeight="1" x14ac:dyDescent="0.25">
      <c r="A417" s="380">
        <v>22050101</v>
      </c>
      <c r="B417" s="381" t="s">
        <v>315</v>
      </c>
      <c r="C417" s="381" t="s">
        <v>73</v>
      </c>
      <c r="D417" s="381" t="s">
        <v>974</v>
      </c>
      <c r="E417" s="381" t="s">
        <v>975</v>
      </c>
      <c r="F417" s="378">
        <v>-6631</v>
      </c>
      <c r="G417" s="378">
        <v>0</v>
      </c>
      <c r="H417" s="378">
        <v>0</v>
      </c>
      <c r="I417" s="378">
        <v>-6631</v>
      </c>
      <c r="J417" s="2">
        <f t="shared" si="8"/>
        <v>8</v>
      </c>
    </row>
    <row r="418" spans="1:10" ht="15.75" customHeight="1" x14ac:dyDescent="0.25">
      <c r="A418" s="380">
        <v>22050101</v>
      </c>
      <c r="B418" s="381" t="s">
        <v>315</v>
      </c>
      <c r="C418" s="381" t="s">
        <v>73</v>
      </c>
      <c r="D418" s="381" t="s">
        <v>383</v>
      </c>
      <c r="E418" s="381" t="s">
        <v>384</v>
      </c>
      <c r="F418" s="378">
        <v>-448501</v>
      </c>
      <c r="G418" s="378">
        <v>2335806</v>
      </c>
      <c r="H418" s="378">
        <v>1887305</v>
      </c>
      <c r="I418" s="378">
        <v>0</v>
      </c>
      <c r="J418" s="2">
        <f t="shared" si="8"/>
        <v>8</v>
      </c>
    </row>
    <row r="419" spans="1:10" ht="15.75" customHeight="1" x14ac:dyDescent="0.25">
      <c r="A419" s="380">
        <v>22050101</v>
      </c>
      <c r="B419" s="381" t="s">
        <v>315</v>
      </c>
      <c r="C419" s="381" t="s">
        <v>73</v>
      </c>
      <c r="D419" s="381" t="s">
        <v>443</v>
      </c>
      <c r="E419" s="381" t="s">
        <v>1477</v>
      </c>
      <c r="F419" s="378">
        <v>-4578332</v>
      </c>
      <c r="G419" s="378">
        <v>4578332</v>
      </c>
      <c r="H419" s="378">
        <v>4430644</v>
      </c>
      <c r="I419" s="378">
        <v>-4430644</v>
      </c>
      <c r="J419" s="2">
        <f t="shared" si="8"/>
        <v>8</v>
      </c>
    </row>
    <row r="420" spans="1:10" ht="15.75" customHeight="1" x14ac:dyDescent="0.25">
      <c r="A420" s="380">
        <v>22050101</v>
      </c>
      <c r="B420" s="381" t="s">
        <v>315</v>
      </c>
      <c r="C420" s="381" t="s">
        <v>73</v>
      </c>
      <c r="D420" s="381" t="s">
        <v>635</v>
      </c>
      <c r="E420" s="381" t="s">
        <v>812</v>
      </c>
      <c r="F420" s="378">
        <v>-1099890</v>
      </c>
      <c r="G420" s="378">
        <v>1099890</v>
      </c>
      <c r="H420" s="378">
        <v>1065900</v>
      </c>
      <c r="I420" s="378">
        <v>-1065900</v>
      </c>
      <c r="J420" s="2">
        <f t="shared" si="8"/>
        <v>8</v>
      </c>
    </row>
    <row r="421" spans="1:10" ht="15.75" customHeight="1" x14ac:dyDescent="0.25">
      <c r="A421" s="380">
        <v>22050101</v>
      </c>
      <c r="B421" s="381" t="s">
        <v>315</v>
      </c>
      <c r="C421" s="381" t="s">
        <v>73</v>
      </c>
      <c r="D421" s="381" t="s">
        <v>630</v>
      </c>
      <c r="E421" s="381" t="s">
        <v>813</v>
      </c>
      <c r="F421" s="378">
        <v>-1615151</v>
      </c>
      <c r="G421" s="378">
        <v>1589786</v>
      </c>
      <c r="H421" s="378">
        <v>1186965</v>
      </c>
      <c r="I421" s="378">
        <v>-1212330</v>
      </c>
      <c r="J421" s="2">
        <f t="shared" si="8"/>
        <v>8</v>
      </c>
    </row>
    <row r="422" spans="1:10" ht="15.75" customHeight="1" x14ac:dyDescent="0.25">
      <c r="A422" s="380">
        <v>22050101</v>
      </c>
      <c r="B422" s="381" t="s">
        <v>315</v>
      </c>
      <c r="C422" s="381" t="s">
        <v>73</v>
      </c>
      <c r="D422" s="381" t="s">
        <v>976</v>
      </c>
      <c r="E422" s="381" t="s">
        <v>977</v>
      </c>
      <c r="F422" s="378">
        <v>0</v>
      </c>
      <c r="G422" s="378">
        <v>1825610</v>
      </c>
      <c r="H422" s="378">
        <v>1825610</v>
      </c>
      <c r="I422" s="378">
        <v>0</v>
      </c>
      <c r="J422" s="2">
        <f t="shared" si="8"/>
        <v>8</v>
      </c>
    </row>
    <row r="423" spans="1:10" ht="15.75" customHeight="1" x14ac:dyDescent="0.25">
      <c r="A423" s="380">
        <v>22050101</v>
      </c>
      <c r="B423" s="381" t="s">
        <v>315</v>
      </c>
      <c r="C423" s="381" t="s">
        <v>73</v>
      </c>
      <c r="D423" s="381" t="s">
        <v>498</v>
      </c>
      <c r="E423" s="381" t="s">
        <v>1102</v>
      </c>
      <c r="F423" s="378">
        <v>0</v>
      </c>
      <c r="G423" s="378">
        <v>432864</v>
      </c>
      <c r="H423" s="378">
        <v>432864</v>
      </c>
      <c r="I423" s="378">
        <v>0</v>
      </c>
      <c r="J423" s="2">
        <f t="shared" si="8"/>
        <v>8</v>
      </c>
    </row>
    <row r="424" spans="1:10" ht="15.75" customHeight="1" x14ac:dyDescent="0.25">
      <c r="A424" s="380">
        <v>22050101</v>
      </c>
      <c r="B424" s="381" t="s">
        <v>315</v>
      </c>
      <c r="C424" s="381" t="s">
        <v>73</v>
      </c>
      <c r="D424" s="381" t="s">
        <v>978</v>
      </c>
      <c r="E424" s="381" t="s">
        <v>979</v>
      </c>
      <c r="F424" s="378">
        <v>-1669011</v>
      </c>
      <c r="G424" s="378">
        <v>1669002</v>
      </c>
      <c r="H424" s="378">
        <v>1544018</v>
      </c>
      <c r="I424" s="378">
        <v>-1544027</v>
      </c>
      <c r="J424" s="2">
        <f t="shared" si="8"/>
        <v>8</v>
      </c>
    </row>
    <row r="425" spans="1:10" ht="15.75" customHeight="1" x14ac:dyDescent="0.25">
      <c r="A425" s="380">
        <v>22050101</v>
      </c>
      <c r="B425" s="381" t="s">
        <v>315</v>
      </c>
      <c r="C425" s="381" t="s">
        <v>73</v>
      </c>
      <c r="D425" s="381" t="s">
        <v>980</v>
      </c>
      <c r="E425" s="381" t="s">
        <v>981</v>
      </c>
      <c r="F425" s="378">
        <v>5317434</v>
      </c>
      <c r="G425" s="378">
        <v>39486997</v>
      </c>
      <c r="H425" s="378">
        <v>44804431</v>
      </c>
      <c r="I425" s="378">
        <v>0</v>
      </c>
      <c r="J425" s="2">
        <f t="shared" si="8"/>
        <v>8</v>
      </c>
    </row>
    <row r="426" spans="1:10" ht="15.75" customHeight="1" x14ac:dyDescent="0.25">
      <c r="A426" s="380">
        <v>22050101</v>
      </c>
      <c r="B426" s="381" t="s">
        <v>315</v>
      </c>
      <c r="C426" s="381" t="s">
        <v>73</v>
      </c>
      <c r="D426" s="381" t="s">
        <v>982</v>
      </c>
      <c r="E426" s="381" t="s">
        <v>1478</v>
      </c>
      <c r="F426" s="378">
        <v>0</v>
      </c>
      <c r="G426" s="378">
        <v>1752180</v>
      </c>
      <c r="H426" s="378">
        <v>1752180</v>
      </c>
      <c r="I426" s="378">
        <v>0</v>
      </c>
      <c r="J426" s="2">
        <f t="shared" si="8"/>
        <v>8</v>
      </c>
    </row>
    <row r="427" spans="1:10" ht="15.75" customHeight="1" x14ac:dyDescent="0.25">
      <c r="A427" s="380">
        <v>22050101</v>
      </c>
      <c r="B427" s="381" t="s">
        <v>315</v>
      </c>
      <c r="C427" s="381" t="s">
        <v>73</v>
      </c>
      <c r="D427" s="381" t="s">
        <v>427</v>
      </c>
      <c r="E427" s="381" t="s">
        <v>428</v>
      </c>
      <c r="F427" s="378">
        <v>-137300</v>
      </c>
      <c r="G427" s="378">
        <v>137300</v>
      </c>
      <c r="H427" s="378">
        <v>274550</v>
      </c>
      <c r="I427" s="378">
        <v>-274550</v>
      </c>
      <c r="J427" s="2">
        <f t="shared" si="8"/>
        <v>8</v>
      </c>
    </row>
    <row r="428" spans="1:10" ht="15.75" customHeight="1" x14ac:dyDescent="0.25">
      <c r="A428" s="380">
        <v>22050101</v>
      </c>
      <c r="B428" s="381" t="s">
        <v>315</v>
      </c>
      <c r="C428" s="381" t="s">
        <v>73</v>
      </c>
      <c r="D428" s="381" t="s">
        <v>715</v>
      </c>
      <c r="E428" s="381" t="s">
        <v>716</v>
      </c>
      <c r="F428" s="378">
        <v>0</v>
      </c>
      <c r="G428" s="378">
        <v>204462</v>
      </c>
      <c r="H428" s="378">
        <v>204462</v>
      </c>
      <c r="I428" s="378">
        <v>0</v>
      </c>
      <c r="J428" s="2">
        <f t="shared" si="8"/>
        <v>8</v>
      </c>
    </row>
    <row r="429" spans="1:10" ht="15.75" customHeight="1" x14ac:dyDescent="0.25">
      <c r="A429" s="380">
        <v>22050101</v>
      </c>
      <c r="B429" s="381" t="s">
        <v>315</v>
      </c>
      <c r="C429" s="381" t="s">
        <v>73</v>
      </c>
      <c r="D429" s="381" t="s">
        <v>367</v>
      </c>
      <c r="E429" s="381" t="s">
        <v>814</v>
      </c>
      <c r="F429" s="378">
        <v>-11237156</v>
      </c>
      <c r="G429" s="378">
        <v>10846148</v>
      </c>
      <c r="H429" s="378">
        <v>10821187</v>
      </c>
      <c r="I429" s="378">
        <v>-11212195</v>
      </c>
      <c r="J429" s="2">
        <f t="shared" si="8"/>
        <v>8</v>
      </c>
    </row>
    <row r="430" spans="1:10" ht="15.75" customHeight="1" x14ac:dyDescent="0.25">
      <c r="A430" s="380">
        <v>22050101</v>
      </c>
      <c r="B430" s="381" t="s">
        <v>315</v>
      </c>
      <c r="C430" s="381" t="s">
        <v>73</v>
      </c>
      <c r="D430" s="381" t="s">
        <v>369</v>
      </c>
      <c r="E430" s="381" t="s">
        <v>815</v>
      </c>
      <c r="F430" s="378">
        <v>-4394739</v>
      </c>
      <c r="G430" s="378">
        <v>5392723</v>
      </c>
      <c r="H430" s="378">
        <v>5553964</v>
      </c>
      <c r="I430" s="378">
        <v>-4555980</v>
      </c>
      <c r="J430" s="2">
        <f t="shared" si="8"/>
        <v>8</v>
      </c>
    </row>
    <row r="431" spans="1:10" ht="15.75" customHeight="1" x14ac:dyDescent="0.25">
      <c r="A431" s="380">
        <v>22050101</v>
      </c>
      <c r="B431" s="381" t="s">
        <v>315</v>
      </c>
      <c r="C431" s="381" t="s">
        <v>73</v>
      </c>
      <c r="D431" s="381" t="s">
        <v>340</v>
      </c>
      <c r="E431" s="381" t="s">
        <v>341</v>
      </c>
      <c r="F431" s="378">
        <v>0</v>
      </c>
      <c r="G431" s="378">
        <v>13841614</v>
      </c>
      <c r="H431" s="378">
        <v>13841614</v>
      </c>
      <c r="I431" s="378">
        <v>0</v>
      </c>
      <c r="J431" s="2">
        <f t="shared" si="8"/>
        <v>8</v>
      </c>
    </row>
    <row r="432" spans="1:10" ht="15.75" customHeight="1" x14ac:dyDescent="0.25">
      <c r="A432" s="380">
        <v>22050101</v>
      </c>
      <c r="B432" s="381" t="s">
        <v>315</v>
      </c>
      <c r="C432" s="381" t="s">
        <v>73</v>
      </c>
      <c r="D432" s="381" t="s">
        <v>680</v>
      </c>
      <c r="E432" s="381" t="s">
        <v>681</v>
      </c>
      <c r="F432" s="378">
        <v>-229300</v>
      </c>
      <c r="G432" s="378">
        <v>0</v>
      </c>
      <c r="H432" s="378">
        <v>0</v>
      </c>
      <c r="I432" s="378">
        <v>-229300</v>
      </c>
      <c r="J432" s="2">
        <f t="shared" si="8"/>
        <v>8</v>
      </c>
    </row>
    <row r="433" spans="1:10" ht="15.75" customHeight="1" x14ac:dyDescent="0.25">
      <c r="A433" s="380">
        <v>22050101</v>
      </c>
      <c r="B433" s="381" t="s">
        <v>315</v>
      </c>
      <c r="C433" s="381" t="s">
        <v>73</v>
      </c>
      <c r="D433" s="381" t="s">
        <v>983</v>
      </c>
      <c r="E433" s="381" t="s">
        <v>984</v>
      </c>
      <c r="F433" s="378">
        <v>0</v>
      </c>
      <c r="G433" s="378">
        <v>17000973</v>
      </c>
      <c r="H433" s="378">
        <v>17000973</v>
      </c>
      <c r="I433" s="378">
        <v>0</v>
      </c>
      <c r="J433" s="2">
        <f t="shared" si="8"/>
        <v>8</v>
      </c>
    </row>
    <row r="434" spans="1:10" ht="15.75" customHeight="1" x14ac:dyDescent="0.25">
      <c r="A434" s="380">
        <v>22050101</v>
      </c>
      <c r="B434" s="381" t="s">
        <v>315</v>
      </c>
      <c r="C434" s="381" t="s">
        <v>73</v>
      </c>
      <c r="D434" s="381" t="s">
        <v>985</v>
      </c>
      <c r="E434" s="381" t="s">
        <v>986</v>
      </c>
      <c r="F434" s="378">
        <v>0</v>
      </c>
      <c r="G434" s="378">
        <v>6341669</v>
      </c>
      <c r="H434" s="378">
        <v>6341669</v>
      </c>
      <c r="I434" s="378">
        <v>0</v>
      </c>
      <c r="J434" s="2">
        <f t="shared" si="8"/>
        <v>8</v>
      </c>
    </row>
    <row r="435" spans="1:10" ht="15.75" customHeight="1" x14ac:dyDescent="0.25">
      <c r="A435" s="380">
        <v>22050101</v>
      </c>
      <c r="B435" s="381" t="s">
        <v>315</v>
      </c>
      <c r="C435" s="381" t="s">
        <v>73</v>
      </c>
      <c r="D435" s="381" t="s">
        <v>429</v>
      </c>
      <c r="E435" s="381" t="s">
        <v>430</v>
      </c>
      <c r="F435" s="378">
        <v>-1297095</v>
      </c>
      <c r="G435" s="378">
        <v>18309970</v>
      </c>
      <c r="H435" s="378">
        <v>17012875</v>
      </c>
      <c r="I435" s="378">
        <v>0</v>
      </c>
      <c r="J435" s="2">
        <f t="shared" si="8"/>
        <v>8</v>
      </c>
    </row>
    <row r="436" spans="1:10" ht="15.75" customHeight="1" x14ac:dyDescent="0.25">
      <c r="A436" s="380">
        <v>22050101</v>
      </c>
      <c r="B436" s="381" t="s">
        <v>315</v>
      </c>
      <c r="C436" s="381" t="s">
        <v>73</v>
      </c>
      <c r="D436" s="381" t="s">
        <v>987</v>
      </c>
      <c r="E436" s="381" t="s">
        <v>988</v>
      </c>
      <c r="F436" s="378">
        <v>-3931688</v>
      </c>
      <c r="G436" s="378">
        <v>9931428</v>
      </c>
      <c r="H436" s="378">
        <v>12080800</v>
      </c>
      <c r="I436" s="378">
        <v>-6081060</v>
      </c>
      <c r="J436" s="2">
        <f t="shared" si="8"/>
        <v>8</v>
      </c>
    </row>
    <row r="437" spans="1:10" ht="15.75" customHeight="1" x14ac:dyDescent="0.25">
      <c r="A437" s="380">
        <v>22050101</v>
      </c>
      <c r="B437" s="381" t="s">
        <v>315</v>
      </c>
      <c r="C437" s="381" t="s">
        <v>73</v>
      </c>
      <c r="D437" s="381" t="s">
        <v>991</v>
      </c>
      <c r="E437" s="381" t="s">
        <v>992</v>
      </c>
      <c r="F437" s="378">
        <v>0</v>
      </c>
      <c r="G437" s="378">
        <v>2531000</v>
      </c>
      <c r="H437" s="378">
        <v>2531000</v>
      </c>
      <c r="I437" s="378">
        <v>0</v>
      </c>
      <c r="J437" s="2">
        <f t="shared" si="8"/>
        <v>8</v>
      </c>
    </row>
    <row r="438" spans="1:10" ht="15.75" customHeight="1" x14ac:dyDescent="0.25">
      <c r="A438" s="380">
        <v>22050101</v>
      </c>
      <c r="B438" s="381" t="s">
        <v>315</v>
      </c>
      <c r="C438" s="381" t="s">
        <v>73</v>
      </c>
      <c r="D438" s="381" t="s">
        <v>993</v>
      </c>
      <c r="E438" s="381" t="s">
        <v>994</v>
      </c>
      <c r="F438" s="378">
        <v>0</v>
      </c>
      <c r="G438" s="378">
        <v>16539</v>
      </c>
      <c r="H438" s="378">
        <v>16539</v>
      </c>
      <c r="I438" s="378">
        <v>0</v>
      </c>
      <c r="J438" s="2">
        <f t="shared" si="8"/>
        <v>8</v>
      </c>
    </row>
    <row r="439" spans="1:10" ht="15.75" customHeight="1" x14ac:dyDescent="0.25">
      <c r="A439" s="380">
        <v>22050101</v>
      </c>
      <c r="B439" s="381" t="s">
        <v>315</v>
      </c>
      <c r="C439" s="381" t="s">
        <v>73</v>
      </c>
      <c r="D439" s="381" t="s">
        <v>391</v>
      </c>
      <c r="E439" s="381" t="s">
        <v>392</v>
      </c>
      <c r="F439" s="378">
        <v>-400503</v>
      </c>
      <c r="G439" s="378">
        <v>118914</v>
      </c>
      <c r="H439" s="378">
        <v>118768</v>
      </c>
      <c r="I439" s="378">
        <v>-400357</v>
      </c>
      <c r="J439" s="2">
        <f t="shared" si="8"/>
        <v>8</v>
      </c>
    </row>
    <row r="440" spans="1:10" ht="15.75" customHeight="1" x14ac:dyDescent="0.25">
      <c r="A440" s="380">
        <v>22050101</v>
      </c>
      <c r="B440" s="381" t="s">
        <v>315</v>
      </c>
      <c r="C440" s="381" t="s">
        <v>73</v>
      </c>
      <c r="D440" s="381" t="s">
        <v>995</v>
      </c>
      <c r="E440" s="381" t="s">
        <v>996</v>
      </c>
      <c r="F440" s="378">
        <v>0</v>
      </c>
      <c r="G440" s="378">
        <v>27227147</v>
      </c>
      <c r="H440" s="378">
        <v>27241290</v>
      </c>
      <c r="I440" s="378">
        <v>-14143</v>
      </c>
      <c r="J440" s="2">
        <f t="shared" si="8"/>
        <v>8</v>
      </c>
    </row>
    <row r="441" spans="1:10" ht="15.75" customHeight="1" x14ac:dyDescent="0.25">
      <c r="A441" s="380">
        <v>22050101</v>
      </c>
      <c r="B441" s="381" t="s">
        <v>315</v>
      </c>
      <c r="C441" s="381" t="s">
        <v>73</v>
      </c>
      <c r="D441" s="381" t="s">
        <v>347</v>
      </c>
      <c r="E441" s="381" t="s">
        <v>348</v>
      </c>
      <c r="F441" s="378">
        <v>-172777048</v>
      </c>
      <c r="G441" s="378">
        <v>181078160</v>
      </c>
      <c r="H441" s="378">
        <v>188156929</v>
      </c>
      <c r="I441" s="378">
        <v>-179855817</v>
      </c>
      <c r="J441" s="2">
        <f t="shared" si="8"/>
        <v>8</v>
      </c>
    </row>
    <row r="442" spans="1:10" ht="15.75" customHeight="1" x14ac:dyDescent="0.25">
      <c r="A442" s="380">
        <v>22050101</v>
      </c>
      <c r="B442" s="381" t="s">
        <v>315</v>
      </c>
      <c r="C442" s="381" t="s">
        <v>73</v>
      </c>
      <c r="D442" s="381" t="s">
        <v>373</v>
      </c>
      <c r="E442" s="381" t="s">
        <v>374</v>
      </c>
      <c r="F442" s="378">
        <v>-7087828</v>
      </c>
      <c r="G442" s="378">
        <v>9380689</v>
      </c>
      <c r="H442" s="378">
        <v>10367260</v>
      </c>
      <c r="I442" s="378">
        <v>-8074399</v>
      </c>
      <c r="J442" s="2">
        <f t="shared" si="8"/>
        <v>8</v>
      </c>
    </row>
    <row r="443" spans="1:10" ht="15.75" customHeight="1" x14ac:dyDescent="0.25">
      <c r="A443" s="380">
        <v>22050101</v>
      </c>
      <c r="B443" s="381" t="s">
        <v>315</v>
      </c>
      <c r="C443" s="381" t="s">
        <v>73</v>
      </c>
      <c r="D443" s="381" t="s">
        <v>997</v>
      </c>
      <c r="E443" s="381" t="s">
        <v>998</v>
      </c>
      <c r="F443" s="378">
        <v>-22610</v>
      </c>
      <c r="G443" s="378">
        <v>22610</v>
      </c>
      <c r="H443" s="378">
        <v>0</v>
      </c>
      <c r="I443" s="378">
        <v>0</v>
      </c>
      <c r="J443" s="2">
        <f t="shared" si="8"/>
        <v>8</v>
      </c>
    </row>
    <row r="444" spans="1:10" ht="15.75" customHeight="1" x14ac:dyDescent="0.25">
      <c r="A444" s="380">
        <v>22050101</v>
      </c>
      <c r="B444" s="381" t="s">
        <v>315</v>
      </c>
      <c r="C444" s="381" t="s">
        <v>73</v>
      </c>
      <c r="D444" s="381" t="s">
        <v>1107</v>
      </c>
      <c r="E444" s="381" t="s">
        <v>1108</v>
      </c>
      <c r="F444" s="378">
        <v>0</v>
      </c>
      <c r="G444" s="378">
        <v>0</v>
      </c>
      <c r="H444" s="378">
        <v>180001</v>
      </c>
      <c r="I444" s="378">
        <v>-180001</v>
      </c>
      <c r="J444" s="2">
        <f t="shared" si="8"/>
        <v>8</v>
      </c>
    </row>
    <row r="445" spans="1:10" ht="15.75" customHeight="1" x14ac:dyDescent="0.25">
      <c r="A445" s="380">
        <v>22050101</v>
      </c>
      <c r="B445" s="381" t="s">
        <v>315</v>
      </c>
      <c r="C445" s="381" t="s">
        <v>73</v>
      </c>
      <c r="D445" s="381" t="s">
        <v>495</v>
      </c>
      <c r="E445" s="381" t="s">
        <v>925</v>
      </c>
      <c r="F445" s="378">
        <v>-165698</v>
      </c>
      <c r="G445" s="378">
        <v>165698</v>
      </c>
      <c r="H445" s="378">
        <v>0</v>
      </c>
      <c r="I445" s="378">
        <v>0</v>
      </c>
      <c r="J445" s="2">
        <f t="shared" si="8"/>
        <v>8</v>
      </c>
    </row>
    <row r="446" spans="1:10" ht="15.75" customHeight="1" x14ac:dyDescent="0.25">
      <c r="A446" s="380">
        <v>22050101</v>
      </c>
      <c r="B446" s="381" t="s">
        <v>315</v>
      </c>
      <c r="C446" s="381" t="s">
        <v>73</v>
      </c>
      <c r="D446" s="381" t="s">
        <v>377</v>
      </c>
      <c r="E446" s="381" t="s">
        <v>378</v>
      </c>
      <c r="F446" s="378">
        <v>54564071</v>
      </c>
      <c r="G446" s="378">
        <v>26750571</v>
      </c>
      <c r="H446" s="378">
        <v>27047110</v>
      </c>
      <c r="I446" s="378">
        <v>54267532</v>
      </c>
      <c r="J446" s="2">
        <f t="shared" si="8"/>
        <v>8</v>
      </c>
    </row>
    <row r="447" spans="1:10" ht="15.75" customHeight="1" x14ac:dyDescent="0.25">
      <c r="A447" s="380">
        <v>22050101</v>
      </c>
      <c r="B447" s="381" t="s">
        <v>315</v>
      </c>
      <c r="C447" s="381" t="s">
        <v>73</v>
      </c>
      <c r="D447" s="381" t="s">
        <v>1041</v>
      </c>
      <c r="E447" s="381" t="s">
        <v>1042</v>
      </c>
      <c r="F447" s="378">
        <v>0</v>
      </c>
      <c r="G447" s="378">
        <v>0</v>
      </c>
      <c r="H447" s="378">
        <v>330625</v>
      </c>
      <c r="I447" s="378">
        <v>-330625</v>
      </c>
      <c r="J447" s="2">
        <f t="shared" si="8"/>
        <v>8</v>
      </c>
    </row>
    <row r="448" spans="1:10" ht="15.75" customHeight="1" x14ac:dyDescent="0.25">
      <c r="A448" s="380">
        <v>22050101</v>
      </c>
      <c r="B448" s="381" t="s">
        <v>315</v>
      </c>
      <c r="C448" s="381" t="s">
        <v>73</v>
      </c>
      <c r="D448" s="381" t="s">
        <v>431</v>
      </c>
      <c r="E448" s="381" t="s">
        <v>432</v>
      </c>
      <c r="F448" s="378">
        <v>-1352986</v>
      </c>
      <c r="G448" s="378">
        <v>1352986</v>
      </c>
      <c r="H448" s="378">
        <v>1463987</v>
      </c>
      <c r="I448" s="378">
        <v>-1463987</v>
      </c>
      <c r="J448" s="2">
        <f t="shared" si="8"/>
        <v>8</v>
      </c>
    </row>
    <row r="449" spans="1:10" ht="15.75" customHeight="1" x14ac:dyDescent="0.25">
      <c r="A449" s="380">
        <v>22050101</v>
      </c>
      <c r="B449" s="381" t="s">
        <v>315</v>
      </c>
      <c r="C449" s="381" t="s">
        <v>73</v>
      </c>
      <c r="D449" s="381" t="s">
        <v>650</v>
      </c>
      <c r="E449" s="381" t="s">
        <v>999</v>
      </c>
      <c r="F449" s="378">
        <v>-1030400</v>
      </c>
      <c r="G449" s="378">
        <v>1030400</v>
      </c>
      <c r="H449" s="378">
        <v>1030400</v>
      </c>
      <c r="I449" s="378">
        <v>-1030400</v>
      </c>
      <c r="J449" s="2">
        <f t="shared" si="8"/>
        <v>8</v>
      </c>
    </row>
    <row r="450" spans="1:10" ht="15.75" customHeight="1" x14ac:dyDescent="0.25">
      <c r="A450" s="380">
        <v>22050101</v>
      </c>
      <c r="B450" s="381" t="s">
        <v>315</v>
      </c>
      <c r="C450" s="381" t="s">
        <v>73</v>
      </c>
      <c r="D450" s="381" t="s">
        <v>1000</v>
      </c>
      <c r="E450" s="381" t="s">
        <v>1479</v>
      </c>
      <c r="F450" s="378">
        <v>-32568</v>
      </c>
      <c r="G450" s="378">
        <v>1232745</v>
      </c>
      <c r="H450" s="378">
        <v>1232745</v>
      </c>
      <c r="I450" s="378">
        <v>-32568</v>
      </c>
      <c r="J450" s="2">
        <f t="shared" si="8"/>
        <v>8</v>
      </c>
    </row>
    <row r="451" spans="1:10" ht="15.75" customHeight="1" x14ac:dyDescent="0.25">
      <c r="A451" s="380">
        <v>22050101</v>
      </c>
      <c r="B451" s="381" t="s">
        <v>315</v>
      </c>
      <c r="C451" s="381" t="s">
        <v>73</v>
      </c>
      <c r="D451" s="381" t="s">
        <v>1001</v>
      </c>
      <c r="E451" s="381" t="s">
        <v>1002</v>
      </c>
      <c r="F451" s="378">
        <v>-114554</v>
      </c>
      <c r="G451" s="378">
        <v>114551</v>
      </c>
      <c r="H451" s="378">
        <v>130113</v>
      </c>
      <c r="I451" s="378">
        <v>-130116</v>
      </c>
      <c r="J451" s="2">
        <f t="shared" si="8"/>
        <v>8</v>
      </c>
    </row>
    <row r="452" spans="1:10" ht="15.75" customHeight="1" x14ac:dyDescent="0.25">
      <c r="A452" s="380">
        <v>22050101</v>
      </c>
      <c r="B452" s="381" t="s">
        <v>315</v>
      </c>
      <c r="C452" s="381" t="s">
        <v>73</v>
      </c>
      <c r="D452" s="381" t="s">
        <v>412</v>
      </c>
      <c r="E452" s="381" t="s">
        <v>1003</v>
      </c>
      <c r="F452" s="378">
        <v>-3075183</v>
      </c>
      <c r="G452" s="378">
        <v>3075167</v>
      </c>
      <c r="H452" s="378">
        <v>3075165</v>
      </c>
      <c r="I452" s="378">
        <v>-3075181</v>
      </c>
      <c r="J452" s="2">
        <f t="shared" si="8"/>
        <v>8</v>
      </c>
    </row>
    <row r="453" spans="1:10" ht="15.75" customHeight="1" x14ac:dyDescent="0.25">
      <c r="A453" s="380">
        <v>22050101</v>
      </c>
      <c r="B453" s="381" t="s">
        <v>315</v>
      </c>
      <c r="C453" s="381" t="s">
        <v>73</v>
      </c>
      <c r="D453" s="381" t="s">
        <v>344</v>
      </c>
      <c r="E453" s="381" t="s">
        <v>820</v>
      </c>
      <c r="F453" s="378">
        <v>0</v>
      </c>
      <c r="G453" s="378">
        <v>0</v>
      </c>
      <c r="H453" s="378">
        <v>60495</v>
      </c>
      <c r="I453" s="378">
        <v>-60495</v>
      </c>
      <c r="J453" s="2">
        <f t="shared" si="8"/>
        <v>8</v>
      </c>
    </row>
    <row r="454" spans="1:10" ht="15.75" customHeight="1" x14ac:dyDescent="0.25">
      <c r="A454" s="380">
        <v>22050101</v>
      </c>
      <c r="B454" s="381" t="s">
        <v>315</v>
      </c>
      <c r="C454" s="381" t="s">
        <v>73</v>
      </c>
      <c r="D454" s="381" t="s">
        <v>1004</v>
      </c>
      <c r="E454" s="381" t="s">
        <v>1005</v>
      </c>
      <c r="F454" s="378">
        <v>-92050</v>
      </c>
      <c r="G454" s="378">
        <v>92050</v>
      </c>
      <c r="H454" s="378">
        <v>246063</v>
      </c>
      <c r="I454" s="378">
        <v>-246063</v>
      </c>
      <c r="J454" s="2">
        <f t="shared" si="8"/>
        <v>8</v>
      </c>
    </row>
    <row r="455" spans="1:10" ht="15.75" customHeight="1" x14ac:dyDescent="0.25">
      <c r="A455" s="380">
        <v>22050101</v>
      </c>
      <c r="B455" s="381" t="s">
        <v>315</v>
      </c>
      <c r="C455" s="381" t="s">
        <v>73</v>
      </c>
      <c r="D455" s="381" t="s">
        <v>918</v>
      </c>
      <c r="E455" s="381" t="s">
        <v>919</v>
      </c>
      <c r="F455" s="378">
        <v>0</v>
      </c>
      <c r="G455" s="378">
        <v>1681072</v>
      </c>
      <c r="H455" s="378">
        <v>1681072</v>
      </c>
      <c r="I455" s="378">
        <v>0</v>
      </c>
      <c r="J455" s="2">
        <f t="shared" si="8"/>
        <v>8</v>
      </c>
    </row>
    <row r="456" spans="1:10" ht="15.75" customHeight="1" x14ac:dyDescent="0.25">
      <c r="A456" s="380">
        <v>22050101</v>
      </c>
      <c r="B456" s="381" t="s">
        <v>315</v>
      </c>
      <c r="C456" s="381" t="s">
        <v>73</v>
      </c>
      <c r="D456" s="381" t="s">
        <v>761</v>
      </c>
      <c r="E456" s="381" t="s">
        <v>762</v>
      </c>
      <c r="F456" s="378">
        <v>0</v>
      </c>
      <c r="G456" s="378">
        <v>15660065</v>
      </c>
      <c r="H456" s="378">
        <v>15660065</v>
      </c>
      <c r="I456" s="378">
        <v>0</v>
      </c>
      <c r="J456" s="2">
        <f t="shared" si="8"/>
        <v>8</v>
      </c>
    </row>
    <row r="457" spans="1:10" ht="15.75" customHeight="1" x14ac:dyDescent="0.25">
      <c r="A457" s="380">
        <v>22050101</v>
      </c>
      <c r="B457" s="381" t="s">
        <v>315</v>
      </c>
      <c r="C457" s="381" t="s">
        <v>73</v>
      </c>
      <c r="D457" s="381" t="s">
        <v>1009</v>
      </c>
      <c r="E457" s="381" t="s">
        <v>1010</v>
      </c>
      <c r="F457" s="378">
        <v>-10063855</v>
      </c>
      <c r="G457" s="378">
        <v>20842031</v>
      </c>
      <c r="H457" s="378">
        <v>29787670</v>
      </c>
      <c r="I457" s="378">
        <v>-19009494</v>
      </c>
      <c r="J457" s="2">
        <f t="shared" si="8"/>
        <v>8</v>
      </c>
    </row>
    <row r="458" spans="1:10" ht="15.75" customHeight="1" x14ac:dyDescent="0.25">
      <c r="A458" s="380">
        <v>22050101</v>
      </c>
      <c r="B458" s="381" t="s">
        <v>315</v>
      </c>
      <c r="C458" s="381" t="s">
        <v>73</v>
      </c>
      <c r="D458" s="381" t="s">
        <v>1011</v>
      </c>
      <c r="E458" s="381" t="s">
        <v>1012</v>
      </c>
      <c r="F458" s="378">
        <v>-119000</v>
      </c>
      <c r="G458" s="378">
        <v>694000</v>
      </c>
      <c r="H458" s="378">
        <v>575000</v>
      </c>
      <c r="I458" s="378">
        <v>0</v>
      </c>
      <c r="J458" s="2">
        <f t="shared" si="8"/>
        <v>8</v>
      </c>
    </row>
    <row r="459" spans="1:10" ht="15.75" customHeight="1" x14ac:dyDescent="0.25">
      <c r="A459" s="380">
        <v>22050101</v>
      </c>
      <c r="B459" s="381" t="s">
        <v>315</v>
      </c>
      <c r="C459" s="381" t="s">
        <v>73</v>
      </c>
      <c r="D459" s="381" t="s">
        <v>1015</v>
      </c>
      <c r="E459" s="381" t="s">
        <v>1016</v>
      </c>
      <c r="F459" s="378">
        <v>-874000</v>
      </c>
      <c r="G459" s="378">
        <v>874000</v>
      </c>
      <c r="H459" s="378">
        <v>506000</v>
      </c>
      <c r="I459" s="378">
        <v>-506000</v>
      </c>
      <c r="J459" s="2">
        <f t="shared" si="8"/>
        <v>8</v>
      </c>
    </row>
    <row r="460" spans="1:10" ht="15.75" customHeight="1" x14ac:dyDescent="0.25">
      <c r="A460" s="380">
        <v>22050101</v>
      </c>
      <c r="B460" s="381" t="s">
        <v>315</v>
      </c>
      <c r="C460" s="381" t="s">
        <v>73</v>
      </c>
      <c r="D460" s="381" t="s">
        <v>723</v>
      </c>
      <c r="E460" s="381" t="s">
        <v>724</v>
      </c>
      <c r="F460" s="378">
        <v>-2270326</v>
      </c>
      <c r="G460" s="378">
        <v>2455326</v>
      </c>
      <c r="H460" s="378">
        <v>185000</v>
      </c>
      <c r="I460" s="378">
        <v>0</v>
      </c>
      <c r="J460" s="2">
        <f t="shared" si="8"/>
        <v>8</v>
      </c>
    </row>
    <row r="461" spans="1:10" ht="15.75" customHeight="1" x14ac:dyDescent="0.25">
      <c r="A461" s="380">
        <v>22050101</v>
      </c>
      <c r="B461" s="381" t="s">
        <v>315</v>
      </c>
      <c r="C461" s="381" t="s">
        <v>73</v>
      </c>
      <c r="D461" s="381" t="s">
        <v>1017</v>
      </c>
      <c r="E461" s="381" t="s">
        <v>1018</v>
      </c>
      <c r="F461" s="378">
        <v>0</v>
      </c>
      <c r="G461" s="378">
        <v>2020334</v>
      </c>
      <c r="H461" s="378">
        <v>2020334</v>
      </c>
      <c r="I461" s="378">
        <v>0</v>
      </c>
      <c r="J461" s="2">
        <f t="shared" ref="J461:J524" si="9">+LEN(A461)</f>
        <v>8</v>
      </c>
    </row>
    <row r="462" spans="1:10" ht="15.75" customHeight="1" x14ac:dyDescent="0.25">
      <c r="A462" s="380">
        <v>22050101</v>
      </c>
      <c r="B462" s="381" t="s">
        <v>315</v>
      </c>
      <c r="C462" s="381" t="s">
        <v>73</v>
      </c>
      <c r="D462" s="381" t="s">
        <v>1178</v>
      </c>
      <c r="E462" s="381" t="s">
        <v>1179</v>
      </c>
      <c r="F462" s="378">
        <v>-464100</v>
      </c>
      <c r="G462" s="378">
        <v>464100</v>
      </c>
      <c r="H462" s="378">
        <v>0</v>
      </c>
      <c r="I462" s="378">
        <v>0</v>
      </c>
      <c r="J462" s="2">
        <f t="shared" si="9"/>
        <v>8</v>
      </c>
    </row>
    <row r="463" spans="1:10" ht="15.75" customHeight="1" x14ac:dyDescent="0.25">
      <c r="A463" s="380">
        <v>22050101</v>
      </c>
      <c r="B463" s="381" t="s">
        <v>315</v>
      </c>
      <c r="C463" s="381" t="s">
        <v>73</v>
      </c>
      <c r="D463" s="381" t="s">
        <v>1109</v>
      </c>
      <c r="E463" s="381" t="s">
        <v>1110</v>
      </c>
      <c r="F463" s="378">
        <v>0</v>
      </c>
      <c r="G463" s="378">
        <v>630700</v>
      </c>
      <c r="H463" s="378">
        <v>630700</v>
      </c>
      <c r="I463" s="378">
        <v>0</v>
      </c>
      <c r="J463" s="2">
        <f t="shared" si="9"/>
        <v>8</v>
      </c>
    </row>
    <row r="464" spans="1:10" ht="15.75" customHeight="1" x14ac:dyDescent="0.25">
      <c r="A464" s="380">
        <v>22050101</v>
      </c>
      <c r="B464" s="381" t="s">
        <v>315</v>
      </c>
      <c r="C464" s="381" t="s">
        <v>73</v>
      </c>
      <c r="D464" s="381" t="s">
        <v>675</v>
      </c>
      <c r="E464" s="381" t="s">
        <v>736</v>
      </c>
      <c r="F464" s="378">
        <v>-746785</v>
      </c>
      <c r="G464" s="378">
        <v>746785</v>
      </c>
      <c r="H464" s="378">
        <v>0</v>
      </c>
      <c r="I464" s="378">
        <v>0</v>
      </c>
      <c r="J464" s="2">
        <f t="shared" si="9"/>
        <v>8</v>
      </c>
    </row>
    <row r="465" spans="1:10" ht="15.75" customHeight="1" x14ac:dyDescent="0.25">
      <c r="A465" s="380">
        <v>22050101</v>
      </c>
      <c r="B465" s="381" t="s">
        <v>315</v>
      </c>
      <c r="C465" s="381" t="s">
        <v>73</v>
      </c>
      <c r="D465" s="381" t="s">
        <v>668</v>
      </c>
      <c r="E465" s="381" t="s">
        <v>1028</v>
      </c>
      <c r="F465" s="378">
        <v>-2267994</v>
      </c>
      <c r="G465" s="378">
        <v>7426119</v>
      </c>
      <c r="H465" s="378">
        <v>5158125</v>
      </c>
      <c r="I465" s="378">
        <v>0</v>
      </c>
      <c r="J465" s="2">
        <f t="shared" si="9"/>
        <v>8</v>
      </c>
    </row>
    <row r="466" spans="1:10" ht="15.75" customHeight="1" x14ac:dyDescent="0.25">
      <c r="A466" s="380">
        <v>22050101</v>
      </c>
      <c r="B466" s="381" t="s">
        <v>315</v>
      </c>
      <c r="C466" s="381" t="s">
        <v>73</v>
      </c>
      <c r="D466" s="381" t="s">
        <v>665</v>
      </c>
      <c r="E466" s="381" t="s">
        <v>824</v>
      </c>
      <c r="F466" s="378">
        <v>-909831</v>
      </c>
      <c r="G466" s="378">
        <v>983031</v>
      </c>
      <c r="H466" s="378">
        <v>793702</v>
      </c>
      <c r="I466" s="378">
        <v>-720502</v>
      </c>
      <c r="J466" s="2">
        <f t="shared" si="9"/>
        <v>8</v>
      </c>
    </row>
    <row r="467" spans="1:10" ht="15.75" customHeight="1" x14ac:dyDescent="0.25">
      <c r="A467" s="380">
        <v>22050101</v>
      </c>
      <c r="B467" s="381" t="s">
        <v>315</v>
      </c>
      <c r="C467" s="381" t="s">
        <v>73</v>
      </c>
      <c r="D467" s="381" t="s">
        <v>1023</v>
      </c>
      <c r="E467" s="381" t="s">
        <v>1024</v>
      </c>
      <c r="F467" s="378">
        <v>0</v>
      </c>
      <c r="G467" s="378">
        <v>632800</v>
      </c>
      <c r="H467" s="378">
        <v>632800</v>
      </c>
      <c r="I467" s="378">
        <v>0</v>
      </c>
      <c r="J467" s="2">
        <f t="shared" si="9"/>
        <v>8</v>
      </c>
    </row>
    <row r="468" spans="1:10" ht="15.75" customHeight="1" x14ac:dyDescent="0.25">
      <c r="A468" s="380">
        <v>22050101</v>
      </c>
      <c r="B468" s="381" t="s">
        <v>315</v>
      </c>
      <c r="C468" s="381" t="s">
        <v>73</v>
      </c>
      <c r="D468" s="381" t="s">
        <v>1025</v>
      </c>
      <c r="E468" s="381" t="s">
        <v>1026</v>
      </c>
      <c r="F468" s="378">
        <v>0</v>
      </c>
      <c r="G468" s="378">
        <v>0</v>
      </c>
      <c r="H468" s="378">
        <v>85000</v>
      </c>
      <c r="I468" s="378">
        <v>-85000</v>
      </c>
      <c r="J468" s="2">
        <f t="shared" si="9"/>
        <v>8</v>
      </c>
    </row>
    <row r="469" spans="1:10" ht="15.75" customHeight="1" x14ac:dyDescent="0.25">
      <c r="A469" s="380">
        <v>22050101</v>
      </c>
      <c r="B469" s="381" t="s">
        <v>315</v>
      </c>
      <c r="C469" s="381" t="s">
        <v>73</v>
      </c>
      <c r="D469" s="381" t="s">
        <v>1036</v>
      </c>
      <c r="E469" s="381" t="s">
        <v>1037</v>
      </c>
      <c r="F469" s="378">
        <v>0</v>
      </c>
      <c r="G469" s="378">
        <v>1045688</v>
      </c>
      <c r="H469" s="378">
        <v>1045688</v>
      </c>
      <c r="I469" s="378">
        <v>0</v>
      </c>
      <c r="J469" s="2">
        <f t="shared" si="9"/>
        <v>8</v>
      </c>
    </row>
    <row r="470" spans="1:10" ht="15.75" customHeight="1" x14ac:dyDescent="0.25">
      <c r="A470" s="380">
        <v>22050102</v>
      </c>
      <c r="B470" s="381" t="s">
        <v>321</v>
      </c>
      <c r="C470" s="381" t="s">
        <v>737</v>
      </c>
      <c r="D470" s="381" t="s">
        <v>315</v>
      </c>
      <c r="E470" s="381" t="s">
        <v>315</v>
      </c>
      <c r="F470" s="378">
        <v>0</v>
      </c>
      <c r="G470" s="378">
        <v>2164700</v>
      </c>
      <c r="H470" s="378">
        <v>2164700</v>
      </c>
      <c r="I470" s="378">
        <v>0</v>
      </c>
      <c r="J470" s="2">
        <f t="shared" si="9"/>
        <v>8</v>
      </c>
    </row>
    <row r="471" spans="1:10" ht="15.75" customHeight="1" x14ac:dyDescent="0.25">
      <c r="A471" s="380">
        <v>22050102</v>
      </c>
      <c r="B471" s="381" t="s">
        <v>321</v>
      </c>
      <c r="C471" s="381" t="s">
        <v>737</v>
      </c>
      <c r="D471" s="381" t="s">
        <v>740</v>
      </c>
      <c r="E471" s="381" t="s">
        <v>741</v>
      </c>
      <c r="F471" s="378">
        <v>0</v>
      </c>
      <c r="G471" s="378">
        <v>791700</v>
      </c>
      <c r="H471" s="378">
        <v>791700</v>
      </c>
      <c r="I471" s="378">
        <v>0</v>
      </c>
      <c r="J471" s="2">
        <f t="shared" si="9"/>
        <v>8</v>
      </c>
    </row>
    <row r="472" spans="1:10" ht="15.75" customHeight="1" x14ac:dyDescent="0.25">
      <c r="A472" s="380">
        <v>22050102</v>
      </c>
      <c r="B472" s="381" t="s">
        <v>321</v>
      </c>
      <c r="C472" s="381" t="s">
        <v>737</v>
      </c>
      <c r="D472" s="381" t="s">
        <v>1359</v>
      </c>
      <c r="E472" s="381" t="s">
        <v>1360</v>
      </c>
      <c r="F472" s="378">
        <v>0</v>
      </c>
      <c r="G472" s="378">
        <v>90000</v>
      </c>
      <c r="H472" s="378">
        <v>90000</v>
      </c>
      <c r="I472" s="378">
        <v>0</v>
      </c>
      <c r="J472" s="2">
        <f t="shared" si="9"/>
        <v>8</v>
      </c>
    </row>
    <row r="473" spans="1:10" ht="15.75" customHeight="1" x14ac:dyDescent="0.25">
      <c r="A473" s="380">
        <v>22050102</v>
      </c>
      <c r="B473" s="381" t="s">
        <v>321</v>
      </c>
      <c r="C473" s="381" t="s">
        <v>737</v>
      </c>
      <c r="D473" s="381" t="s">
        <v>742</v>
      </c>
      <c r="E473" s="381" t="s">
        <v>743</v>
      </c>
      <c r="F473" s="378">
        <v>0</v>
      </c>
      <c r="G473" s="378">
        <v>266000</v>
      </c>
      <c r="H473" s="378">
        <v>266000</v>
      </c>
      <c r="I473" s="378">
        <v>0</v>
      </c>
      <c r="J473" s="2">
        <f t="shared" si="9"/>
        <v>8</v>
      </c>
    </row>
    <row r="474" spans="1:10" ht="15.75" customHeight="1" x14ac:dyDescent="0.25">
      <c r="A474" s="380">
        <v>22050102</v>
      </c>
      <c r="B474" s="381" t="s">
        <v>321</v>
      </c>
      <c r="C474" s="381" t="s">
        <v>737</v>
      </c>
      <c r="D474" s="381" t="s">
        <v>744</v>
      </c>
      <c r="E474" s="381" t="s">
        <v>745</v>
      </c>
      <c r="F474" s="378">
        <v>0</v>
      </c>
      <c r="G474" s="378">
        <v>90000</v>
      </c>
      <c r="H474" s="378">
        <v>90000</v>
      </c>
      <c r="I474" s="378">
        <v>0</v>
      </c>
      <c r="J474" s="2">
        <f t="shared" si="9"/>
        <v>8</v>
      </c>
    </row>
    <row r="475" spans="1:10" ht="15.75" customHeight="1" x14ac:dyDescent="0.25">
      <c r="A475" s="380">
        <v>22050102</v>
      </c>
      <c r="B475" s="381" t="s">
        <v>321</v>
      </c>
      <c r="C475" s="381" t="s">
        <v>737</v>
      </c>
      <c r="D475" s="381" t="s">
        <v>746</v>
      </c>
      <c r="E475" s="381" t="s">
        <v>1478</v>
      </c>
      <c r="F475" s="378">
        <v>0</v>
      </c>
      <c r="G475" s="378">
        <v>28000</v>
      </c>
      <c r="H475" s="378">
        <v>28000</v>
      </c>
      <c r="I475" s="378">
        <v>0</v>
      </c>
      <c r="J475" s="2">
        <f t="shared" si="9"/>
        <v>8</v>
      </c>
    </row>
    <row r="476" spans="1:10" ht="15.75" customHeight="1" x14ac:dyDescent="0.25">
      <c r="A476" s="380">
        <v>22050102</v>
      </c>
      <c r="B476" s="381" t="s">
        <v>321</v>
      </c>
      <c r="C476" s="381" t="s">
        <v>737</v>
      </c>
      <c r="D476" s="381" t="s">
        <v>1380</v>
      </c>
      <c r="E476" s="381" t="s">
        <v>1381</v>
      </c>
      <c r="F476" s="378">
        <v>0</v>
      </c>
      <c r="G476" s="378">
        <v>4000</v>
      </c>
      <c r="H476" s="378">
        <v>4000</v>
      </c>
      <c r="I476" s="378">
        <v>0</v>
      </c>
      <c r="J476" s="2">
        <f t="shared" si="9"/>
        <v>8</v>
      </c>
    </row>
    <row r="477" spans="1:10" ht="15.75" customHeight="1" x14ac:dyDescent="0.25">
      <c r="A477" s="380">
        <v>22050102</v>
      </c>
      <c r="B477" s="381" t="s">
        <v>321</v>
      </c>
      <c r="C477" s="381" t="s">
        <v>737</v>
      </c>
      <c r="D477" s="381" t="s">
        <v>747</v>
      </c>
      <c r="E477" s="381" t="s">
        <v>748</v>
      </c>
      <c r="F477" s="378">
        <v>0</v>
      </c>
      <c r="G477" s="378">
        <v>345000</v>
      </c>
      <c r="H477" s="378">
        <v>345000</v>
      </c>
      <c r="I477" s="378">
        <v>0</v>
      </c>
      <c r="J477" s="2">
        <f t="shared" si="9"/>
        <v>8</v>
      </c>
    </row>
    <row r="478" spans="1:10" ht="15.75" customHeight="1" x14ac:dyDescent="0.25">
      <c r="A478" s="380">
        <v>22050102</v>
      </c>
      <c r="B478" s="381" t="s">
        <v>321</v>
      </c>
      <c r="C478" s="381" t="s">
        <v>737</v>
      </c>
      <c r="D478" s="381" t="s">
        <v>1365</v>
      </c>
      <c r="E478" s="381" t="s">
        <v>1366</v>
      </c>
      <c r="F478" s="378">
        <v>0</v>
      </c>
      <c r="G478" s="378">
        <v>550000</v>
      </c>
      <c r="H478" s="378">
        <v>550000</v>
      </c>
      <c r="I478" s="378">
        <v>0</v>
      </c>
      <c r="J478" s="2">
        <f t="shared" si="9"/>
        <v>8</v>
      </c>
    </row>
    <row r="479" spans="1:10" ht="15.75" customHeight="1" x14ac:dyDescent="0.25">
      <c r="A479" s="380">
        <v>23</v>
      </c>
      <c r="B479" s="381" t="s">
        <v>315</v>
      </c>
      <c r="C479" s="381" t="s">
        <v>76</v>
      </c>
      <c r="D479" s="381" t="s">
        <v>315</v>
      </c>
      <c r="E479" s="381" t="s">
        <v>315</v>
      </c>
      <c r="F479" s="378">
        <v>-10256255.52</v>
      </c>
      <c r="G479" s="378">
        <v>35545758.439999998</v>
      </c>
      <c r="H479" s="378">
        <v>30869007.960000001</v>
      </c>
      <c r="I479" s="378">
        <v>-5579505.0400000298</v>
      </c>
      <c r="J479" s="2">
        <f t="shared" si="9"/>
        <v>2</v>
      </c>
    </row>
    <row r="480" spans="1:10" ht="15.75" customHeight="1" x14ac:dyDescent="0.25">
      <c r="A480" s="380">
        <v>2365</v>
      </c>
      <c r="B480" s="381" t="s">
        <v>315</v>
      </c>
      <c r="C480" s="381" t="s">
        <v>418</v>
      </c>
      <c r="D480" s="381" t="s">
        <v>315</v>
      </c>
      <c r="E480" s="381" t="s">
        <v>315</v>
      </c>
      <c r="F480" s="378">
        <v>0</v>
      </c>
      <c r="G480" s="378">
        <v>7674288</v>
      </c>
      <c r="H480" s="378">
        <v>7674288</v>
      </c>
      <c r="I480" s="378">
        <v>0</v>
      </c>
      <c r="J480" s="2">
        <f t="shared" si="9"/>
        <v>4</v>
      </c>
    </row>
    <row r="481" spans="1:10" ht="15.75" customHeight="1" x14ac:dyDescent="0.25">
      <c r="A481" s="380">
        <v>236515</v>
      </c>
      <c r="B481" s="381" t="s">
        <v>315</v>
      </c>
      <c r="C481" s="381" t="s">
        <v>188</v>
      </c>
      <c r="D481" s="381" t="s">
        <v>315</v>
      </c>
      <c r="E481" s="381" t="s">
        <v>315</v>
      </c>
      <c r="F481" s="378">
        <v>-950397</v>
      </c>
      <c r="G481" s="378">
        <v>0</v>
      </c>
      <c r="H481" s="378">
        <v>157259</v>
      </c>
      <c r="I481" s="378">
        <v>-1107656</v>
      </c>
      <c r="J481" s="2">
        <f t="shared" si="9"/>
        <v>6</v>
      </c>
    </row>
    <row r="482" spans="1:10" ht="15.75" customHeight="1" x14ac:dyDescent="0.25">
      <c r="A482" s="380">
        <v>23651502</v>
      </c>
      <c r="B482" s="381" t="s">
        <v>321</v>
      </c>
      <c r="C482" s="381" t="s">
        <v>1027</v>
      </c>
      <c r="D482" s="381" t="s">
        <v>315</v>
      </c>
      <c r="E482" s="381" t="s">
        <v>315</v>
      </c>
      <c r="F482" s="378">
        <v>-950397</v>
      </c>
      <c r="G482" s="378">
        <v>0</v>
      </c>
      <c r="H482" s="378">
        <v>157259</v>
      </c>
      <c r="I482" s="378">
        <v>-1107656</v>
      </c>
      <c r="J482" s="2">
        <f t="shared" si="9"/>
        <v>8</v>
      </c>
    </row>
    <row r="483" spans="1:10" ht="15.75" customHeight="1" x14ac:dyDescent="0.25">
      <c r="A483" s="380">
        <v>23651502</v>
      </c>
      <c r="B483" s="381" t="s">
        <v>321</v>
      </c>
      <c r="C483" s="381" t="s">
        <v>1027</v>
      </c>
      <c r="D483" s="381" t="s">
        <v>978</v>
      </c>
      <c r="E483" s="381" t="s">
        <v>979</v>
      </c>
      <c r="F483" s="378">
        <v>-592894</v>
      </c>
      <c r="G483" s="378">
        <v>0</v>
      </c>
      <c r="H483" s="378">
        <v>157259</v>
      </c>
      <c r="I483" s="378">
        <v>-750153</v>
      </c>
      <c r="J483" s="2">
        <f t="shared" si="9"/>
        <v>8</v>
      </c>
    </row>
    <row r="484" spans="1:10" ht="15.75" customHeight="1" x14ac:dyDescent="0.25">
      <c r="A484" s="380">
        <v>23651502</v>
      </c>
      <c r="B484" s="381" t="s">
        <v>321</v>
      </c>
      <c r="C484" s="381" t="s">
        <v>1027</v>
      </c>
      <c r="D484" s="381" t="s">
        <v>668</v>
      </c>
      <c r="E484" s="381" t="s">
        <v>1028</v>
      </c>
      <c r="F484" s="378">
        <v>-357503</v>
      </c>
      <c r="G484" s="378">
        <v>0</v>
      </c>
      <c r="H484" s="378">
        <v>0</v>
      </c>
      <c r="I484" s="378">
        <v>-357503</v>
      </c>
      <c r="J484" s="2">
        <f t="shared" si="9"/>
        <v>8</v>
      </c>
    </row>
    <row r="485" spans="1:10" ht="15.75" customHeight="1" x14ac:dyDescent="0.25">
      <c r="A485" s="380">
        <v>236520</v>
      </c>
      <c r="B485" s="381" t="s">
        <v>315</v>
      </c>
      <c r="C485" s="381" t="s">
        <v>489</v>
      </c>
      <c r="D485" s="381" t="s">
        <v>315</v>
      </c>
      <c r="E485" s="381" t="s">
        <v>315</v>
      </c>
      <c r="F485" s="378">
        <v>-412610</v>
      </c>
      <c r="G485" s="378">
        <v>0</v>
      </c>
      <c r="H485" s="378">
        <v>0</v>
      </c>
      <c r="I485" s="378">
        <v>-412610</v>
      </c>
      <c r="J485" s="2">
        <f t="shared" si="9"/>
        <v>6</v>
      </c>
    </row>
    <row r="486" spans="1:10" ht="15.75" customHeight="1" x14ac:dyDescent="0.25">
      <c r="A486" s="380">
        <v>23652002</v>
      </c>
      <c r="B486" s="381" t="s">
        <v>315</v>
      </c>
      <c r="C486" s="381" t="s">
        <v>1029</v>
      </c>
      <c r="D486" s="381" t="s">
        <v>315</v>
      </c>
      <c r="E486" s="381" t="s">
        <v>315</v>
      </c>
      <c r="F486" s="378">
        <v>-412610</v>
      </c>
      <c r="G486" s="378">
        <v>0</v>
      </c>
      <c r="H486" s="378">
        <v>0</v>
      </c>
      <c r="I486" s="378">
        <v>-412610</v>
      </c>
      <c r="J486" s="2">
        <f t="shared" si="9"/>
        <v>8</v>
      </c>
    </row>
    <row r="487" spans="1:10" ht="15.75" customHeight="1" x14ac:dyDescent="0.25">
      <c r="A487" s="380">
        <v>23652002</v>
      </c>
      <c r="B487" s="381" t="s">
        <v>315</v>
      </c>
      <c r="C487" s="381" t="s">
        <v>1029</v>
      </c>
      <c r="D487" s="381" t="s">
        <v>1030</v>
      </c>
      <c r="E487" s="381" t="s">
        <v>1031</v>
      </c>
      <c r="F487" s="378">
        <v>-412610</v>
      </c>
      <c r="G487" s="378">
        <v>0</v>
      </c>
      <c r="H487" s="378">
        <v>0</v>
      </c>
      <c r="I487" s="378">
        <v>-412610</v>
      </c>
      <c r="J487" s="2">
        <f t="shared" si="9"/>
        <v>8</v>
      </c>
    </row>
    <row r="488" spans="1:10" ht="15.75" customHeight="1" x14ac:dyDescent="0.25">
      <c r="A488" s="380">
        <v>236525</v>
      </c>
      <c r="B488" s="381" t="s">
        <v>321</v>
      </c>
      <c r="C488" s="381" t="s">
        <v>193</v>
      </c>
      <c r="D488" s="381" t="s">
        <v>315</v>
      </c>
      <c r="E488" s="381" t="s">
        <v>315</v>
      </c>
      <c r="F488" s="378">
        <v>-6403230</v>
      </c>
      <c r="G488" s="378">
        <v>0</v>
      </c>
      <c r="H488" s="378">
        <v>1530670</v>
      </c>
      <c r="I488" s="378">
        <v>-7933900</v>
      </c>
      <c r="J488" s="2">
        <f t="shared" si="9"/>
        <v>6</v>
      </c>
    </row>
    <row r="489" spans="1:10" ht="15.75" customHeight="1" x14ac:dyDescent="0.25">
      <c r="A489" s="380">
        <v>23652501</v>
      </c>
      <c r="B489" s="381" t="s">
        <v>315</v>
      </c>
      <c r="C489" s="381" t="s">
        <v>674</v>
      </c>
      <c r="D489" s="381" t="s">
        <v>315</v>
      </c>
      <c r="E489" s="381" t="s">
        <v>315</v>
      </c>
      <c r="F489" s="378">
        <v>-167100</v>
      </c>
      <c r="G489" s="378">
        <v>0</v>
      </c>
      <c r="H489" s="378">
        <v>110116</v>
      </c>
      <c r="I489" s="378">
        <v>-277216</v>
      </c>
      <c r="J489" s="2">
        <f t="shared" si="9"/>
        <v>8</v>
      </c>
    </row>
    <row r="490" spans="1:10" ht="15.75" customHeight="1" x14ac:dyDescent="0.25">
      <c r="A490" s="380">
        <v>23652501</v>
      </c>
      <c r="B490" s="381" t="s">
        <v>315</v>
      </c>
      <c r="C490" s="381" t="s">
        <v>674</v>
      </c>
      <c r="D490" s="381" t="s">
        <v>1034</v>
      </c>
      <c r="E490" s="381" t="s">
        <v>1035</v>
      </c>
      <c r="F490" s="378">
        <v>-108000</v>
      </c>
      <c r="G490" s="378">
        <v>0</v>
      </c>
      <c r="H490" s="378">
        <v>0</v>
      </c>
      <c r="I490" s="378">
        <v>-108000</v>
      </c>
      <c r="J490" s="2">
        <f t="shared" si="9"/>
        <v>8</v>
      </c>
    </row>
    <row r="491" spans="1:10" ht="15.75" customHeight="1" x14ac:dyDescent="0.25">
      <c r="A491" s="380">
        <v>23652501</v>
      </c>
      <c r="B491" s="381" t="s">
        <v>315</v>
      </c>
      <c r="C491" s="381" t="s">
        <v>674</v>
      </c>
      <c r="D491" s="381" t="s">
        <v>965</v>
      </c>
      <c r="E491" s="381" t="s">
        <v>966</v>
      </c>
      <c r="F491" s="378">
        <v>-13200</v>
      </c>
      <c r="G491" s="378">
        <v>0</v>
      </c>
      <c r="H491" s="378">
        <v>25800</v>
      </c>
      <c r="I491" s="378">
        <v>-39000</v>
      </c>
      <c r="J491" s="2">
        <f t="shared" si="9"/>
        <v>8</v>
      </c>
    </row>
    <row r="492" spans="1:10" ht="15.75" customHeight="1" x14ac:dyDescent="0.25">
      <c r="A492" s="380">
        <v>23652501</v>
      </c>
      <c r="B492" s="381" t="s">
        <v>315</v>
      </c>
      <c r="C492" s="381" t="s">
        <v>674</v>
      </c>
      <c r="D492" s="381" t="s">
        <v>732</v>
      </c>
      <c r="E492" s="381" t="s">
        <v>733</v>
      </c>
      <c r="F492" s="378">
        <v>-27000</v>
      </c>
      <c r="G492" s="378">
        <v>0</v>
      </c>
      <c r="H492" s="378">
        <v>48600</v>
      </c>
      <c r="I492" s="378">
        <v>-75600</v>
      </c>
      <c r="J492" s="2">
        <f t="shared" si="9"/>
        <v>8</v>
      </c>
    </row>
    <row r="493" spans="1:10" ht="15.75" customHeight="1" x14ac:dyDescent="0.25">
      <c r="A493" s="380">
        <v>23652501</v>
      </c>
      <c r="B493" s="381" t="s">
        <v>315</v>
      </c>
      <c r="C493" s="381" t="s">
        <v>674</v>
      </c>
      <c r="D493" s="381" t="s">
        <v>884</v>
      </c>
      <c r="E493" s="381" t="s">
        <v>885</v>
      </c>
      <c r="F493" s="378">
        <v>-18900</v>
      </c>
      <c r="G493" s="378">
        <v>0</v>
      </c>
      <c r="H493" s="378">
        <v>0</v>
      </c>
      <c r="I493" s="378">
        <v>-18900</v>
      </c>
      <c r="J493" s="2">
        <f t="shared" si="9"/>
        <v>8</v>
      </c>
    </row>
    <row r="494" spans="1:10" ht="15.75" customHeight="1" x14ac:dyDescent="0.25">
      <c r="A494" s="380">
        <v>23652501</v>
      </c>
      <c r="B494" s="381" t="s">
        <v>315</v>
      </c>
      <c r="C494" s="381" t="s">
        <v>674</v>
      </c>
      <c r="D494" s="381" t="s">
        <v>1036</v>
      </c>
      <c r="E494" s="381" t="s">
        <v>1037</v>
      </c>
      <c r="F494" s="378">
        <v>0</v>
      </c>
      <c r="G494" s="378">
        <v>0</v>
      </c>
      <c r="H494" s="378">
        <v>35716</v>
      </c>
      <c r="I494" s="378">
        <v>-35716</v>
      </c>
      <c r="J494" s="2">
        <f t="shared" si="9"/>
        <v>8</v>
      </c>
    </row>
    <row r="495" spans="1:10" ht="15.75" customHeight="1" x14ac:dyDescent="0.25">
      <c r="A495" s="380">
        <v>23652502</v>
      </c>
      <c r="B495" s="381" t="s">
        <v>315</v>
      </c>
      <c r="C495" s="381" t="s">
        <v>433</v>
      </c>
      <c r="D495" s="381" t="s">
        <v>315</v>
      </c>
      <c r="E495" s="381" t="s">
        <v>315</v>
      </c>
      <c r="F495" s="378">
        <v>-4638153</v>
      </c>
      <c r="G495" s="378">
        <v>0</v>
      </c>
      <c r="H495" s="378">
        <v>1271782</v>
      </c>
      <c r="I495" s="378">
        <v>-5909935</v>
      </c>
      <c r="J495" s="2">
        <f t="shared" si="9"/>
        <v>8</v>
      </c>
    </row>
    <row r="496" spans="1:10" ht="15.75" customHeight="1" x14ac:dyDescent="0.25">
      <c r="A496" s="380">
        <v>23652502</v>
      </c>
      <c r="B496" s="381" t="s">
        <v>315</v>
      </c>
      <c r="C496" s="381" t="s">
        <v>433</v>
      </c>
      <c r="D496" s="381" t="s">
        <v>661</v>
      </c>
      <c r="E496" s="381" t="s">
        <v>662</v>
      </c>
      <c r="F496" s="378">
        <v>-100000</v>
      </c>
      <c r="G496" s="378">
        <v>0</v>
      </c>
      <c r="H496" s="378">
        <v>38000</v>
      </c>
      <c r="I496" s="378">
        <v>-138000</v>
      </c>
      <c r="J496" s="2">
        <f t="shared" si="9"/>
        <v>8</v>
      </c>
    </row>
    <row r="497" spans="1:10" ht="15.75" customHeight="1" x14ac:dyDescent="0.25">
      <c r="A497" s="380">
        <v>23652502</v>
      </c>
      <c r="B497" s="381" t="s">
        <v>315</v>
      </c>
      <c r="C497" s="381" t="s">
        <v>433</v>
      </c>
      <c r="D497" s="381" t="s">
        <v>1038</v>
      </c>
      <c r="E497" s="381" t="s">
        <v>1039</v>
      </c>
      <c r="F497" s="378">
        <v>-808764</v>
      </c>
      <c r="G497" s="378">
        <v>0</v>
      </c>
      <c r="H497" s="378">
        <v>355475</v>
      </c>
      <c r="I497" s="378">
        <v>-1164239</v>
      </c>
      <c r="J497" s="2">
        <f t="shared" si="9"/>
        <v>8</v>
      </c>
    </row>
    <row r="498" spans="1:10" ht="15.75" customHeight="1" x14ac:dyDescent="0.25">
      <c r="A498" s="380">
        <v>23652502</v>
      </c>
      <c r="B498" s="381" t="s">
        <v>315</v>
      </c>
      <c r="C498" s="381" t="s">
        <v>433</v>
      </c>
      <c r="D498" s="381" t="s">
        <v>884</v>
      </c>
      <c r="E498" s="381" t="s">
        <v>885</v>
      </c>
      <c r="F498" s="378">
        <v>-15200</v>
      </c>
      <c r="G498" s="378">
        <v>0</v>
      </c>
      <c r="H498" s="378">
        <v>31200</v>
      </c>
      <c r="I498" s="378">
        <v>-46400</v>
      </c>
      <c r="J498" s="2">
        <f t="shared" si="9"/>
        <v>8</v>
      </c>
    </row>
    <row r="499" spans="1:10" ht="15.75" customHeight="1" x14ac:dyDescent="0.25">
      <c r="A499" s="380">
        <v>23652502</v>
      </c>
      <c r="B499" s="381" t="s">
        <v>315</v>
      </c>
      <c r="C499" s="381" t="s">
        <v>433</v>
      </c>
      <c r="D499" s="381" t="s">
        <v>1040</v>
      </c>
      <c r="E499" s="381" t="s">
        <v>750</v>
      </c>
      <c r="F499" s="378">
        <v>-318887</v>
      </c>
      <c r="G499" s="378">
        <v>0</v>
      </c>
      <c r="H499" s="378">
        <v>79383</v>
      </c>
      <c r="I499" s="378">
        <v>-398270</v>
      </c>
      <c r="J499" s="2">
        <f t="shared" si="9"/>
        <v>8</v>
      </c>
    </row>
    <row r="500" spans="1:10" ht="15.75" customHeight="1" x14ac:dyDescent="0.25">
      <c r="A500" s="380">
        <v>23652502</v>
      </c>
      <c r="B500" s="381" t="s">
        <v>315</v>
      </c>
      <c r="C500" s="381" t="s">
        <v>433</v>
      </c>
      <c r="D500" s="381" t="s">
        <v>734</v>
      </c>
      <c r="E500" s="381" t="s">
        <v>735</v>
      </c>
      <c r="F500" s="378">
        <v>-693516</v>
      </c>
      <c r="G500" s="378">
        <v>0</v>
      </c>
      <c r="H500" s="378">
        <v>0</v>
      </c>
      <c r="I500" s="378">
        <v>-693516</v>
      </c>
      <c r="J500" s="2">
        <f t="shared" si="9"/>
        <v>8</v>
      </c>
    </row>
    <row r="501" spans="1:10" ht="15.75" customHeight="1" x14ac:dyDescent="0.25">
      <c r="A501" s="380">
        <v>23652502</v>
      </c>
      <c r="B501" s="381" t="s">
        <v>315</v>
      </c>
      <c r="C501" s="381" t="s">
        <v>433</v>
      </c>
      <c r="D501" s="381" t="s">
        <v>347</v>
      </c>
      <c r="E501" s="381" t="s">
        <v>348</v>
      </c>
      <c r="F501" s="378">
        <v>-908452</v>
      </c>
      <c r="G501" s="378">
        <v>0</v>
      </c>
      <c r="H501" s="378">
        <v>305972</v>
      </c>
      <c r="I501" s="378">
        <v>-1214424</v>
      </c>
      <c r="J501" s="2">
        <f t="shared" si="9"/>
        <v>8</v>
      </c>
    </row>
    <row r="502" spans="1:10" ht="15.75" customHeight="1" x14ac:dyDescent="0.25">
      <c r="A502" s="380">
        <v>23652502</v>
      </c>
      <c r="B502" s="381" t="s">
        <v>315</v>
      </c>
      <c r="C502" s="381" t="s">
        <v>433</v>
      </c>
      <c r="D502" s="381" t="s">
        <v>1041</v>
      </c>
      <c r="E502" s="381" t="s">
        <v>1042</v>
      </c>
      <c r="F502" s="378">
        <v>0</v>
      </c>
      <c r="G502" s="378">
        <v>0</v>
      </c>
      <c r="H502" s="378">
        <v>11500</v>
      </c>
      <c r="I502" s="378">
        <v>-11500</v>
      </c>
      <c r="J502" s="2">
        <f t="shared" si="9"/>
        <v>8</v>
      </c>
    </row>
    <row r="503" spans="1:10" ht="15.75" customHeight="1" x14ac:dyDescent="0.25">
      <c r="A503" s="380">
        <v>23652502</v>
      </c>
      <c r="B503" s="381" t="s">
        <v>315</v>
      </c>
      <c r="C503" s="381" t="s">
        <v>433</v>
      </c>
      <c r="D503" s="381" t="s">
        <v>650</v>
      </c>
      <c r="E503" s="381" t="s">
        <v>999</v>
      </c>
      <c r="F503" s="378">
        <v>-165760</v>
      </c>
      <c r="G503" s="378">
        <v>0</v>
      </c>
      <c r="H503" s="378">
        <v>35840</v>
      </c>
      <c r="I503" s="378">
        <v>-201600</v>
      </c>
      <c r="J503" s="2">
        <f t="shared" si="9"/>
        <v>8</v>
      </c>
    </row>
    <row r="504" spans="1:10" ht="15.75" customHeight="1" x14ac:dyDescent="0.25">
      <c r="A504" s="380">
        <v>23652502</v>
      </c>
      <c r="B504" s="381" t="s">
        <v>315</v>
      </c>
      <c r="C504" s="381" t="s">
        <v>433</v>
      </c>
      <c r="D504" s="381" t="s">
        <v>717</v>
      </c>
      <c r="E504" s="381" t="s">
        <v>718</v>
      </c>
      <c r="F504" s="378">
        <v>-146102</v>
      </c>
      <c r="G504" s="378">
        <v>0</v>
      </c>
      <c r="H504" s="378">
        <v>59758</v>
      </c>
      <c r="I504" s="378">
        <v>-205860</v>
      </c>
      <c r="J504" s="2">
        <f t="shared" si="9"/>
        <v>8</v>
      </c>
    </row>
    <row r="505" spans="1:10" ht="15.75" customHeight="1" x14ac:dyDescent="0.25">
      <c r="A505" s="380">
        <v>23652502</v>
      </c>
      <c r="B505" s="381" t="s">
        <v>315</v>
      </c>
      <c r="C505" s="381" t="s">
        <v>433</v>
      </c>
      <c r="D505" s="381" t="s">
        <v>761</v>
      </c>
      <c r="E505" s="381" t="s">
        <v>762</v>
      </c>
      <c r="F505" s="378">
        <v>-737282</v>
      </c>
      <c r="G505" s="378">
        <v>0</v>
      </c>
      <c r="H505" s="378">
        <v>238148</v>
      </c>
      <c r="I505" s="378">
        <v>-975430</v>
      </c>
      <c r="J505" s="2">
        <f t="shared" si="9"/>
        <v>8</v>
      </c>
    </row>
    <row r="506" spans="1:10" ht="15.75" customHeight="1" x14ac:dyDescent="0.25">
      <c r="A506" s="380">
        <v>23652502</v>
      </c>
      <c r="B506" s="381" t="s">
        <v>315</v>
      </c>
      <c r="C506" s="381" t="s">
        <v>433</v>
      </c>
      <c r="D506" s="381" t="s">
        <v>1011</v>
      </c>
      <c r="E506" s="381" t="s">
        <v>1012</v>
      </c>
      <c r="F506" s="378">
        <v>-64000</v>
      </c>
      <c r="G506" s="378">
        <v>0</v>
      </c>
      <c r="H506" s="378">
        <v>20000</v>
      </c>
      <c r="I506" s="378">
        <v>-84000</v>
      </c>
      <c r="J506" s="2">
        <f t="shared" si="9"/>
        <v>8</v>
      </c>
    </row>
    <row r="507" spans="1:10" ht="15.75" customHeight="1" x14ac:dyDescent="0.25">
      <c r="A507" s="380">
        <v>23652502</v>
      </c>
      <c r="B507" s="381" t="s">
        <v>315</v>
      </c>
      <c r="C507" s="381" t="s">
        <v>433</v>
      </c>
      <c r="D507" s="381" t="s">
        <v>1013</v>
      </c>
      <c r="E507" s="381" t="s">
        <v>1014</v>
      </c>
      <c r="F507" s="378">
        <v>-394528</v>
      </c>
      <c r="G507" s="378">
        <v>0</v>
      </c>
      <c r="H507" s="378">
        <v>78906</v>
      </c>
      <c r="I507" s="378">
        <v>-473434</v>
      </c>
      <c r="J507" s="2">
        <f t="shared" si="9"/>
        <v>8</v>
      </c>
    </row>
    <row r="508" spans="1:10" ht="15.75" customHeight="1" x14ac:dyDescent="0.25">
      <c r="A508" s="380">
        <v>23652502</v>
      </c>
      <c r="B508" s="381" t="s">
        <v>315</v>
      </c>
      <c r="C508" s="381" t="s">
        <v>433</v>
      </c>
      <c r="D508" s="381" t="s">
        <v>1015</v>
      </c>
      <c r="E508" s="381" t="s">
        <v>1016</v>
      </c>
      <c r="F508" s="378">
        <v>-26400</v>
      </c>
      <c r="G508" s="378">
        <v>0</v>
      </c>
      <c r="H508" s="378">
        <v>17600</v>
      </c>
      <c r="I508" s="378">
        <v>-44000</v>
      </c>
      <c r="J508" s="2">
        <f t="shared" si="9"/>
        <v>8</v>
      </c>
    </row>
    <row r="509" spans="1:10" ht="15.75" customHeight="1" x14ac:dyDescent="0.25">
      <c r="A509" s="380">
        <v>23652502</v>
      </c>
      <c r="B509" s="381" t="s">
        <v>315</v>
      </c>
      <c r="C509" s="381" t="s">
        <v>433</v>
      </c>
      <c r="D509" s="381" t="s">
        <v>723</v>
      </c>
      <c r="E509" s="381" t="s">
        <v>724</v>
      </c>
      <c r="F509" s="378">
        <v>-179786</v>
      </c>
      <c r="G509" s="378">
        <v>0</v>
      </c>
      <c r="H509" s="378">
        <v>0</v>
      </c>
      <c r="I509" s="378">
        <v>-179786</v>
      </c>
      <c r="J509" s="2">
        <f t="shared" si="9"/>
        <v>8</v>
      </c>
    </row>
    <row r="510" spans="1:10" ht="15.75" customHeight="1" x14ac:dyDescent="0.25">
      <c r="A510" s="380">
        <v>23652502</v>
      </c>
      <c r="B510" s="381" t="s">
        <v>315</v>
      </c>
      <c r="C510" s="381" t="s">
        <v>433</v>
      </c>
      <c r="D510" s="381" t="s">
        <v>675</v>
      </c>
      <c r="E510" s="381" t="s">
        <v>736</v>
      </c>
      <c r="F510" s="378">
        <v>-61476</v>
      </c>
      <c r="G510" s="378">
        <v>0</v>
      </c>
      <c r="H510" s="378">
        <v>0</v>
      </c>
      <c r="I510" s="378">
        <v>-61476</v>
      </c>
      <c r="J510" s="2">
        <f t="shared" si="9"/>
        <v>8</v>
      </c>
    </row>
    <row r="511" spans="1:10" ht="15.75" customHeight="1" x14ac:dyDescent="0.25">
      <c r="A511" s="380">
        <v>23652502</v>
      </c>
      <c r="B511" s="381" t="s">
        <v>315</v>
      </c>
      <c r="C511" s="381" t="s">
        <v>433</v>
      </c>
      <c r="D511" s="381" t="s">
        <v>1043</v>
      </c>
      <c r="E511" s="381" t="s">
        <v>1044</v>
      </c>
      <c r="F511" s="378">
        <v>-18000</v>
      </c>
      <c r="G511" s="378">
        <v>0</v>
      </c>
      <c r="H511" s="378">
        <v>0</v>
      </c>
      <c r="I511" s="378">
        <v>-18000</v>
      </c>
      <c r="J511" s="2">
        <f t="shared" si="9"/>
        <v>8</v>
      </c>
    </row>
    <row r="512" spans="1:10" ht="15.75" customHeight="1" x14ac:dyDescent="0.25">
      <c r="A512" s="380">
        <v>23652503</v>
      </c>
      <c r="B512" s="381" t="s">
        <v>315</v>
      </c>
      <c r="C512" s="381" t="s">
        <v>1045</v>
      </c>
      <c r="D512" s="381" t="s">
        <v>315</v>
      </c>
      <c r="E512" s="381" t="s">
        <v>315</v>
      </c>
      <c r="F512" s="378">
        <v>-167422</v>
      </c>
      <c r="G512" s="378">
        <v>0</v>
      </c>
      <c r="H512" s="378">
        <v>32519</v>
      </c>
      <c r="I512" s="378">
        <v>-199941</v>
      </c>
      <c r="J512" s="2">
        <f t="shared" si="9"/>
        <v>8</v>
      </c>
    </row>
    <row r="513" spans="1:10" ht="15.75" customHeight="1" x14ac:dyDescent="0.25">
      <c r="A513" s="380">
        <v>23652503</v>
      </c>
      <c r="B513" s="381" t="s">
        <v>315</v>
      </c>
      <c r="C513" s="381" t="s">
        <v>1045</v>
      </c>
      <c r="D513" s="381" t="s">
        <v>738</v>
      </c>
      <c r="E513" s="381" t="s">
        <v>739</v>
      </c>
      <c r="F513" s="378">
        <v>-3000</v>
      </c>
      <c r="G513" s="378">
        <v>0</v>
      </c>
      <c r="H513" s="378">
        <v>0</v>
      </c>
      <c r="I513" s="378">
        <v>-3000</v>
      </c>
      <c r="J513" s="2">
        <f t="shared" si="9"/>
        <v>8</v>
      </c>
    </row>
    <row r="514" spans="1:10" ht="15.75" customHeight="1" x14ac:dyDescent="0.25">
      <c r="A514" s="380">
        <v>23652503</v>
      </c>
      <c r="B514" s="381" t="s">
        <v>315</v>
      </c>
      <c r="C514" s="381" t="s">
        <v>1045</v>
      </c>
      <c r="D514" s="381" t="s">
        <v>1046</v>
      </c>
      <c r="E514" s="381" t="s">
        <v>1047</v>
      </c>
      <c r="F514" s="378">
        <v>-8500</v>
      </c>
      <c r="G514" s="378">
        <v>0</v>
      </c>
      <c r="H514" s="378">
        <v>0</v>
      </c>
      <c r="I514" s="378">
        <v>-8500</v>
      </c>
      <c r="J514" s="2">
        <f t="shared" si="9"/>
        <v>8</v>
      </c>
    </row>
    <row r="515" spans="1:10" ht="15.75" customHeight="1" x14ac:dyDescent="0.25">
      <c r="A515" s="380">
        <v>23652503</v>
      </c>
      <c r="B515" s="381" t="s">
        <v>315</v>
      </c>
      <c r="C515" s="381" t="s">
        <v>1045</v>
      </c>
      <c r="D515" s="381" t="s">
        <v>347</v>
      </c>
      <c r="E515" s="381" t="s">
        <v>348</v>
      </c>
      <c r="F515" s="378">
        <v>-155922</v>
      </c>
      <c r="G515" s="378">
        <v>0</v>
      </c>
      <c r="H515" s="378">
        <v>32519</v>
      </c>
      <c r="I515" s="378">
        <v>-188441</v>
      </c>
      <c r="J515" s="2">
        <f t="shared" si="9"/>
        <v>8</v>
      </c>
    </row>
    <row r="516" spans="1:10" ht="15.75" customHeight="1" x14ac:dyDescent="0.25">
      <c r="A516" s="380">
        <v>23652506</v>
      </c>
      <c r="B516" s="381" t="s">
        <v>315</v>
      </c>
      <c r="C516" s="381" t="s">
        <v>1048</v>
      </c>
      <c r="D516" s="381" t="s">
        <v>315</v>
      </c>
      <c r="E516" s="381" t="s">
        <v>315</v>
      </c>
      <c r="F516" s="378">
        <v>-547281</v>
      </c>
      <c r="G516" s="378">
        <v>0</v>
      </c>
      <c r="H516" s="378">
        <v>116253</v>
      </c>
      <c r="I516" s="378">
        <v>-663534</v>
      </c>
      <c r="J516" s="2">
        <f t="shared" si="9"/>
        <v>8</v>
      </c>
    </row>
    <row r="517" spans="1:10" ht="15.75" customHeight="1" x14ac:dyDescent="0.25">
      <c r="A517" s="380">
        <v>23652506</v>
      </c>
      <c r="B517" s="381" t="s">
        <v>315</v>
      </c>
      <c r="C517" s="381" t="s">
        <v>1048</v>
      </c>
      <c r="D517" s="381" t="s">
        <v>1001</v>
      </c>
      <c r="E517" s="381" t="s">
        <v>1002</v>
      </c>
      <c r="F517" s="378">
        <v>-18944</v>
      </c>
      <c r="G517" s="378">
        <v>0</v>
      </c>
      <c r="H517" s="378">
        <v>4716</v>
      </c>
      <c r="I517" s="378">
        <v>-23660</v>
      </c>
      <c r="J517" s="2">
        <f t="shared" si="9"/>
        <v>8</v>
      </c>
    </row>
    <row r="518" spans="1:10" ht="15.75" customHeight="1" x14ac:dyDescent="0.25">
      <c r="A518" s="380">
        <v>23652506</v>
      </c>
      <c r="B518" s="381" t="s">
        <v>315</v>
      </c>
      <c r="C518" s="381" t="s">
        <v>1048</v>
      </c>
      <c r="D518" s="381" t="s">
        <v>412</v>
      </c>
      <c r="E518" s="381" t="s">
        <v>1003</v>
      </c>
      <c r="F518" s="378">
        <v>-519601</v>
      </c>
      <c r="G518" s="378">
        <v>0</v>
      </c>
      <c r="H518" s="378">
        <v>111537</v>
      </c>
      <c r="I518" s="378">
        <v>-631138</v>
      </c>
      <c r="J518" s="2">
        <f t="shared" si="9"/>
        <v>8</v>
      </c>
    </row>
    <row r="519" spans="1:10" ht="15.75" customHeight="1" x14ac:dyDescent="0.25">
      <c r="A519" s="380">
        <v>23652506</v>
      </c>
      <c r="B519" s="381" t="s">
        <v>315</v>
      </c>
      <c r="C519" s="381" t="s">
        <v>1048</v>
      </c>
      <c r="D519" s="381" t="s">
        <v>1049</v>
      </c>
      <c r="E519" s="381" t="s">
        <v>1050</v>
      </c>
      <c r="F519" s="378">
        <v>-8736</v>
      </c>
      <c r="G519" s="378">
        <v>0</v>
      </c>
      <c r="H519" s="378">
        <v>0</v>
      </c>
      <c r="I519" s="378">
        <v>-8736</v>
      </c>
      <c r="J519" s="2">
        <f t="shared" si="9"/>
        <v>8</v>
      </c>
    </row>
    <row r="520" spans="1:10" ht="15.75" customHeight="1" x14ac:dyDescent="0.25">
      <c r="A520" s="380">
        <v>23652507</v>
      </c>
      <c r="B520" s="381" t="s">
        <v>315</v>
      </c>
      <c r="C520" s="381" t="s">
        <v>1051</v>
      </c>
      <c r="D520" s="381" t="s">
        <v>315</v>
      </c>
      <c r="E520" s="381" t="s">
        <v>315</v>
      </c>
      <c r="F520" s="378">
        <v>-872184</v>
      </c>
      <c r="G520" s="378">
        <v>0</v>
      </c>
      <c r="H520" s="378">
        <v>0</v>
      </c>
      <c r="I520" s="378">
        <v>-872184</v>
      </c>
      <c r="J520" s="2">
        <f t="shared" si="9"/>
        <v>8</v>
      </c>
    </row>
    <row r="521" spans="1:10" ht="15.75" customHeight="1" x14ac:dyDescent="0.25">
      <c r="A521" s="380">
        <v>23652507</v>
      </c>
      <c r="B521" s="381" t="s">
        <v>315</v>
      </c>
      <c r="C521" s="381" t="s">
        <v>1051</v>
      </c>
      <c r="D521" s="381" t="s">
        <v>661</v>
      </c>
      <c r="E521" s="381" t="s">
        <v>662</v>
      </c>
      <c r="F521" s="378">
        <v>-864820</v>
      </c>
      <c r="G521" s="378">
        <v>0</v>
      </c>
      <c r="H521" s="378">
        <v>0</v>
      </c>
      <c r="I521" s="378">
        <v>-864820</v>
      </c>
      <c r="J521" s="2">
        <f t="shared" si="9"/>
        <v>8</v>
      </c>
    </row>
    <row r="522" spans="1:10" ht="15.75" customHeight="1" x14ac:dyDescent="0.25">
      <c r="A522" s="380">
        <v>23652507</v>
      </c>
      <c r="B522" s="381" t="s">
        <v>315</v>
      </c>
      <c r="C522" s="381" t="s">
        <v>1051</v>
      </c>
      <c r="D522" s="381" t="s">
        <v>1004</v>
      </c>
      <c r="E522" s="381" t="s">
        <v>1005</v>
      </c>
      <c r="F522" s="378">
        <v>-7364</v>
      </c>
      <c r="G522" s="378">
        <v>0</v>
      </c>
      <c r="H522" s="378">
        <v>0</v>
      </c>
      <c r="I522" s="378">
        <v>-7364</v>
      </c>
      <c r="J522" s="2">
        <f t="shared" si="9"/>
        <v>8</v>
      </c>
    </row>
    <row r="523" spans="1:10" ht="15.75" customHeight="1" x14ac:dyDescent="0.25">
      <c r="A523" s="380">
        <v>23652510</v>
      </c>
      <c r="B523" s="381" t="s">
        <v>321</v>
      </c>
      <c r="C523" s="381" t="s">
        <v>1052</v>
      </c>
      <c r="D523" s="381" t="s">
        <v>315</v>
      </c>
      <c r="E523" s="381" t="s">
        <v>315</v>
      </c>
      <c r="F523" s="378">
        <v>-11090</v>
      </c>
      <c r="G523" s="378">
        <v>0</v>
      </c>
      <c r="H523" s="378">
        <v>0</v>
      </c>
      <c r="I523" s="378">
        <v>-11090</v>
      </c>
      <c r="J523" s="2">
        <f t="shared" si="9"/>
        <v>8</v>
      </c>
    </row>
    <row r="524" spans="1:10" ht="15.75" customHeight="1" x14ac:dyDescent="0.25">
      <c r="A524" s="380">
        <v>23652510</v>
      </c>
      <c r="B524" s="381" t="s">
        <v>321</v>
      </c>
      <c r="C524" s="381" t="s">
        <v>1052</v>
      </c>
      <c r="D524" s="381" t="s">
        <v>1004</v>
      </c>
      <c r="E524" s="381" t="s">
        <v>1005</v>
      </c>
      <c r="F524" s="378">
        <v>-11090</v>
      </c>
      <c r="G524" s="378">
        <v>0</v>
      </c>
      <c r="H524" s="378">
        <v>0</v>
      </c>
      <c r="I524" s="378">
        <v>-11090</v>
      </c>
      <c r="J524" s="2">
        <f t="shared" si="9"/>
        <v>8</v>
      </c>
    </row>
    <row r="525" spans="1:10" ht="15.75" customHeight="1" x14ac:dyDescent="0.25">
      <c r="A525" s="380">
        <v>236530</v>
      </c>
      <c r="B525" s="381" t="s">
        <v>315</v>
      </c>
      <c r="C525" s="381" t="s">
        <v>1053</v>
      </c>
      <c r="D525" s="381" t="s">
        <v>315</v>
      </c>
      <c r="E525" s="381" t="s">
        <v>315</v>
      </c>
      <c r="F525" s="378">
        <v>-8621682</v>
      </c>
      <c r="G525" s="378">
        <v>0</v>
      </c>
      <c r="H525" s="378">
        <v>1675279</v>
      </c>
      <c r="I525" s="378">
        <v>-10296961</v>
      </c>
      <c r="J525" s="2">
        <f t="shared" ref="J525:J588" si="10">+LEN(A525)</f>
        <v>6</v>
      </c>
    </row>
    <row r="526" spans="1:10" ht="15.75" customHeight="1" x14ac:dyDescent="0.25">
      <c r="A526" s="380">
        <v>23653001</v>
      </c>
      <c r="B526" s="381" t="s">
        <v>315</v>
      </c>
      <c r="C526" s="381" t="s">
        <v>1053</v>
      </c>
      <c r="D526" s="381" t="s">
        <v>315</v>
      </c>
      <c r="E526" s="381" t="s">
        <v>315</v>
      </c>
      <c r="F526" s="378">
        <v>-8621682</v>
      </c>
      <c r="G526" s="378">
        <v>0</v>
      </c>
      <c r="H526" s="378">
        <v>1675279</v>
      </c>
      <c r="I526" s="378">
        <v>-10296961</v>
      </c>
      <c r="J526" s="2">
        <f t="shared" si="10"/>
        <v>8</v>
      </c>
    </row>
    <row r="527" spans="1:10" ht="15.75" customHeight="1" x14ac:dyDescent="0.25">
      <c r="A527" s="380">
        <v>23653001</v>
      </c>
      <c r="B527" s="381" t="s">
        <v>315</v>
      </c>
      <c r="C527" s="381" t="s">
        <v>1053</v>
      </c>
      <c r="D527" s="381" t="s">
        <v>957</v>
      </c>
      <c r="E527" s="381" t="s">
        <v>958</v>
      </c>
      <c r="F527" s="378">
        <v>-689155</v>
      </c>
      <c r="G527" s="378">
        <v>0</v>
      </c>
      <c r="H527" s="378">
        <v>150512</v>
      </c>
      <c r="I527" s="378">
        <v>-839667</v>
      </c>
      <c r="J527" s="2">
        <f t="shared" si="10"/>
        <v>8</v>
      </c>
    </row>
    <row r="528" spans="1:10" ht="15.75" customHeight="1" x14ac:dyDescent="0.25">
      <c r="A528" s="380">
        <v>23653001</v>
      </c>
      <c r="B528" s="381" t="s">
        <v>315</v>
      </c>
      <c r="C528" s="381" t="s">
        <v>1053</v>
      </c>
      <c r="D528" s="381" t="s">
        <v>1038</v>
      </c>
      <c r="E528" s="381" t="s">
        <v>1039</v>
      </c>
      <c r="F528" s="378">
        <v>-1390114</v>
      </c>
      <c r="G528" s="378">
        <v>0</v>
      </c>
      <c r="H528" s="378">
        <v>267070</v>
      </c>
      <c r="I528" s="378">
        <v>-1657184</v>
      </c>
      <c r="J528" s="2">
        <f t="shared" si="10"/>
        <v>8</v>
      </c>
    </row>
    <row r="529" spans="1:10" ht="15.75" customHeight="1" x14ac:dyDescent="0.25">
      <c r="A529" s="380">
        <v>23653001</v>
      </c>
      <c r="B529" s="381" t="s">
        <v>315</v>
      </c>
      <c r="C529" s="381" t="s">
        <v>1053</v>
      </c>
      <c r="D529" s="381" t="s">
        <v>968</v>
      </c>
      <c r="E529" s="381" t="s">
        <v>969</v>
      </c>
      <c r="F529" s="378">
        <v>-689155</v>
      </c>
      <c r="G529" s="378">
        <v>0</v>
      </c>
      <c r="H529" s="378">
        <v>150512</v>
      </c>
      <c r="I529" s="378">
        <v>-839667</v>
      </c>
      <c r="J529" s="2">
        <f t="shared" si="10"/>
        <v>8</v>
      </c>
    </row>
    <row r="530" spans="1:10" ht="15.75" customHeight="1" x14ac:dyDescent="0.25">
      <c r="A530" s="380">
        <v>23653001</v>
      </c>
      <c r="B530" s="381" t="s">
        <v>315</v>
      </c>
      <c r="C530" s="381" t="s">
        <v>1053</v>
      </c>
      <c r="D530" s="381" t="s">
        <v>734</v>
      </c>
      <c r="E530" s="381" t="s">
        <v>735</v>
      </c>
      <c r="F530" s="378">
        <v>-262570</v>
      </c>
      <c r="G530" s="378">
        <v>0</v>
      </c>
      <c r="H530" s="378">
        <v>0</v>
      </c>
      <c r="I530" s="378">
        <v>-262570</v>
      </c>
      <c r="J530" s="2">
        <f t="shared" si="10"/>
        <v>8</v>
      </c>
    </row>
    <row r="531" spans="1:10" ht="15.75" customHeight="1" x14ac:dyDescent="0.25">
      <c r="A531" s="380">
        <v>23653001</v>
      </c>
      <c r="B531" s="381" t="s">
        <v>315</v>
      </c>
      <c r="C531" s="381" t="s">
        <v>1053</v>
      </c>
      <c r="D531" s="381" t="s">
        <v>1054</v>
      </c>
      <c r="E531" s="381" t="s">
        <v>1055</v>
      </c>
      <c r="F531" s="378">
        <v>-945310</v>
      </c>
      <c r="G531" s="378">
        <v>0</v>
      </c>
      <c r="H531" s="378">
        <v>189062</v>
      </c>
      <c r="I531" s="378">
        <v>-1134372</v>
      </c>
      <c r="J531" s="2">
        <f t="shared" si="10"/>
        <v>8</v>
      </c>
    </row>
    <row r="532" spans="1:10" ht="15.75" customHeight="1" x14ac:dyDescent="0.25">
      <c r="A532" s="380">
        <v>23653001</v>
      </c>
      <c r="B532" s="381" t="s">
        <v>315</v>
      </c>
      <c r="C532" s="381" t="s">
        <v>1053</v>
      </c>
      <c r="D532" s="381" t="s">
        <v>1056</v>
      </c>
      <c r="E532" s="381" t="s">
        <v>1057</v>
      </c>
      <c r="F532" s="378">
        <v>-1462544</v>
      </c>
      <c r="G532" s="378">
        <v>0</v>
      </c>
      <c r="H532" s="378">
        <v>292509</v>
      </c>
      <c r="I532" s="378">
        <v>-1755053</v>
      </c>
      <c r="J532" s="2">
        <f t="shared" si="10"/>
        <v>8</v>
      </c>
    </row>
    <row r="533" spans="1:10" ht="15.75" customHeight="1" x14ac:dyDescent="0.25">
      <c r="A533" s="380">
        <v>23653001</v>
      </c>
      <c r="B533" s="381" t="s">
        <v>315</v>
      </c>
      <c r="C533" s="381" t="s">
        <v>1053</v>
      </c>
      <c r="D533" s="381" t="s">
        <v>1058</v>
      </c>
      <c r="E533" s="381" t="s">
        <v>1059</v>
      </c>
      <c r="F533" s="378">
        <v>-1792720</v>
      </c>
      <c r="G533" s="378">
        <v>0</v>
      </c>
      <c r="H533" s="378">
        <v>358544</v>
      </c>
      <c r="I533" s="378">
        <v>-2151264</v>
      </c>
      <c r="J533" s="2">
        <f t="shared" si="10"/>
        <v>8</v>
      </c>
    </row>
    <row r="534" spans="1:10" ht="15.75" customHeight="1" x14ac:dyDescent="0.25">
      <c r="A534" s="380">
        <v>23653001</v>
      </c>
      <c r="B534" s="381" t="s">
        <v>315</v>
      </c>
      <c r="C534" s="381" t="s">
        <v>1053</v>
      </c>
      <c r="D534" s="381" t="s">
        <v>761</v>
      </c>
      <c r="E534" s="381" t="s">
        <v>762</v>
      </c>
      <c r="F534" s="378">
        <v>-1390114</v>
      </c>
      <c r="G534" s="378">
        <v>0</v>
      </c>
      <c r="H534" s="378">
        <v>267070</v>
      </c>
      <c r="I534" s="378">
        <v>-1657184</v>
      </c>
      <c r="J534" s="2">
        <f t="shared" si="10"/>
        <v>8</v>
      </c>
    </row>
    <row r="535" spans="1:10" ht="15.75" customHeight="1" x14ac:dyDescent="0.25">
      <c r="A535" s="380">
        <v>236535</v>
      </c>
      <c r="B535" s="381" t="s">
        <v>315</v>
      </c>
      <c r="C535" s="381" t="s">
        <v>1060</v>
      </c>
      <c r="D535" s="381" t="s">
        <v>315</v>
      </c>
      <c r="E535" s="381" t="s">
        <v>315</v>
      </c>
      <c r="F535" s="378">
        <v>-188170</v>
      </c>
      <c r="G535" s="378">
        <v>0</v>
      </c>
      <c r="H535" s="378">
        <v>37634</v>
      </c>
      <c r="I535" s="378">
        <v>-225804</v>
      </c>
      <c r="J535" s="2">
        <f t="shared" si="10"/>
        <v>6</v>
      </c>
    </row>
    <row r="536" spans="1:10" ht="15.75" customHeight="1" x14ac:dyDescent="0.25">
      <c r="A536" s="380">
        <v>23653502</v>
      </c>
      <c r="B536" s="381" t="s">
        <v>321</v>
      </c>
      <c r="C536" s="381" t="s">
        <v>1061</v>
      </c>
      <c r="D536" s="381" t="s">
        <v>315</v>
      </c>
      <c r="E536" s="381" t="s">
        <v>315</v>
      </c>
      <c r="F536" s="378">
        <v>-188170</v>
      </c>
      <c r="G536" s="378">
        <v>0</v>
      </c>
      <c r="H536" s="378">
        <v>37634</v>
      </c>
      <c r="I536" s="378">
        <v>-225804</v>
      </c>
      <c r="J536" s="2">
        <f t="shared" si="10"/>
        <v>8</v>
      </c>
    </row>
    <row r="537" spans="1:10" ht="15.75" customHeight="1" x14ac:dyDescent="0.25">
      <c r="A537" s="380">
        <v>23653502</v>
      </c>
      <c r="B537" s="381" t="s">
        <v>321</v>
      </c>
      <c r="C537" s="381" t="s">
        <v>1061</v>
      </c>
      <c r="D537" s="381" t="s">
        <v>953</v>
      </c>
      <c r="E537" s="381" t="s">
        <v>954</v>
      </c>
      <c r="F537" s="378">
        <v>-59140</v>
      </c>
      <c r="G537" s="378">
        <v>0</v>
      </c>
      <c r="H537" s="378">
        <v>11828</v>
      </c>
      <c r="I537" s="378">
        <v>-70968</v>
      </c>
      <c r="J537" s="2">
        <f t="shared" si="10"/>
        <v>8</v>
      </c>
    </row>
    <row r="538" spans="1:10" ht="15.75" customHeight="1" x14ac:dyDescent="0.25">
      <c r="A538" s="380">
        <v>23653502</v>
      </c>
      <c r="B538" s="381" t="s">
        <v>321</v>
      </c>
      <c r="C538" s="381" t="s">
        <v>1061</v>
      </c>
      <c r="D538" s="381" t="s">
        <v>955</v>
      </c>
      <c r="E538" s="381" t="s">
        <v>956</v>
      </c>
      <c r="F538" s="378">
        <v>-129030</v>
      </c>
      <c r="G538" s="378">
        <v>0</v>
      </c>
      <c r="H538" s="378">
        <v>25806</v>
      </c>
      <c r="I538" s="378">
        <v>-154836</v>
      </c>
      <c r="J538" s="2">
        <f t="shared" si="10"/>
        <v>8</v>
      </c>
    </row>
    <row r="539" spans="1:10" ht="15.75" customHeight="1" x14ac:dyDescent="0.25">
      <c r="A539" s="380">
        <v>236540</v>
      </c>
      <c r="B539" s="381" t="s">
        <v>315</v>
      </c>
      <c r="C539" s="381" t="s">
        <v>359</v>
      </c>
      <c r="D539" s="381" t="s">
        <v>315</v>
      </c>
      <c r="E539" s="381" t="s">
        <v>315</v>
      </c>
      <c r="F539" s="378">
        <v>-21729942</v>
      </c>
      <c r="G539" s="378">
        <v>0</v>
      </c>
      <c r="H539" s="378">
        <v>4273446</v>
      </c>
      <c r="I539" s="378">
        <v>-26003388</v>
      </c>
      <c r="J539" s="2">
        <f t="shared" si="10"/>
        <v>6</v>
      </c>
    </row>
    <row r="540" spans="1:10" ht="15.75" customHeight="1" x14ac:dyDescent="0.25">
      <c r="A540" s="380">
        <v>23654001</v>
      </c>
      <c r="B540" s="381" t="s">
        <v>315</v>
      </c>
      <c r="C540" s="381" t="s">
        <v>1062</v>
      </c>
      <c r="D540" s="381" t="s">
        <v>315</v>
      </c>
      <c r="E540" s="381" t="s">
        <v>315</v>
      </c>
      <c r="F540" s="378">
        <v>-112000</v>
      </c>
      <c r="G540" s="378">
        <v>0</v>
      </c>
      <c r="H540" s="378">
        <v>0</v>
      </c>
      <c r="I540" s="378">
        <v>-112000</v>
      </c>
      <c r="J540" s="2">
        <f t="shared" si="10"/>
        <v>8</v>
      </c>
    </row>
    <row r="541" spans="1:10" ht="15.75" customHeight="1" x14ac:dyDescent="0.25">
      <c r="A541" s="380">
        <v>23654001</v>
      </c>
      <c r="B541" s="381" t="s">
        <v>315</v>
      </c>
      <c r="C541" s="381" t="s">
        <v>1062</v>
      </c>
      <c r="D541" s="381" t="s">
        <v>852</v>
      </c>
      <c r="E541" s="381" t="s">
        <v>853</v>
      </c>
      <c r="F541" s="378">
        <v>-112000</v>
      </c>
      <c r="G541" s="378">
        <v>0</v>
      </c>
      <c r="H541" s="378">
        <v>0</v>
      </c>
      <c r="I541" s="378">
        <v>-112000</v>
      </c>
      <c r="J541" s="2">
        <f t="shared" si="10"/>
        <v>8</v>
      </c>
    </row>
    <row r="542" spans="1:10" ht="15.75" customHeight="1" x14ac:dyDescent="0.25">
      <c r="A542" s="380">
        <v>23654004</v>
      </c>
      <c r="B542" s="381" t="s">
        <v>315</v>
      </c>
      <c r="C542" s="381" t="s">
        <v>1063</v>
      </c>
      <c r="D542" s="381" t="s">
        <v>315</v>
      </c>
      <c r="E542" s="381" t="s">
        <v>315</v>
      </c>
      <c r="F542" s="378">
        <v>-21617942</v>
      </c>
      <c r="G542" s="378">
        <v>0</v>
      </c>
      <c r="H542" s="378">
        <v>4273446</v>
      </c>
      <c r="I542" s="378">
        <v>-25891388</v>
      </c>
      <c r="J542" s="2">
        <f t="shared" si="10"/>
        <v>8</v>
      </c>
    </row>
    <row r="543" spans="1:10" ht="15.75" customHeight="1" x14ac:dyDescent="0.25">
      <c r="A543" s="380">
        <v>23654004</v>
      </c>
      <c r="B543" s="381" t="s">
        <v>315</v>
      </c>
      <c r="C543" s="381" t="s">
        <v>1063</v>
      </c>
      <c r="D543" s="381" t="s">
        <v>402</v>
      </c>
      <c r="E543" s="381" t="s">
        <v>890</v>
      </c>
      <c r="F543" s="378">
        <v>-148455</v>
      </c>
      <c r="G543" s="378">
        <v>0</v>
      </c>
      <c r="H543" s="378">
        <v>0</v>
      </c>
      <c r="I543" s="378">
        <v>-148455</v>
      </c>
      <c r="J543" s="2">
        <f t="shared" si="10"/>
        <v>8</v>
      </c>
    </row>
    <row r="544" spans="1:10" ht="15.75" customHeight="1" x14ac:dyDescent="0.25">
      <c r="A544" s="380">
        <v>23654004</v>
      </c>
      <c r="B544" s="381" t="s">
        <v>315</v>
      </c>
      <c r="C544" s="381" t="s">
        <v>1063</v>
      </c>
      <c r="D544" s="381" t="s">
        <v>429</v>
      </c>
      <c r="E544" s="381" t="s">
        <v>430</v>
      </c>
      <c r="F544" s="378">
        <v>-213315</v>
      </c>
      <c r="G544" s="378">
        <v>0</v>
      </c>
      <c r="H544" s="378">
        <v>0</v>
      </c>
      <c r="I544" s="378">
        <v>-213315</v>
      </c>
      <c r="J544" s="2">
        <f t="shared" si="10"/>
        <v>8</v>
      </c>
    </row>
    <row r="545" spans="1:10" ht="15.75" customHeight="1" x14ac:dyDescent="0.25">
      <c r="A545" s="380">
        <v>23654004</v>
      </c>
      <c r="B545" s="381" t="s">
        <v>315</v>
      </c>
      <c r="C545" s="381" t="s">
        <v>1063</v>
      </c>
      <c r="D545" s="381" t="s">
        <v>347</v>
      </c>
      <c r="E545" s="381" t="s">
        <v>348</v>
      </c>
      <c r="F545" s="378">
        <v>-18139744</v>
      </c>
      <c r="G545" s="378">
        <v>0</v>
      </c>
      <c r="H545" s="378">
        <v>3708286</v>
      </c>
      <c r="I545" s="378">
        <v>-21848030</v>
      </c>
      <c r="J545" s="2">
        <f t="shared" si="10"/>
        <v>8</v>
      </c>
    </row>
    <row r="546" spans="1:10" ht="15.75" customHeight="1" x14ac:dyDescent="0.25">
      <c r="A546" s="380">
        <v>23654004</v>
      </c>
      <c r="B546" s="381" t="s">
        <v>315</v>
      </c>
      <c r="C546" s="381" t="s">
        <v>1063</v>
      </c>
      <c r="D546" s="381" t="s">
        <v>377</v>
      </c>
      <c r="E546" s="381" t="s">
        <v>378</v>
      </c>
      <c r="F546" s="378">
        <v>-3060828</v>
      </c>
      <c r="G546" s="378">
        <v>0</v>
      </c>
      <c r="H546" s="378">
        <v>565160</v>
      </c>
      <c r="I546" s="378">
        <v>-3625988</v>
      </c>
      <c r="J546" s="2">
        <f t="shared" si="10"/>
        <v>8</v>
      </c>
    </row>
    <row r="547" spans="1:10" ht="15.75" customHeight="1" x14ac:dyDescent="0.25">
      <c r="A547" s="380">
        <v>23654004</v>
      </c>
      <c r="B547" s="381" t="s">
        <v>315</v>
      </c>
      <c r="C547" s="381" t="s">
        <v>1063</v>
      </c>
      <c r="D547" s="381" t="s">
        <v>400</v>
      </c>
      <c r="E547" s="381" t="s">
        <v>401</v>
      </c>
      <c r="F547" s="378">
        <v>-55600</v>
      </c>
      <c r="G547" s="378">
        <v>0</v>
      </c>
      <c r="H547" s="378">
        <v>0</v>
      </c>
      <c r="I547" s="378">
        <v>-55600</v>
      </c>
      <c r="J547" s="2">
        <f t="shared" si="10"/>
        <v>8</v>
      </c>
    </row>
    <row r="548" spans="1:10" ht="15.75" customHeight="1" x14ac:dyDescent="0.25">
      <c r="A548" s="380">
        <v>236599</v>
      </c>
      <c r="B548" s="381" t="s">
        <v>315</v>
      </c>
      <c r="C548" s="381" t="s">
        <v>1064</v>
      </c>
      <c r="D548" s="381" t="s">
        <v>315</v>
      </c>
      <c r="E548" s="381" t="s">
        <v>315</v>
      </c>
      <c r="F548" s="378">
        <v>38306031</v>
      </c>
      <c r="G548" s="378">
        <v>7674288</v>
      </c>
      <c r="H548" s="378">
        <v>0</v>
      </c>
      <c r="I548" s="378">
        <v>45980319</v>
      </c>
      <c r="J548" s="2">
        <f t="shared" si="10"/>
        <v>6</v>
      </c>
    </row>
    <row r="549" spans="1:10" ht="15.75" customHeight="1" x14ac:dyDescent="0.25">
      <c r="A549" s="380">
        <v>23659901</v>
      </c>
      <c r="B549" s="381" t="s">
        <v>315</v>
      </c>
      <c r="C549" s="381" t="s">
        <v>1064</v>
      </c>
      <c r="D549" s="381" t="s">
        <v>315</v>
      </c>
      <c r="E549" s="381" t="s">
        <v>315</v>
      </c>
      <c r="F549" s="378">
        <v>38306031</v>
      </c>
      <c r="G549" s="378">
        <v>7674288</v>
      </c>
      <c r="H549" s="378">
        <v>0</v>
      </c>
      <c r="I549" s="378">
        <v>45980319</v>
      </c>
      <c r="J549" s="2">
        <f t="shared" si="10"/>
        <v>8</v>
      </c>
    </row>
    <row r="550" spans="1:10" ht="15.75" customHeight="1" x14ac:dyDescent="0.25">
      <c r="A550" s="380">
        <v>2367</v>
      </c>
      <c r="B550" s="381" t="s">
        <v>315</v>
      </c>
      <c r="C550" s="381" t="s">
        <v>1065</v>
      </c>
      <c r="D550" s="381" t="s">
        <v>315</v>
      </c>
      <c r="E550" s="381" t="s">
        <v>315</v>
      </c>
      <c r="F550" s="378">
        <v>0</v>
      </c>
      <c r="G550" s="378">
        <v>730907</v>
      </c>
      <c r="H550" s="378">
        <v>730907</v>
      </c>
      <c r="I550" s="378">
        <v>0</v>
      </c>
      <c r="J550" s="2">
        <f t="shared" si="10"/>
        <v>4</v>
      </c>
    </row>
    <row r="551" spans="1:10" ht="15.75" customHeight="1" x14ac:dyDescent="0.25">
      <c r="A551" s="380">
        <v>236710</v>
      </c>
      <c r="B551" s="381" t="s">
        <v>315</v>
      </c>
      <c r="C551" s="381" t="s">
        <v>1066</v>
      </c>
      <c r="D551" s="381" t="s">
        <v>315</v>
      </c>
      <c r="E551" s="381" t="s">
        <v>315</v>
      </c>
      <c r="F551" s="378">
        <v>-2231742</v>
      </c>
      <c r="G551" s="378">
        <v>0</v>
      </c>
      <c r="H551" s="378">
        <v>730907</v>
      </c>
      <c r="I551" s="378">
        <v>-2962649</v>
      </c>
      <c r="J551" s="2">
        <f t="shared" si="10"/>
        <v>6</v>
      </c>
    </row>
    <row r="552" spans="1:10" ht="15.75" customHeight="1" x14ac:dyDescent="0.25">
      <c r="A552" s="380">
        <v>23671001</v>
      </c>
      <c r="B552" s="381" t="s">
        <v>315</v>
      </c>
      <c r="C552" s="381" t="s">
        <v>1066</v>
      </c>
      <c r="D552" s="381" t="s">
        <v>315</v>
      </c>
      <c r="E552" s="381" t="s">
        <v>315</v>
      </c>
      <c r="F552" s="378">
        <v>-2231742</v>
      </c>
      <c r="G552" s="378">
        <v>0</v>
      </c>
      <c r="H552" s="378">
        <v>730907</v>
      </c>
      <c r="I552" s="378">
        <v>-2962649</v>
      </c>
      <c r="J552" s="2">
        <f t="shared" si="10"/>
        <v>8</v>
      </c>
    </row>
    <row r="553" spans="1:10" ht="15.75" customHeight="1" x14ac:dyDescent="0.25">
      <c r="A553" s="380">
        <v>23671001</v>
      </c>
      <c r="B553" s="381" t="s">
        <v>315</v>
      </c>
      <c r="C553" s="381" t="s">
        <v>1066</v>
      </c>
      <c r="D553" s="381" t="s">
        <v>757</v>
      </c>
      <c r="E553" s="381" t="s">
        <v>758</v>
      </c>
      <c r="F553" s="378">
        <v>-21493</v>
      </c>
      <c r="G553" s="378">
        <v>0</v>
      </c>
      <c r="H553" s="378">
        <v>0</v>
      </c>
      <c r="I553" s="378">
        <v>-21493</v>
      </c>
      <c r="J553" s="2">
        <f t="shared" si="10"/>
        <v>8</v>
      </c>
    </row>
    <row r="554" spans="1:10" ht="15.75" customHeight="1" x14ac:dyDescent="0.25">
      <c r="A554" s="380">
        <v>23671001</v>
      </c>
      <c r="B554" s="381" t="s">
        <v>315</v>
      </c>
      <c r="C554" s="381" t="s">
        <v>1066</v>
      </c>
      <c r="D554" s="381" t="s">
        <v>1009</v>
      </c>
      <c r="E554" s="381" t="s">
        <v>1010</v>
      </c>
      <c r="F554" s="378">
        <v>-2210249</v>
      </c>
      <c r="G554" s="378">
        <v>0</v>
      </c>
      <c r="H554" s="378">
        <v>730907</v>
      </c>
      <c r="I554" s="378">
        <v>-2941156</v>
      </c>
      <c r="J554" s="2">
        <f t="shared" si="10"/>
        <v>8</v>
      </c>
    </row>
    <row r="555" spans="1:10" ht="15.75" customHeight="1" x14ac:dyDescent="0.25">
      <c r="A555" s="380">
        <v>236799</v>
      </c>
      <c r="B555" s="381" t="s">
        <v>315</v>
      </c>
      <c r="C555" s="381" t="s">
        <v>435</v>
      </c>
      <c r="D555" s="381" t="s">
        <v>315</v>
      </c>
      <c r="E555" s="381" t="s">
        <v>315</v>
      </c>
      <c r="F555" s="378">
        <v>2231742</v>
      </c>
      <c r="G555" s="378">
        <v>730907</v>
      </c>
      <c r="H555" s="378">
        <v>0</v>
      </c>
      <c r="I555" s="378">
        <v>2962649</v>
      </c>
      <c r="J555" s="2">
        <f t="shared" si="10"/>
        <v>6</v>
      </c>
    </row>
    <row r="556" spans="1:10" ht="15.75" customHeight="1" x14ac:dyDescent="0.25">
      <c r="A556" s="380">
        <v>23679901</v>
      </c>
      <c r="B556" s="381" t="s">
        <v>315</v>
      </c>
      <c r="C556" s="381" t="s">
        <v>435</v>
      </c>
      <c r="D556" s="381" t="s">
        <v>315</v>
      </c>
      <c r="E556" s="381" t="s">
        <v>315</v>
      </c>
      <c r="F556" s="378">
        <v>2231742</v>
      </c>
      <c r="G556" s="378">
        <v>730907</v>
      </c>
      <c r="H556" s="378">
        <v>0</v>
      </c>
      <c r="I556" s="378">
        <v>2962649</v>
      </c>
      <c r="J556" s="2">
        <f t="shared" si="10"/>
        <v>8</v>
      </c>
    </row>
    <row r="557" spans="1:10" ht="15.75" customHeight="1" x14ac:dyDescent="0.25">
      <c r="A557" s="380">
        <v>2369</v>
      </c>
      <c r="B557" s="381" t="s">
        <v>315</v>
      </c>
      <c r="C557" s="381" t="s">
        <v>421</v>
      </c>
      <c r="D557" s="381" t="s">
        <v>315</v>
      </c>
      <c r="E557" s="381" t="s">
        <v>315</v>
      </c>
      <c r="F557" s="378">
        <v>0</v>
      </c>
      <c r="G557" s="378">
        <v>18111255.920000002</v>
      </c>
      <c r="H557" s="378">
        <v>18111255.920000002</v>
      </c>
      <c r="I557" s="378">
        <v>0</v>
      </c>
      <c r="J557" s="2">
        <f t="shared" si="10"/>
        <v>4</v>
      </c>
    </row>
    <row r="558" spans="1:10" ht="15.75" customHeight="1" x14ac:dyDescent="0.25">
      <c r="A558" s="380">
        <v>236901</v>
      </c>
      <c r="B558" s="381" t="s">
        <v>315</v>
      </c>
      <c r="C558" s="381" t="s">
        <v>932</v>
      </c>
      <c r="D558" s="381" t="s">
        <v>315</v>
      </c>
      <c r="E558" s="381" t="s">
        <v>315</v>
      </c>
      <c r="F558" s="378">
        <v>-26765125</v>
      </c>
      <c r="G558" s="378">
        <v>0</v>
      </c>
      <c r="H558" s="378">
        <v>18111255.920000002</v>
      </c>
      <c r="I558" s="378">
        <v>-44876380.920000002</v>
      </c>
      <c r="J558" s="2">
        <f t="shared" si="10"/>
        <v>6</v>
      </c>
    </row>
    <row r="559" spans="1:10" ht="15.75" customHeight="1" x14ac:dyDescent="0.25">
      <c r="A559" s="380">
        <v>23690107</v>
      </c>
      <c r="B559" s="381" t="s">
        <v>321</v>
      </c>
      <c r="C559" s="381" t="s">
        <v>1067</v>
      </c>
      <c r="D559" s="381" t="s">
        <v>315</v>
      </c>
      <c r="E559" s="381" t="s">
        <v>315</v>
      </c>
      <c r="F559" s="378">
        <v>-26765125</v>
      </c>
      <c r="G559" s="378">
        <v>0</v>
      </c>
      <c r="H559" s="378">
        <v>0</v>
      </c>
      <c r="I559" s="378">
        <v>-26765125</v>
      </c>
      <c r="J559" s="2">
        <f t="shared" si="10"/>
        <v>8</v>
      </c>
    </row>
    <row r="560" spans="1:10" ht="15.75" customHeight="1" x14ac:dyDescent="0.25">
      <c r="A560" s="380">
        <v>23690107</v>
      </c>
      <c r="B560" s="381" t="s">
        <v>321</v>
      </c>
      <c r="C560" s="381" t="s">
        <v>1067</v>
      </c>
      <c r="D560" s="381" t="s">
        <v>837</v>
      </c>
      <c r="E560" s="381" t="s">
        <v>838</v>
      </c>
      <c r="F560" s="378">
        <v>-26765125</v>
      </c>
      <c r="G560" s="378">
        <v>0</v>
      </c>
      <c r="H560" s="378">
        <v>0</v>
      </c>
      <c r="I560" s="378">
        <v>-26765125</v>
      </c>
      <c r="J560" s="2">
        <f t="shared" si="10"/>
        <v>8</v>
      </c>
    </row>
    <row r="561" spans="1:10" ht="15.75" customHeight="1" x14ac:dyDescent="0.25">
      <c r="A561" s="380">
        <v>23690108</v>
      </c>
      <c r="B561" s="381" t="s">
        <v>321</v>
      </c>
      <c r="C561" s="381" t="s">
        <v>673</v>
      </c>
      <c r="D561" s="381" t="s">
        <v>315</v>
      </c>
      <c r="E561" s="381" t="s">
        <v>315</v>
      </c>
      <c r="F561" s="378">
        <v>0</v>
      </c>
      <c r="G561" s="378">
        <v>0</v>
      </c>
      <c r="H561" s="378">
        <v>18111255.920000002</v>
      </c>
      <c r="I561" s="378">
        <v>-18111255.920000002</v>
      </c>
      <c r="J561" s="2">
        <f t="shared" si="10"/>
        <v>8</v>
      </c>
    </row>
    <row r="562" spans="1:10" ht="15.75" customHeight="1" x14ac:dyDescent="0.25">
      <c r="A562" s="380">
        <v>23690108</v>
      </c>
      <c r="B562" s="381" t="s">
        <v>321</v>
      </c>
      <c r="C562" s="381" t="s">
        <v>673</v>
      </c>
      <c r="D562" s="381" t="s">
        <v>837</v>
      </c>
      <c r="E562" s="381" t="s">
        <v>838</v>
      </c>
      <c r="F562" s="378">
        <v>0</v>
      </c>
      <c r="G562" s="378">
        <v>0</v>
      </c>
      <c r="H562" s="378">
        <v>18111255.920000002</v>
      </c>
      <c r="I562" s="378">
        <v>-18111255.920000002</v>
      </c>
      <c r="J562" s="2">
        <f t="shared" si="10"/>
        <v>8</v>
      </c>
    </row>
    <row r="563" spans="1:10" ht="15.75" customHeight="1" x14ac:dyDescent="0.25">
      <c r="A563" s="380">
        <v>236999</v>
      </c>
      <c r="B563" s="381" t="s">
        <v>315</v>
      </c>
      <c r="C563" s="381" t="s">
        <v>435</v>
      </c>
      <c r="D563" s="381" t="s">
        <v>315</v>
      </c>
      <c r="E563" s="381" t="s">
        <v>315</v>
      </c>
      <c r="F563" s="378">
        <v>26765125</v>
      </c>
      <c r="G563" s="378">
        <v>18111255.920000002</v>
      </c>
      <c r="H563" s="378">
        <v>0</v>
      </c>
      <c r="I563" s="378">
        <v>44876380.920000002</v>
      </c>
      <c r="J563" s="2">
        <f t="shared" si="10"/>
        <v>6</v>
      </c>
    </row>
    <row r="564" spans="1:10" ht="15.75" customHeight="1" x14ac:dyDescent="0.25">
      <c r="A564" s="380">
        <v>2370</v>
      </c>
      <c r="B564" s="381" t="s">
        <v>315</v>
      </c>
      <c r="C564" s="381" t="s">
        <v>1259</v>
      </c>
      <c r="D564" s="381" t="s">
        <v>315</v>
      </c>
      <c r="E564" s="381" t="s">
        <v>315</v>
      </c>
      <c r="F564" s="378">
        <v>3003002</v>
      </c>
      <c r="G564" s="378">
        <v>0</v>
      </c>
      <c r="H564" s="378">
        <v>853335</v>
      </c>
      <c r="I564" s="378">
        <v>2149667</v>
      </c>
      <c r="J564" s="2">
        <f t="shared" si="10"/>
        <v>4</v>
      </c>
    </row>
    <row r="565" spans="1:10" ht="15.75" customHeight="1" x14ac:dyDescent="0.25">
      <c r="A565" s="380">
        <v>237030</v>
      </c>
      <c r="B565" s="381" t="s">
        <v>321</v>
      </c>
      <c r="C565" s="381" t="s">
        <v>1482</v>
      </c>
      <c r="D565" s="381" t="s">
        <v>315</v>
      </c>
      <c r="E565" s="381" t="s">
        <v>315</v>
      </c>
      <c r="F565" s="378">
        <v>2093000</v>
      </c>
      <c r="G565" s="378">
        <v>0</v>
      </c>
      <c r="H565" s="378">
        <v>0</v>
      </c>
      <c r="I565" s="378">
        <v>2093000</v>
      </c>
      <c r="J565" s="2">
        <f t="shared" si="10"/>
        <v>6</v>
      </c>
    </row>
    <row r="566" spans="1:10" ht="15.75" customHeight="1" x14ac:dyDescent="0.25">
      <c r="A566" s="380">
        <v>23703001</v>
      </c>
      <c r="B566" s="381" t="s">
        <v>321</v>
      </c>
      <c r="C566" s="381" t="s">
        <v>1280</v>
      </c>
      <c r="D566" s="381" t="s">
        <v>315</v>
      </c>
      <c r="E566" s="381" t="s">
        <v>315</v>
      </c>
      <c r="F566" s="378">
        <v>2093000</v>
      </c>
      <c r="G566" s="378">
        <v>0</v>
      </c>
      <c r="H566" s="378">
        <v>0</v>
      </c>
      <c r="I566" s="378">
        <v>2093000</v>
      </c>
      <c r="J566" s="2">
        <f t="shared" si="10"/>
        <v>8</v>
      </c>
    </row>
    <row r="567" spans="1:10" ht="15.75" customHeight="1" x14ac:dyDescent="0.25">
      <c r="A567" s="380">
        <v>23703001</v>
      </c>
      <c r="B567" s="381" t="s">
        <v>321</v>
      </c>
      <c r="C567" s="381" t="s">
        <v>1280</v>
      </c>
      <c r="D567" s="381" t="s">
        <v>1221</v>
      </c>
      <c r="E567" s="381" t="s">
        <v>1494</v>
      </c>
      <c r="F567" s="378">
        <v>2093000</v>
      </c>
      <c r="G567" s="378">
        <v>0</v>
      </c>
      <c r="H567" s="378">
        <v>0</v>
      </c>
      <c r="I567" s="378">
        <v>2093000</v>
      </c>
      <c r="J567" s="2">
        <f t="shared" si="10"/>
        <v>8</v>
      </c>
    </row>
    <row r="568" spans="1:10" ht="15.75" customHeight="1" x14ac:dyDescent="0.25">
      <c r="A568" s="380">
        <v>237095</v>
      </c>
      <c r="B568" s="381" t="s">
        <v>315</v>
      </c>
      <c r="C568" s="381" t="s">
        <v>238</v>
      </c>
      <c r="D568" s="381" t="s">
        <v>315</v>
      </c>
      <c r="E568" s="381" t="s">
        <v>315</v>
      </c>
      <c r="F568" s="378">
        <v>910002</v>
      </c>
      <c r="G568" s="378">
        <v>0</v>
      </c>
      <c r="H568" s="378">
        <v>853335</v>
      </c>
      <c r="I568" s="378">
        <v>56667</v>
      </c>
      <c r="J568" s="2">
        <f t="shared" si="10"/>
        <v>6</v>
      </c>
    </row>
    <row r="569" spans="1:10" ht="15.75" customHeight="1" x14ac:dyDescent="0.25">
      <c r="A569" s="380">
        <v>23709502</v>
      </c>
      <c r="B569" s="381" t="s">
        <v>315</v>
      </c>
      <c r="C569" s="381" t="s">
        <v>1282</v>
      </c>
      <c r="D569" s="381" t="s">
        <v>315</v>
      </c>
      <c r="E569" s="381" t="s">
        <v>315</v>
      </c>
      <c r="F569" s="378">
        <v>611668</v>
      </c>
      <c r="G569" s="378">
        <v>0</v>
      </c>
      <c r="H569" s="378">
        <v>611668</v>
      </c>
      <c r="I569" s="378">
        <v>0</v>
      </c>
      <c r="J569" s="2">
        <f t="shared" si="10"/>
        <v>8</v>
      </c>
    </row>
    <row r="570" spans="1:10" ht="15.75" customHeight="1" x14ac:dyDescent="0.25">
      <c r="A570" s="380">
        <v>23709502</v>
      </c>
      <c r="B570" s="381" t="s">
        <v>315</v>
      </c>
      <c r="C570" s="381" t="s">
        <v>1282</v>
      </c>
      <c r="D570" s="381" t="s">
        <v>728</v>
      </c>
      <c r="E570" s="381" t="s">
        <v>729</v>
      </c>
      <c r="F570" s="378">
        <v>128334</v>
      </c>
      <c r="G570" s="378">
        <v>0</v>
      </c>
      <c r="H570" s="378">
        <v>128334</v>
      </c>
      <c r="I570" s="378">
        <v>0</v>
      </c>
      <c r="J570" s="2">
        <f t="shared" si="10"/>
        <v>8</v>
      </c>
    </row>
    <row r="571" spans="1:10" ht="15.75" customHeight="1" x14ac:dyDescent="0.25">
      <c r="A571" s="380">
        <v>23709502</v>
      </c>
      <c r="B571" s="381" t="s">
        <v>315</v>
      </c>
      <c r="C571" s="381" t="s">
        <v>1282</v>
      </c>
      <c r="D571" s="381" t="s">
        <v>797</v>
      </c>
      <c r="E571" s="381" t="s">
        <v>798</v>
      </c>
      <c r="F571" s="378">
        <v>483334</v>
      </c>
      <c r="G571" s="378">
        <v>0</v>
      </c>
      <c r="H571" s="378">
        <v>483334</v>
      </c>
      <c r="I571" s="378">
        <v>0</v>
      </c>
      <c r="J571" s="2">
        <f t="shared" si="10"/>
        <v>8</v>
      </c>
    </row>
    <row r="572" spans="1:10" ht="15.75" customHeight="1" x14ac:dyDescent="0.25">
      <c r="A572" s="380">
        <v>23709507</v>
      </c>
      <c r="B572" s="381" t="s">
        <v>321</v>
      </c>
      <c r="C572" s="381" t="s">
        <v>1504</v>
      </c>
      <c r="D572" s="381" t="s">
        <v>315</v>
      </c>
      <c r="E572" s="381" t="s">
        <v>315</v>
      </c>
      <c r="F572" s="378">
        <v>298334</v>
      </c>
      <c r="G572" s="378">
        <v>0</v>
      </c>
      <c r="H572" s="378">
        <v>241667</v>
      </c>
      <c r="I572" s="378">
        <v>56667</v>
      </c>
      <c r="J572" s="2">
        <f t="shared" si="10"/>
        <v>8</v>
      </c>
    </row>
    <row r="573" spans="1:10" ht="15.75" customHeight="1" x14ac:dyDescent="0.25">
      <c r="A573" s="380">
        <v>23709507</v>
      </c>
      <c r="B573" s="381" t="s">
        <v>321</v>
      </c>
      <c r="C573" s="381" t="s">
        <v>1504</v>
      </c>
      <c r="D573" s="381" t="s">
        <v>797</v>
      </c>
      <c r="E573" s="381" t="s">
        <v>798</v>
      </c>
      <c r="F573" s="378">
        <v>241667</v>
      </c>
      <c r="G573" s="378">
        <v>0</v>
      </c>
      <c r="H573" s="378">
        <v>241667</v>
      </c>
      <c r="I573" s="378">
        <v>0</v>
      </c>
      <c r="J573" s="2">
        <f t="shared" si="10"/>
        <v>8</v>
      </c>
    </row>
    <row r="574" spans="1:10" ht="15.75" customHeight="1" x14ac:dyDescent="0.25">
      <c r="A574" s="380">
        <v>23709507</v>
      </c>
      <c r="B574" s="381" t="s">
        <v>321</v>
      </c>
      <c r="C574" s="381" t="s">
        <v>1504</v>
      </c>
      <c r="D574" s="381" t="s">
        <v>1210</v>
      </c>
      <c r="E574" s="381" t="s">
        <v>1211</v>
      </c>
      <c r="F574" s="378">
        <v>56667</v>
      </c>
      <c r="G574" s="378">
        <v>0</v>
      </c>
      <c r="H574" s="378">
        <v>0</v>
      </c>
      <c r="I574" s="378">
        <v>56667</v>
      </c>
      <c r="J574" s="2">
        <f t="shared" si="10"/>
        <v>8</v>
      </c>
    </row>
    <row r="575" spans="1:10" ht="15.75" customHeight="1" x14ac:dyDescent="0.25">
      <c r="A575" s="380">
        <v>2380</v>
      </c>
      <c r="B575" s="381" t="s">
        <v>315</v>
      </c>
      <c r="C575" s="381" t="s">
        <v>1068</v>
      </c>
      <c r="D575" s="381" t="s">
        <v>315</v>
      </c>
      <c r="E575" s="381" t="s">
        <v>315</v>
      </c>
      <c r="F575" s="378">
        <v>-13259257.52</v>
      </c>
      <c r="G575" s="378">
        <v>9029307.5199999996</v>
      </c>
      <c r="H575" s="378">
        <v>3499222.04</v>
      </c>
      <c r="I575" s="378">
        <v>-7729172.0400000298</v>
      </c>
      <c r="J575" s="2">
        <f t="shared" si="10"/>
        <v>4</v>
      </c>
    </row>
    <row r="576" spans="1:10" ht="15.75" customHeight="1" x14ac:dyDescent="0.25">
      <c r="A576" s="380">
        <v>238095</v>
      </c>
      <c r="B576" s="381" t="s">
        <v>315</v>
      </c>
      <c r="C576" s="381" t="s">
        <v>238</v>
      </c>
      <c r="D576" s="381" t="s">
        <v>315</v>
      </c>
      <c r="E576" s="381" t="s">
        <v>315</v>
      </c>
      <c r="F576" s="378">
        <v>-13259257.52</v>
      </c>
      <c r="G576" s="378">
        <v>9029307.5199999996</v>
      </c>
      <c r="H576" s="378">
        <v>3499222.04</v>
      </c>
      <c r="I576" s="378">
        <v>-7729172.0400000298</v>
      </c>
      <c r="J576" s="2">
        <f t="shared" si="10"/>
        <v>6</v>
      </c>
    </row>
    <row r="577" spans="1:10" ht="15.75" customHeight="1" x14ac:dyDescent="0.25">
      <c r="A577" s="380">
        <v>23809501</v>
      </c>
      <c r="B577" s="381" t="s">
        <v>315</v>
      </c>
      <c r="C577" s="381" t="s">
        <v>238</v>
      </c>
      <c r="D577" s="381" t="s">
        <v>315</v>
      </c>
      <c r="E577" s="381" t="s">
        <v>315</v>
      </c>
      <c r="F577" s="378">
        <v>-4929183.9999999898</v>
      </c>
      <c r="G577" s="378">
        <v>1458522</v>
      </c>
      <c r="H577" s="378">
        <v>340692.92</v>
      </c>
      <c r="I577" s="378">
        <v>-3811354.9199999901</v>
      </c>
      <c r="J577" s="2">
        <f t="shared" si="10"/>
        <v>8</v>
      </c>
    </row>
    <row r="578" spans="1:10" ht="15.75" customHeight="1" x14ac:dyDescent="0.25">
      <c r="A578" s="380">
        <v>23809501</v>
      </c>
      <c r="B578" s="381" t="s">
        <v>315</v>
      </c>
      <c r="C578" s="381" t="s">
        <v>238</v>
      </c>
      <c r="D578" s="381" t="s">
        <v>422</v>
      </c>
      <c r="E578" s="381" t="s">
        <v>1073</v>
      </c>
      <c r="F578" s="378">
        <v>0</v>
      </c>
      <c r="G578" s="378">
        <v>0</v>
      </c>
      <c r="H578" s="378">
        <v>1450.92</v>
      </c>
      <c r="I578" s="378">
        <v>-1450.92</v>
      </c>
      <c r="J578" s="2">
        <f t="shared" si="10"/>
        <v>8</v>
      </c>
    </row>
    <row r="579" spans="1:10" ht="15.75" customHeight="1" x14ac:dyDescent="0.25">
      <c r="A579" s="380">
        <v>23809501</v>
      </c>
      <c r="B579" s="381" t="s">
        <v>315</v>
      </c>
      <c r="C579" s="381" t="s">
        <v>238</v>
      </c>
      <c r="D579" s="381" t="s">
        <v>493</v>
      </c>
      <c r="E579" s="381" t="s">
        <v>494</v>
      </c>
      <c r="F579" s="378">
        <v>-31700</v>
      </c>
      <c r="G579" s="378">
        <v>0</v>
      </c>
      <c r="H579" s="378">
        <v>0</v>
      </c>
      <c r="I579" s="378">
        <v>-31700</v>
      </c>
      <c r="J579" s="2">
        <f t="shared" si="10"/>
        <v>8</v>
      </c>
    </row>
    <row r="580" spans="1:10" ht="15.75" customHeight="1" x14ac:dyDescent="0.25">
      <c r="A580" s="380">
        <v>23809501</v>
      </c>
      <c r="B580" s="381" t="s">
        <v>315</v>
      </c>
      <c r="C580" s="381" t="s">
        <v>238</v>
      </c>
      <c r="D580" s="381" t="s">
        <v>347</v>
      </c>
      <c r="E580" s="381" t="s">
        <v>348</v>
      </c>
      <c r="F580" s="378">
        <v>-2704052</v>
      </c>
      <c r="G580" s="378">
        <v>0</v>
      </c>
      <c r="H580" s="378">
        <v>262909</v>
      </c>
      <c r="I580" s="378">
        <v>-2966961</v>
      </c>
      <c r="J580" s="2">
        <f t="shared" si="10"/>
        <v>8</v>
      </c>
    </row>
    <row r="581" spans="1:10" ht="15.75" customHeight="1" x14ac:dyDescent="0.25">
      <c r="A581" s="380">
        <v>23809501</v>
      </c>
      <c r="B581" s="381" t="s">
        <v>315</v>
      </c>
      <c r="C581" s="381" t="s">
        <v>238</v>
      </c>
      <c r="D581" s="381" t="s">
        <v>377</v>
      </c>
      <c r="E581" s="381" t="s">
        <v>378</v>
      </c>
      <c r="F581" s="378">
        <v>-734860</v>
      </c>
      <c r="G581" s="378">
        <v>0</v>
      </c>
      <c r="H581" s="378">
        <v>76333</v>
      </c>
      <c r="I581" s="378">
        <v>-811193</v>
      </c>
      <c r="J581" s="2">
        <f t="shared" si="10"/>
        <v>8</v>
      </c>
    </row>
    <row r="582" spans="1:10" ht="15.75" customHeight="1" x14ac:dyDescent="0.25">
      <c r="A582" s="380">
        <v>23809501</v>
      </c>
      <c r="B582" s="381" t="s">
        <v>315</v>
      </c>
      <c r="C582" s="381" t="s">
        <v>238</v>
      </c>
      <c r="D582" s="381" t="s">
        <v>723</v>
      </c>
      <c r="E582" s="381" t="s">
        <v>724</v>
      </c>
      <c r="F582" s="378">
        <v>-1458522</v>
      </c>
      <c r="G582" s="378">
        <v>1458522</v>
      </c>
      <c r="H582" s="378">
        <v>0</v>
      </c>
      <c r="I582" s="378">
        <v>0</v>
      </c>
      <c r="J582" s="2">
        <f t="shared" si="10"/>
        <v>8</v>
      </c>
    </row>
    <row r="583" spans="1:10" ht="15.75" customHeight="1" x14ac:dyDescent="0.25">
      <c r="A583" s="380">
        <v>23809501</v>
      </c>
      <c r="B583" s="381" t="s">
        <v>315</v>
      </c>
      <c r="C583" s="381" t="s">
        <v>238</v>
      </c>
      <c r="D583" s="381" t="s">
        <v>804</v>
      </c>
      <c r="E583" s="381" t="s">
        <v>805</v>
      </c>
      <c r="F583" s="378">
        <v>1.4901161193847699E-8</v>
      </c>
      <c r="G583" s="378">
        <v>0</v>
      </c>
      <c r="H583" s="378">
        <v>0</v>
      </c>
      <c r="I583" s="378">
        <v>1.4901161193847699E-8</v>
      </c>
      <c r="J583" s="2">
        <f t="shared" si="10"/>
        <v>8</v>
      </c>
    </row>
    <row r="584" spans="1:10" ht="15.75" customHeight="1" x14ac:dyDescent="0.25">
      <c r="A584" s="380">
        <v>23809501</v>
      </c>
      <c r="B584" s="381" t="s">
        <v>315</v>
      </c>
      <c r="C584" s="381" t="s">
        <v>238</v>
      </c>
      <c r="D584" s="381" t="s">
        <v>765</v>
      </c>
      <c r="E584" s="381" t="s">
        <v>766</v>
      </c>
      <c r="F584" s="378">
        <v>-4.65661287307739E-10</v>
      </c>
      <c r="G584" s="378">
        <v>0</v>
      </c>
      <c r="H584" s="378">
        <v>0</v>
      </c>
      <c r="I584" s="378">
        <v>-4.65661287307739E-10</v>
      </c>
      <c r="J584" s="2">
        <f t="shared" si="10"/>
        <v>8</v>
      </c>
    </row>
    <row r="585" spans="1:10" ht="15.75" customHeight="1" x14ac:dyDescent="0.25">
      <c r="A585" s="380">
        <v>23809501</v>
      </c>
      <c r="B585" s="381" t="s">
        <v>315</v>
      </c>
      <c r="C585" s="381" t="s">
        <v>238</v>
      </c>
      <c r="D585" s="381" t="s">
        <v>769</v>
      </c>
      <c r="E585" s="381" t="s">
        <v>770</v>
      </c>
      <c r="F585" s="378">
        <v>4.65661287307739E-10</v>
      </c>
      <c r="G585" s="378">
        <v>0</v>
      </c>
      <c r="H585" s="378">
        <v>0</v>
      </c>
      <c r="I585" s="378">
        <v>4.65661287307739E-10</v>
      </c>
      <c r="J585" s="2">
        <f t="shared" si="10"/>
        <v>8</v>
      </c>
    </row>
    <row r="586" spans="1:10" ht="15.75" customHeight="1" x14ac:dyDescent="0.25">
      <c r="A586" s="380">
        <v>23809501</v>
      </c>
      <c r="B586" s="381" t="s">
        <v>315</v>
      </c>
      <c r="C586" s="381" t="s">
        <v>238</v>
      </c>
      <c r="D586" s="381" t="s">
        <v>792</v>
      </c>
      <c r="E586" s="381" t="s">
        <v>793</v>
      </c>
      <c r="F586" s="378">
        <v>-50</v>
      </c>
      <c r="G586" s="378">
        <v>0</v>
      </c>
      <c r="H586" s="378">
        <v>0</v>
      </c>
      <c r="I586" s="378">
        <v>-50</v>
      </c>
      <c r="J586" s="2">
        <f t="shared" si="10"/>
        <v>8</v>
      </c>
    </row>
    <row r="587" spans="1:10" ht="15.75" customHeight="1" x14ac:dyDescent="0.25">
      <c r="A587" s="380">
        <v>23809502</v>
      </c>
      <c r="B587" s="381" t="s">
        <v>321</v>
      </c>
      <c r="C587" s="381" t="s">
        <v>1069</v>
      </c>
      <c r="D587" s="381" t="s">
        <v>315</v>
      </c>
      <c r="E587" s="381" t="s">
        <v>315</v>
      </c>
      <c r="F587" s="378">
        <v>0</v>
      </c>
      <c r="G587" s="378">
        <v>0</v>
      </c>
      <c r="H587" s="378">
        <v>0</v>
      </c>
      <c r="I587" s="378">
        <v>0</v>
      </c>
      <c r="J587" s="2">
        <f t="shared" si="10"/>
        <v>8</v>
      </c>
    </row>
    <row r="588" spans="1:10" ht="15.75" customHeight="1" x14ac:dyDescent="0.25">
      <c r="A588" s="380">
        <v>23809503</v>
      </c>
      <c r="B588" s="381" t="s">
        <v>321</v>
      </c>
      <c r="C588" s="381" t="s">
        <v>1070</v>
      </c>
      <c r="D588" s="381" t="s">
        <v>315</v>
      </c>
      <c r="E588" s="381" t="s">
        <v>315</v>
      </c>
      <c r="F588" s="378">
        <v>-2560193.52</v>
      </c>
      <c r="G588" s="378">
        <v>237740.52</v>
      </c>
      <c r="H588" s="378">
        <v>47564.12</v>
      </c>
      <c r="I588" s="378">
        <v>-2370017.12</v>
      </c>
      <c r="J588" s="2">
        <f t="shared" si="10"/>
        <v>8</v>
      </c>
    </row>
    <row r="589" spans="1:10" ht="15.75" customHeight="1" x14ac:dyDescent="0.25">
      <c r="A589" s="380">
        <v>23809503</v>
      </c>
      <c r="B589" s="381" t="s">
        <v>321</v>
      </c>
      <c r="C589" s="381" t="s">
        <v>1070</v>
      </c>
      <c r="D589" s="381" t="s">
        <v>1221</v>
      </c>
      <c r="E589" s="381" t="s">
        <v>1494</v>
      </c>
      <c r="F589" s="378">
        <v>-15984</v>
      </c>
      <c r="G589" s="378">
        <v>15984</v>
      </c>
      <c r="H589" s="378">
        <v>0</v>
      </c>
      <c r="I589" s="378">
        <v>0</v>
      </c>
      <c r="J589" s="2">
        <f t="shared" ref="J589:J652" si="11">+LEN(A589)</f>
        <v>8</v>
      </c>
    </row>
    <row r="590" spans="1:10" ht="15.75" customHeight="1" x14ac:dyDescent="0.25">
      <c r="A590" s="380">
        <v>23809503</v>
      </c>
      <c r="B590" s="381" t="s">
        <v>321</v>
      </c>
      <c r="C590" s="381" t="s">
        <v>1070</v>
      </c>
      <c r="D590" s="381" t="s">
        <v>1200</v>
      </c>
      <c r="E590" s="381" t="s">
        <v>1201</v>
      </c>
      <c r="F590" s="378">
        <v>-365</v>
      </c>
      <c r="G590" s="378">
        <v>365</v>
      </c>
      <c r="H590" s="378">
        <v>0</v>
      </c>
      <c r="I590" s="378">
        <v>0</v>
      </c>
      <c r="J590" s="2">
        <f t="shared" si="11"/>
        <v>8</v>
      </c>
    </row>
    <row r="591" spans="1:10" ht="15.75" customHeight="1" x14ac:dyDescent="0.25">
      <c r="A591" s="380">
        <v>23809503</v>
      </c>
      <c r="B591" s="381" t="s">
        <v>321</v>
      </c>
      <c r="C591" s="381" t="s">
        <v>1070</v>
      </c>
      <c r="D591" s="381" t="s">
        <v>403</v>
      </c>
      <c r="E591" s="381" t="s">
        <v>1080</v>
      </c>
      <c r="F591" s="378">
        <v>-2163544</v>
      </c>
      <c r="G591" s="378">
        <v>0</v>
      </c>
      <c r="H591" s="378">
        <v>0</v>
      </c>
      <c r="I591" s="378">
        <v>-2163544</v>
      </c>
      <c r="J591" s="2">
        <f t="shared" si="11"/>
        <v>8</v>
      </c>
    </row>
    <row r="592" spans="1:10" ht="15.75" customHeight="1" x14ac:dyDescent="0.25">
      <c r="A592" s="380">
        <v>23809503</v>
      </c>
      <c r="B592" s="381" t="s">
        <v>321</v>
      </c>
      <c r="C592" s="381" t="s">
        <v>1070</v>
      </c>
      <c r="D592" s="381" t="s">
        <v>646</v>
      </c>
      <c r="E592" s="381" t="s">
        <v>647</v>
      </c>
      <c r="F592" s="378">
        <v>-190959</v>
      </c>
      <c r="G592" s="378">
        <v>0</v>
      </c>
      <c r="H592" s="378">
        <v>0</v>
      </c>
      <c r="I592" s="378">
        <v>-190959</v>
      </c>
      <c r="J592" s="2">
        <f t="shared" si="11"/>
        <v>8</v>
      </c>
    </row>
    <row r="593" spans="1:10" ht="15.75" customHeight="1" x14ac:dyDescent="0.25">
      <c r="A593" s="380">
        <v>23809503</v>
      </c>
      <c r="B593" s="381" t="s">
        <v>321</v>
      </c>
      <c r="C593" s="381" t="s">
        <v>1070</v>
      </c>
      <c r="D593" s="381" t="s">
        <v>328</v>
      </c>
      <c r="E593" s="381" t="s">
        <v>930</v>
      </c>
      <c r="F593" s="378">
        <v>-213924.25</v>
      </c>
      <c r="G593" s="378">
        <v>213924.25</v>
      </c>
      <c r="H593" s="378">
        <v>7770.91</v>
      </c>
      <c r="I593" s="378">
        <v>-7770.9099999999398</v>
      </c>
      <c r="J593" s="2">
        <f t="shared" si="11"/>
        <v>8</v>
      </c>
    </row>
    <row r="594" spans="1:10" ht="15.75" customHeight="1" x14ac:dyDescent="0.25">
      <c r="A594" s="380">
        <v>23809503</v>
      </c>
      <c r="B594" s="381" t="s">
        <v>321</v>
      </c>
      <c r="C594" s="381" t="s">
        <v>1070</v>
      </c>
      <c r="D594" s="381" t="s">
        <v>422</v>
      </c>
      <c r="E594" s="381" t="s">
        <v>1073</v>
      </c>
      <c r="F594" s="378">
        <v>-892</v>
      </c>
      <c r="G594" s="378">
        <v>892</v>
      </c>
      <c r="H594" s="378">
        <v>0</v>
      </c>
      <c r="I594" s="378">
        <v>0</v>
      </c>
      <c r="J594" s="2">
        <f t="shared" si="11"/>
        <v>8</v>
      </c>
    </row>
    <row r="595" spans="1:10" ht="15.75" customHeight="1" x14ac:dyDescent="0.25">
      <c r="A595" s="380">
        <v>23809503</v>
      </c>
      <c r="B595" s="381" t="s">
        <v>321</v>
      </c>
      <c r="C595" s="381" t="s">
        <v>1070</v>
      </c>
      <c r="D595" s="381" t="s">
        <v>419</v>
      </c>
      <c r="E595" s="381" t="s">
        <v>420</v>
      </c>
      <c r="F595" s="378">
        <v>-2760.27</v>
      </c>
      <c r="G595" s="378">
        <v>2760.27</v>
      </c>
      <c r="H595" s="378">
        <v>2105.21</v>
      </c>
      <c r="I595" s="378">
        <v>-2105.21</v>
      </c>
      <c r="J595" s="2">
        <f t="shared" si="11"/>
        <v>8</v>
      </c>
    </row>
    <row r="596" spans="1:10" ht="15.75" customHeight="1" x14ac:dyDescent="0.25">
      <c r="A596" s="380">
        <v>23809503</v>
      </c>
      <c r="B596" s="381" t="s">
        <v>321</v>
      </c>
      <c r="C596" s="381" t="s">
        <v>1070</v>
      </c>
      <c r="D596" s="381" t="s">
        <v>329</v>
      </c>
      <c r="E596" s="381" t="s">
        <v>330</v>
      </c>
      <c r="F596" s="378">
        <v>2.0539125955565399E-14</v>
      </c>
      <c r="G596" s="378">
        <v>0</v>
      </c>
      <c r="H596" s="378">
        <v>0</v>
      </c>
      <c r="I596" s="378">
        <v>2.0539125955565399E-14</v>
      </c>
      <c r="J596" s="2">
        <f t="shared" si="11"/>
        <v>8</v>
      </c>
    </row>
    <row r="597" spans="1:10" ht="15.75" customHeight="1" x14ac:dyDescent="0.25">
      <c r="A597" s="380">
        <v>23809503</v>
      </c>
      <c r="B597" s="381" t="s">
        <v>321</v>
      </c>
      <c r="C597" s="381" t="s">
        <v>1070</v>
      </c>
      <c r="D597" s="381" t="s">
        <v>723</v>
      </c>
      <c r="E597" s="381" t="s">
        <v>724</v>
      </c>
      <c r="F597" s="378">
        <v>32000</v>
      </c>
      <c r="G597" s="378">
        <v>0</v>
      </c>
      <c r="H597" s="378">
        <v>32000</v>
      </c>
      <c r="I597" s="378">
        <v>0</v>
      </c>
      <c r="J597" s="2">
        <f t="shared" si="11"/>
        <v>8</v>
      </c>
    </row>
    <row r="598" spans="1:10" ht="15.75" customHeight="1" x14ac:dyDescent="0.25">
      <c r="A598" s="380">
        <v>23809503</v>
      </c>
      <c r="B598" s="381" t="s">
        <v>321</v>
      </c>
      <c r="C598" s="381" t="s">
        <v>1070</v>
      </c>
      <c r="D598" s="381" t="s">
        <v>776</v>
      </c>
      <c r="E598" s="381" t="s">
        <v>777</v>
      </c>
      <c r="F598" s="378">
        <v>0</v>
      </c>
      <c r="G598" s="378">
        <v>0</v>
      </c>
      <c r="H598" s="378">
        <v>5688</v>
      </c>
      <c r="I598" s="378">
        <v>-5688</v>
      </c>
      <c r="J598" s="2">
        <f t="shared" si="11"/>
        <v>8</v>
      </c>
    </row>
    <row r="599" spans="1:10" ht="15.75" customHeight="1" x14ac:dyDescent="0.25">
      <c r="A599" s="380">
        <v>23809503</v>
      </c>
      <c r="B599" s="381" t="s">
        <v>321</v>
      </c>
      <c r="C599" s="381" t="s">
        <v>1070</v>
      </c>
      <c r="D599" s="381" t="s">
        <v>1233</v>
      </c>
      <c r="E599" s="381" t="s">
        <v>1234</v>
      </c>
      <c r="F599" s="378">
        <v>-3815</v>
      </c>
      <c r="G599" s="378">
        <v>3815</v>
      </c>
      <c r="H599" s="378">
        <v>0</v>
      </c>
      <c r="I599" s="378">
        <v>0</v>
      </c>
      <c r="J599" s="2">
        <f t="shared" si="11"/>
        <v>8</v>
      </c>
    </row>
    <row r="600" spans="1:10" ht="15.75" customHeight="1" x14ac:dyDescent="0.25">
      <c r="A600" s="380">
        <v>23809503</v>
      </c>
      <c r="B600" s="381" t="s">
        <v>321</v>
      </c>
      <c r="C600" s="381" t="s">
        <v>1070</v>
      </c>
      <c r="D600" s="381" t="s">
        <v>792</v>
      </c>
      <c r="E600" s="381" t="s">
        <v>793</v>
      </c>
      <c r="F600" s="378">
        <v>50</v>
      </c>
      <c r="G600" s="378">
        <v>0</v>
      </c>
      <c r="H600" s="378">
        <v>0</v>
      </c>
      <c r="I600" s="378">
        <v>50</v>
      </c>
      <c r="J600" s="2">
        <f t="shared" si="11"/>
        <v>8</v>
      </c>
    </row>
    <row r="601" spans="1:10" ht="15.75" customHeight="1" x14ac:dyDescent="0.25">
      <c r="A601" s="380">
        <v>23809504</v>
      </c>
      <c r="B601" s="381" t="s">
        <v>321</v>
      </c>
      <c r="C601" s="381" t="s">
        <v>1071</v>
      </c>
      <c r="D601" s="381" t="s">
        <v>315</v>
      </c>
      <c r="E601" s="381" t="s">
        <v>315</v>
      </c>
      <c r="F601" s="378">
        <v>-5.9604644775390599E-8</v>
      </c>
      <c r="G601" s="378">
        <v>0</v>
      </c>
      <c r="H601" s="378">
        <v>0</v>
      </c>
      <c r="I601" s="378">
        <v>-5.9604644775390599E-8</v>
      </c>
      <c r="J601" s="2">
        <f t="shared" si="11"/>
        <v>8</v>
      </c>
    </row>
    <row r="602" spans="1:10" ht="15.75" customHeight="1" x14ac:dyDescent="0.25">
      <c r="A602" s="380">
        <v>23809504</v>
      </c>
      <c r="B602" s="381" t="s">
        <v>321</v>
      </c>
      <c r="C602" s="381" t="s">
        <v>1071</v>
      </c>
      <c r="D602" s="381" t="s">
        <v>801</v>
      </c>
      <c r="E602" s="381" t="s">
        <v>802</v>
      </c>
      <c r="F602" s="378">
        <v>-5.9604644775390599E-8</v>
      </c>
      <c r="G602" s="378">
        <v>0</v>
      </c>
      <c r="H602" s="378">
        <v>0</v>
      </c>
      <c r="I602" s="378">
        <v>-5.9604644775390599E-8</v>
      </c>
      <c r="J602" s="2">
        <f t="shared" si="11"/>
        <v>8</v>
      </c>
    </row>
    <row r="603" spans="1:10" ht="15.75" customHeight="1" x14ac:dyDescent="0.25">
      <c r="A603" s="380">
        <v>23809505</v>
      </c>
      <c r="B603" s="381" t="s">
        <v>321</v>
      </c>
      <c r="C603" s="381" t="s">
        <v>1439</v>
      </c>
      <c r="D603" s="381" t="s">
        <v>315</v>
      </c>
      <c r="E603" s="381" t="s">
        <v>315</v>
      </c>
      <c r="F603" s="378">
        <v>-5769879.9999999898</v>
      </c>
      <c r="G603" s="378">
        <v>7123960</v>
      </c>
      <c r="H603" s="378">
        <v>2901880</v>
      </c>
      <c r="I603" s="378">
        <v>-1547799.99999999</v>
      </c>
      <c r="J603" s="2">
        <f t="shared" si="11"/>
        <v>8</v>
      </c>
    </row>
    <row r="604" spans="1:10" ht="15.75" customHeight="1" x14ac:dyDescent="0.25">
      <c r="A604" s="380">
        <v>23809505</v>
      </c>
      <c r="B604" s="381" t="s">
        <v>321</v>
      </c>
      <c r="C604" s="381" t="s">
        <v>1439</v>
      </c>
      <c r="D604" s="381" t="s">
        <v>837</v>
      </c>
      <c r="E604" s="381" t="s">
        <v>838</v>
      </c>
      <c r="F604" s="378">
        <v>-1547800</v>
      </c>
      <c r="G604" s="378">
        <v>1547800</v>
      </c>
      <c r="H604" s="378">
        <v>0</v>
      </c>
      <c r="I604" s="378">
        <v>0</v>
      </c>
      <c r="J604" s="2">
        <f t="shared" si="11"/>
        <v>8</v>
      </c>
    </row>
    <row r="605" spans="1:10" ht="15.75" customHeight="1" x14ac:dyDescent="0.25">
      <c r="A605" s="380">
        <v>23809505</v>
      </c>
      <c r="B605" s="381" t="s">
        <v>321</v>
      </c>
      <c r="C605" s="381" t="s">
        <v>1439</v>
      </c>
      <c r="D605" s="381" t="s">
        <v>725</v>
      </c>
      <c r="E605" s="381" t="s">
        <v>726</v>
      </c>
      <c r="F605" s="378">
        <v>-4222079.9999999898</v>
      </c>
      <c r="G605" s="378">
        <v>5576160</v>
      </c>
      <c r="H605" s="378">
        <v>2901880</v>
      </c>
      <c r="I605" s="378">
        <v>-1547799.99999999</v>
      </c>
      <c r="J605" s="2">
        <f t="shared" si="11"/>
        <v>8</v>
      </c>
    </row>
    <row r="606" spans="1:10" ht="15.75" customHeight="1" x14ac:dyDescent="0.25">
      <c r="A606" s="380">
        <v>23809506</v>
      </c>
      <c r="B606" s="381" t="s">
        <v>321</v>
      </c>
      <c r="C606" s="381" t="s">
        <v>1505</v>
      </c>
      <c r="D606" s="381" t="s">
        <v>315</v>
      </c>
      <c r="E606" s="381" t="s">
        <v>315</v>
      </c>
      <c r="F606" s="378">
        <v>0</v>
      </c>
      <c r="G606" s="378">
        <v>209085</v>
      </c>
      <c r="H606" s="378">
        <v>209085</v>
      </c>
      <c r="I606" s="378">
        <v>0</v>
      </c>
      <c r="J606" s="2">
        <f t="shared" si="11"/>
        <v>8</v>
      </c>
    </row>
    <row r="607" spans="1:10" ht="15.75" customHeight="1" x14ac:dyDescent="0.25">
      <c r="A607" s="380">
        <v>23809506</v>
      </c>
      <c r="B607" s="381" t="s">
        <v>321</v>
      </c>
      <c r="C607" s="381" t="s">
        <v>1505</v>
      </c>
      <c r="D607" s="381" t="s">
        <v>723</v>
      </c>
      <c r="E607" s="381" t="s">
        <v>724</v>
      </c>
      <c r="F607" s="378">
        <v>0</v>
      </c>
      <c r="G607" s="378">
        <v>209085</v>
      </c>
      <c r="H607" s="378">
        <v>209085</v>
      </c>
      <c r="I607" s="378">
        <v>0</v>
      </c>
      <c r="J607" s="2">
        <f t="shared" si="11"/>
        <v>8</v>
      </c>
    </row>
    <row r="608" spans="1:10" ht="15.75" customHeight="1" x14ac:dyDescent="0.25">
      <c r="A608" s="380">
        <v>24</v>
      </c>
      <c r="B608" s="381" t="s">
        <v>321</v>
      </c>
      <c r="C608" s="381" t="s">
        <v>1072</v>
      </c>
      <c r="D608" s="381" t="s">
        <v>315</v>
      </c>
      <c r="E608" s="381" t="s">
        <v>315</v>
      </c>
      <c r="F608" s="378">
        <v>-78150856.180000007</v>
      </c>
      <c r="G608" s="378">
        <v>73556335.299999997</v>
      </c>
      <c r="H608" s="378">
        <v>125752776</v>
      </c>
      <c r="I608" s="378">
        <v>-130347296.88</v>
      </c>
      <c r="J608" s="2">
        <f t="shared" si="11"/>
        <v>2</v>
      </c>
    </row>
    <row r="609" spans="1:10" ht="15.75" customHeight="1" x14ac:dyDescent="0.25">
      <c r="A609" s="380">
        <v>2402</v>
      </c>
      <c r="B609" s="381" t="s">
        <v>321</v>
      </c>
      <c r="C609" s="381" t="s">
        <v>565</v>
      </c>
      <c r="D609" s="381" t="s">
        <v>315</v>
      </c>
      <c r="E609" s="381" t="s">
        <v>315</v>
      </c>
      <c r="F609" s="378">
        <v>-4118228</v>
      </c>
      <c r="G609" s="378">
        <v>0</v>
      </c>
      <c r="H609" s="378">
        <v>0</v>
      </c>
      <c r="I609" s="378">
        <v>-4118228</v>
      </c>
      <c r="J609" s="2">
        <f t="shared" si="11"/>
        <v>4</v>
      </c>
    </row>
    <row r="610" spans="1:10" ht="15.75" customHeight="1" x14ac:dyDescent="0.25">
      <c r="A610" s="380">
        <v>240201</v>
      </c>
      <c r="B610" s="381" t="s">
        <v>321</v>
      </c>
      <c r="C610" s="381" t="s">
        <v>565</v>
      </c>
      <c r="D610" s="381" t="s">
        <v>315</v>
      </c>
      <c r="E610" s="381" t="s">
        <v>315</v>
      </c>
      <c r="F610" s="378">
        <v>-4118228</v>
      </c>
      <c r="G610" s="378">
        <v>0</v>
      </c>
      <c r="H610" s="378">
        <v>0</v>
      </c>
      <c r="I610" s="378">
        <v>-4118228</v>
      </c>
      <c r="J610" s="2">
        <f t="shared" si="11"/>
        <v>6</v>
      </c>
    </row>
    <row r="611" spans="1:10" ht="15.75" customHeight="1" x14ac:dyDescent="0.25">
      <c r="A611" s="380">
        <v>240201</v>
      </c>
      <c r="B611" s="381" t="s">
        <v>321</v>
      </c>
      <c r="C611" s="381" t="s">
        <v>565</v>
      </c>
      <c r="D611" s="381" t="s">
        <v>422</v>
      </c>
      <c r="E611" s="381" t="s">
        <v>1073</v>
      </c>
      <c r="F611" s="378">
        <v>-4118228</v>
      </c>
      <c r="G611" s="378">
        <v>0</v>
      </c>
      <c r="H611" s="378">
        <v>0</v>
      </c>
      <c r="I611" s="378">
        <v>-4118228</v>
      </c>
      <c r="J611" s="2">
        <f t="shared" si="11"/>
        <v>6</v>
      </c>
    </row>
    <row r="612" spans="1:10" ht="15.75" customHeight="1" x14ac:dyDescent="0.25">
      <c r="A612" s="380">
        <v>2404</v>
      </c>
      <c r="B612" s="381" t="s">
        <v>315</v>
      </c>
      <c r="C612" s="381" t="s">
        <v>1074</v>
      </c>
      <c r="D612" s="381" t="s">
        <v>315</v>
      </c>
      <c r="E612" s="381" t="s">
        <v>315</v>
      </c>
      <c r="F612" s="378">
        <v>-26309000</v>
      </c>
      <c r="G612" s="378">
        <v>0</v>
      </c>
      <c r="H612" s="378">
        <v>362196</v>
      </c>
      <c r="I612" s="378">
        <v>-26671196</v>
      </c>
      <c r="J612" s="2">
        <f t="shared" si="11"/>
        <v>4</v>
      </c>
    </row>
    <row r="613" spans="1:10" ht="15.75" customHeight="1" x14ac:dyDescent="0.25">
      <c r="A613" s="380">
        <v>240405</v>
      </c>
      <c r="B613" s="381" t="s">
        <v>315</v>
      </c>
      <c r="C613" s="381" t="s">
        <v>1075</v>
      </c>
      <c r="D613" s="381" t="s">
        <v>315</v>
      </c>
      <c r="E613" s="381" t="s">
        <v>315</v>
      </c>
      <c r="F613" s="378">
        <v>-26309000</v>
      </c>
      <c r="G613" s="378">
        <v>0</v>
      </c>
      <c r="H613" s="378">
        <v>362196</v>
      </c>
      <c r="I613" s="378">
        <v>-26671196</v>
      </c>
      <c r="J613" s="2">
        <f t="shared" si="11"/>
        <v>6</v>
      </c>
    </row>
    <row r="614" spans="1:10" ht="15.75" customHeight="1" x14ac:dyDescent="0.25">
      <c r="A614" s="380">
        <v>24040502</v>
      </c>
      <c r="B614" s="381" t="s">
        <v>321</v>
      </c>
      <c r="C614" s="381" t="s">
        <v>1075</v>
      </c>
      <c r="D614" s="381" t="s">
        <v>315</v>
      </c>
      <c r="E614" s="381" t="s">
        <v>315</v>
      </c>
      <c r="F614" s="378">
        <v>-26309000</v>
      </c>
      <c r="G614" s="378">
        <v>0</v>
      </c>
      <c r="H614" s="378">
        <v>362196</v>
      </c>
      <c r="I614" s="378">
        <v>-26671196</v>
      </c>
      <c r="J614" s="2">
        <f t="shared" si="11"/>
        <v>8</v>
      </c>
    </row>
    <row r="615" spans="1:10" ht="15.75" customHeight="1" x14ac:dyDescent="0.25">
      <c r="A615" s="380">
        <v>2406</v>
      </c>
      <c r="B615" s="381" t="s">
        <v>315</v>
      </c>
      <c r="C615" s="381" t="s">
        <v>436</v>
      </c>
      <c r="D615" s="381" t="s">
        <v>315</v>
      </c>
      <c r="E615" s="381" t="s">
        <v>315</v>
      </c>
      <c r="F615" s="378">
        <v>-14208000</v>
      </c>
      <c r="G615" s="378">
        <v>14208000</v>
      </c>
      <c r="H615" s="378">
        <v>26515000</v>
      </c>
      <c r="I615" s="378">
        <v>-26515000</v>
      </c>
      <c r="J615" s="2">
        <f t="shared" si="11"/>
        <v>4</v>
      </c>
    </row>
    <row r="616" spans="1:10" ht="15.75" customHeight="1" x14ac:dyDescent="0.25">
      <c r="A616" s="380">
        <v>240605</v>
      </c>
      <c r="B616" s="381" t="s">
        <v>315</v>
      </c>
      <c r="C616" s="381" t="s">
        <v>1076</v>
      </c>
      <c r="D616" s="381" t="s">
        <v>315</v>
      </c>
      <c r="E616" s="381" t="s">
        <v>315</v>
      </c>
      <c r="F616" s="378">
        <v>-14208000</v>
      </c>
      <c r="G616" s="378">
        <v>14208000</v>
      </c>
      <c r="H616" s="378">
        <v>26515000</v>
      </c>
      <c r="I616" s="378">
        <v>-26515000</v>
      </c>
      <c r="J616" s="2">
        <f t="shared" si="11"/>
        <v>6</v>
      </c>
    </row>
    <row r="617" spans="1:10" ht="15.75" customHeight="1" x14ac:dyDescent="0.25">
      <c r="A617" s="380">
        <v>240605</v>
      </c>
      <c r="B617" s="381" t="s">
        <v>315</v>
      </c>
      <c r="C617" s="381" t="s">
        <v>1076</v>
      </c>
      <c r="D617" s="381" t="s">
        <v>422</v>
      </c>
      <c r="E617" s="381" t="s">
        <v>1073</v>
      </c>
      <c r="F617" s="378">
        <v>-14208000</v>
      </c>
      <c r="G617" s="378">
        <v>14208000</v>
      </c>
      <c r="H617" s="378">
        <v>26515000</v>
      </c>
      <c r="I617" s="378">
        <v>-26515000</v>
      </c>
      <c r="J617" s="2">
        <f t="shared" si="11"/>
        <v>6</v>
      </c>
    </row>
    <row r="618" spans="1:10" ht="15.75" customHeight="1" x14ac:dyDescent="0.25">
      <c r="A618" s="380">
        <v>240610</v>
      </c>
      <c r="B618" s="381" t="s">
        <v>315</v>
      </c>
      <c r="C618" s="381" t="s">
        <v>629</v>
      </c>
      <c r="D618" s="381" t="s">
        <v>315</v>
      </c>
      <c r="E618" s="381" t="s">
        <v>315</v>
      </c>
      <c r="F618" s="378">
        <v>-2.8870999813079801E-8</v>
      </c>
      <c r="G618" s="378">
        <v>0</v>
      </c>
      <c r="H618" s="378">
        <v>0</v>
      </c>
      <c r="I618" s="378">
        <v>-2.8870999813079801E-8</v>
      </c>
      <c r="J618" s="2">
        <f t="shared" si="11"/>
        <v>6</v>
      </c>
    </row>
    <row r="619" spans="1:10" ht="15.75" customHeight="1" x14ac:dyDescent="0.25">
      <c r="A619" s="380">
        <v>240610</v>
      </c>
      <c r="B619" s="381" t="s">
        <v>315</v>
      </c>
      <c r="C619" s="381" t="s">
        <v>629</v>
      </c>
      <c r="D619" s="381" t="s">
        <v>356</v>
      </c>
      <c r="E619" s="381" t="s">
        <v>357</v>
      </c>
      <c r="F619" s="378">
        <v>-2.8870999813079801E-8</v>
      </c>
      <c r="G619" s="378">
        <v>0</v>
      </c>
      <c r="H619" s="378">
        <v>0</v>
      </c>
      <c r="I619" s="378">
        <v>-2.8870999813079801E-8</v>
      </c>
      <c r="J619" s="2">
        <f t="shared" si="11"/>
        <v>6</v>
      </c>
    </row>
    <row r="620" spans="1:10" ht="15.75" customHeight="1" x14ac:dyDescent="0.25">
      <c r="A620" s="380">
        <v>2408</v>
      </c>
      <c r="B620" s="381" t="s">
        <v>315</v>
      </c>
      <c r="C620" s="381" t="s">
        <v>437</v>
      </c>
      <c r="D620" s="381" t="s">
        <v>315</v>
      </c>
      <c r="E620" s="381" t="s">
        <v>315</v>
      </c>
      <c r="F620" s="378">
        <v>-33515628.18</v>
      </c>
      <c r="G620" s="378">
        <v>59348335.299999997</v>
      </c>
      <c r="H620" s="378">
        <v>98875580</v>
      </c>
      <c r="I620" s="378">
        <v>-73042872.879999995</v>
      </c>
      <c r="J620" s="2">
        <f t="shared" si="11"/>
        <v>4</v>
      </c>
    </row>
    <row r="621" spans="1:10" ht="15.75" customHeight="1" x14ac:dyDescent="0.25">
      <c r="A621" s="380">
        <v>240805</v>
      </c>
      <c r="B621" s="381" t="s">
        <v>315</v>
      </c>
      <c r="C621" s="381" t="s">
        <v>438</v>
      </c>
      <c r="D621" s="381" t="s">
        <v>315</v>
      </c>
      <c r="E621" s="381" t="s">
        <v>315</v>
      </c>
      <c r="F621" s="378">
        <v>-463185878.89999998</v>
      </c>
      <c r="G621" s="378">
        <v>466077</v>
      </c>
      <c r="H621" s="378">
        <v>98774880</v>
      </c>
      <c r="I621" s="378">
        <v>-561494681.89999998</v>
      </c>
      <c r="J621" s="2">
        <f t="shared" si="11"/>
        <v>6</v>
      </c>
    </row>
    <row r="622" spans="1:10" ht="15.75" customHeight="1" x14ac:dyDescent="0.25">
      <c r="A622" s="380">
        <v>24080506</v>
      </c>
      <c r="B622" s="381" t="s">
        <v>315</v>
      </c>
      <c r="C622" s="381" t="s">
        <v>1077</v>
      </c>
      <c r="D622" s="381" t="s">
        <v>315</v>
      </c>
      <c r="E622" s="381" t="s">
        <v>315</v>
      </c>
      <c r="F622" s="378">
        <v>-460426253.56999999</v>
      </c>
      <c r="G622" s="378">
        <v>0</v>
      </c>
      <c r="H622" s="378">
        <v>98756889</v>
      </c>
      <c r="I622" s="378">
        <v>-559183142.57000005</v>
      </c>
      <c r="J622" s="2">
        <f t="shared" si="11"/>
        <v>8</v>
      </c>
    </row>
    <row r="623" spans="1:10" ht="15.75" customHeight="1" x14ac:dyDescent="0.25">
      <c r="A623" s="380">
        <v>24080506</v>
      </c>
      <c r="B623" s="381" t="s">
        <v>315</v>
      </c>
      <c r="C623" s="381" t="s">
        <v>1077</v>
      </c>
      <c r="D623" s="381" t="s">
        <v>779</v>
      </c>
      <c r="E623" s="381" t="s">
        <v>780</v>
      </c>
      <c r="F623" s="378">
        <v>-5747.9</v>
      </c>
      <c r="G623" s="378">
        <v>0</v>
      </c>
      <c r="H623" s="378">
        <v>0</v>
      </c>
      <c r="I623" s="378">
        <v>-5747.9</v>
      </c>
      <c r="J623" s="2">
        <f t="shared" si="11"/>
        <v>8</v>
      </c>
    </row>
    <row r="624" spans="1:10" ht="15.75" customHeight="1" x14ac:dyDescent="0.25">
      <c r="A624" s="380">
        <v>24080506</v>
      </c>
      <c r="B624" s="381" t="s">
        <v>315</v>
      </c>
      <c r="C624" s="381" t="s">
        <v>1077</v>
      </c>
      <c r="D624" s="381" t="s">
        <v>1078</v>
      </c>
      <c r="E624" s="381" t="s">
        <v>1079</v>
      </c>
      <c r="F624" s="378">
        <v>-19159.66</v>
      </c>
      <c r="G624" s="378">
        <v>0</v>
      </c>
      <c r="H624" s="378">
        <v>4470.59</v>
      </c>
      <c r="I624" s="378">
        <v>-23630.25</v>
      </c>
      <c r="J624" s="2">
        <f t="shared" si="11"/>
        <v>8</v>
      </c>
    </row>
    <row r="625" spans="1:10" ht="15.75" customHeight="1" x14ac:dyDescent="0.25">
      <c r="A625" s="380">
        <v>24080506</v>
      </c>
      <c r="B625" s="381" t="s">
        <v>315</v>
      </c>
      <c r="C625" s="381" t="s">
        <v>1077</v>
      </c>
      <c r="D625" s="381" t="s">
        <v>728</v>
      </c>
      <c r="E625" s="381" t="s">
        <v>729</v>
      </c>
      <c r="F625" s="378">
        <v>-32890.76</v>
      </c>
      <c r="G625" s="378">
        <v>0</v>
      </c>
      <c r="H625" s="378">
        <v>7184.88</v>
      </c>
      <c r="I625" s="378">
        <v>-40075.64</v>
      </c>
      <c r="J625" s="2">
        <f t="shared" si="11"/>
        <v>8</v>
      </c>
    </row>
    <row r="626" spans="1:10" ht="15.75" customHeight="1" x14ac:dyDescent="0.25">
      <c r="A626" s="380">
        <v>24080506</v>
      </c>
      <c r="B626" s="381" t="s">
        <v>315</v>
      </c>
      <c r="C626" s="381" t="s">
        <v>1077</v>
      </c>
      <c r="D626" s="381" t="s">
        <v>786</v>
      </c>
      <c r="E626" s="381" t="s">
        <v>787</v>
      </c>
      <c r="F626" s="378">
        <v>-4789.92</v>
      </c>
      <c r="G626" s="378">
        <v>0</v>
      </c>
      <c r="H626" s="378">
        <v>0</v>
      </c>
      <c r="I626" s="378">
        <v>-4789.92</v>
      </c>
      <c r="J626" s="2">
        <f t="shared" si="11"/>
        <v>8</v>
      </c>
    </row>
    <row r="627" spans="1:10" ht="15.75" customHeight="1" x14ac:dyDescent="0.25">
      <c r="A627" s="380">
        <v>24080506</v>
      </c>
      <c r="B627" s="381" t="s">
        <v>315</v>
      </c>
      <c r="C627" s="381" t="s">
        <v>1077</v>
      </c>
      <c r="D627" s="381" t="s">
        <v>403</v>
      </c>
      <c r="E627" s="381" t="s">
        <v>1080</v>
      </c>
      <c r="F627" s="378">
        <v>-459626031.20999998</v>
      </c>
      <c r="G627" s="378">
        <v>0</v>
      </c>
      <c r="H627" s="378">
        <v>98461772</v>
      </c>
      <c r="I627" s="378">
        <v>-558087803.21000004</v>
      </c>
      <c r="J627" s="2">
        <f t="shared" si="11"/>
        <v>8</v>
      </c>
    </row>
    <row r="628" spans="1:10" ht="15.75" customHeight="1" x14ac:dyDescent="0.25">
      <c r="A628" s="380">
        <v>24080506</v>
      </c>
      <c r="B628" s="381" t="s">
        <v>315</v>
      </c>
      <c r="C628" s="381" t="s">
        <v>1077</v>
      </c>
      <c r="D628" s="381" t="s">
        <v>562</v>
      </c>
      <c r="E628" s="381" t="s">
        <v>1081</v>
      </c>
      <c r="F628" s="378">
        <v>-11990.76</v>
      </c>
      <c r="G628" s="378">
        <v>0</v>
      </c>
      <c r="H628" s="378">
        <v>0</v>
      </c>
      <c r="I628" s="378">
        <v>-11990.76</v>
      </c>
      <c r="J628" s="2">
        <f t="shared" si="11"/>
        <v>8</v>
      </c>
    </row>
    <row r="629" spans="1:10" ht="15.75" customHeight="1" x14ac:dyDescent="0.25">
      <c r="A629" s="380">
        <v>24080506</v>
      </c>
      <c r="B629" s="381" t="s">
        <v>315</v>
      </c>
      <c r="C629" s="381" t="s">
        <v>1077</v>
      </c>
      <c r="D629" s="381" t="s">
        <v>559</v>
      </c>
      <c r="E629" s="381" t="s">
        <v>560</v>
      </c>
      <c r="F629" s="378">
        <v>-6226.9</v>
      </c>
      <c r="G629" s="378">
        <v>0</v>
      </c>
      <c r="H629" s="378">
        <v>0</v>
      </c>
      <c r="I629" s="378">
        <v>-6226.9</v>
      </c>
      <c r="J629" s="2">
        <f t="shared" si="11"/>
        <v>8</v>
      </c>
    </row>
    <row r="630" spans="1:10" ht="15.75" customHeight="1" x14ac:dyDescent="0.25">
      <c r="A630" s="380">
        <v>24080506</v>
      </c>
      <c r="B630" s="381" t="s">
        <v>315</v>
      </c>
      <c r="C630" s="381" t="s">
        <v>1077</v>
      </c>
      <c r="D630" s="381" t="s">
        <v>715</v>
      </c>
      <c r="E630" s="381" t="s">
        <v>716</v>
      </c>
      <c r="F630" s="378">
        <v>-171652.28</v>
      </c>
      <c r="G630" s="378">
        <v>0</v>
      </c>
      <c r="H630" s="378">
        <v>0</v>
      </c>
      <c r="I630" s="378">
        <v>-171652.28</v>
      </c>
      <c r="J630" s="2">
        <f t="shared" si="11"/>
        <v>8</v>
      </c>
    </row>
    <row r="631" spans="1:10" ht="15.75" customHeight="1" x14ac:dyDescent="0.25">
      <c r="A631" s="380">
        <v>24080506</v>
      </c>
      <c r="B631" s="381" t="s">
        <v>315</v>
      </c>
      <c r="C631" s="381" t="s">
        <v>1077</v>
      </c>
      <c r="D631" s="381" t="s">
        <v>1084</v>
      </c>
      <c r="E631" s="381" t="s">
        <v>1085</v>
      </c>
      <c r="F631" s="378">
        <v>-7839.5</v>
      </c>
      <c r="G631" s="378">
        <v>0</v>
      </c>
      <c r="H631" s="378">
        <v>0</v>
      </c>
      <c r="I631" s="378">
        <v>-7839.5</v>
      </c>
      <c r="J631" s="2">
        <f t="shared" si="11"/>
        <v>8</v>
      </c>
    </row>
    <row r="632" spans="1:10" ht="15.75" customHeight="1" x14ac:dyDescent="0.25">
      <c r="A632" s="380">
        <v>24080506</v>
      </c>
      <c r="B632" s="381" t="s">
        <v>315</v>
      </c>
      <c r="C632" s="381" t="s">
        <v>1077</v>
      </c>
      <c r="D632" s="381" t="s">
        <v>347</v>
      </c>
      <c r="E632" s="381" t="s">
        <v>348</v>
      </c>
      <c r="F632" s="378">
        <v>-469358.3</v>
      </c>
      <c r="G632" s="378">
        <v>0</v>
      </c>
      <c r="H632" s="378">
        <v>270049.77</v>
      </c>
      <c r="I632" s="378">
        <v>-739408.07</v>
      </c>
      <c r="J632" s="2">
        <f t="shared" si="11"/>
        <v>8</v>
      </c>
    </row>
    <row r="633" spans="1:10" ht="15.75" customHeight="1" x14ac:dyDescent="0.25">
      <c r="A633" s="380">
        <v>24080506</v>
      </c>
      <c r="B633" s="381" t="s">
        <v>315</v>
      </c>
      <c r="C633" s="381" t="s">
        <v>1077</v>
      </c>
      <c r="D633" s="381" t="s">
        <v>927</v>
      </c>
      <c r="E633" s="381" t="s">
        <v>928</v>
      </c>
      <c r="F633" s="378">
        <v>-22803.040000000001</v>
      </c>
      <c r="G633" s="378">
        <v>0</v>
      </c>
      <c r="H633" s="378">
        <v>0</v>
      </c>
      <c r="I633" s="378">
        <v>-22803.040000000001</v>
      </c>
      <c r="J633" s="2">
        <f t="shared" si="11"/>
        <v>8</v>
      </c>
    </row>
    <row r="634" spans="1:10" ht="15.75" customHeight="1" x14ac:dyDescent="0.25">
      <c r="A634" s="380">
        <v>24080506</v>
      </c>
      <c r="B634" s="381" t="s">
        <v>315</v>
      </c>
      <c r="C634" s="381" t="s">
        <v>1077</v>
      </c>
      <c r="D634" s="381" t="s">
        <v>723</v>
      </c>
      <c r="E634" s="381" t="s">
        <v>724</v>
      </c>
      <c r="F634" s="378">
        <v>-28284.35</v>
      </c>
      <c r="G634" s="378">
        <v>0</v>
      </c>
      <c r="H634" s="378">
        <v>0</v>
      </c>
      <c r="I634" s="378">
        <v>-28284.35</v>
      </c>
      <c r="J634" s="2">
        <f t="shared" si="11"/>
        <v>8</v>
      </c>
    </row>
    <row r="635" spans="1:10" ht="15.75" customHeight="1" x14ac:dyDescent="0.25">
      <c r="A635" s="380">
        <v>24080506</v>
      </c>
      <c r="B635" s="381" t="s">
        <v>315</v>
      </c>
      <c r="C635" s="381" t="s">
        <v>1077</v>
      </c>
      <c r="D635" s="381" t="s">
        <v>1088</v>
      </c>
      <c r="E635" s="381" t="s">
        <v>1089</v>
      </c>
      <c r="F635" s="378">
        <v>-7025.21</v>
      </c>
      <c r="G635" s="378">
        <v>0</v>
      </c>
      <c r="H635" s="378">
        <v>0</v>
      </c>
      <c r="I635" s="378">
        <v>-7025.21</v>
      </c>
      <c r="J635" s="2">
        <f t="shared" si="11"/>
        <v>8</v>
      </c>
    </row>
    <row r="636" spans="1:10" ht="15.75" customHeight="1" x14ac:dyDescent="0.25">
      <c r="A636" s="380">
        <v>24080506</v>
      </c>
      <c r="B636" s="381" t="s">
        <v>315</v>
      </c>
      <c r="C636" s="381" t="s">
        <v>1077</v>
      </c>
      <c r="D636" s="381" t="s">
        <v>1090</v>
      </c>
      <c r="E636" s="381" t="s">
        <v>1091</v>
      </c>
      <c r="F636" s="378">
        <v>-3831.93</v>
      </c>
      <c r="G636" s="378">
        <v>0</v>
      </c>
      <c r="H636" s="378">
        <v>13411.76</v>
      </c>
      <c r="I636" s="378">
        <v>-17243.689999999999</v>
      </c>
      <c r="J636" s="2">
        <f t="shared" si="11"/>
        <v>8</v>
      </c>
    </row>
    <row r="637" spans="1:10" ht="15.75" customHeight="1" x14ac:dyDescent="0.25">
      <c r="A637" s="380">
        <v>24080506</v>
      </c>
      <c r="B637" s="381" t="s">
        <v>315</v>
      </c>
      <c r="C637" s="381" t="s">
        <v>1077</v>
      </c>
      <c r="D637" s="381" t="s">
        <v>792</v>
      </c>
      <c r="E637" s="381" t="s">
        <v>793</v>
      </c>
      <c r="F637" s="378">
        <v>-957.98</v>
      </c>
      <c r="G637" s="378">
        <v>0</v>
      </c>
      <c r="H637" s="378">
        <v>0</v>
      </c>
      <c r="I637" s="378">
        <v>-957.98</v>
      </c>
      <c r="J637" s="2">
        <f t="shared" si="11"/>
        <v>8</v>
      </c>
    </row>
    <row r="638" spans="1:10" ht="15.75" customHeight="1" x14ac:dyDescent="0.25">
      <c r="A638" s="380">
        <v>24080506</v>
      </c>
      <c r="B638" s="381" t="s">
        <v>315</v>
      </c>
      <c r="C638" s="381" t="s">
        <v>1077</v>
      </c>
      <c r="D638" s="381" t="s">
        <v>1092</v>
      </c>
      <c r="E638" s="381" t="s">
        <v>1093</v>
      </c>
      <c r="F638" s="378">
        <v>-7663.87</v>
      </c>
      <c r="G638" s="378">
        <v>0</v>
      </c>
      <c r="H638" s="378">
        <v>0</v>
      </c>
      <c r="I638" s="378">
        <v>-7663.87</v>
      </c>
      <c r="J638" s="2">
        <f t="shared" si="11"/>
        <v>8</v>
      </c>
    </row>
    <row r="639" spans="1:10" ht="15.75" customHeight="1" x14ac:dyDescent="0.25">
      <c r="A639" s="380">
        <v>24080515</v>
      </c>
      <c r="B639" s="381" t="s">
        <v>315</v>
      </c>
      <c r="C639" s="381" t="s">
        <v>1096</v>
      </c>
      <c r="D639" s="381" t="s">
        <v>315</v>
      </c>
      <c r="E639" s="381" t="s">
        <v>315</v>
      </c>
      <c r="F639" s="378">
        <v>-1445849</v>
      </c>
      <c r="G639" s="378">
        <v>0</v>
      </c>
      <c r="H639" s="378">
        <v>17991</v>
      </c>
      <c r="I639" s="378">
        <v>-1463840</v>
      </c>
      <c r="J639" s="2">
        <f t="shared" si="11"/>
        <v>8</v>
      </c>
    </row>
    <row r="640" spans="1:10" ht="15.75" customHeight="1" x14ac:dyDescent="0.25">
      <c r="A640" s="380">
        <v>24080515</v>
      </c>
      <c r="B640" s="381" t="s">
        <v>315</v>
      </c>
      <c r="C640" s="381" t="s">
        <v>1096</v>
      </c>
      <c r="D640" s="381" t="s">
        <v>1097</v>
      </c>
      <c r="E640" s="381" t="s">
        <v>1098</v>
      </c>
      <c r="F640" s="378">
        <v>-59076</v>
      </c>
      <c r="G640" s="378">
        <v>0</v>
      </c>
      <c r="H640" s="378">
        <v>0</v>
      </c>
      <c r="I640" s="378">
        <v>-59076</v>
      </c>
      <c r="J640" s="2">
        <f t="shared" si="11"/>
        <v>8</v>
      </c>
    </row>
    <row r="641" spans="1:10" ht="15.75" customHeight="1" x14ac:dyDescent="0.25">
      <c r="A641" s="380">
        <v>24080515</v>
      </c>
      <c r="B641" s="381" t="s">
        <v>315</v>
      </c>
      <c r="C641" s="381" t="s">
        <v>1096</v>
      </c>
      <c r="D641" s="381" t="s">
        <v>367</v>
      </c>
      <c r="E641" s="381" t="s">
        <v>814</v>
      </c>
      <c r="F641" s="378">
        <v>-224088</v>
      </c>
      <c r="G641" s="378">
        <v>0</v>
      </c>
      <c r="H641" s="378">
        <v>12035</v>
      </c>
      <c r="I641" s="378">
        <v>-236123</v>
      </c>
      <c r="J641" s="2">
        <f t="shared" si="11"/>
        <v>8</v>
      </c>
    </row>
    <row r="642" spans="1:10" ht="15.75" customHeight="1" x14ac:dyDescent="0.25">
      <c r="A642" s="380">
        <v>24080515</v>
      </c>
      <c r="B642" s="381" t="s">
        <v>315</v>
      </c>
      <c r="C642" s="381" t="s">
        <v>1096</v>
      </c>
      <c r="D642" s="381" t="s">
        <v>369</v>
      </c>
      <c r="E642" s="381" t="s">
        <v>815</v>
      </c>
      <c r="F642" s="378">
        <v>-20754</v>
      </c>
      <c r="G642" s="378">
        <v>0</v>
      </c>
      <c r="H642" s="378">
        <v>1485</v>
      </c>
      <c r="I642" s="378">
        <v>-22239</v>
      </c>
      <c r="J642" s="2">
        <f t="shared" si="11"/>
        <v>8</v>
      </c>
    </row>
    <row r="643" spans="1:10" ht="15.75" customHeight="1" x14ac:dyDescent="0.25">
      <c r="A643" s="380">
        <v>24080515</v>
      </c>
      <c r="B643" s="381" t="s">
        <v>315</v>
      </c>
      <c r="C643" s="381" t="s">
        <v>1096</v>
      </c>
      <c r="D643" s="381" t="s">
        <v>347</v>
      </c>
      <c r="E643" s="381" t="s">
        <v>348</v>
      </c>
      <c r="F643" s="378">
        <v>-5909</v>
      </c>
      <c r="G643" s="378">
        <v>0</v>
      </c>
      <c r="H643" s="378">
        <v>0</v>
      </c>
      <c r="I643" s="378">
        <v>-5909</v>
      </c>
      <c r="J643" s="2">
        <f t="shared" si="11"/>
        <v>8</v>
      </c>
    </row>
    <row r="644" spans="1:10" ht="15.75" customHeight="1" x14ac:dyDescent="0.25">
      <c r="A644" s="380">
        <v>24080515</v>
      </c>
      <c r="B644" s="381" t="s">
        <v>315</v>
      </c>
      <c r="C644" s="381" t="s">
        <v>1096</v>
      </c>
      <c r="D644" s="381" t="s">
        <v>373</v>
      </c>
      <c r="E644" s="381" t="s">
        <v>374</v>
      </c>
      <c r="F644" s="378">
        <v>-57404</v>
      </c>
      <c r="G644" s="378">
        <v>0</v>
      </c>
      <c r="H644" s="378">
        <v>0</v>
      </c>
      <c r="I644" s="378">
        <v>-57404</v>
      </c>
      <c r="J644" s="2">
        <f t="shared" si="11"/>
        <v>8</v>
      </c>
    </row>
    <row r="645" spans="1:10" ht="15.75" customHeight="1" x14ac:dyDescent="0.25">
      <c r="A645" s="380">
        <v>24080515</v>
      </c>
      <c r="B645" s="381" t="s">
        <v>315</v>
      </c>
      <c r="C645" s="381" t="s">
        <v>1096</v>
      </c>
      <c r="D645" s="381" t="s">
        <v>1056</v>
      </c>
      <c r="E645" s="381" t="s">
        <v>1057</v>
      </c>
      <c r="F645" s="378">
        <v>-107655</v>
      </c>
      <c r="G645" s="378">
        <v>0</v>
      </c>
      <c r="H645" s="378">
        <v>0</v>
      </c>
      <c r="I645" s="378">
        <v>-107655</v>
      </c>
      <c r="J645" s="2">
        <f t="shared" si="11"/>
        <v>8</v>
      </c>
    </row>
    <row r="646" spans="1:10" ht="15.75" customHeight="1" x14ac:dyDescent="0.25">
      <c r="A646" s="380">
        <v>24080515</v>
      </c>
      <c r="B646" s="381" t="s">
        <v>315</v>
      </c>
      <c r="C646" s="381" t="s">
        <v>1096</v>
      </c>
      <c r="D646" s="381" t="s">
        <v>377</v>
      </c>
      <c r="E646" s="381" t="s">
        <v>378</v>
      </c>
      <c r="F646" s="378">
        <v>-36059</v>
      </c>
      <c r="G646" s="378">
        <v>0</v>
      </c>
      <c r="H646" s="378">
        <v>0</v>
      </c>
      <c r="I646" s="378">
        <v>-36059</v>
      </c>
      <c r="J646" s="2">
        <f t="shared" si="11"/>
        <v>8</v>
      </c>
    </row>
    <row r="647" spans="1:10" ht="15.75" customHeight="1" x14ac:dyDescent="0.25">
      <c r="A647" s="380">
        <v>24080515</v>
      </c>
      <c r="B647" s="381" t="s">
        <v>315</v>
      </c>
      <c r="C647" s="381" t="s">
        <v>1096</v>
      </c>
      <c r="D647" s="381" t="s">
        <v>761</v>
      </c>
      <c r="E647" s="381" t="s">
        <v>762</v>
      </c>
      <c r="F647" s="378">
        <v>-708406</v>
      </c>
      <c r="G647" s="378">
        <v>0</v>
      </c>
      <c r="H647" s="378">
        <v>0</v>
      </c>
      <c r="I647" s="378">
        <v>-708406</v>
      </c>
      <c r="J647" s="2">
        <f t="shared" si="11"/>
        <v>8</v>
      </c>
    </row>
    <row r="648" spans="1:10" ht="15.75" customHeight="1" x14ac:dyDescent="0.25">
      <c r="A648" s="380">
        <v>24080515</v>
      </c>
      <c r="B648" s="381" t="s">
        <v>315</v>
      </c>
      <c r="C648" s="381" t="s">
        <v>1096</v>
      </c>
      <c r="D648" s="381" t="s">
        <v>1015</v>
      </c>
      <c r="E648" s="381" t="s">
        <v>1016</v>
      </c>
      <c r="F648" s="378">
        <v>-181538</v>
      </c>
      <c r="G648" s="378">
        <v>0</v>
      </c>
      <c r="H648" s="378">
        <v>0</v>
      </c>
      <c r="I648" s="378">
        <v>-181538</v>
      </c>
      <c r="J648" s="2">
        <f t="shared" si="11"/>
        <v>8</v>
      </c>
    </row>
    <row r="649" spans="1:10" ht="15.75" customHeight="1" x14ac:dyDescent="0.25">
      <c r="A649" s="380">
        <v>24080515</v>
      </c>
      <c r="B649" s="381" t="s">
        <v>315</v>
      </c>
      <c r="C649" s="381" t="s">
        <v>1096</v>
      </c>
      <c r="D649" s="381" t="s">
        <v>723</v>
      </c>
      <c r="E649" s="381" t="s">
        <v>724</v>
      </c>
      <c r="F649" s="378">
        <v>-37122</v>
      </c>
      <c r="G649" s="378">
        <v>0</v>
      </c>
      <c r="H649" s="378">
        <v>4471</v>
      </c>
      <c r="I649" s="378">
        <v>-41593</v>
      </c>
      <c r="J649" s="2">
        <f t="shared" si="11"/>
        <v>8</v>
      </c>
    </row>
    <row r="650" spans="1:10" ht="15.75" customHeight="1" x14ac:dyDescent="0.25">
      <c r="A650" s="380">
        <v>24080515</v>
      </c>
      <c r="B650" s="381" t="s">
        <v>315</v>
      </c>
      <c r="C650" s="381" t="s">
        <v>1096</v>
      </c>
      <c r="D650" s="381" t="s">
        <v>665</v>
      </c>
      <c r="E650" s="381" t="s">
        <v>824</v>
      </c>
      <c r="F650" s="378">
        <v>-7838</v>
      </c>
      <c r="G650" s="378">
        <v>0</v>
      </c>
      <c r="H650" s="378">
        <v>0</v>
      </c>
      <c r="I650" s="378">
        <v>-7838</v>
      </c>
      <c r="J650" s="2">
        <f t="shared" si="11"/>
        <v>8</v>
      </c>
    </row>
    <row r="651" spans="1:10" ht="15.75" customHeight="1" x14ac:dyDescent="0.25">
      <c r="A651" s="380">
        <v>24080599</v>
      </c>
      <c r="B651" s="381" t="s">
        <v>321</v>
      </c>
      <c r="C651" s="381" t="s">
        <v>1099</v>
      </c>
      <c r="D651" s="381" t="s">
        <v>315</v>
      </c>
      <c r="E651" s="381" t="s">
        <v>315</v>
      </c>
      <c r="F651" s="378">
        <v>-1313776.33</v>
      </c>
      <c r="G651" s="378">
        <v>466077</v>
      </c>
      <c r="H651" s="378">
        <v>0</v>
      </c>
      <c r="I651" s="378">
        <v>-847699.33</v>
      </c>
      <c r="J651" s="2">
        <f t="shared" si="11"/>
        <v>8</v>
      </c>
    </row>
    <row r="652" spans="1:10" ht="15.75" customHeight="1" x14ac:dyDescent="0.25">
      <c r="A652" s="380">
        <v>24080599</v>
      </c>
      <c r="B652" s="381" t="s">
        <v>321</v>
      </c>
      <c r="C652" s="381" t="s">
        <v>1099</v>
      </c>
      <c r="D652" s="381" t="s">
        <v>403</v>
      </c>
      <c r="E652" s="381" t="s">
        <v>1080</v>
      </c>
      <c r="F652" s="378">
        <v>-2003464</v>
      </c>
      <c r="G652" s="378">
        <v>466077</v>
      </c>
      <c r="H652" s="378">
        <v>0</v>
      </c>
      <c r="I652" s="378">
        <v>-1537387</v>
      </c>
      <c r="J652" s="2">
        <f t="shared" si="11"/>
        <v>8</v>
      </c>
    </row>
    <row r="653" spans="1:10" ht="15.75" customHeight="1" x14ac:dyDescent="0.25">
      <c r="A653" s="380">
        <v>24080599</v>
      </c>
      <c r="B653" s="381" t="s">
        <v>321</v>
      </c>
      <c r="C653" s="381" t="s">
        <v>1099</v>
      </c>
      <c r="D653" s="381" t="s">
        <v>837</v>
      </c>
      <c r="E653" s="381" t="s">
        <v>838</v>
      </c>
      <c r="F653" s="378">
        <v>689687.67</v>
      </c>
      <c r="G653" s="378">
        <v>0</v>
      </c>
      <c r="H653" s="378">
        <v>0</v>
      </c>
      <c r="I653" s="378">
        <v>689687.67</v>
      </c>
      <c r="J653" s="2">
        <f t="shared" ref="J653:J716" si="12">+LEN(A653)</f>
        <v>8</v>
      </c>
    </row>
    <row r="654" spans="1:10" ht="15.75" customHeight="1" x14ac:dyDescent="0.25">
      <c r="A654" s="380">
        <v>240810</v>
      </c>
      <c r="B654" s="381" t="s">
        <v>315</v>
      </c>
      <c r="C654" s="381" t="s">
        <v>442</v>
      </c>
      <c r="D654" s="381" t="s">
        <v>315</v>
      </c>
      <c r="E654" s="381" t="s">
        <v>315</v>
      </c>
      <c r="F654" s="378">
        <v>259083861.88</v>
      </c>
      <c r="G654" s="378">
        <v>52304899</v>
      </c>
      <c r="H654" s="378">
        <v>0</v>
      </c>
      <c r="I654" s="378">
        <v>311388760.88</v>
      </c>
      <c r="J654" s="2">
        <f t="shared" si="12"/>
        <v>6</v>
      </c>
    </row>
    <row r="655" spans="1:10" ht="15.75" customHeight="1" x14ac:dyDescent="0.25">
      <c r="A655" s="380">
        <v>24081004</v>
      </c>
      <c r="B655" s="381" t="s">
        <v>315</v>
      </c>
      <c r="C655" s="381" t="s">
        <v>1100</v>
      </c>
      <c r="D655" s="381" t="s">
        <v>315</v>
      </c>
      <c r="E655" s="381" t="s">
        <v>315</v>
      </c>
      <c r="F655" s="378">
        <v>101845393.70999999</v>
      </c>
      <c r="G655" s="378">
        <v>23482730</v>
      </c>
      <c r="H655" s="378">
        <v>0</v>
      </c>
      <c r="I655" s="378">
        <v>125328123.70999999</v>
      </c>
      <c r="J655" s="2">
        <f t="shared" si="12"/>
        <v>8</v>
      </c>
    </row>
    <row r="656" spans="1:10" ht="15.75" customHeight="1" x14ac:dyDescent="0.25">
      <c r="A656" s="380">
        <v>24081004</v>
      </c>
      <c r="B656" s="381" t="s">
        <v>315</v>
      </c>
      <c r="C656" s="381" t="s">
        <v>1100</v>
      </c>
      <c r="D656" s="381" t="s">
        <v>1038</v>
      </c>
      <c r="E656" s="381" t="s">
        <v>1039</v>
      </c>
      <c r="F656" s="378">
        <v>11387958</v>
      </c>
      <c r="G656" s="378">
        <v>3138316</v>
      </c>
      <c r="H656" s="378">
        <v>0</v>
      </c>
      <c r="I656" s="378">
        <v>14526274</v>
      </c>
      <c r="J656" s="2">
        <f t="shared" si="12"/>
        <v>8</v>
      </c>
    </row>
    <row r="657" spans="1:10" ht="15.75" customHeight="1" x14ac:dyDescent="0.25">
      <c r="A657" s="380">
        <v>24081004</v>
      </c>
      <c r="B657" s="381" t="s">
        <v>315</v>
      </c>
      <c r="C657" s="381" t="s">
        <v>1100</v>
      </c>
      <c r="D657" s="381" t="s">
        <v>757</v>
      </c>
      <c r="E657" s="381" t="s">
        <v>758</v>
      </c>
      <c r="F657" s="378">
        <v>359014</v>
      </c>
      <c r="G657" s="378">
        <v>0</v>
      </c>
      <c r="H657" s="378">
        <v>0</v>
      </c>
      <c r="I657" s="378">
        <v>359014</v>
      </c>
      <c r="J657" s="2">
        <f t="shared" si="12"/>
        <v>8</v>
      </c>
    </row>
    <row r="658" spans="1:10" ht="15.75" customHeight="1" x14ac:dyDescent="0.25">
      <c r="A658" s="380">
        <v>24081004</v>
      </c>
      <c r="B658" s="381" t="s">
        <v>315</v>
      </c>
      <c r="C658" s="381" t="s">
        <v>1100</v>
      </c>
      <c r="D658" s="381" t="s">
        <v>759</v>
      </c>
      <c r="E658" s="381" t="s">
        <v>760</v>
      </c>
      <c r="F658" s="378">
        <v>388273</v>
      </c>
      <c r="G658" s="378">
        <v>375748</v>
      </c>
      <c r="H658" s="378">
        <v>0</v>
      </c>
      <c r="I658" s="378">
        <v>764021</v>
      </c>
      <c r="J658" s="2">
        <f t="shared" si="12"/>
        <v>8</v>
      </c>
    </row>
    <row r="659" spans="1:10" ht="15.75" customHeight="1" x14ac:dyDescent="0.25">
      <c r="A659" s="380">
        <v>24081004</v>
      </c>
      <c r="B659" s="381" t="s">
        <v>315</v>
      </c>
      <c r="C659" s="381" t="s">
        <v>1100</v>
      </c>
      <c r="D659" s="381" t="s">
        <v>1040</v>
      </c>
      <c r="E659" s="381" t="s">
        <v>750</v>
      </c>
      <c r="F659" s="378">
        <v>1514714</v>
      </c>
      <c r="G659" s="378">
        <v>377068</v>
      </c>
      <c r="H659" s="378">
        <v>0</v>
      </c>
      <c r="I659" s="378">
        <v>1891782</v>
      </c>
      <c r="J659" s="2">
        <f t="shared" si="12"/>
        <v>8</v>
      </c>
    </row>
    <row r="660" spans="1:10" ht="15.75" customHeight="1" x14ac:dyDescent="0.25">
      <c r="A660" s="380">
        <v>24081004</v>
      </c>
      <c r="B660" s="381" t="s">
        <v>315</v>
      </c>
      <c r="C660" s="381" t="s">
        <v>1100</v>
      </c>
      <c r="D660" s="381" t="s">
        <v>923</v>
      </c>
      <c r="E660" s="381" t="s">
        <v>924</v>
      </c>
      <c r="F660" s="378">
        <v>4130075</v>
      </c>
      <c r="G660" s="378">
        <v>861049</v>
      </c>
      <c r="H660" s="378">
        <v>0</v>
      </c>
      <c r="I660" s="378">
        <v>4991124</v>
      </c>
      <c r="J660" s="2">
        <f t="shared" si="12"/>
        <v>8</v>
      </c>
    </row>
    <row r="661" spans="1:10" ht="15.75" customHeight="1" x14ac:dyDescent="0.25">
      <c r="A661" s="380">
        <v>24081004</v>
      </c>
      <c r="B661" s="381" t="s">
        <v>315</v>
      </c>
      <c r="C661" s="381" t="s">
        <v>1100</v>
      </c>
      <c r="D661" s="381" t="s">
        <v>734</v>
      </c>
      <c r="E661" s="381" t="s">
        <v>735</v>
      </c>
      <c r="F661" s="378">
        <v>4719581</v>
      </c>
      <c r="G661" s="378">
        <v>0</v>
      </c>
      <c r="H661" s="378">
        <v>0</v>
      </c>
      <c r="I661" s="378">
        <v>4719581</v>
      </c>
      <c r="J661" s="2">
        <f t="shared" si="12"/>
        <v>8</v>
      </c>
    </row>
    <row r="662" spans="1:10" ht="15.75" customHeight="1" x14ac:dyDescent="0.25">
      <c r="A662" s="380">
        <v>24081004</v>
      </c>
      <c r="B662" s="381" t="s">
        <v>315</v>
      </c>
      <c r="C662" s="381" t="s">
        <v>1100</v>
      </c>
      <c r="D662" s="381" t="s">
        <v>1103</v>
      </c>
      <c r="E662" s="381" t="s">
        <v>1104</v>
      </c>
      <c r="F662" s="378">
        <v>3402760</v>
      </c>
      <c r="G662" s="378">
        <v>680552</v>
      </c>
      <c r="H662" s="378">
        <v>0</v>
      </c>
      <c r="I662" s="378">
        <v>4083312</v>
      </c>
      <c r="J662" s="2">
        <f t="shared" si="12"/>
        <v>8</v>
      </c>
    </row>
    <row r="663" spans="1:10" ht="15.75" customHeight="1" x14ac:dyDescent="0.25">
      <c r="A663" s="380">
        <v>24081004</v>
      </c>
      <c r="B663" s="381" t="s">
        <v>315</v>
      </c>
      <c r="C663" s="381" t="s">
        <v>1100</v>
      </c>
      <c r="D663" s="381" t="s">
        <v>978</v>
      </c>
      <c r="E663" s="381" t="s">
        <v>979</v>
      </c>
      <c r="F663" s="378">
        <v>1007003</v>
      </c>
      <c r="G663" s="378">
        <v>271632</v>
      </c>
      <c r="H663" s="378">
        <v>0</v>
      </c>
      <c r="I663" s="378">
        <v>1278635</v>
      </c>
      <c r="J663" s="2">
        <f t="shared" si="12"/>
        <v>8</v>
      </c>
    </row>
    <row r="664" spans="1:10" ht="15.75" customHeight="1" x14ac:dyDescent="0.25">
      <c r="A664" s="380">
        <v>24081004</v>
      </c>
      <c r="B664" s="381" t="s">
        <v>315</v>
      </c>
      <c r="C664" s="381" t="s">
        <v>1100</v>
      </c>
      <c r="D664" s="381" t="s">
        <v>419</v>
      </c>
      <c r="E664" s="381" t="s">
        <v>420</v>
      </c>
      <c r="F664" s="378">
        <v>43181</v>
      </c>
      <c r="G664" s="378">
        <v>10499</v>
      </c>
      <c r="H664" s="378">
        <v>0</v>
      </c>
      <c r="I664" s="378">
        <v>53680</v>
      </c>
      <c r="J664" s="2">
        <f t="shared" si="12"/>
        <v>8</v>
      </c>
    </row>
    <row r="665" spans="1:10" ht="15.75" customHeight="1" x14ac:dyDescent="0.25">
      <c r="A665" s="380">
        <v>24081004</v>
      </c>
      <c r="B665" s="381" t="s">
        <v>315</v>
      </c>
      <c r="C665" s="381" t="s">
        <v>1100</v>
      </c>
      <c r="D665" s="381" t="s">
        <v>1105</v>
      </c>
      <c r="E665" s="381" t="s">
        <v>1106</v>
      </c>
      <c r="F665" s="378">
        <v>212508</v>
      </c>
      <c r="G665" s="378">
        <v>0</v>
      </c>
      <c r="H665" s="378">
        <v>0</v>
      </c>
      <c r="I665" s="378">
        <v>212508</v>
      </c>
      <c r="J665" s="2">
        <f t="shared" si="12"/>
        <v>8</v>
      </c>
    </row>
    <row r="666" spans="1:10" ht="15.75" customHeight="1" x14ac:dyDescent="0.25">
      <c r="A666" s="380">
        <v>24081004</v>
      </c>
      <c r="B666" s="381" t="s">
        <v>315</v>
      </c>
      <c r="C666" s="381" t="s">
        <v>1100</v>
      </c>
      <c r="D666" s="381" t="s">
        <v>440</v>
      </c>
      <c r="E666" s="381" t="s">
        <v>441</v>
      </c>
      <c r="F666" s="378">
        <v>273524</v>
      </c>
      <c r="G666" s="378">
        <v>11381</v>
      </c>
      <c r="H666" s="378">
        <v>0</v>
      </c>
      <c r="I666" s="378">
        <v>284905</v>
      </c>
      <c r="J666" s="2">
        <f t="shared" si="12"/>
        <v>8</v>
      </c>
    </row>
    <row r="667" spans="1:10" ht="15.75" customHeight="1" x14ac:dyDescent="0.25">
      <c r="A667" s="380">
        <v>24081004</v>
      </c>
      <c r="B667" s="381" t="s">
        <v>315</v>
      </c>
      <c r="C667" s="381" t="s">
        <v>1100</v>
      </c>
      <c r="D667" s="381" t="s">
        <v>329</v>
      </c>
      <c r="E667" s="381" t="s">
        <v>330</v>
      </c>
      <c r="F667" s="378">
        <v>1905272.71</v>
      </c>
      <c r="G667" s="378">
        <v>412292</v>
      </c>
      <c r="H667" s="378">
        <v>0</v>
      </c>
      <c r="I667" s="378">
        <v>2317564.71</v>
      </c>
      <c r="J667" s="2">
        <f t="shared" si="12"/>
        <v>8</v>
      </c>
    </row>
    <row r="668" spans="1:10" ht="15.75" customHeight="1" x14ac:dyDescent="0.25">
      <c r="A668" s="380">
        <v>24081004</v>
      </c>
      <c r="B668" s="381" t="s">
        <v>315</v>
      </c>
      <c r="C668" s="381" t="s">
        <v>1100</v>
      </c>
      <c r="D668" s="381" t="s">
        <v>1054</v>
      </c>
      <c r="E668" s="381" t="s">
        <v>1055</v>
      </c>
      <c r="F668" s="378">
        <v>5131675</v>
      </c>
      <c r="G668" s="378">
        <v>1026335</v>
      </c>
      <c r="H668" s="378">
        <v>0</v>
      </c>
      <c r="I668" s="378">
        <v>6158010</v>
      </c>
      <c r="J668" s="2">
        <f t="shared" si="12"/>
        <v>8</v>
      </c>
    </row>
    <row r="669" spans="1:10" ht="15.75" customHeight="1" x14ac:dyDescent="0.25">
      <c r="A669" s="380">
        <v>24081004</v>
      </c>
      <c r="B669" s="381" t="s">
        <v>315</v>
      </c>
      <c r="C669" s="381" t="s">
        <v>1100</v>
      </c>
      <c r="D669" s="381" t="s">
        <v>983</v>
      </c>
      <c r="E669" s="381" t="s">
        <v>984</v>
      </c>
      <c r="F669" s="378">
        <v>11677115</v>
      </c>
      <c r="G669" s="378">
        <v>2352238</v>
      </c>
      <c r="H669" s="378">
        <v>0</v>
      </c>
      <c r="I669" s="378">
        <v>14029353</v>
      </c>
      <c r="J669" s="2">
        <f t="shared" si="12"/>
        <v>8</v>
      </c>
    </row>
    <row r="670" spans="1:10" ht="15.75" customHeight="1" x14ac:dyDescent="0.25">
      <c r="A670" s="380">
        <v>24081004</v>
      </c>
      <c r="B670" s="381" t="s">
        <v>315</v>
      </c>
      <c r="C670" s="381" t="s">
        <v>1100</v>
      </c>
      <c r="D670" s="381" t="s">
        <v>987</v>
      </c>
      <c r="E670" s="381" t="s">
        <v>988</v>
      </c>
      <c r="F670" s="378">
        <v>25192</v>
      </c>
      <c r="G670" s="378">
        <v>113830</v>
      </c>
      <c r="H670" s="378">
        <v>0</v>
      </c>
      <c r="I670" s="378">
        <v>139022</v>
      </c>
      <c r="J670" s="2">
        <f t="shared" si="12"/>
        <v>8</v>
      </c>
    </row>
    <row r="671" spans="1:10" ht="15.75" customHeight="1" x14ac:dyDescent="0.25">
      <c r="A671" s="380">
        <v>24081004</v>
      </c>
      <c r="B671" s="381" t="s">
        <v>315</v>
      </c>
      <c r="C671" s="381" t="s">
        <v>1100</v>
      </c>
      <c r="D671" s="381" t="s">
        <v>391</v>
      </c>
      <c r="E671" s="381" t="s">
        <v>392</v>
      </c>
      <c r="F671" s="378">
        <v>107290</v>
      </c>
      <c r="G671" s="378">
        <v>18963</v>
      </c>
      <c r="H671" s="378">
        <v>0</v>
      </c>
      <c r="I671" s="378">
        <v>126253</v>
      </c>
      <c r="J671" s="2">
        <f t="shared" si="12"/>
        <v>8</v>
      </c>
    </row>
    <row r="672" spans="1:10" ht="15.75" customHeight="1" x14ac:dyDescent="0.25">
      <c r="A672" s="380">
        <v>24081004</v>
      </c>
      <c r="B672" s="381" t="s">
        <v>315</v>
      </c>
      <c r="C672" s="381" t="s">
        <v>1100</v>
      </c>
      <c r="D672" s="381" t="s">
        <v>995</v>
      </c>
      <c r="E672" s="381" t="s">
        <v>996</v>
      </c>
      <c r="F672" s="378">
        <v>15285</v>
      </c>
      <c r="G672" s="378">
        <v>3057</v>
      </c>
      <c r="H672" s="378">
        <v>0</v>
      </c>
      <c r="I672" s="378">
        <v>18342</v>
      </c>
      <c r="J672" s="2">
        <f t="shared" si="12"/>
        <v>8</v>
      </c>
    </row>
    <row r="673" spans="1:10" ht="15.75" customHeight="1" x14ac:dyDescent="0.25">
      <c r="A673" s="380">
        <v>24081004</v>
      </c>
      <c r="B673" s="381" t="s">
        <v>315</v>
      </c>
      <c r="C673" s="381" t="s">
        <v>1100</v>
      </c>
      <c r="D673" s="381" t="s">
        <v>347</v>
      </c>
      <c r="E673" s="381" t="s">
        <v>348</v>
      </c>
      <c r="F673" s="378">
        <v>4510129</v>
      </c>
      <c r="G673" s="378">
        <v>1453367</v>
      </c>
      <c r="H673" s="378">
        <v>0</v>
      </c>
      <c r="I673" s="378">
        <v>5963496</v>
      </c>
      <c r="J673" s="2">
        <f t="shared" si="12"/>
        <v>8</v>
      </c>
    </row>
    <row r="674" spans="1:10" ht="15.75" customHeight="1" x14ac:dyDescent="0.25">
      <c r="A674" s="380">
        <v>24081004</v>
      </c>
      <c r="B674" s="381" t="s">
        <v>315</v>
      </c>
      <c r="C674" s="381" t="s">
        <v>1100</v>
      </c>
      <c r="D674" s="381" t="s">
        <v>1056</v>
      </c>
      <c r="E674" s="381" t="s">
        <v>1057</v>
      </c>
      <c r="F674" s="378">
        <v>8047180</v>
      </c>
      <c r="G674" s="378">
        <v>1587905</v>
      </c>
      <c r="H674" s="378">
        <v>0</v>
      </c>
      <c r="I674" s="378">
        <v>9635085</v>
      </c>
      <c r="J674" s="2">
        <f t="shared" si="12"/>
        <v>8</v>
      </c>
    </row>
    <row r="675" spans="1:10" ht="15.75" customHeight="1" x14ac:dyDescent="0.25">
      <c r="A675" s="380">
        <v>24081004</v>
      </c>
      <c r="B675" s="381" t="s">
        <v>315</v>
      </c>
      <c r="C675" s="381" t="s">
        <v>1100</v>
      </c>
      <c r="D675" s="381" t="s">
        <v>997</v>
      </c>
      <c r="E675" s="381" t="s">
        <v>998</v>
      </c>
      <c r="F675" s="378">
        <v>14440</v>
      </c>
      <c r="G675" s="378">
        <v>0</v>
      </c>
      <c r="H675" s="378">
        <v>0</v>
      </c>
      <c r="I675" s="378">
        <v>14440</v>
      </c>
      <c r="J675" s="2">
        <f t="shared" si="12"/>
        <v>8</v>
      </c>
    </row>
    <row r="676" spans="1:10" ht="15.75" customHeight="1" x14ac:dyDescent="0.25">
      <c r="A676" s="380">
        <v>24081004</v>
      </c>
      <c r="B676" s="381" t="s">
        <v>315</v>
      </c>
      <c r="C676" s="381" t="s">
        <v>1100</v>
      </c>
      <c r="D676" s="381" t="s">
        <v>1058</v>
      </c>
      <c r="E676" s="381" t="s">
        <v>1059</v>
      </c>
      <c r="F676" s="378">
        <v>9731910</v>
      </c>
      <c r="G676" s="378">
        <v>1946382</v>
      </c>
      <c r="H676" s="378">
        <v>0</v>
      </c>
      <c r="I676" s="378">
        <v>11678292</v>
      </c>
      <c r="J676" s="2">
        <f t="shared" si="12"/>
        <v>8</v>
      </c>
    </row>
    <row r="677" spans="1:10" ht="15.75" customHeight="1" x14ac:dyDescent="0.25">
      <c r="A677" s="380">
        <v>24081004</v>
      </c>
      <c r="B677" s="381" t="s">
        <v>315</v>
      </c>
      <c r="C677" s="381" t="s">
        <v>1100</v>
      </c>
      <c r="D677" s="381" t="s">
        <v>1107</v>
      </c>
      <c r="E677" s="381" t="s">
        <v>1108</v>
      </c>
      <c r="F677" s="378">
        <v>0</v>
      </c>
      <c r="G677" s="378">
        <v>28740</v>
      </c>
      <c r="H677" s="378">
        <v>0</v>
      </c>
      <c r="I677" s="378">
        <v>28740</v>
      </c>
      <c r="J677" s="2">
        <f t="shared" si="12"/>
        <v>8</v>
      </c>
    </row>
    <row r="678" spans="1:10" ht="15.75" customHeight="1" x14ac:dyDescent="0.25">
      <c r="A678" s="380">
        <v>24081004</v>
      </c>
      <c r="B678" s="381" t="s">
        <v>315</v>
      </c>
      <c r="C678" s="381" t="s">
        <v>1100</v>
      </c>
      <c r="D678" s="381" t="s">
        <v>1041</v>
      </c>
      <c r="E678" s="381" t="s">
        <v>1042</v>
      </c>
      <c r="F678" s="378">
        <v>0</v>
      </c>
      <c r="G678" s="378">
        <v>54625</v>
      </c>
      <c r="H678" s="378">
        <v>0</v>
      </c>
      <c r="I678" s="378">
        <v>54625</v>
      </c>
      <c r="J678" s="2">
        <f t="shared" si="12"/>
        <v>8</v>
      </c>
    </row>
    <row r="679" spans="1:10" ht="15.75" customHeight="1" x14ac:dyDescent="0.25">
      <c r="A679" s="380">
        <v>24081004</v>
      </c>
      <c r="B679" s="381" t="s">
        <v>315</v>
      </c>
      <c r="C679" s="381" t="s">
        <v>1100</v>
      </c>
      <c r="D679" s="381" t="s">
        <v>650</v>
      </c>
      <c r="E679" s="381" t="s">
        <v>999</v>
      </c>
      <c r="F679" s="378">
        <v>787360</v>
      </c>
      <c r="G679" s="378">
        <v>170240</v>
      </c>
      <c r="H679" s="378">
        <v>0</v>
      </c>
      <c r="I679" s="378">
        <v>957600</v>
      </c>
      <c r="J679" s="2">
        <f t="shared" si="12"/>
        <v>8</v>
      </c>
    </row>
    <row r="680" spans="1:10" ht="15.75" customHeight="1" x14ac:dyDescent="0.25">
      <c r="A680" s="380">
        <v>24081004</v>
      </c>
      <c r="B680" s="381" t="s">
        <v>315</v>
      </c>
      <c r="C680" s="381" t="s">
        <v>1100</v>
      </c>
      <c r="D680" s="381" t="s">
        <v>1000</v>
      </c>
      <c r="E680" s="381" t="s">
        <v>1479</v>
      </c>
      <c r="F680" s="378">
        <v>984125</v>
      </c>
      <c r="G680" s="378">
        <v>196825</v>
      </c>
      <c r="H680" s="378">
        <v>0</v>
      </c>
      <c r="I680" s="378">
        <v>1180950</v>
      </c>
      <c r="J680" s="2">
        <f t="shared" si="12"/>
        <v>8</v>
      </c>
    </row>
    <row r="681" spans="1:10" ht="15.75" customHeight="1" x14ac:dyDescent="0.25">
      <c r="A681" s="380">
        <v>24081004</v>
      </c>
      <c r="B681" s="381" t="s">
        <v>315</v>
      </c>
      <c r="C681" s="381" t="s">
        <v>1100</v>
      </c>
      <c r="D681" s="381" t="s">
        <v>717</v>
      </c>
      <c r="E681" s="381" t="s">
        <v>718</v>
      </c>
      <c r="F681" s="378">
        <v>693971</v>
      </c>
      <c r="G681" s="378">
        <v>283853</v>
      </c>
      <c r="H681" s="378">
        <v>0</v>
      </c>
      <c r="I681" s="378">
        <v>977824</v>
      </c>
      <c r="J681" s="2">
        <f t="shared" si="12"/>
        <v>8</v>
      </c>
    </row>
    <row r="682" spans="1:10" ht="15.75" customHeight="1" x14ac:dyDescent="0.25">
      <c r="A682" s="380">
        <v>24081004</v>
      </c>
      <c r="B682" s="381" t="s">
        <v>315</v>
      </c>
      <c r="C682" s="381" t="s">
        <v>1100</v>
      </c>
      <c r="D682" s="381" t="s">
        <v>761</v>
      </c>
      <c r="E682" s="381" t="s">
        <v>762</v>
      </c>
      <c r="F682" s="378">
        <v>11756825</v>
      </c>
      <c r="G682" s="378">
        <v>2581012</v>
      </c>
      <c r="H682" s="378">
        <v>0</v>
      </c>
      <c r="I682" s="378">
        <v>14337837</v>
      </c>
      <c r="J682" s="2">
        <f t="shared" si="12"/>
        <v>8</v>
      </c>
    </row>
    <row r="683" spans="1:10" ht="15.75" customHeight="1" x14ac:dyDescent="0.25">
      <c r="A683" s="380">
        <v>24081004</v>
      </c>
      <c r="B683" s="381" t="s">
        <v>315</v>
      </c>
      <c r="C683" s="381" t="s">
        <v>1100</v>
      </c>
      <c r="D683" s="381" t="s">
        <v>1009</v>
      </c>
      <c r="E683" s="381" t="s">
        <v>1010</v>
      </c>
      <c r="F683" s="378">
        <v>14735012</v>
      </c>
      <c r="G683" s="378">
        <v>4872720</v>
      </c>
      <c r="H683" s="378">
        <v>0</v>
      </c>
      <c r="I683" s="378">
        <v>19607732</v>
      </c>
      <c r="J683" s="2">
        <f t="shared" si="12"/>
        <v>8</v>
      </c>
    </row>
    <row r="684" spans="1:10" ht="15.75" customHeight="1" x14ac:dyDescent="0.25">
      <c r="A684" s="380">
        <v>24081004</v>
      </c>
      <c r="B684" s="381" t="s">
        <v>315</v>
      </c>
      <c r="C684" s="381" t="s">
        <v>1100</v>
      </c>
      <c r="D684" s="381" t="s">
        <v>1011</v>
      </c>
      <c r="E684" s="381" t="s">
        <v>1012</v>
      </c>
      <c r="F684" s="378">
        <v>323000</v>
      </c>
      <c r="G684" s="378">
        <v>95000</v>
      </c>
      <c r="H684" s="378">
        <v>0</v>
      </c>
      <c r="I684" s="378">
        <v>418000</v>
      </c>
      <c r="J684" s="2">
        <f t="shared" si="12"/>
        <v>8</v>
      </c>
    </row>
    <row r="685" spans="1:10" ht="15.75" customHeight="1" x14ac:dyDescent="0.25">
      <c r="A685" s="380">
        <v>24081004</v>
      </c>
      <c r="B685" s="381" t="s">
        <v>315</v>
      </c>
      <c r="C685" s="381" t="s">
        <v>1100</v>
      </c>
      <c r="D685" s="381" t="s">
        <v>1013</v>
      </c>
      <c r="E685" s="381" t="s">
        <v>1014</v>
      </c>
      <c r="F685" s="378">
        <v>1893006</v>
      </c>
      <c r="G685" s="378">
        <v>374801</v>
      </c>
      <c r="H685" s="378">
        <v>0</v>
      </c>
      <c r="I685" s="378">
        <v>2267807</v>
      </c>
      <c r="J685" s="2">
        <f t="shared" si="12"/>
        <v>8</v>
      </c>
    </row>
    <row r="686" spans="1:10" ht="15.75" customHeight="1" x14ac:dyDescent="0.25">
      <c r="A686" s="380">
        <v>24081004</v>
      </c>
      <c r="B686" s="381" t="s">
        <v>315</v>
      </c>
      <c r="C686" s="381" t="s">
        <v>1100</v>
      </c>
      <c r="D686" s="381" t="s">
        <v>1015</v>
      </c>
      <c r="E686" s="381" t="s">
        <v>1016</v>
      </c>
      <c r="F686" s="378">
        <v>162490</v>
      </c>
      <c r="G686" s="378">
        <v>83600</v>
      </c>
      <c r="H686" s="378">
        <v>0</v>
      </c>
      <c r="I686" s="378">
        <v>246090</v>
      </c>
      <c r="J686" s="2">
        <f t="shared" si="12"/>
        <v>8</v>
      </c>
    </row>
    <row r="687" spans="1:10" ht="15.75" customHeight="1" x14ac:dyDescent="0.25">
      <c r="A687" s="380">
        <v>24081004</v>
      </c>
      <c r="B687" s="381" t="s">
        <v>315</v>
      </c>
      <c r="C687" s="381" t="s">
        <v>1100</v>
      </c>
      <c r="D687" s="381" t="s">
        <v>723</v>
      </c>
      <c r="E687" s="381" t="s">
        <v>724</v>
      </c>
      <c r="F687" s="378">
        <v>853982</v>
      </c>
      <c r="G687" s="378">
        <v>0</v>
      </c>
      <c r="H687" s="378">
        <v>0</v>
      </c>
      <c r="I687" s="378">
        <v>853982</v>
      </c>
      <c r="J687" s="2">
        <f t="shared" si="12"/>
        <v>8</v>
      </c>
    </row>
    <row r="688" spans="1:10" ht="15.75" customHeight="1" x14ac:dyDescent="0.25">
      <c r="A688" s="380">
        <v>24081004</v>
      </c>
      <c r="B688" s="381" t="s">
        <v>315</v>
      </c>
      <c r="C688" s="381" t="s">
        <v>1100</v>
      </c>
      <c r="D688" s="381" t="s">
        <v>1109</v>
      </c>
      <c r="E688" s="381" t="s">
        <v>1110</v>
      </c>
      <c r="F688" s="378">
        <v>0</v>
      </c>
      <c r="G688" s="378">
        <v>100700</v>
      </c>
      <c r="H688" s="378">
        <v>0</v>
      </c>
      <c r="I688" s="378">
        <v>100700</v>
      </c>
      <c r="J688" s="2">
        <f t="shared" si="12"/>
        <v>8</v>
      </c>
    </row>
    <row r="689" spans="1:10" ht="15.75" customHeight="1" x14ac:dyDescent="0.25">
      <c r="A689" s="380">
        <v>24081004</v>
      </c>
      <c r="B689" s="381" t="s">
        <v>315</v>
      </c>
      <c r="C689" s="381" t="s">
        <v>1100</v>
      </c>
      <c r="D689" s="381" t="s">
        <v>675</v>
      </c>
      <c r="E689" s="381" t="s">
        <v>736</v>
      </c>
      <c r="F689" s="378">
        <v>434046</v>
      </c>
      <c r="G689" s="378">
        <v>0</v>
      </c>
      <c r="H689" s="378">
        <v>0</v>
      </c>
      <c r="I689" s="378">
        <v>434046</v>
      </c>
      <c r="J689" s="2">
        <f t="shared" si="12"/>
        <v>8</v>
      </c>
    </row>
    <row r="690" spans="1:10" ht="15.75" customHeight="1" x14ac:dyDescent="0.25">
      <c r="A690" s="380">
        <v>24081004</v>
      </c>
      <c r="B690" s="381" t="s">
        <v>315</v>
      </c>
      <c r="C690" s="381" t="s">
        <v>1100</v>
      </c>
      <c r="D690" s="381" t="s">
        <v>668</v>
      </c>
      <c r="E690" s="381" t="s">
        <v>1028</v>
      </c>
      <c r="F690" s="378">
        <v>617497</v>
      </c>
      <c r="G690" s="378">
        <v>0</v>
      </c>
      <c r="H690" s="378">
        <v>0</v>
      </c>
      <c r="I690" s="378">
        <v>617497</v>
      </c>
      <c r="J690" s="2">
        <f t="shared" si="12"/>
        <v>8</v>
      </c>
    </row>
    <row r="691" spans="1:10" ht="15.75" customHeight="1" x14ac:dyDescent="0.25">
      <c r="A691" s="380">
        <v>24081009</v>
      </c>
      <c r="B691" s="381" t="s">
        <v>315</v>
      </c>
      <c r="C691" s="381" t="s">
        <v>1111</v>
      </c>
      <c r="D691" s="381" t="s">
        <v>315</v>
      </c>
      <c r="E691" s="381" t="s">
        <v>315</v>
      </c>
      <c r="F691" s="378">
        <v>15114441.800000001</v>
      </c>
      <c r="G691" s="378">
        <v>423449</v>
      </c>
      <c r="H691" s="378">
        <v>0</v>
      </c>
      <c r="I691" s="378">
        <v>15537890.800000001</v>
      </c>
      <c r="J691" s="2">
        <f t="shared" si="12"/>
        <v>8</v>
      </c>
    </row>
    <row r="692" spans="1:10" ht="15.75" customHeight="1" x14ac:dyDescent="0.25">
      <c r="A692" s="380">
        <v>24081009</v>
      </c>
      <c r="B692" s="381" t="s">
        <v>315</v>
      </c>
      <c r="C692" s="381" t="s">
        <v>1111</v>
      </c>
      <c r="D692" s="381" t="s">
        <v>1112</v>
      </c>
      <c r="E692" s="381" t="s">
        <v>1478</v>
      </c>
      <c r="F692" s="378">
        <v>718</v>
      </c>
      <c r="G692" s="378">
        <v>0</v>
      </c>
      <c r="H692" s="378">
        <v>0</v>
      </c>
      <c r="I692" s="378">
        <v>718</v>
      </c>
      <c r="J692" s="2">
        <f t="shared" si="12"/>
        <v>8</v>
      </c>
    </row>
    <row r="693" spans="1:10" ht="15.75" customHeight="1" x14ac:dyDescent="0.25">
      <c r="A693" s="380">
        <v>24081009</v>
      </c>
      <c r="B693" s="381" t="s">
        <v>315</v>
      </c>
      <c r="C693" s="381" t="s">
        <v>1111</v>
      </c>
      <c r="D693" s="381" t="s">
        <v>1113</v>
      </c>
      <c r="E693" s="381" t="s">
        <v>1114</v>
      </c>
      <c r="F693" s="378">
        <v>1976</v>
      </c>
      <c r="G693" s="378">
        <v>0</v>
      </c>
      <c r="H693" s="378">
        <v>0</v>
      </c>
      <c r="I693" s="378">
        <v>1976</v>
      </c>
      <c r="J693" s="2">
        <f t="shared" si="12"/>
        <v>8</v>
      </c>
    </row>
    <row r="694" spans="1:10" ht="15.75" customHeight="1" x14ac:dyDescent="0.25">
      <c r="A694" s="380">
        <v>24081009</v>
      </c>
      <c r="B694" s="381" t="s">
        <v>315</v>
      </c>
      <c r="C694" s="381" t="s">
        <v>1111</v>
      </c>
      <c r="D694" s="381" t="s">
        <v>687</v>
      </c>
      <c r="E694" s="381" t="s">
        <v>1115</v>
      </c>
      <c r="F694" s="378">
        <v>59890</v>
      </c>
      <c r="G694" s="378">
        <v>9532</v>
      </c>
      <c r="H694" s="378">
        <v>0</v>
      </c>
      <c r="I694" s="378">
        <v>69422</v>
      </c>
      <c r="J694" s="2">
        <f t="shared" si="12"/>
        <v>8</v>
      </c>
    </row>
    <row r="695" spans="1:10" ht="15.75" customHeight="1" x14ac:dyDescent="0.25">
      <c r="A695" s="380">
        <v>24081009</v>
      </c>
      <c r="B695" s="381" t="s">
        <v>315</v>
      </c>
      <c r="C695" s="381" t="s">
        <v>1111</v>
      </c>
      <c r="D695" s="381" t="s">
        <v>959</v>
      </c>
      <c r="E695" s="381" t="s">
        <v>960</v>
      </c>
      <c r="F695" s="378">
        <v>8781</v>
      </c>
      <c r="G695" s="378">
        <v>0</v>
      </c>
      <c r="H695" s="378">
        <v>0</v>
      </c>
      <c r="I695" s="378">
        <v>8781</v>
      </c>
      <c r="J695" s="2">
        <f t="shared" si="12"/>
        <v>8</v>
      </c>
    </row>
    <row r="696" spans="1:10" ht="15.75" customHeight="1" x14ac:dyDescent="0.25">
      <c r="A696" s="380">
        <v>24081009</v>
      </c>
      <c r="B696" s="381" t="s">
        <v>315</v>
      </c>
      <c r="C696" s="381" t="s">
        <v>1111</v>
      </c>
      <c r="D696" s="381" t="s">
        <v>651</v>
      </c>
      <c r="E696" s="381" t="s">
        <v>967</v>
      </c>
      <c r="F696" s="378">
        <v>110008</v>
      </c>
      <c r="G696" s="378">
        <v>18074</v>
      </c>
      <c r="H696" s="378">
        <v>0</v>
      </c>
      <c r="I696" s="378">
        <v>128082</v>
      </c>
      <c r="J696" s="2">
        <f t="shared" si="12"/>
        <v>8</v>
      </c>
    </row>
    <row r="697" spans="1:10" ht="15.75" customHeight="1" x14ac:dyDescent="0.25">
      <c r="A697" s="380">
        <v>24081009</v>
      </c>
      <c r="B697" s="381" t="s">
        <v>315</v>
      </c>
      <c r="C697" s="381" t="s">
        <v>1111</v>
      </c>
      <c r="D697" s="381" t="s">
        <v>1116</v>
      </c>
      <c r="E697" s="381" t="s">
        <v>1117</v>
      </c>
      <c r="F697" s="378">
        <v>67806</v>
      </c>
      <c r="G697" s="378">
        <v>3209</v>
      </c>
      <c r="H697" s="378">
        <v>0</v>
      </c>
      <c r="I697" s="378">
        <v>71015</v>
      </c>
      <c r="J697" s="2">
        <f t="shared" si="12"/>
        <v>8</v>
      </c>
    </row>
    <row r="698" spans="1:10" ht="15.75" customHeight="1" x14ac:dyDescent="0.25">
      <c r="A698" s="380">
        <v>24081009</v>
      </c>
      <c r="B698" s="381" t="s">
        <v>315</v>
      </c>
      <c r="C698" s="381" t="s">
        <v>1111</v>
      </c>
      <c r="D698" s="381" t="s">
        <v>1118</v>
      </c>
      <c r="E698" s="381" t="s">
        <v>1119</v>
      </c>
      <c r="F698" s="378">
        <v>2344</v>
      </c>
      <c r="G698" s="378">
        <v>0</v>
      </c>
      <c r="H698" s="378">
        <v>0</v>
      </c>
      <c r="I698" s="378">
        <v>2344</v>
      </c>
      <c r="J698" s="2">
        <f t="shared" si="12"/>
        <v>8</v>
      </c>
    </row>
    <row r="699" spans="1:10" ht="15.75" customHeight="1" x14ac:dyDescent="0.25">
      <c r="A699" s="380">
        <v>24081009</v>
      </c>
      <c r="B699" s="381" t="s">
        <v>315</v>
      </c>
      <c r="C699" s="381" t="s">
        <v>1111</v>
      </c>
      <c r="D699" s="381" t="s">
        <v>395</v>
      </c>
      <c r="E699" s="381" t="s">
        <v>860</v>
      </c>
      <c r="F699" s="378">
        <v>0</v>
      </c>
      <c r="G699" s="378">
        <v>28565</v>
      </c>
      <c r="H699" s="378">
        <v>0</v>
      </c>
      <c r="I699" s="378">
        <v>28565</v>
      </c>
      <c r="J699" s="2">
        <f t="shared" si="12"/>
        <v>8</v>
      </c>
    </row>
    <row r="700" spans="1:10" ht="15.75" customHeight="1" x14ac:dyDescent="0.25">
      <c r="A700" s="380">
        <v>24081009</v>
      </c>
      <c r="B700" s="381" t="s">
        <v>315</v>
      </c>
      <c r="C700" s="381" t="s">
        <v>1111</v>
      </c>
      <c r="D700" s="381" t="s">
        <v>1120</v>
      </c>
      <c r="E700" s="381" t="s">
        <v>1478</v>
      </c>
      <c r="F700" s="378">
        <v>15615</v>
      </c>
      <c r="G700" s="378">
        <v>0</v>
      </c>
      <c r="H700" s="378">
        <v>0</v>
      </c>
      <c r="I700" s="378">
        <v>15615</v>
      </c>
      <c r="J700" s="2">
        <f t="shared" si="12"/>
        <v>8</v>
      </c>
    </row>
    <row r="701" spans="1:10" ht="15.75" customHeight="1" x14ac:dyDescent="0.25">
      <c r="A701" s="380">
        <v>24081009</v>
      </c>
      <c r="B701" s="381" t="s">
        <v>315</v>
      </c>
      <c r="C701" s="381" t="s">
        <v>1111</v>
      </c>
      <c r="D701" s="381" t="s">
        <v>1121</v>
      </c>
      <c r="E701" s="381" t="s">
        <v>1122</v>
      </c>
      <c r="F701" s="378">
        <v>3097</v>
      </c>
      <c r="G701" s="378">
        <v>0</v>
      </c>
      <c r="H701" s="378">
        <v>0</v>
      </c>
      <c r="I701" s="378">
        <v>3097</v>
      </c>
      <c r="J701" s="2">
        <f t="shared" si="12"/>
        <v>8</v>
      </c>
    </row>
    <row r="702" spans="1:10" ht="15.75" customHeight="1" x14ac:dyDescent="0.25">
      <c r="A702" s="380">
        <v>24081009</v>
      </c>
      <c r="B702" s="381" t="s">
        <v>315</v>
      </c>
      <c r="C702" s="381" t="s">
        <v>1111</v>
      </c>
      <c r="D702" s="381" t="s">
        <v>493</v>
      </c>
      <c r="E702" s="381" t="s">
        <v>494</v>
      </c>
      <c r="F702" s="378">
        <v>267084</v>
      </c>
      <c r="G702" s="378">
        <v>0</v>
      </c>
      <c r="H702" s="378">
        <v>0</v>
      </c>
      <c r="I702" s="378">
        <v>267084</v>
      </c>
      <c r="J702" s="2">
        <f t="shared" si="12"/>
        <v>8</v>
      </c>
    </row>
    <row r="703" spans="1:10" ht="15.75" customHeight="1" x14ac:dyDescent="0.25">
      <c r="A703" s="380">
        <v>24081009</v>
      </c>
      <c r="B703" s="381" t="s">
        <v>315</v>
      </c>
      <c r="C703" s="381" t="s">
        <v>1111</v>
      </c>
      <c r="D703" s="381" t="s">
        <v>361</v>
      </c>
      <c r="E703" s="381" t="s">
        <v>1123</v>
      </c>
      <c r="F703" s="378">
        <v>262353</v>
      </c>
      <c r="G703" s="378">
        <v>1996</v>
      </c>
      <c r="H703" s="378">
        <v>0</v>
      </c>
      <c r="I703" s="378">
        <v>264349</v>
      </c>
      <c r="J703" s="2">
        <f t="shared" si="12"/>
        <v>8</v>
      </c>
    </row>
    <row r="704" spans="1:10" ht="15.75" customHeight="1" x14ac:dyDescent="0.25">
      <c r="A704" s="380">
        <v>24081009</v>
      </c>
      <c r="B704" s="381" t="s">
        <v>315</v>
      </c>
      <c r="C704" s="381" t="s">
        <v>1111</v>
      </c>
      <c r="D704" s="381" t="s">
        <v>383</v>
      </c>
      <c r="E704" s="381" t="s">
        <v>384</v>
      </c>
      <c r="F704" s="378">
        <v>370591</v>
      </c>
      <c r="G704" s="378">
        <v>0</v>
      </c>
      <c r="H704" s="378">
        <v>0</v>
      </c>
      <c r="I704" s="378">
        <v>370591</v>
      </c>
      <c r="J704" s="2">
        <f t="shared" si="12"/>
        <v>8</v>
      </c>
    </row>
    <row r="705" spans="1:10" ht="15.75" customHeight="1" x14ac:dyDescent="0.25">
      <c r="A705" s="380">
        <v>24081009</v>
      </c>
      <c r="B705" s="381" t="s">
        <v>315</v>
      </c>
      <c r="C705" s="381" t="s">
        <v>1111</v>
      </c>
      <c r="D705" s="381" t="s">
        <v>1124</v>
      </c>
      <c r="E705" s="381" t="s">
        <v>1101</v>
      </c>
      <c r="F705" s="378">
        <v>37681</v>
      </c>
      <c r="G705" s="378">
        <v>0</v>
      </c>
      <c r="H705" s="378">
        <v>0</v>
      </c>
      <c r="I705" s="378">
        <v>37681</v>
      </c>
      <c r="J705" s="2">
        <f t="shared" si="12"/>
        <v>8</v>
      </c>
    </row>
    <row r="706" spans="1:10" ht="15.75" customHeight="1" x14ac:dyDescent="0.25">
      <c r="A706" s="380">
        <v>24081009</v>
      </c>
      <c r="B706" s="381" t="s">
        <v>315</v>
      </c>
      <c r="C706" s="381" t="s">
        <v>1111</v>
      </c>
      <c r="D706" s="381" t="s">
        <v>1097</v>
      </c>
      <c r="E706" s="381" t="s">
        <v>1098</v>
      </c>
      <c r="F706" s="378">
        <v>59076</v>
      </c>
      <c r="G706" s="378">
        <v>0</v>
      </c>
      <c r="H706" s="378">
        <v>0</v>
      </c>
      <c r="I706" s="378">
        <v>59076</v>
      </c>
      <c r="J706" s="2">
        <f t="shared" si="12"/>
        <v>8</v>
      </c>
    </row>
    <row r="707" spans="1:10" ht="15.75" customHeight="1" x14ac:dyDescent="0.25">
      <c r="A707" s="380">
        <v>24081009</v>
      </c>
      <c r="B707" s="381" t="s">
        <v>315</v>
      </c>
      <c r="C707" s="381" t="s">
        <v>1111</v>
      </c>
      <c r="D707" s="381" t="s">
        <v>1125</v>
      </c>
      <c r="E707" s="381" t="s">
        <v>1126</v>
      </c>
      <c r="F707" s="378">
        <v>4782</v>
      </c>
      <c r="G707" s="378">
        <v>0</v>
      </c>
      <c r="H707" s="378">
        <v>0</v>
      </c>
      <c r="I707" s="378">
        <v>4782</v>
      </c>
      <c r="J707" s="2">
        <f t="shared" si="12"/>
        <v>8</v>
      </c>
    </row>
    <row r="708" spans="1:10" ht="15.75" customHeight="1" x14ac:dyDescent="0.25">
      <c r="A708" s="380">
        <v>24081009</v>
      </c>
      <c r="B708" s="381" t="s">
        <v>315</v>
      </c>
      <c r="C708" s="381" t="s">
        <v>1111</v>
      </c>
      <c r="D708" s="381" t="s">
        <v>1130</v>
      </c>
      <c r="E708" s="381" t="s">
        <v>1478</v>
      </c>
      <c r="F708" s="378">
        <v>8941</v>
      </c>
      <c r="G708" s="378">
        <v>5110</v>
      </c>
      <c r="H708" s="378">
        <v>0</v>
      </c>
      <c r="I708" s="378">
        <v>14051</v>
      </c>
      <c r="J708" s="2">
        <f t="shared" si="12"/>
        <v>8</v>
      </c>
    </row>
    <row r="709" spans="1:10" ht="15.75" customHeight="1" x14ac:dyDescent="0.25">
      <c r="A709" s="380">
        <v>24081009</v>
      </c>
      <c r="B709" s="381" t="s">
        <v>315</v>
      </c>
      <c r="C709" s="381" t="s">
        <v>1111</v>
      </c>
      <c r="D709" s="381" t="s">
        <v>1131</v>
      </c>
      <c r="E709" s="381" t="s">
        <v>1132</v>
      </c>
      <c r="F709" s="378">
        <v>3664</v>
      </c>
      <c r="G709" s="378">
        <v>0</v>
      </c>
      <c r="H709" s="378">
        <v>0</v>
      </c>
      <c r="I709" s="378">
        <v>3664</v>
      </c>
      <c r="J709" s="2">
        <f t="shared" si="12"/>
        <v>8</v>
      </c>
    </row>
    <row r="710" spans="1:10" ht="15.75" customHeight="1" x14ac:dyDescent="0.25">
      <c r="A710" s="380">
        <v>24081009</v>
      </c>
      <c r="B710" s="381" t="s">
        <v>315</v>
      </c>
      <c r="C710" s="381" t="s">
        <v>1111</v>
      </c>
      <c r="D710" s="381" t="s">
        <v>978</v>
      </c>
      <c r="E710" s="381" t="s">
        <v>979</v>
      </c>
      <c r="F710" s="378">
        <v>17100</v>
      </c>
      <c r="G710" s="378">
        <v>0</v>
      </c>
      <c r="H710" s="378">
        <v>0</v>
      </c>
      <c r="I710" s="378">
        <v>17100</v>
      </c>
      <c r="J710" s="2">
        <f t="shared" si="12"/>
        <v>8</v>
      </c>
    </row>
    <row r="711" spans="1:10" ht="15.75" customHeight="1" x14ac:dyDescent="0.25">
      <c r="A711" s="380">
        <v>24081009</v>
      </c>
      <c r="B711" s="381" t="s">
        <v>315</v>
      </c>
      <c r="C711" s="381" t="s">
        <v>1111</v>
      </c>
      <c r="D711" s="381" t="s">
        <v>1133</v>
      </c>
      <c r="E711" s="381" t="s">
        <v>1134</v>
      </c>
      <c r="F711" s="378">
        <v>46582</v>
      </c>
      <c r="G711" s="378">
        <v>0</v>
      </c>
      <c r="H711" s="378">
        <v>0</v>
      </c>
      <c r="I711" s="378">
        <v>46582</v>
      </c>
      <c r="J711" s="2">
        <f t="shared" si="12"/>
        <v>8</v>
      </c>
    </row>
    <row r="712" spans="1:10" ht="15.75" customHeight="1" x14ac:dyDescent="0.25">
      <c r="A712" s="380">
        <v>24081009</v>
      </c>
      <c r="B712" s="381" t="s">
        <v>315</v>
      </c>
      <c r="C712" s="381" t="s">
        <v>1111</v>
      </c>
      <c r="D712" s="381" t="s">
        <v>1135</v>
      </c>
      <c r="E712" s="381" t="s">
        <v>1136</v>
      </c>
      <c r="F712" s="378">
        <v>319</v>
      </c>
      <c r="G712" s="378">
        <v>0</v>
      </c>
      <c r="H712" s="378">
        <v>0</v>
      </c>
      <c r="I712" s="378">
        <v>319</v>
      </c>
      <c r="J712" s="2">
        <f t="shared" si="12"/>
        <v>8</v>
      </c>
    </row>
    <row r="713" spans="1:10" ht="15.75" customHeight="1" x14ac:dyDescent="0.25">
      <c r="A713" s="380">
        <v>24081009</v>
      </c>
      <c r="B713" s="381" t="s">
        <v>315</v>
      </c>
      <c r="C713" s="381" t="s">
        <v>1111</v>
      </c>
      <c r="D713" s="381" t="s">
        <v>980</v>
      </c>
      <c r="E713" s="381" t="s">
        <v>981</v>
      </c>
      <c r="F713" s="378">
        <v>2675195</v>
      </c>
      <c r="G713" s="378">
        <v>0</v>
      </c>
      <c r="H713" s="378">
        <v>0</v>
      </c>
      <c r="I713" s="378">
        <v>2675195</v>
      </c>
      <c r="J713" s="2">
        <f t="shared" si="12"/>
        <v>8</v>
      </c>
    </row>
    <row r="714" spans="1:10" ht="15.75" customHeight="1" x14ac:dyDescent="0.25">
      <c r="A714" s="380">
        <v>24081009</v>
      </c>
      <c r="B714" s="381" t="s">
        <v>315</v>
      </c>
      <c r="C714" s="381" t="s">
        <v>1111</v>
      </c>
      <c r="D714" s="381" t="s">
        <v>419</v>
      </c>
      <c r="E714" s="381" t="s">
        <v>420</v>
      </c>
      <c r="F714" s="378">
        <v>12346</v>
      </c>
      <c r="G714" s="378">
        <v>0</v>
      </c>
      <c r="H714" s="378">
        <v>0</v>
      </c>
      <c r="I714" s="378">
        <v>12346</v>
      </c>
      <c r="J714" s="2">
        <f t="shared" si="12"/>
        <v>8</v>
      </c>
    </row>
    <row r="715" spans="1:10" ht="15.75" customHeight="1" x14ac:dyDescent="0.25">
      <c r="A715" s="380">
        <v>24081009</v>
      </c>
      <c r="B715" s="381" t="s">
        <v>315</v>
      </c>
      <c r="C715" s="381" t="s">
        <v>1111</v>
      </c>
      <c r="D715" s="381" t="s">
        <v>1137</v>
      </c>
      <c r="E715" s="381" t="s">
        <v>1138</v>
      </c>
      <c r="F715" s="378">
        <v>650470</v>
      </c>
      <c r="G715" s="378">
        <v>0</v>
      </c>
      <c r="H715" s="378">
        <v>0</v>
      </c>
      <c r="I715" s="378">
        <v>650470</v>
      </c>
      <c r="J715" s="2">
        <f t="shared" si="12"/>
        <v>8</v>
      </c>
    </row>
    <row r="716" spans="1:10" ht="15.75" customHeight="1" x14ac:dyDescent="0.25">
      <c r="A716" s="380">
        <v>24081009</v>
      </c>
      <c r="B716" s="381" t="s">
        <v>315</v>
      </c>
      <c r="C716" s="381" t="s">
        <v>1111</v>
      </c>
      <c r="D716" s="381" t="s">
        <v>440</v>
      </c>
      <c r="E716" s="381" t="s">
        <v>441</v>
      </c>
      <c r="F716" s="378">
        <v>11381</v>
      </c>
      <c r="G716" s="378">
        <v>0</v>
      </c>
      <c r="H716" s="378">
        <v>0</v>
      </c>
      <c r="I716" s="378">
        <v>11381</v>
      </c>
      <c r="J716" s="2">
        <f t="shared" si="12"/>
        <v>8</v>
      </c>
    </row>
    <row r="717" spans="1:10" ht="15.75" customHeight="1" x14ac:dyDescent="0.25">
      <c r="A717" s="380">
        <v>24081009</v>
      </c>
      <c r="B717" s="381" t="s">
        <v>315</v>
      </c>
      <c r="C717" s="381" t="s">
        <v>1111</v>
      </c>
      <c r="D717" s="381" t="s">
        <v>399</v>
      </c>
      <c r="E717" s="381" t="s">
        <v>863</v>
      </c>
      <c r="F717" s="378">
        <v>93100</v>
      </c>
      <c r="G717" s="378">
        <v>0</v>
      </c>
      <c r="H717" s="378">
        <v>0</v>
      </c>
      <c r="I717" s="378">
        <v>93100</v>
      </c>
      <c r="J717" s="2">
        <f t="shared" ref="J717:J780" si="13">+LEN(A717)</f>
        <v>8</v>
      </c>
    </row>
    <row r="718" spans="1:10" ht="15.75" customHeight="1" x14ac:dyDescent="0.25">
      <c r="A718" s="380">
        <v>24081009</v>
      </c>
      <c r="B718" s="381" t="s">
        <v>315</v>
      </c>
      <c r="C718" s="381" t="s">
        <v>1111</v>
      </c>
      <c r="D718" s="381" t="s">
        <v>402</v>
      </c>
      <c r="E718" s="381" t="s">
        <v>890</v>
      </c>
      <c r="F718" s="378">
        <v>1128258</v>
      </c>
      <c r="G718" s="378">
        <v>0</v>
      </c>
      <c r="H718" s="378">
        <v>0</v>
      </c>
      <c r="I718" s="378">
        <v>1128258</v>
      </c>
      <c r="J718" s="2">
        <f t="shared" si="13"/>
        <v>8</v>
      </c>
    </row>
    <row r="719" spans="1:10" ht="15.75" customHeight="1" x14ac:dyDescent="0.25">
      <c r="A719" s="380">
        <v>24081009</v>
      </c>
      <c r="B719" s="381" t="s">
        <v>315</v>
      </c>
      <c r="C719" s="381" t="s">
        <v>1111</v>
      </c>
      <c r="D719" s="381" t="s">
        <v>444</v>
      </c>
      <c r="E719" s="381" t="s">
        <v>1139</v>
      </c>
      <c r="F719" s="378">
        <v>21507</v>
      </c>
      <c r="G719" s="378">
        <v>0</v>
      </c>
      <c r="H719" s="378">
        <v>0</v>
      </c>
      <c r="I719" s="378">
        <v>21507</v>
      </c>
      <c r="J719" s="2">
        <f t="shared" si="13"/>
        <v>8</v>
      </c>
    </row>
    <row r="720" spans="1:10" ht="15.75" customHeight="1" x14ac:dyDescent="0.25">
      <c r="A720" s="380">
        <v>24081009</v>
      </c>
      <c r="B720" s="381" t="s">
        <v>315</v>
      </c>
      <c r="C720" s="381" t="s">
        <v>1111</v>
      </c>
      <c r="D720" s="381" t="s">
        <v>672</v>
      </c>
      <c r="E720" s="381" t="s">
        <v>1140</v>
      </c>
      <c r="F720" s="378">
        <v>10694</v>
      </c>
      <c r="G720" s="378">
        <v>0</v>
      </c>
      <c r="H720" s="378">
        <v>0</v>
      </c>
      <c r="I720" s="378">
        <v>10694</v>
      </c>
      <c r="J720" s="2">
        <f t="shared" si="13"/>
        <v>8</v>
      </c>
    </row>
    <row r="721" spans="1:10" ht="15.75" customHeight="1" x14ac:dyDescent="0.25">
      <c r="A721" s="380">
        <v>24081009</v>
      </c>
      <c r="B721" s="381" t="s">
        <v>315</v>
      </c>
      <c r="C721" s="381" t="s">
        <v>1111</v>
      </c>
      <c r="D721" s="381" t="s">
        <v>365</v>
      </c>
      <c r="E721" s="381" t="s">
        <v>366</v>
      </c>
      <c r="F721" s="378">
        <v>81101</v>
      </c>
      <c r="G721" s="378">
        <v>8472</v>
      </c>
      <c r="H721" s="378">
        <v>0</v>
      </c>
      <c r="I721" s="378">
        <v>89573</v>
      </c>
      <c r="J721" s="2">
        <f t="shared" si="13"/>
        <v>8</v>
      </c>
    </row>
    <row r="722" spans="1:10" ht="15.75" customHeight="1" x14ac:dyDescent="0.25">
      <c r="A722" s="380">
        <v>24081009</v>
      </c>
      <c r="B722" s="381" t="s">
        <v>315</v>
      </c>
      <c r="C722" s="381" t="s">
        <v>1111</v>
      </c>
      <c r="D722" s="381" t="s">
        <v>329</v>
      </c>
      <c r="E722" s="381" t="s">
        <v>330</v>
      </c>
      <c r="F722" s="378">
        <v>5181745.8</v>
      </c>
      <c r="G722" s="378">
        <v>0</v>
      </c>
      <c r="H722" s="378">
        <v>0</v>
      </c>
      <c r="I722" s="378">
        <v>5181745.8</v>
      </c>
      <c r="J722" s="2">
        <f t="shared" si="13"/>
        <v>8</v>
      </c>
    </row>
    <row r="723" spans="1:10" ht="15.75" customHeight="1" x14ac:dyDescent="0.25">
      <c r="A723" s="380">
        <v>24081009</v>
      </c>
      <c r="B723" s="381" t="s">
        <v>315</v>
      </c>
      <c r="C723" s="381" t="s">
        <v>1111</v>
      </c>
      <c r="D723" s="381" t="s">
        <v>1141</v>
      </c>
      <c r="E723" s="381" t="s">
        <v>1142</v>
      </c>
      <c r="F723" s="378">
        <v>6171</v>
      </c>
      <c r="G723" s="378">
        <v>0</v>
      </c>
      <c r="H723" s="378">
        <v>0</v>
      </c>
      <c r="I723" s="378">
        <v>6171</v>
      </c>
      <c r="J723" s="2">
        <f t="shared" si="13"/>
        <v>8</v>
      </c>
    </row>
    <row r="724" spans="1:10" ht="15.75" customHeight="1" x14ac:dyDescent="0.25">
      <c r="A724" s="380">
        <v>24081009</v>
      </c>
      <c r="B724" s="381" t="s">
        <v>315</v>
      </c>
      <c r="C724" s="381" t="s">
        <v>1111</v>
      </c>
      <c r="D724" s="381" t="s">
        <v>429</v>
      </c>
      <c r="E724" s="381" t="s">
        <v>430</v>
      </c>
      <c r="F724" s="378">
        <v>1868362</v>
      </c>
      <c r="G724" s="378">
        <v>0</v>
      </c>
      <c r="H724" s="378">
        <v>0</v>
      </c>
      <c r="I724" s="378">
        <v>1868362</v>
      </c>
      <c r="J724" s="2">
        <f t="shared" si="13"/>
        <v>8</v>
      </c>
    </row>
    <row r="725" spans="1:10" ht="15.75" customHeight="1" x14ac:dyDescent="0.25">
      <c r="A725" s="380">
        <v>24081009</v>
      </c>
      <c r="B725" s="381" t="s">
        <v>315</v>
      </c>
      <c r="C725" s="381" t="s">
        <v>1111</v>
      </c>
      <c r="D725" s="381" t="s">
        <v>987</v>
      </c>
      <c r="E725" s="381" t="s">
        <v>988</v>
      </c>
      <c r="F725" s="378">
        <v>296291</v>
      </c>
      <c r="G725" s="378">
        <v>111427</v>
      </c>
      <c r="H725" s="378">
        <v>0</v>
      </c>
      <c r="I725" s="378">
        <v>407718</v>
      </c>
      <c r="J725" s="2">
        <f t="shared" si="13"/>
        <v>8</v>
      </c>
    </row>
    <row r="726" spans="1:10" ht="15.75" customHeight="1" x14ac:dyDescent="0.25">
      <c r="A726" s="380">
        <v>24081009</v>
      </c>
      <c r="B726" s="381" t="s">
        <v>315</v>
      </c>
      <c r="C726" s="381" t="s">
        <v>1111</v>
      </c>
      <c r="D726" s="381" t="s">
        <v>669</v>
      </c>
      <c r="E726" s="381" t="s">
        <v>1143</v>
      </c>
      <c r="F726" s="378">
        <v>8731</v>
      </c>
      <c r="G726" s="378">
        <v>0</v>
      </c>
      <c r="H726" s="378">
        <v>0</v>
      </c>
      <c r="I726" s="378">
        <v>8731</v>
      </c>
      <c r="J726" s="2">
        <f t="shared" si="13"/>
        <v>8</v>
      </c>
    </row>
    <row r="727" spans="1:10" ht="15.75" customHeight="1" x14ac:dyDescent="0.25">
      <c r="A727" s="380">
        <v>24081009</v>
      </c>
      <c r="B727" s="381" t="s">
        <v>315</v>
      </c>
      <c r="C727" s="381" t="s">
        <v>1111</v>
      </c>
      <c r="D727" s="381" t="s">
        <v>445</v>
      </c>
      <c r="E727" s="381" t="s">
        <v>1483</v>
      </c>
      <c r="F727" s="378">
        <v>8302</v>
      </c>
      <c r="G727" s="378">
        <v>0</v>
      </c>
      <c r="H727" s="378">
        <v>0</v>
      </c>
      <c r="I727" s="378">
        <v>8302</v>
      </c>
      <c r="J727" s="2">
        <f t="shared" si="13"/>
        <v>8</v>
      </c>
    </row>
    <row r="728" spans="1:10" ht="15.75" customHeight="1" x14ac:dyDescent="0.25">
      <c r="A728" s="380">
        <v>24081009</v>
      </c>
      <c r="B728" s="381" t="s">
        <v>315</v>
      </c>
      <c r="C728" s="381" t="s">
        <v>1111</v>
      </c>
      <c r="D728" s="381" t="s">
        <v>371</v>
      </c>
      <c r="E728" s="381" t="s">
        <v>816</v>
      </c>
      <c r="F728" s="378">
        <v>6019</v>
      </c>
      <c r="G728" s="378">
        <v>0</v>
      </c>
      <c r="H728" s="378">
        <v>0</v>
      </c>
      <c r="I728" s="378">
        <v>6019</v>
      </c>
      <c r="J728" s="2">
        <f t="shared" si="13"/>
        <v>8</v>
      </c>
    </row>
    <row r="729" spans="1:10" ht="15.75" customHeight="1" x14ac:dyDescent="0.25">
      <c r="A729" s="380">
        <v>24081009</v>
      </c>
      <c r="B729" s="381" t="s">
        <v>315</v>
      </c>
      <c r="C729" s="381" t="s">
        <v>1111</v>
      </c>
      <c r="D729" s="381" t="s">
        <v>685</v>
      </c>
      <c r="E729" s="381" t="s">
        <v>1144</v>
      </c>
      <c r="F729" s="378">
        <v>87368</v>
      </c>
      <c r="G729" s="378">
        <v>0</v>
      </c>
      <c r="H729" s="378">
        <v>0</v>
      </c>
      <c r="I729" s="378">
        <v>87368</v>
      </c>
      <c r="J729" s="2">
        <f t="shared" si="13"/>
        <v>8</v>
      </c>
    </row>
    <row r="730" spans="1:10" ht="15.75" customHeight="1" x14ac:dyDescent="0.25">
      <c r="A730" s="380">
        <v>24081009</v>
      </c>
      <c r="B730" s="381" t="s">
        <v>315</v>
      </c>
      <c r="C730" s="381" t="s">
        <v>1111</v>
      </c>
      <c r="D730" s="381" t="s">
        <v>636</v>
      </c>
      <c r="E730" s="381" t="s">
        <v>1145</v>
      </c>
      <c r="F730" s="378">
        <v>24531</v>
      </c>
      <c r="G730" s="378">
        <v>0</v>
      </c>
      <c r="H730" s="378">
        <v>0</v>
      </c>
      <c r="I730" s="378">
        <v>24531</v>
      </c>
      <c r="J730" s="2">
        <f t="shared" si="13"/>
        <v>8</v>
      </c>
    </row>
    <row r="731" spans="1:10" ht="15.75" customHeight="1" x14ac:dyDescent="0.25">
      <c r="A731" s="380">
        <v>24081009</v>
      </c>
      <c r="B731" s="381" t="s">
        <v>315</v>
      </c>
      <c r="C731" s="381" t="s">
        <v>1111</v>
      </c>
      <c r="D731" s="381" t="s">
        <v>375</v>
      </c>
      <c r="E731" s="381" t="s">
        <v>817</v>
      </c>
      <c r="F731" s="378">
        <v>591</v>
      </c>
      <c r="G731" s="378">
        <v>0</v>
      </c>
      <c r="H731" s="378">
        <v>0</v>
      </c>
      <c r="I731" s="378">
        <v>591</v>
      </c>
      <c r="J731" s="2">
        <f t="shared" si="13"/>
        <v>8</v>
      </c>
    </row>
    <row r="732" spans="1:10" ht="15.75" customHeight="1" x14ac:dyDescent="0.25">
      <c r="A732" s="380">
        <v>24081009</v>
      </c>
      <c r="B732" s="381" t="s">
        <v>315</v>
      </c>
      <c r="C732" s="381" t="s">
        <v>1111</v>
      </c>
      <c r="D732" s="381" t="s">
        <v>997</v>
      </c>
      <c r="E732" s="381" t="s">
        <v>998</v>
      </c>
      <c r="F732" s="378">
        <v>22534</v>
      </c>
      <c r="G732" s="378">
        <v>0</v>
      </c>
      <c r="H732" s="378">
        <v>0</v>
      </c>
      <c r="I732" s="378">
        <v>22534</v>
      </c>
      <c r="J732" s="2">
        <f t="shared" si="13"/>
        <v>8</v>
      </c>
    </row>
    <row r="733" spans="1:10" ht="15.75" customHeight="1" x14ac:dyDescent="0.25">
      <c r="A733" s="380">
        <v>24081009</v>
      </c>
      <c r="B733" s="381" t="s">
        <v>315</v>
      </c>
      <c r="C733" s="381" t="s">
        <v>1111</v>
      </c>
      <c r="D733" s="381" t="s">
        <v>1148</v>
      </c>
      <c r="E733" s="381" t="s">
        <v>1149</v>
      </c>
      <c r="F733" s="378">
        <v>1597</v>
      </c>
      <c r="G733" s="378">
        <v>0</v>
      </c>
      <c r="H733" s="378">
        <v>0</v>
      </c>
      <c r="I733" s="378">
        <v>1597</v>
      </c>
      <c r="J733" s="2">
        <f t="shared" si="13"/>
        <v>8</v>
      </c>
    </row>
    <row r="734" spans="1:10" ht="15.75" customHeight="1" x14ac:dyDescent="0.25">
      <c r="A734" s="380">
        <v>24081009</v>
      </c>
      <c r="B734" s="381" t="s">
        <v>315</v>
      </c>
      <c r="C734" s="381" t="s">
        <v>1111</v>
      </c>
      <c r="D734" s="381" t="s">
        <v>1150</v>
      </c>
      <c r="E734" s="381" t="s">
        <v>1151</v>
      </c>
      <c r="F734" s="378">
        <v>27573</v>
      </c>
      <c r="G734" s="378">
        <v>4311</v>
      </c>
      <c r="H734" s="378">
        <v>0</v>
      </c>
      <c r="I734" s="378">
        <v>31884</v>
      </c>
      <c r="J734" s="2">
        <f t="shared" si="13"/>
        <v>8</v>
      </c>
    </row>
    <row r="735" spans="1:10" ht="15.75" customHeight="1" x14ac:dyDescent="0.25">
      <c r="A735" s="380">
        <v>24081009</v>
      </c>
      <c r="B735" s="381" t="s">
        <v>315</v>
      </c>
      <c r="C735" s="381" t="s">
        <v>1111</v>
      </c>
      <c r="D735" s="381" t="s">
        <v>1152</v>
      </c>
      <c r="E735" s="381" t="s">
        <v>1153</v>
      </c>
      <c r="F735" s="378">
        <v>4423</v>
      </c>
      <c r="G735" s="378">
        <v>0</v>
      </c>
      <c r="H735" s="378">
        <v>0</v>
      </c>
      <c r="I735" s="378">
        <v>4423</v>
      </c>
      <c r="J735" s="2">
        <f t="shared" si="13"/>
        <v>8</v>
      </c>
    </row>
    <row r="736" spans="1:10" ht="15.75" customHeight="1" x14ac:dyDescent="0.25">
      <c r="A736" s="380">
        <v>24081009</v>
      </c>
      <c r="B736" s="381" t="s">
        <v>315</v>
      </c>
      <c r="C736" s="381" t="s">
        <v>1111</v>
      </c>
      <c r="D736" s="381" t="s">
        <v>495</v>
      </c>
      <c r="E736" s="381" t="s">
        <v>925</v>
      </c>
      <c r="F736" s="378">
        <v>130910</v>
      </c>
      <c r="G736" s="378">
        <v>0</v>
      </c>
      <c r="H736" s="378">
        <v>0</v>
      </c>
      <c r="I736" s="378">
        <v>130910</v>
      </c>
      <c r="J736" s="2">
        <f t="shared" si="13"/>
        <v>8</v>
      </c>
    </row>
    <row r="737" spans="1:10" ht="15.75" customHeight="1" x14ac:dyDescent="0.25">
      <c r="A737" s="380">
        <v>24081009</v>
      </c>
      <c r="B737" s="381" t="s">
        <v>315</v>
      </c>
      <c r="C737" s="381" t="s">
        <v>1111</v>
      </c>
      <c r="D737" s="381" t="s">
        <v>431</v>
      </c>
      <c r="E737" s="381" t="s">
        <v>432</v>
      </c>
      <c r="F737" s="378">
        <v>690638</v>
      </c>
      <c r="G737" s="378">
        <v>126233</v>
      </c>
      <c r="H737" s="378">
        <v>0</v>
      </c>
      <c r="I737" s="378">
        <v>816871</v>
      </c>
      <c r="J737" s="2">
        <f t="shared" si="13"/>
        <v>8</v>
      </c>
    </row>
    <row r="738" spans="1:10" ht="15.75" customHeight="1" x14ac:dyDescent="0.25">
      <c r="A738" s="380">
        <v>24081009</v>
      </c>
      <c r="B738" s="381" t="s">
        <v>315</v>
      </c>
      <c r="C738" s="381" t="s">
        <v>1111</v>
      </c>
      <c r="D738" s="381" t="s">
        <v>1154</v>
      </c>
      <c r="E738" s="381" t="s">
        <v>1155</v>
      </c>
      <c r="F738" s="378">
        <v>0</v>
      </c>
      <c r="G738" s="378">
        <v>29506</v>
      </c>
      <c r="H738" s="378">
        <v>0</v>
      </c>
      <c r="I738" s="378">
        <v>29506</v>
      </c>
      <c r="J738" s="2">
        <f t="shared" si="13"/>
        <v>8</v>
      </c>
    </row>
    <row r="739" spans="1:10" ht="15.75" customHeight="1" x14ac:dyDescent="0.25">
      <c r="A739" s="380">
        <v>24081009</v>
      </c>
      <c r="B739" s="381" t="s">
        <v>315</v>
      </c>
      <c r="C739" s="381" t="s">
        <v>1111</v>
      </c>
      <c r="D739" s="381" t="s">
        <v>1156</v>
      </c>
      <c r="E739" s="381" t="s">
        <v>1157</v>
      </c>
      <c r="F739" s="378">
        <v>28578</v>
      </c>
      <c r="G739" s="378">
        <v>3113</v>
      </c>
      <c r="H739" s="378">
        <v>0</v>
      </c>
      <c r="I739" s="378">
        <v>31691</v>
      </c>
      <c r="J739" s="2">
        <f t="shared" si="13"/>
        <v>8</v>
      </c>
    </row>
    <row r="740" spans="1:10" ht="15.75" customHeight="1" x14ac:dyDescent="0.25">
      <c r="A740" s="380">
        <v>24081009</v>
      </c>
      <c r="B740" s="381" t="s">
        <v>315</v>
      </c>
      <c r="C740" s="381" t="s">
        <v>1111</v>
      </c>
      <c r="D740" s="381" t="s">
        <v>1158</v>
      </c>
      <c r="E740" s="381" t="s">
        <v>1159</v>
      </c>
      <c r="F740" s="378">
        <v>3672</v>
      </c>
      <c r="G740" s="378">
        <v>0</v>
      </c>
      <c r="H740" s="378">
        <v>0</v>
      </c>
      <c r="I740" s="378">
        <v>3672</v>
      </c>
      <c r="J740" s="2">
        <f t="shared" si="13"/>
        <v>8</v>
      </c>
    </row>
    <row r="741" spans="1:10" ht="15.75" customHeight="1" x14ac:dyDescent="0.25">
      <c r="A741" s="380">
        <v>24081009</v>
      </c>
      <c r="B741" s="381" t="s">
        <v>315</v>
      </c>
      <c r="C741" s="381" t="s">
        <v>1111</v>
      </c>
      <c r="D741" s="381" t="s">
        <v>1160</v>
      </c>
      <c r="E741" s="381" t="s">
        <v>1161</v>
      </c>
      <c r="F741" s="378">
        <v>862</v>
      </c>
      <c r="G741" s="378">
        <v>0</v>
      </c>
      <c r="H741" s="378">
        <v>0</v>
      </c>
      <c r="I741" s="378">
        <v>862</v>
      </c>
      <c r="J741" s="2">
        <f t="shared" si="13"/>
        <v>8</v>
      </c>
    </row>
    <row r="742" spans="1:10" ht="15.75" customHeight="1" x14ac:dyDescent="0.25">
      <c r="A742" s="380">
        <v>24081009</v>
      </c>
      <c r="B742" s="381" t="s">
        <v>315</v>
      </c>
      <c r="C742" s="381" t="s">
        <v>1111</v>
      </c>
      <c r="D742" s="381" t="s">
        <v>389</v>
      </c>
      <c r="E742" s="381" t="s">
        <v>821</v>
      </c>
      <c r="F742" s="378">
        <v>106350</v>
      </c>
      <c r="G742" s="378">
        <v>64801</v>
      </c>
      <c r="H742" s="378">
        <v>0</v>
      </c>
      <c r="I742" s="378">
        <v>171151</v>
      </c>
      <c r="J742" s="2">
        <f t="shared" si="13"/>
        <v>8</v>
      </c>
    </row>
    <row r="743" spans="1:10" ht="15.75" customHeight="1" x14ac:dyDescent="0.25">
      <c r="A743" s="380">
        <v>24081009</v>
      </c>
      <c r="B743" s="381" t="s">
        <v>315</v>
      </c>
      <c r="C743" s="381" t="s">
        <v>1111</v>
      </c>
      <c r="D743" s="381" t="s">
        <v>1162</v>
      </c>
      <c r="E743" s="381" t="s">
        <v>1163</v>
      </c>
      <c r="F743" s="378">
        <v>23085</v>
      </c>
      <c r="G743" s="378">
        <v>0</v>
      </c>
      <c r="H743" s="378">
        <v>0</v>
      </c>
      <c r="I743" s="378">
        <v>23085</v>
      </c>
      <c r="J743" s="2">
        <f t="shared" si="13"/>
        <v>8</v>
      </c>
    </row>
    <row r="744" spans="1:10" ht="15.75" customHeight="1" x14ac:dyDescent="0.25">
      <c r="A744" s="380">
        <v>24081009</v>
      </c>
      <c r="B744" s="381" t="s">
        <v>315</v>
      </c>
      <c r="C744" s="381" t="s">
        <v>1111</v>
      </c>
      <c r="D744" s="381" t="s">
        <v>1006</v>
      </c>
      <c r="E744" s="381" t="s">
        <v>1007</v>
      </c>
      <c r="F744" s="378">
        <v>12542</v>
      </c>
      <c r="G744" s="378">
        <v>0</v>
      </c>
      <c r="H744" s="378">
        <v>0</v>
      </c>
      <c r="I744" s="378">
        <v>12542</v>
      </c>
      <c r="J744" s="2">
        <f t="shared" si="13"/>
        <v>8</v>
      </c>
    </row>
    <row r="745" spans="1:10" ht="15.75" customHeight="1" x14ac:dyDescent="0.25">
      <c r="A745" s="380">
        <v>24081009</v>
      </c>
      <c r="B745" s="381" t="s">
        <v>315</v>
      </c>
      <c r="C745" s="381" t="s">
        <v>1111</v>
      </c>
      <c r="D745" s="381" t="s">
        <v>918</v>
      </c>
      <c r="E745" s="381" t="s">
        <v>919</v>
      </c>
      <c r="F745" s="378">
        <v>13935</v>
      </c>
      <c r="G745" s="378">
        <v>0</v>
      </c>
      <c r="H745" s="378">
        <v>0</v>
      </c>
      <c r="I745" s="378">
        <v>13935</v>
      </c>
      <c r="J745" s="2">
        <f t="shared" si="13"/>
        <v>8</v>
      </c>
    </row>
    <row r="746" spans="1:10" ht="15.75" customHeight="1" x14ac:dyDescent="0.25">
      <c r="A746" s="380">
        <v>24081009</v>
      </c>
      <c r="B746" s="381" t="s">
        <v>315</v>
      </c>
      <c r="C746" s="381" t="s">
        <v>1111</v>
      </c>
      <c r="D746" s="381" t="s">
        <v>1164</v>
      </c>
      <c r="E746" s="381" t="s">
        <v>1165</v>
      </c>
      <c r="F746" s="378">
        <v>3193</v>
      </c>
      <c r="G746" s="378">
        <v>0</v>
      </c>
      <c r="H746" s="378">
        <v>0</v>
      </c>
      <c r="I746" s="378">
        <v>3193</v>
      </c>
      <c r="J746" s="2">
        <f t="shared" si="13"/>
        <v>8</v>
      </c>
    </row>
    <row r="747" spans="1:10" ht="15.75" customHeight="1" x14ac:dyDescent="0.25">
      <c r="A747" s="380">
        <v>24081009</v>
      </c>
      <c r="B747" s="381" t="s">
        <v>315</v>
      </c>
      <c r="C747" s="381" t="s">
        <v>1111</v>
      </c>
      <c r="D747" s="381" t="s">
        <v>1166</v>
      </c>
      <c r="E747" s="381" t="s">
        <v>1167</v>
      </c>
      <c r="F747" s="378">
        <v>7967</v>
      </c>
      <c r="G747" s="378">
        <v>0</v>
      </c>
      <c r="H747" s="378">
        <v>0</v>
      </c>
      <c r="I747" s="378">
        <v>7967</v>
      </c>
      <c r="J747" s="2">
        <f t="shared" si="13"/>
        <v>8</v>
      </c>
    </row>
    <row r="748" spans="1:10" ht="15.75" customHeight="1" x14ac:dyDescent="0.25">
      <c r="A748" s="380">
        <v>24081009</v>
      </c>
      <c r="B748" s="381" t="s">
        <v>315</v>
      </c>
      <c r="C748" s="381" t="s">
        <v>1111</v>
      </c>
      <c r="D748" s="381" t="s">
        <v>1168</v>
      </c>
      <c r="E748" s="381" t="s">
        <v>1169</v>
      </c>
      <c r="F748" s="378">
        <v>41118</v>
      </c>
      <c r="G748" s="378">
        <v>0</v>
      </c>
      <c r="H748" s="378">
        <v>0</v>
      </c>
      <c r="I748" s="378">
        <v>41118</v>
      </c>
      <c r="J748" s="2">
        <f t="shared" si="13"/>
        <v>8</v>
      </c>
    </row>
    <row r="749" spans="1:10" ht="15.75" customHeight="1" x14ac:dyDescent="0.25">
      <c r="A749" s="380">
        <v>24081009</v>
      </c>
      <c r="B749" s="381" t="s">
        <v>315</v>
      </c>
      <c r="C749" s="381" t="s">
        <v>1111</v>
      </c>
      <c r="D749" s="381" t="s">
        <v>1013</v>
      </c>
      <c r="E749" s="381" t="s">
        <v>1014</v>
      </c>
      <c r="F749" s="378">
        <v>48945</v>
      </c>
      <c r="G749" s="378">
        <v>5588</v>
      </c>
      <c r="H749" s="378">
        <v>0</v>
      </c>
      <c r="I749" s="378">
        <v>54533</v>
      </c>
      <c r="J749" s="2">
        <f t="shared" si="13"/>
        <v>8</v>
      </c>
    </row>
    <row r="750" spans="1:10" ht="15.75" customHeight="1" x14ac:dyDescent="0.25">
      <c r="A750" s="380">
        <v>24081009</v>
      </c>
      <c r="B750" s="381" t="s">
        <v>315</v>
      </c>
      <c r="C750" s="381" t="s">
        <v>1111</v>
      </c>
      <c r="D750" s="381" t="s">
        <v>822</v>
      </c>
      <c r="E750" s="381" t="s">
        <v>823</v>
      </c>
      <c r="F750" s="378">
        <v>8778</v>
      </c>
      <c r="G750" s="378">
        <v>1596</v>
      </c>
      <c r="H750" s="378">
        <v>0</v>
      </c>
      <c r="I750" s="378">
        <v>10374</v>
      </c>
      <c r="J750" s="2">
        <f t="shared" si="13"/>
        <v>8</v>
      </c>
    </row>
    <row r="751" spans="1:10" ht="15.75" customHeight="1" x14ac:dyDescent="0.25">
      <c r="A751" s="380">
        <v>24081009</v>
      </c>
      <c r="B751" s="381" t="s">
        <v>315</v>
      </c>
      <c r="C751" s="381" t="s">
        <v>1111</v>
      </c>
      <c r="D751" s="381" t="s">
        <v>1015</v>
      </c>
      <c r="E751" s="381" t="s">
        <v>1016</v>
      </c>
      <c r="F751" s="378">
        <v>207882</v>
      </c>
      <c r="G751" s="378">
        <v>0</v>
      </c>
      <c r="H751" s="378">
        <v>0</v>
      </c>
      <c r="I751" s="378">
        <v>207882</v>
      </c>
      <c r="J751" s="2">
        <f t="shared" si="13"/>
        <v>8</v>
      </c>
    </row>
    <row r="752" spans="1:10" ht="15.75" customHeight="1" x14ac:dyDescent="0.25">
      <c r="A752" s="380">
        <v>24081009</v>
      </c>
      <c r="B752" s="381" t="s">
        <v>315</v>
      </c>
      <c r="C752" s="381" t="s">
        <v>1111</v>
      </c>
      <c r="D752" s="381" t="s">
        <v>723</v>
      </c>
      <c r="E752" s="381" t="s">
        <v>724</v>
      </c>
      <c r="F752" s="378">
        <v>4311</v>
      </c>
      <c r="G752" s="378">
        <v>0</v>
      </c>
      <c r="H752" s="378">
        <v>0</v>
      </c>
      <c r="I752" s="378">
        <v>4311</v>
      </c>
      <c r="J752" s="2">
        <f t="shared" si="13"/>
        <v>8</v>
      </c>
    </row>
    <row r="753" spans="1:10" ht="15.75" customHeight="1" x14ac:dyDescent="0.25">
      <c r="A753" s="380">
        <v>24081009</v>
      </c>
      <c r="B753" s="381" t="s">
        <v>315</v>
      </c>
      <c r="C753" s="381" t="s">
        <v>1111</v>
      </c>
      <c r="D753" s="381" t="s">
        <v>1170</v>
      </c>
      <c r="E753" s="381" t="s">
        <v>1171</v>
      </c>
      <c r="F753" s="378">
        <v>19723</v>
      </c>
      <c r="G753" s="378">
        <v>0</v>
      </c>
      <c r="H753" s="378">
        <v>0</v>
      </c>
      <c r="I753" s="378">
        <v>19723</v>
      </c>
      <c r="J753" s="2">
        <f t="shared" si="13"/>
        <v>8</v>
      </c>
    </row>
    <row r="754" spans="1:10" ht="15.75" customHeight="1" x14ac:dyDescent="0.25">
      <c r="A754" s="380">
        <v>24081009</v>
      </c>
      <c r="B754" s="381" t="s">
        <v>315</v>
      </c>
      <c r="C754" s="381" t="s">
        <v>1111</v>
      </c>
      <c r="D754" s="381" t="s">
        <v>1172</v>
      </c>
      <c r="E754" s="381" t="s">
        <v>1173</v>
      </c>
      <c r="F754" s="378">
        <v>10121</v>
      </c>
      <c r="G754" s="378">
        <v>0</v>
      </c>
      <c r="H754" s="378">
        <v>0</v>
      </c>
      <c r="I754" s="378">
        <v>10121</v>
      </c>
      <c r="J754" s="2">
        <f t="shared" si="13"/>
        <v>8</v>
      </c>
    </row>
    <row r="755" spans="1:10" ht="15.75" customHeight="1" x14ac:dyDescent="0.25">
      <c r="A755" s="380">
        <v>24081009</v>
      </c>
      <c r="B755" s="381" t="s">
        <v>315</v>
      </c>
      <c r="C755" s="381" t="s">
        <v>1111</v>
      </c>
      <c r="D755" s="381" t="s">
        <v>1019</v>
      </c>
      <c r="E755" s="381" t="s">
        <v>1020</v>
      </c>
      <c r="F755" s="378">
        <v>35446</v>
      </c>
      <c r="G755" s="378">
        <v>0</v>
      </c>
      <c r="H755" s="378">
        <v>0</v>
      </c>
      <c r="I755" s="378">
        <v>35446</v>
      </c>
      <c r="J755" s="2">
        <f t="shared" si="13"/>
        <v>8</v>
      </c>
    </row>
    <row r="756" spans="1:10" ht="15.75" customHeight="1" x14ac:dyDescent="0.25">
      <c r="A756" s="380">
        <v>24081009</v>
      </c>
      <c r="B756" s="381" t="s">
        <v>315</v>
      </c>
      <c r="C756" s="381" t="s">
        <v>1111</v>
      </c>
      <c r="D756" s="381" t="s">
        <v>1174</v>
      </c>
      <c r="E756" s="381" t="s">
        <v>1175</v>
      </c>
      <c r="F756" s="378">
        <v>6654</v>
      </c>
      <c r="G756" s="378">
        <v>0</v>
      </c>
      <c r="H756" s="378">
        <v>0</v>
      </c>
      <c r="I756" s="378">
        <v>6654</v>
      </c>
      <c r="J756" s="2">
        <f t="shared" si="13"/>
        <v>8</v>
      </c>
    </row>
    <row r="757" spans="1:10" ht="15.75" customHeight="1" x14ac:dyDescent="0.25">
      <c r="A757" s="380">
        <v>24081009</v>
      </c>
      <c r="B757" s="381" t="s">
        <v>315</v>
      </c>
      <c r="C757" s="381" t="s">
        <v>1111</v>
      </c>
      <c r="D757" s="381" t="s">
        <v>1176</v>
      </c>
      <c r="E757" s="381" t="s">
        <v>1177</v>
      </c>
      <c r="F757" s="378">
        <v>6067</v>
      </c>
      <c r="G757" s="378">
        <v>1916</v>
      </c>
      <c r="H757" s="378">
        <v>0</v>
      </c>
      <c r="I757" s="378">
        <v>7983</v>
      </c>
      <c r="J757" s="2">
        <f t="shared" si="13"/>
        <v>8</v>
      </c>
    </row>
    <row r="758" spans="1:10" ht="15.75" customHeight="1" x14ac:dyDescent="0.25">
      <c r="A758" s="380">
        <v>24081009</v>
      </c>
      <c r="B758" s="381" t="s">
        <v>315</v>
      </c>
      <c r="C758" s="381" t="s">
        <v>1111</v>
      </c>
      <c r="D758" s="381" t="s">
        <v>1178</v>
      </c>
      <c r="E758" s="381" t="s">
        <v>1179</v>
      </c>
      <c r="F758" s="378">
        <v>74100</v>
      </c>
      <c r="G758" s="378">
        <v>0</v>
      </c>
      <c r="H758" s="378">
        <v>0</v>
      </c>
      <c r="I758" s="378">
        <v>74100</v>
      </c>
      <c r="J758" s="2">
        <f t="shared" si="13"/>
        <v>8</v>
      </c>
    </row>
    <row r="759" spans="1:10" ht="15.75" customHeight="1" x14ac:dyDescent="0.25">
      <c r="A759" s="380">
        <v>24081009</v>
      </c>
      <c r="B759" s="381" t="s">
        <v>315</v>
      </c>
      <c r="C759" s="381" t="s">
        <v>1111</v>
      </c>
      <c r="D759" s="381" t="s">
        <v>1182</v>
      </c>
      <c r="E759" s="381" t="s">
        <v>1183</v>
      </c>
      <c r="F759" s="378">
        <v>6387</v>
      </c>
      <c r="G759" s="378">
        <v>0</v>
      </c>
      <c r="H759" s="378">
        <v>0</v>
      </c>
      <c r="I759" s="378">
        <v>6387</v>
      </c>
      <c r="J759" s="2">
        <f t="shared" si="13"/>
        <v>8</v>
      </c>
    </row>
    <row r="760" spans="1:10" ht="15.75" customHeight="1" x14ac:dyDescent="0.25">
      <c r="A760" s="380">
        <v>24081009</v>
      </c>
      <c r="B760" s="381" t="s">
        <v>315</v>
      </c>
      <c r="C760" s="381" t="s">
        <v>1111</v>
      </c>
      <c r="D760" s="381" t="s">
        <v>1184</v>
      </c>
      <c r="E760" s="381" t="s">
        <v>1185</v>
      </c>
      <c r="F760" s="378">
        <v>4551</v>
      </c>
      <c r="G760" s="378">
        <v>0</v>
      </c>
      <c r="H760" s="378">
        <v>0</v>
      </c>
      <c r="I760" s="378">
        <v>4551</v>
      </c>
      <c r="J760" s="2">
        <f t="shared" si="13"/>
        <v>8</v>
      </c>
    </row>
    <row r="761" spans="1:10" ht="15.75" customHeight="1" x14ac:dyDescent="0.25">
      <c r="A761" s="380">
        <v>24081009</v>
      </c>
      <c r="B761" s="381" t="s">
        <v>315</v>
      </c>
      <c r="C761" s="381" t="s">
        <v>1111</v>
      </c>
      <c r="D761" s="381" t="s">
        <v>1186</v>
      </c>
      <c r="E761" s="381" t="s">
        <v>1494</v>
      </c>
      <c r="F761" s="378">
        <v>24349</v>
      </c>
      <c r="G761" s="378">
        <v>0</v>
      </c>
      <c r="H761" s="378">
        <v>0</v>
      </c>
      <c r="I761" s="378">
        <v>24349</v>
      </c>
      <c r="J761" s="2">
        <f t="shared" si="13"/>
        <v>8</v>
      </c>
    </row>
    <row r="762" spans="1:10" ht="15.75" customHeight="1" x14ac:dyDescent="0.25">
      <c r="A762" s="380">
        <v>24081009</v>
      </c>
      <c r="B762" s="381" t="s">
        <v>315</v>
      </c>
      <c r="C762" s="381" t="s">
        <v>1111</v>
      </c>
      <c r="D762" s="381" t="s">
        <v>1187</v>
      </c>
      <c r="E762" s="381" t="s">
        <v>1188</v>
      </c>
      <c r="F762" s="378">
        <v>17579</v>
      </c>
      <c r="G762" s="378">
        <v>0</v>
      </c>
      <c r="H762" s="378">
        <v>0</v>
      </c>
      <c r="I762" s="378">
        <v>17579</v>
      </c>
      <c r="J762" s="2">
        <f t="shared" si="13"/>
        <v>8</v>
      </c>
    </row>
    <row r="763" spans="1:10" ht="15.75" customHeight="1" x14ac:dyDescent="0.25">
      <c r="A763" s="380">
        <v>24081011</v>
      </c>
      <c r="B763" s="381" t="s">
        <v>315</v>
      </c>
      <c r="C763" s="381" t="s">
        <v>1189</v>
      </c>
      <c r="D763" s="381" t="s">
        <v>315</v>
      </c>
      <c r="E763" s="381" t="s">
        <v>315</v>
      </c>
      <c r="F763" s="378">
        <v>5807206</v>
      </c>
      <c r="G763" s="378">
        <v>1256849</v>
      </c>
      <c r="H763" s="378">
        <v>0</v>
      </c>
      <c r="I763" s="378">
        <v>7064055</v>
      </c>
      <c r="J763" s="2">
        <f t="shared" si="13"/>
        <v>8</v>
      </c>
    </row>
    <row r="764" spans="1:10" ht="15.75" customHeight="1" x14ac:dyDescent="0.25">
      <c r="A764" s="380">
        <v>24081011</v>
      </c>
      <c r="B764" s="381" t="s">
        <v>315</v>
      </c>
      <c r="C764" s="381" t="s">
        <v>1189</v>
      </c>
      <c r="D764" s="381" t="s">
        <v>347</v>
      </c>
      <c r="E764" s="381" t="s">
        <v>348</v>
      </c>
      <c r="F764" s="378">
        <v>5807206</v>
      </c>
      <c r="G764" s="378">
        <v>1256849</v>
      </c>
      <c r="H764" s="378">
        <v>0</v>
      </c>
      <c r="I764" s="378">
        <v>7064055</v>
      </c>
      <c r="J764" s="2">
        <f t="shared" si="13"/>
        <v>8</v>
      </c>
    </row>
    <row r="765" spans="1:10" ht="15.75" customHeight="1" x14ac:dyDescent="0.25">
      <c r="A765" s="380">
        <v>24081012</v>
      </c>
      <c r="B765" s="381" t="s">
        <v>315</v>
      </c>
      <c r="C765" s="381" t="s">
        <v>1190</v>
      </c>
      <c r="D765" s="381" t="s">
        <v>315</v>
      </c>
      <c r="E765" s="381" t="s">
        <v>315</v>
      </c>
      <c r="F765" s="378">
        <v>135607094</v>
      </c>
      <c r="G765" s="378">
        <v>27008271</v>
      </c>
      <c r="H765" s="378">
        <v>0</v>
      </c>
      <c r="I765" s="378">
        <v>162615365</v>
      </c>
      <c r="J765" s="2">
        <f t="shared" si="13"/>
        <v>8</v>
      </c>
    </row>
    <row r="766" spans="1:10" ht="15.75" customHeight="1" x14ac:dyDescent="0.25">
      <c r="A766" s="380">
        <v>24081012</v>
      </c>
      <c r="B766" s="381" t="s">
        <v>315</v>
      </c>
      <c r="C766" s="381" t="s">
        <v>1190</v>
      </c>
      <c r="D766" s="381" t="s">
        <v>365</v>
      </c>
      <c r="E766" s="381" t="s">
        <v>366</v>
      </c>
      <c r="F766" s="378">
        <v>10810</v>
      </c>
      <c r="G766" s="378">
        <v>0</v>
      </c>
      <c r="H766" s="378">
        <v>0</v>
      </c>
      <c r="I766" s="378">
        <v>10810</v>
      </c>
      <c r="J766" s="2">
        <f t="shared" si="13"/>
        <v>8</v>
      </c>
    </row>
    <row r="767" spans="1:10" ht="15.75" customHeight="1" x14ac:dyDescent="0.25">
      <c r="A767" s="380">
        <v>24081012</v>
      </c>
      <c r="B767" s="381" t="s">
        <v>315</v>
      </c>
      <c r="C767" s="381" t="s">
        <v>1190</v>
      </c>
      <c r="D767" s="381" t="s">
        <v>367</v>
      </c>
      <c r="E767" s="381" t="s">
        <v>814</v>
      </c>
      <c r="F767" s="378">
        <v>3903358</v>
      </c>
      <c r="G767" s="378">
        <v>825747</v>
      </c>
      <c r="H767" s="378">
        <v>0</v>
      </c>
      <c r="I767" s="378">
        <v>4729105</v>
      </c>
      <c r="J767" s="2">
        <f t="shared" si="13"/>
        <v>8</v>
      </c>
    </row>
    <row r="768" spans="1:10" ht="15.75" customHeight="1" x14ac:dyDescent="0.25">
      <c r="A768" s="380">
        <v>24081012</v>
      </c>
      <c r="B768" s="381" t="s">
        <v>315</v>
      </c>
      <c r="C768" s="381" t="s">
        <v>1190</v>
      </c>
      <c r="D768" s="381" t="s">
        <v>369</v>
      </c>
      <c r="E768" s="381" t="s">
        <v>815</v>
      </c>
      <c r="F768" s="378">
        <v>1027459</v>
      </c>
      <c r="G768" s="378">
        <v>217074</v>
      </c>
      <c r="H768" s="378">
        <v>0</v>
      </c>
      <c r="I768" s="378">
        <v>1244533</v>
      </c>
      <c r="J768" s="2">
        <f t="shared" si="13"/>
        <v>8</v>
      </c>
    </row>
    <row r="769" spans="1:10" ht="15.75" customHeight="1" x14ac:dyDescent="0.25">
      <c r="A769" s="380">
        <v>24081012</v>
      </c>
      <c r="B769" s="381" t="s">
        <v>315</v>
      </c>
      <c r="C769" s="381" t="s">
        <v>1190</v>
      </c>
      <c r="D769" s="381" t="s">
        <v>347</v>
      </c>
      <c r="E769" s="381" t="s">
        <v>348</v>
      </c>
      <c r="F769" s="378">
        <v>102590929</v>
      </c>
      <c r="G769" s="378">
        <v>20712360</v>
      </c>
      <c r="H769" s="378">
        <v>0</v>
      </c>
      <c r="I769" s="378">
        <v>123303289</v>
      </c>
      <c r="J769" s="2">
        <f t="shared" si="13"/>
        <v>8</v>
      </c>
    </row>
    <row r="770" spans="1:10" ht="15.75" customHeight="1" x14ac:dyDescent="0.25">
      <c r="A770" s="380">
        <v>24081012</v>
      </c>
      <c r="B770" s="381" t="s">
        <v>315</v>
      </c>
      <c r="C770" s="381" t="s">
        <v>1190</v>
      </c>
      <c r="D770" s="381" t="s">
        <v>373</v>
      </c>
      <c r="E770" s="381" t="s">
        <v>374</v>
      </c>
      <c r="F770" s="378">
        <v>3831768</v>
      </c>
      <c r="G770" s="378">
        <v>795462</v>
      </c>
      <c r="H770" s="378">
        <v>0</v>
      </c>
      <c r="I770" s="378">
        <v>4627230</v>
      </c>
      <c r="J770" s="2">
        <f t="shared" si="13"/>
        <v>8</v>
      </c>
    </row>
    <row r="771" spans="1:10" ht="15.75" customHeight="1" x14ac:dyDescent="0.25">
      <c r="A771" s="380">
        <v>24081012</v>
      </c>
      <c r="B771" s="381" t="s">
        <v>315</v>
      </c>
      <c r="C771" s="381" t="s">
        <v>1190</v>
      </c>
      <c r="D771" s="381" t="s">
        <v>377</v>
      </c>
      <c r="E771" s="381" t="s">
        <v>378</v>
      </c>
      <c r="F771" s="378">
        <v>22948269</v>
      </c>
      <c r="G771" s="378">
        <v>4216737</v>
      </c>
      <c r="H771" s="378">
        <v>0</v>
      </c>
      <c r="I771" s="378">
        <v>27165006</v>
      </c>
      <c r="J771" s="2">
        <f t="shared" si="13"/>
        <v>8</v>
      </c>
    </row>
    <row r="772" spans="1:10" ht="15.75" customHeight="1" x14ac:dyDescent="0.25">
      <c r="A772" s="380">
        <v>24081012</v>
      </c>
      <c r="B772" s="381" t="s">
        <v>315</v>
      </c>
      <c r="C772" s="381" t="s">
        <v>1190</v>
      </c>
      <c r="D772" s="381" t="s">
        <v>431</v>
      </c>
      <c r="E772" s="381" t="s">
        <v>432</v>
      </c>
      <c r="F772" s="378">
        <v>42412</v>
      </c>
      <c r="G772" s="378">
        <v>26564</v>
      </c>
      <c r="H772" s="378">
        <v>0</v>
      </c>
      <c r="I772" s="378">
        <v>68976</v>
      </c>
      <c r="J772" s="2">
        <f t="shared" si="13"/>
        <v>8</v>
      </c>
    </row>
    <row r="773" spans="1:10" ht="15.75" customHeight="1" x14ac:dyDescent="0.25">
      <c r="A773" s="380">
        <v>24081012</v>
      </c>
      <c r="B773" s="381" t="s">
        <v>315</v>
      </c>
      <c r="C773" s="381" t="s">
        <v>1190</v>
      </c>
      <c r="D773" s="381" t="s">
        <v>818</v>
      </c>
      <c r="E773" s="381" t="s">
        <v>819</v>
      </c>
      <c r="F773" s="378">
        <v>2954</v>
      </c>
      <c r="G773" s="378">
        <v>0</v>
      </c>
      <c r="H773" s="378">
        <v>0</v>
      </c>
      <c r="I773" s="378">
        <v>2954</v>
      </c>
      <c r="J773" s="2">
        <f t="shared" si="13"/>
        <v>8</v>
      </c>
    </row>
    <row r="774" spans="1:10" ht="15.75" customHeight="1" x14ac:dyDescent="0.25">
      <c r="A774" s="380">
        <v>24081012</v>
      </c>
      <c r="B774" s="381" t="s">
        <v>315</v>
      </c>
      <c r="C774" s="381" t="s">
        <v>1190</v>
      </c>
      <c r="D774" s="381" t="s">
        <v>344</v>
      </c>
      <c r="E774" s="381" t="s">
        <v>820</v>
      </c>
      <c r="F774" s="378">
        <v>186047</v>
      </c>
      <c r="G774" s="378">
        <v>9659</v>
      </c>
      <c r="H774" s="378">
        <v>0</v>
      </c>
      <c r="I774" s="378">
        <v>195706</v>
      </c>
      <c r="J774" s="2">
        <f t="shared" si="13"/>
        <v>8</v>
      </c>
    </row>
    <row r="775" spans="1:10" ht="15.75" customHeight="1" x14ac:dyDescent="0.25">
      <c r="A775" s="380">
        <v>24081012</v>
      </c>
      <c r="B775" s="381" t="s">
        <v>315</v>
      </c>
      <c r="C775" s="381" t="s">
        <v>1190</v>
      </c>
      <c r="D775" s="381" t="s">
        <v>822</v>
      </c>
      <c r="E775" s="381" t="s">
        <v>823</v>
      </c>
      <c r="F775" s="378">
        <v>225184</v>
      </c>
      <c r="G775" s="378">
        <v>70628</v>
      </c>
      <c r="H775" s="378">
        <v>0</v>
      </c>
      <c r="I775" s="378">
        <v>295812</v>
      </c>
      <c r="J775" s="2">
        <f t="shared" si="13"/>
        <v>8</v>
      </c>
    </row>
    <row r="776" spans="1:10" ht="15.75" customHeight="1" x14ac:dyDescent="0.25">
      <c r="A776" s="380">
        <v>24081012</v>
      </c>
      <c r="B776" s="381" t="s">
        <v>315</v>
      </c>
      <c r="C776" s="381" t="s">
        <v>1190</v>
      </c>
      <c r="D776" s="381" t="s">
        <v>1015</v>
      </c>
      <c r="E776" s="381" t="s">
        <v>1016</v>
      </c>
      <c r="F776" s="378">
        <v>162857</v>
      </c>
      <c r="G776" s="378">
        <v>0</v>
      </c>
      <c r="H776" s="378">
        <v>0</v>
      </c>
      <c r="I776" s="378">
        <v>162857</v>
      </c>
      <c r="J776" s="2">
        <f t="shared" si="13"/>
        <v>8</v>
      </c>
    </row>
    <row r="777" spans="1:10" ht="15.75" customHeight="1" x14ac:dyDescent="0.25">
      <c r="A777" s="380">
        <v>24081012</v>
      </c>
      <c r="B777" s="381" t="s">
        <v>315</v>
      </c>
      <c r="C777" s="381" t="s">
        <v>1190</v>
      </c>
      <c r="D777" s="381" t="s">
        <v>723</v>
      </c>
      <c r="E777" s="381" t="s">
        <v>724</v>
      </c>
      <c r="F777" s="378">
        <v>114878</v>
      </c>
      <c r="G777" s="378">
        <v>29538</v>
      </c>
      <c r="H777" s="378">
        <v>0</v>
      </c>
      <c r="I777" s="378">
        <v>144416</v>
      </c>
      <c r="J777" s="2">
        <f t="shared" si="13"/>
        <v>8</v>
      </c>
    </row>
    <row r="778" spans="1:10" ht="15.75" customHeight="1" x14ac:dyDescent="0.25">
      <c r="A778" s="380">
        <v>24081012</v>
      </c>
      <c r="B778" s="381" t="s">
        <v>315</v>
      </c>
      <c r="C778" s="381" t="s">
        <v>1190</v>
      </c>
      <c r="D778" s="381" t="s">
        <v>665</v>
      </c>
      <c r="E778" s="381" t="s">
        <v>824</v>
      </c>
      <c r="F778" s="378">
        <v>560169</v>
      </c>
      <c r="G778" s="378">
        <v>104502</v>
      </c>
      <c r="H778" s="378">
        <v>0</v>
      </c>
      <c r="I778" s="378">
        <v>664671</v>
      </c>
      <c r="J778" s="2">
        <f t="shared" si="13"/>
        <v>8</v>
      </c>
    </row>
    <row r="779" spans="1:10" ht="15.75" customHeight="1" x14ac:dyDescent="0.25">
      <c r="A779" s="380">
        <v>24081099</v>
      </c>
      <c r="B779" s="381" t="s">
        <v>321</v>
      </c>
      <c r="C779" s="381" t="s">
        <v>1191</v>
      </c>
      <c r="D779" s="381" t="s">
        <v>315</v>
      </c>
      <c r="E779" s="381" t="s">
        <v>315</v>
      </c>
      <c r="F779" s="378">
        <v>709726.37</v>
      </c>
      <c r="G779" s="378">
        <v>133600</v>
      </c>
      <c r="H779" s="378">
        <v>0</v>
      </c>
      <c r="I779" s="378">
        <v>843326.37</v>
      </c>
      <c r="J779" s="2">
        <f t="shared" si="13"/>
        <v>8</v>
      </c>
    </row>
    <row r="780" spans="1:10" ht="15.75" customHeight="1" x14ac:dyDescent="0.25">
      <c r="A780" s="380">
        <v>24081099</v>
      </c>
      <c r="B780" s="381" t="s">
        <v>321</v>
      </c>
      <c r="C780" s="381" t="s">
        <v>1191</v>
      </c>
      <c r="D780" s="381" t="s">
        <v>403</v>
      </c>
      <c r="E780" s="381" t="s">
        <v>1080</v>
      </c>
      <c r="F780" s="378">
        <v>304880</v>
      </c>
      <c r="G780" s="378">
        <v>133600</v>
      </c>
      <c r="H780" s="378">
        <v>0</v>
      </c>
      <c r="I780" s="378">
        <v>438480</v>
      </c>
      <c r="J780" s="2">
        <f t="shared" si="13"/>
        <v>8</v>
      </c>
    </row>
    <row r="781" spans="1:10" ht="15.75" customHeight="1" x14ac:dyDescent="0.25">
      <c r="A781" s="380">
        <v>24081099</v>
      </c>
      <c r="B781" s="381" t="s">
        <v>321</v>
      </c>
      <c r="C781" s="381" t="s">
        <v>1191</v>
      </c>
      <c r="D781" s="381" t="s">
        <v>837</v>
      </c>
      <c r="E781" s="381" t="s">
        <v>838</v>
      </c>
      <c r="F781" s="378">
        <v>404846.37</v>
      </c>
      <c r="G781" s="378">
        <v>0</v>
      </c>
      <c r="H781" s="378">
        <v>0</v>
      </c>
      <c r="I781" s="378">
        <v>404846.37</v>
      </c>
      <c r="J781" s="2">
        <f t="shared" ref="J781:J844" si="14">+LEN(A781)</f>
        <v>8</v>
      </c>
    </row>
    <row r="782" spans="1:10" ht="15.75" customHeight="1" x14ac:dyDescent="0.25">
      <c r="A782" s="380">
        <v>240811</v>
      </c>
      <c r="B782" s="381" t="s">
        <v>315</v>
      </c>
      <c r="C782" s="381" t="s">
        <v>1192</v>
      </c>
      <c r="D782" s="381" t="s">
        <v>315</v>
      </c>
      <c r="E782" s="381" t="s">
        <v>315</v>
      </c>
      <c r="F782" s="378">
        <v>-981706</v>
      </c>
      <c r="G782" s="378">
        <v>0</v>
      </c>
      <c r="H782" s="378">
        <v>100700</v>
      </c>
      <c r="I782" s="378">
        <v>-1082406</v>
      </c>
      <c r="J782" s="2">
        <f t="shared" si="14"/>
        <v>6</v>
      </c>
    </row>
    <row r="783" spans="1:10" ht="15.75" customHeight="1" x14ac:dyDescent="0.25">
      <c r="A783" s="380">
        <v>24081106</v>
      </c>
      <c r="B783" s="381" t="s">
        <v>321</v>
      </c>
      <c r="C783" s="381" t="s">
        <v>1193</v>
      </c>
      <c r="D783" s="381" t="s">
        <v>315</v>
      </c>
      <c r="E783" s="381" t="s">
        <v>315</v>
      </c>
      <c r="F783" s="378">
        <v>-981706</v>
      </c>
      <c r="G783" s="378">
        <v>0</v>
      </c>
      <c r="H783" s="378">
        <v>0</v>
      </c>
      <c r="I783" s="378">
        <v>-981706</v>
      </c>
      <c r="J783" s="2">
        <f t="shared" si="14"/>
        <v>8</v>
      </c>
    </row>
    <row r="784" spans="1:10" ht="15.75" customHeight="1" x14ac:dyDescent="0.25">
      <c r="A784" s="380">
        <v>24081106</v>
      </c>
      <c r="B784" s="381" t="s">
        <v>321</v>
      </c>
      <c r="C784" s="381" t="s">
        <v>1193</v>
      </c>
      <c r="D784" s="381" t="s">
        <v>651</v>
      </c>
      <c r="E784" s="381" t="s">
        <v>967</v>
      </c>
      <c r="F784" s="378">
        <v>-25514</v>
      </c>
      <c r="G784" s="378">
        <v>0</v>
      </c>
      <c r="H784" s="378">
        <v>0</v>
      </c>
      <c r="I784" s="378">
        <v>-25514</v>
      </c>
      <c r="J784" s="2">
        <f t="shared" si="14"/>
        <v>8</v>
      </c>
    </row>
    <row r="785" spans="1:10" ht="15.75" customHeight="1" x14ac:dyDescent="0.25">
      <c r="A785" s="380">
        <v>24081106</v>
      </c>
      <c r="B785" s="381" t="s">
        <v>321</v>
      </c>
      <c r="C785" s="381" t="s">
        <v>1193</v>
      </c>
      <c r="D785" s="381" t="s">
        <v>980</v>
      </c>
      <c r="E785" s="381" t="s">
        <v>981</v>
      </c>
      <c r="F785" s="378">
        <v>-849003</v>
      </c>
      <c r="G785" s="378">
        <v>0</v>
      </c>
      <c r="H785" s="378">
        <v>0</v>
      </c>
      <c r="I785" s="378">
        <v>-849003</v>
      </c>
      <c r="J785" s="2">
        <f t="shared" si="14"/>
        <v>8</v>
      </c>
    </row>
    <row r="786" spans="1:10" ht="15.75" customHeight="1" x14ac:dyDescent="0.25">
      <c r="A786" s="380">
        <v>24081106</v>
      </c>
      <c r="B786" s="381" t="s">
        <v>321</v>
      </c>
      <c r="C786" s="381" t="s">
        <v>1193</v>
      </c>
      <c r="D786" s="381" t="s">
        <v>399</v>
      </c>
      <c r="E786" s="381" t="s">
        <v>863</v>
      </c>
      <c r="F786" s="378">
        <v>-11438</v>
      </c>
      <c r="G786" s="378">
        <v>0</v>
      </c>
      <c r="H786" s="378">
        <v>0</v>
      </c>
      <c r="I786" s="378">
        <v>-11438</v>
      </c>
      <c r="J786" s="2">
        <f t="shared" si="14"/>
        <v>8</v>
      </c>
    </row>
    <row r="787" spans="1:10" ht="15.75" customHeight="1" x14ac:dyDescent="0.25">
      <c r="A787" s="380">
        <v>24081106</v>
      </c>
      <c r="B787" s="381" t="s">
        <v>321</v>
      </c>
      <c r="C787" s="381" t="s">
        <v>1193</v>
      </c>
      <c r="D787" s="381" t="s">
        <v>685</v>
      </c>
      <c r="E787" s="381" t="s">
        <v>1144</v>
      </c>
      <c r="F787" s="378">
        <v>-26168</v>
      </c>
      <c r="G787" s="378">
        <v>0</v>
      </c>
      <c r="H787" s="378">
        <v>0</v>
      </c>
      <c r="I787" s="378">
        <v>-26168</v>
      </c>
      <c r="J787" s="2">
        <f t="shared" si="14"/>
        <v>8</v>
      </c>
    </row>
    <row r="788" spans="1:10" ht="15.75" customHeight="1" x14ac:dyDescent="0.25">
      <c r="A788" s="380">
        <v>24081106</v>
      </c>
      <c r="B788" s="381" t="s">
        <v>321</v>
      </c>
      <c r="C788" s="381" t="s">
        <v>1193</v>
      </c>
      <c r="D788" s="381" t="s">
        <v>495</v>
      </c>
      <c r="E788" s="381" t="s">
        <v>925</v>
      </c>
      <c r="F788" s="378">
        <v>-69583</v>
      </c>
      <c r="G788" s="378">
        <v>0</v>
      </c>
      <c r="H788" s="378">
        <v>0</v>
      </c>
      <c r="I788" s="378">
        <v>-69583</v>
      </c>
      <c r="J788" s="2">
        <f t="shared" si="14"/>
        <v>8</v>
      </c>
    </row>
    <row r="789" spans="1:10" ht="15.75" customHeight="1" x14ac:dyDescent="0.25">
      <c r="A789" s="380">
        <v>24081107</v>
      </c>
      <c r="B789" s="381" t="s">
        <v>321</v>
      </c>
      <c r="C789" s="381" t="s">
        <v>561</v>
      </c>
      <c r="D789" s="381" t="s">
        <v>315</v>
      </c>
      <c r="E789" s="381" t="s">
        <v>315</v>
      </c>
      <c r="F789" s="378">
        <v>0</v>
      </c>
      <c r="G789" s="378">
        <v>0</v>
      </c>
      <c r="H789" s="378">
        <v>100700</v>
      </c>
      <c r="I789" s="378">
        <v>-100700</v>
      </c>
      <c r="J789" s="2">
        <f t="shared" si="14"/>
        <v>8</v>
      </c>
    </row>
    <row r="790" spans="1:10" ht="15.75" customHeight="1" x14ac:dyDescent="0.25">
      <c r="A790" s="380">
        <v>24081107</v>
      </c>
      <c r="B790" s="381" t="s">
        <v>321</v>
      </c>
      <c r="C790" s="381" t="s">
        <v>561</v>
      </c>
      <c r="D790" s="381" t="s">
        <v>1109</v>
      </c>
      <c r="E790" s="381" t="s">
        <v>1110</v>
      </c>
      <c r="F790" s="378">
        <v>0</v>
      </c>
      <c r="G790" s="378">
        <v>0</v>
      </c>
      <c r="H790" s="378">
        <v>100700</v>
      </c>
      <c r="I790" s="378">
        <v>-100700</v>
      </c>
      <c r="J790" s="2">
        <f t="shared" si="14"/>
        <v>8</v>
      </c>
    </row>
    <row r="791" spans="1:10" ht="15.75" customHeight="1" x14ac:dyDescent="0.25">
      <c r="A791" s="380">
        <v>240825</v>
      </c>
      <c r="B791" s="381" t="s">
        <v>315</v>
      </c>
      <c r="C791" s="381" t="s">
        <v>449</v>
      </c>
      <c r="D791" s="381" t="s">
        <v>315</v>
      </c>
      <c r="E791" s="381" t="s">
        <v>315</v>
      </c>
      <c r="F791" s="378">
        <v>31367616.530000001</v>
      </c>
      <c r="G791" s="378">
        <v>6577359.2999999998</v>
      </c>
      <c r="H791" s="378">
        <v>0</v>
      </c>
      <c r="I791" s="378">
        <v>37944975.829999998</v>
      </c>
      <c r="J791" s="2">
        <f t="shared" si="14"/>
        <v>6</v>
      </c>
    </row>
    <row r="792" spans="1:10" ht="15.75" customHeight="1" x14ac:dyDescent="0.25">
      <c r="A792" s="380">
        <v>24082505</v>
      </c>
      <c r="B792" s="381" t="s">
        <v>315</v>
      </c>
      <c r="C792" s="381" t="s">
        <v>449</v>
      </c>
      <c r="D792" s="381" t="s">
        <v>315</v>
      </c>
      <c r="E792" s="381" t="s">
        <v>315</v>
      </c>
      <c r="F792" s="378">
        <v>31367616.530000001</v>
      </c>
      <c r="G792" s="378">
        <v>6577359.2999999998</v>
      </c>
      <c r="H792" s="378">
        <v>0</v>
      </c>
      <c r="I792" s="378">
        <v>37944975.829999998</v>
      </c>
      <c r="J792" s="2">
        <f t="shared" si="14"/>
        <v>8</v>
      </c>
    </row>
    <row r="793" spans="1:10" ht="15.75" customHeight="1" x14ac:dyDescent="0.25">
      <c r="A793" s="380">
        <v>24082505</v>
      </c>
      <c r="B793" s="381" t="s">
        <v>315</v>
      </c>
      <c r="C793" s="381" t="s">
        <v>449</v>
      </c>
      <c r="D793" s="381" t="s">
        <v>715</v>
      </c>
      <c r="E793" s="381" t="s">
        <v>716</v>
      </c>
      <c r="F793" s="378">
        <v>25748</v>
      </c>
      <c r="G793" s="378">
        <v>0</v>
      </c>
      <c r="H793" s="378">
        <v>0</v>
      </c>
      <c r="I793" s="378">
        <v>25748</v>
      </c>
      <c r="J793" s="2">
        <f t="shared" si="14"/>
        <v>8</v>
      </c>
    </row>
    <row r="794" spans="1:10" ht="15.75" customHeight="1" x14ac:dyDescent="0.25">
      <c r="A794" s="380">
        <v>24082505</v>
      </c>
      <c r="B794" s="381" t="s">
        <v>315</v>
      </c>
      <c r="C794" s="381" t="s">
        <v>449</v>
      </c>
      <c r="D794" s="381" t="s">
        <v>329</v>
      </c>
      <c r="E794" s="381" t="s">
        <v>330</v>
      </c>
      <c r="F794" s="378">
        <v>31341868.530000001</v>
      </c>
      <c r="G794" s="378">
        <v>6577359.2999999998</v>
      </c>
      <c r="H794" s="378">
        <v>0</v>
      </c>
      <c r="I794" s="378">
        <v>37919227.829999998</v>
      </c>
      <c r="J794" s="2">
        <f t="shared" si="14"/>
        <v>8</v>
      </c>
    </row>
    <row r="795" spans="1:10" ht="15.75" customHeight="1" x14ac:dyDescent="0.25">
      <c r="A795" s="380">
        <v>240899</v>
      </c>
      <c r="B795" s="381" t="s">
        <v>315</v>
      </c>
      <c r="C795" s="381" t="s">
        <v>1064</v>
      </c>
      <c r="D795" s="381" t="s">
        <v>315</v>
      </c>
      <c r="E795" s="381" t="s">
        <v>315</v>
      </c>
      <c r="F795" s="378">
        <v>140200478.31</v>
      </c>
      <c r="G795" s="378">
        <v>0</v>
      </c>
      <c r="H795" s="378">
        <v>0</v>
      </c>
      <c r="I795" s="378">
        <v>140200478.31</v>
      </c>
      <c r="J795" s="2">
        <f t="shared" si="14"/>
        <v>6</v>
      </c>
    </row>
    <row r="796" spans="1:10" ht="15.75" customHeight="1" x14ac:dyDescent="0.25">
      <c r="A796" s="380">
        <v>24089901</v>
      </c>
      <c r="B796" s="381" t="s">
        <v>315</v>
      </c>
      <c r="C796" s="381" t="s">
        <v>1064</v>
      </c>
      <c r="D796" s="381" t="s">
        <v>315</v>
      </c>
      <c r="E796" s="381" t="s">
        <v>315</v>
      </c>
      <c r="F796" s="378">
        <v>140200478.31</v>
      </c>
      <c r="G796" s="378">
        <v>0</v>
      </c>
      <c r="H796" s="378">
        <v>0</v>
      </c>
      <c r="I796" s="378">
        <v>140200478.31</v>
      </c>
      <c r="J796" s="2">
        <f t="shared" si="14"/>
        <v>8</v>
      </c>
    </row>
    <row r="797" spans="1:10" ht="15.75" customHeight="1" x14ac:dyDescent="0.25">
      <c r="A797" s="380">
        <v>25</v>
      </c>
      <c r="B797" s="381" t="s">
        <v>315</v>
      </c>
      <c r="C797" s="381" t="s">
        <v>446</v>
      </c>
      <c r="D797" s="381" t="s">
        <v>315</v>
      </c>
      <c r="E797" s="381" t="s">
        <v>315</v>
      </c>
      <c r="F797" s="378">
        <v>-102686572</v>
      </c>
      <c r="G797" s="378">
        <v>161629727</v>
      </c>
      <c r="H797" s="378">
        <v>138592882</v>
      </c>
      <c r="I797" s="378">
        <v>-79649727</v>
      </c>
      <c r="J797" s="2">
        <f t="shared" si="14"/>
        <v>2</v>
      </c>
    </row>
    <row r="798" spans="1:10" ht="15.75" customHeight="1" x14ac:dyDescent="0.25">
      <c r="A798" s="380">
        <v>2505</v>
      </c>
      <c r="B798" s="381" t="s">
        <v>315</v>
      </c>
      <c r="C798" s="381" t="s">
        <v>95</v>
      </c>
      <c r="D798" s="381" t="s">
        <v>315</v>
      </c>
      <c r="E798" s="381" t="s">
        <v>315</v>
      </c>
      <c r="F798" s="378">
        <v>0</v>
      </c>
      <c r="G798" s="378">
        <v>103042302</v>
      </c>
      <c r="H798" s="378">
        <v>103470752</v>
      </c>
      <c r="I798" s="378">
        <v>-428450</v>
      </c>
      <c r="J798" s="2">
        <f t="shared" si="14"/>
        <v>4</v>
      </c>
    </row>
    <row r="799" spans="1:10" ht="15.75" customHeight="1" x14ac:dyDescent="0.25">
      <c r="A799" s="380">
        <v>250505</v>
      </c>
      <c r="B799" s="381" t="s">
        <v>315</v>
      </c>
      <c r="C799" s="381" t="s">
        <v>95</v>
      </c>
      <c r="D799" s="381" t="s">
        <v>315</v>
      </c>
      <c r="E799" s="381" t="s">
        <v>315</v>
      </c>
      <c r="F799" s="378">
        <v>0</v>
      </c>
      <c r="G799" s="378">
        <v>103042302</v>
      </c>
      <c r="H799" s="378">
        <v>103470752</v>
      </c>
      <c r="I799" s="378">
        <v>-428450</v>
      </c>
      <c r="J799" s="2">
        <f t="shared" si="14"/>
        <v>6</v>
      </c>
    </row>
    <row r="800" spans="1:10" ht="15.75" customHeight="1" x14ac:dyDescent="0.25">
      <c r="A800" s="380">
        <v>25050501</v>
      </c>
      <c r="B800" s="381" t="s">
        <v>315</v>
      </c>
      <c r="C800" s="381" t="s">
        <v>95</v>
      </c>
      <c r="D800" s="381" t="s">
        <v>315</v>
      </c>
      <c r="E800" s="381" t="s">
        <v>315</v>
      </c>
      <c r="F800" s="378">
        <v>0</v>
      </c>
      <c r="G800" s="378">
        <v>103042302</v>
      </c>
      <c r="H800" s="378">
        <v>103470752</v>
      </c>
      <c r="I800" s="378">
        <v>-428450</v>
      </c>
      <c r="J800" s="2">
        <f t="shared" si="14"/>
        <v>8</v>
      </c>
    </row>
    <row r="801" spans="1:10" ht="15.75" customHeight="1" x14ac:dyDescent="0.25">
      <c r="A801" s="380">
        <v>25050501</v>
      </c>
      <c r="B801" s="381" t="s">
        <v>315</v>
      </c>
      <c r="C801" s="381" t="s">
        <v>95</v>
      </c>
      <c r="D801" s="381" t="s">
        <v>1194</v>
      </c>
      <c r="E801" s="381" t="s">
        <v>1195</v>
      </c>
      <c r="F801" s="378">
        <v>0</v>
      </c>
      <c r="G801" s="378">
        <v>3105949</v>
      </c>
      <c r="H801" s="378">
        <v>3105949</v>
      </c>
      <c r="I801" s="378">
        <v>0</v>
      </c>
      <c r="J801" s="2">
        <f t="shared" si="14"/>
        <v>8</v>
      </c>
    </row>
    <row r="802" spans="1:10" ht="15.75" customHeight="1" x14ac:dyDescent="0.25">
      <c r="A802" s="380">
        <v>25050501</v>
      </c>
      <c r="B802" s="381" t="s">
        <v>315</v>
      </c>
      <c r="C802" s="381" t="s">
        <v>95</v>
      </c>
      <c r="D802" s="381" t="s">
        <v>779</v>
      </c>
      <c r="E802" s="381" t="s">
        <v>780</v>
      </c>
      <c r="F802" s="378">
        <v>0</v>
      </c>
      <c r="G802" s="378">
        <v>3253196</v>
      </c>
      <c r="H802" s="378">
        <v>3253196</v>
      </c>
      <c r="I802" s="378">
        <v>0</v>
      </c>
      <c r="J802" s="2">
        <f t="shared" si="14"/>
        <v>8</v>
      </c>
    </row>
    <row r="803" spans="1:10" ht="15.75" customHeight="1" x14ac:dyDescent="0.25">
      <c r="A803" s="380">
        <v>25050501</v>
      </c>
      <c r="B803" s="381" t="s">
        <v>315</v>
      </c>
      <c r="C803" s="381" t="s">
        <v>95</v>
      </c>
      <c r="D803" s="381" t="s">
        <v>774</v>
      </c>
      <c r="E803" s="381" t="s">
        <v>775</v>
      </c>
      <c r="F803" s="378">
        <v>0</v>
      </c>
      <c r="G803" s="378">
        <v>2444820</v>
      </c>
      <c r="H803" s="378">
        <v>2444820</v>
      </c>
      <c r="I803" s="378">
        <v>0</v>
      </c>
      <c r="J803" s="2">
        <f t="shared" si="14"/>
        <v>8</v>
      </c>
    </row>
    <row r="804" spans="1:10" ht="15.75" customHeight="1" x14ac:dyDescent="0.25">
      <c r="A804" s="380">
        <v>25050501</v>
      </c>
      <c r="B804" s="381" t="s">
        <v>315</v>
      </c>
      <c r="C804" s="381" t="s">
        <v>95</v>
      </c>
      <c r="D804" s="381" t="s">
        <v>1196</v>
      </c>
      <c r="E804" s="381" t="s">
        <v>1197</v>
      </c>
      <c r="F804" s="378">
        <v>0</v>
      </c>
      <c r="G804" s="378">
        <v>2798863</v>
      </c>
      <c r="H804" s="378">
        <v>2798863</v>
      </c>
      <c r="I804" s="378">
        <v>0</v>
      </c>
      <c r="J804" s="2">
        <f t="shared" si="14"/>
        <v>8</v>
      </c>
    </row>
    <row r="805" spans="1:10" ht="15.75" customHeight="1" x14ac:dyDescent="0.25">
      <c r="A805" s="380">
        <v>25050501</v>
      </c>
      <c r="B805" s="381" t="s">
        <v>315</v>
      </c>
      <c r="C805" s="381" t="s">
        <v>95</v>
      </c>
      <c r="D805" s="381" t="s">
        <v>1078</v>
      </c>
      <c r="E805" s="381" t="s">
        <v>1079</v>
      </c>
      <c r="F805" s="378">
        <v>0</v>
      </c>
      <c r="G805" s="378">
        <v>7241918</v>
      </c>
      <c r="H805" s="378">
        <v>7241918</v>
      </c>
      <c r="I805" s="378">
        <v>0</v>
      </c>
      <c r="J805" s="2">
        <f t="shared" si="14"/>
        <v>8</v>
      </c>
    </row>
    <row r="806" spans="1:10" ht="15.75" customHeight="1" x14ac:dyDescent="0.25">
      <c r="A806" s="380">
        <v>25050501</v>
      </c>
      <c r="B806" s="381" t="s">
        <v>315</v>
      </c>
      <c r="C806" s="381" t="s">
        <v>95</v>
      </c>
      <c r="D806" s="381" t="s">
        <v>781</v>
      </c>
      <c r="E806" s="381" t="s">
        <v>782</v>
      </c>
      <c r="F806" s="378">
        <v>0</v>
      </c>
      <c r="G806" s="378">
        <v>3412627</v>
      </c>
      <c r="H806" s="378">
        <v>3412627</v>
      </c>
      <c r="I806" s="378">
        <v>0</v>
      </c>
      <c r="J806" s="2">
        <f t="shared" si="14"/>
        <v>8</v>
      </c>
    </row>
    <row r="807" spans="1:10" ht="15.75" customHeight="1" x14ac:dyDescent="0.25">
      <c r="A807" s="380">
        <v>25050501</v>
      </c>
      <c r="B807" s="381" t="s">
        <v>315</v>
      </c>
      <c r="C807" s="381" t="s">
        <v>95</v>
      </c>
      <c r="D807" s="381" t="s">
        <v>728</v>
      </c>
      <c r="E807" s="381" t="s">
        <v>729</v>
      </c>
      <c r="F807" s="378">
        <v>0</v>
      </c>
      <c r="G807" s="378">
        <v>3441075</v>
      </c>
      <c r="H807" s="378">
        <v>3441075</v>
      </c>
      <c r="I807" s="378">
        <v>0</v>
      </c>
      <c r="J807" s="2">
        <f t="shared" si="14"/>
        <v>8</v>
      </c>
    </row>
    <row r="808" spans="1:10" ht="15.75" customHeight="1" x14ac:dyDescent="0.25">
      <c r="A808" s="380">
        <v>25050501</v>
      </c>
      <c r="B808" s="381" t="s">
        <v>315</v>
      </c>
      <c r="C808" s="381" t="s">
        <v>95</v>
      </c>
      <c r="D808" s="381" t="s">
        <v>783</v>
      </c>
      <c r="E808" s="381" t="s">
        <v>784</v>
      </c>
      <c r="F808" s="378">
        <v>0</v>
      </c>
      <c r="G808" s="378">
        <v>2783506</v>
      </c>
      <c r="H808" s="378">
        <v>2783506</v>
      </c>
      <c r="I808" s="378">
        <v>0</v>
      </c>
      <c r="J808" s="2">
        <f t="shared" si="14"/>
        <v>8</v>
      </c>
    </row>
    <row r="809" spans="1:10" ht="15.75" customHeight="1" x14ac:dyDescent="0.25">
      <c r="A809" s="380">
        <v>25050501</v>
      </c>
      <c r="B809" s="381" t="s">
        <v>315</v>
      </c>
      <c r="C809" s="381" t="s">
        <v>95</v>
      </c>
      <c r="D809" s="381" t="s">
        <v>797</v>
      </c>
      <c r="E809" s="381" t="s">
        <v>798</v>
      </c>
      <c r="F809" s="378">
        <v>0</v>
      </c>
      <c r="G809" s="378">
        <v>2486514</v>
      </c>
      <c r="H809" s="378">
        <v>2486514</v>
      </c>
      <c r="I809" s="378">
        <v>0</v>
      </c>
      <c r="J809" s="2">
        <f t="shared" si="14"/>
        <v>8</v>
      </c>
    </row>
    <row r="810" spans="1:10" ht="15.75" customHeight="1" x14ac:dyDescent="0.25">
      <c r="A810" s="380">
        <v>25050501</v>
      </c>
      <c r="B810" s="381" t="s">
        <v>315</v>
      </c>
      <c r="C810" s="381" t="s">
        <v>95</v>
      </c>
      <c r="D810" s="381" t="s">
        <v>1198</v>
      </c>
      <c r="E810" s="381" t="s">
        <v>1199</v>
      </c>
      <c r="F810" s="378">
        <v>0</v>
      </c>
      <c r="G810" s="378">
        <v>2062333</v>
      </c>
      <c r="H810" s="378">
        <v>2062333</v>
      </c>
      <c r="I810" s="378">
        <v>0</v>
      </c>
      <c r="J810" s="2">
        <f t="shared" si="14"/>
        <v>8</v>
      </c>
    </row>
    <row r="811" spans="1:10" ht="15.75" customHeight="1" x14ac:dyDescent="0.25">
      <c r="A811" s="380">
        <v>25050501</v>
      </c>
      <c r="B811" s="381" t="s">
        <v>315</v>
      </c>
      <c r="C811" s="381" t="s">
        <v>95</v>
      </c>
      <c r="D811" s="381" t="s">
        <v>753</v>
      </c>
      <c r="E811" s="381" t="s">
        <v>754</v>
      </c>
      <c r="F811" s="378">
        <v>0</v>
      </c>
      <c r="G811" s="378">
        <v>0</v>
      </c>
      <c r="H811" s="378">
        <v>664300</v>
      </c>
      <c r="I811" s="378">
        <v>-664300</v>
      </c>
      <c r="J811" s="2">
        <f t="shared" si="14"/>
        <v>8</v>
      </c>
    </row>
    <row r="812" spans="1:10" ht="15.75" customHeight="1" x14ac:dyDescent="0.25">
      <c r="A812" s="380">
        <v>25050501</v>
      </c>
      <c r="B812" s="381" t="s">
        <v>315</v>
      </c>
      <c r="C812" s="381" t="s">
        <v>95</v>
      </c>
      <c r="D812" s="381" t="s">
        <v>1200</v>
      </c>
      <c r="E812" s="381" t="s">
        <v>1201</v>
      </c>
      <c r="F812" s="378">
        <v>0</v>
      </c>
      <c r="G812" s="378">
        <v>2862971</v>
      </c>
      <c r="H812" s="378">
        <v>2862971</v>
      </c>
      <c r="I812" s="378">
        <v>0</v>
      </c>
      <c r="J812" s="2">
        <f t="shared" si="14"/>
        <v>8</v>
      </c>
    </row>
    <row r="813" spans="1:10" ht="15.75" customHeight="1" x14ac:dyDescent="0.25">
      <c r="A813" s="380">
        <v>25050501</v>
      </c>
      <c r="B813" s="381" t="s">
        <v>315</v>
      </c>
      <c r="C813" s="381" t="s">
        <v>95</v>
      </c>
      <c r="D813" s="381" t="s">
        <v>786</v>
      </c>
      <c r="E813" s="381" t="s">
        <v>787</v>
      </c>
      <c r="F813" s="378">
        <v>0</v>
      </c>
      <c r="G813" s="378">
        <v>3679967</v>
      </c>
      <c r="H813" s="378">
        <v>3679967</v>
      </c>
      <c r="I813" s="378">
        <v>0</v>
      </c>
      <c r="J813" s="2">
        <f t="shared" si="14"/>
        <v>8</v>
      </c>
    </row>
    <row r="814" spans="1:10" ht="15.75" customHeight="1" x14ac:dyDescent="0.25">
      <c r="A814" s="380">
        <v>25050501</v>
      </c>
      <c r="B814" s="381" t="s">
        <v>315</v>
      </c>
      <c r="C814" s="381" t="s">
        <v>95</v>
      </c>
      <c r="D814" s="381" t="s">
        <v>1224</v>
      </c>
      <c r="E814" s="381" t="s">
        <v>1225</v>
      </c>
      <c r="F814" s="378">
        <v>0</v>
      </c>
      <c r="G814" s="378">
        <v>3256772</v>
      </c>
      <c r="H814" s="378">
        <v>3256772</v>
      </c>
      <c r="I814" s="378">
        <v>0</v>
      </c>
      <c r="J814" s="2">
        <f t="shared" si="14"/>
        <v>8</v>
      </c>
    </row>
    <row r="815" spans="1:10" ht="15.75" customHeight="1" x14ac:dyDescent="0.25">
      <c r="A815" s="380">
        <v>25050501</v>
      </c>
      <c r="B815" s="381" t="s">
        <v>315</v>
      </c>
      <c r="C815" s="381" t="s">
        <v>95</v>
      </c>
      <c r="D815" s="381" t="s">
        <v>1202</v>
      </c>
      <c r="E815" s="381" t="s">
        <v>1203</v>
      </c>
      <c r="F815" s="378">
        <v>0</v>
      </c>
      <c r="G815" s="378">
        <v>2727431</v>
      </c>
      <c r="H815" s="378">
        <v>2727431</v>
      </c>
      <c r="I815" s="378">
        <v>0</v>
      </c>
      <c r="J815" s="2">
        <f t="shared" si="14"/>
        <v>8</v>
      </c>
    </row>
    <row r="816" spans="1:10" ht="15.75" customHeight="1" x14ac:dyDescent="0.25">
      <c r="A816" s="380">
        <v>25050501</v>
      </c>
      <c r="B816" s="381" t="s">
        <v>315</v>
      </c>
      <c r="C816" s="381" t="s">
        <v>95</v>
      </c>
      <c r="D816" s="381" t="s">
        <v>1228</v>
      </c>
      <c r="E816" s="381" t="s">
        <v>1229</v>
      </c>
      <c r="F816" s="378">
        <v>0</v>
      </c>
      <c r="G816" s="378">
        <v>3303480</v>
      </c>
      <c r="H816" s="378">
        <v>3303480</v>
      </c>
      <c r="I816" s="378">
        <v>0</v>
      </c>
      <c r="J816" s="2">
        <f t="shared" si="14"/>
        <v>8</v>
      </c>
    </row>
    <row r="817" spans="1:10" ht="15.75" customHeight="1" x14ac:dyDescent="0.25">
      <c r="A817" s="380">
        <v>25050501</v>
      </c>
      <c r="B817" s="381" t="s">
        <v>315</v>
      </c>
      <c r="C817" s="381" t="s">
        <v>95</v>
      </c>
      <c r="D817" s="381" t="s">
        <v>1086</v>
      </c>
      <c r="E817" s="381" t="s">
        <v>1087</v>
      </c>
      <c r="F817" s="378">
        <v>0</v>
      </c>
      <c r="G817" s="378">
        <v>2605952</v>
      </c>
      <c r="H817" s="378">
        <v>2605952</v>
      </c>
      <c r="I817" s="378">
        <v>0</v>
      </c>
      <c r="J817" s="2">
        <f t="shared" si="14"/>
        <v>8</v>
      </c>
    </row>
    <row r="818" spans="1:10" ht="15.75" customHeight="1" x14ac:dyDescent="0.25">
      <c r="A818" s="380">
        <v>25050501</v>
      </c>
      <c r="B818" s="381" t="s">
        <v>315</v>
      </c>
      <c r="C818" s="381" t="s">
        <v>95</v>
      </c>
      <c r="D818" s="381" t="s">
        <v>404</v>
      </c>
      <c r="E818" s="381" t="s">
        <v>1230</v>
      </c>
      <c r="F818" s="378">
        <v>0</v>
      </c>
      <c r="G818" s="378">
        <v>2522429</v>
      </c>
      <c r="H818" s="378">
        <v>2522429</v>
      </c>
      <c r="I818" s="378">
        <v>0</v>
      </c>
      <c r="J818" s="2">
        <f t="shared" si="14"/>
        <v>8</v>
      </c>
    </row>
    <row r="819" spans="1:10" ht="15.75" customHeight="1" x14ac:dyDescent="0.25">
      <c r="A819" s="380">
        <v>25050501</v>
      </c>
      <c r="B819" s="381" t="s">
        <v>315</v>
      </c>
      <c r="C819" s="381" t="s">
        <v>95</v>
      </c>
      <c r="D819" s="381" t="s">
        <v>1204</v>
      </c>
      <c r="E819" s="381" t="s">
        <v>1205</v>
      </c>
      <c r="F819" s="378">
        <v>0</v>
      </c>
      <c r="G819" s="378">
        <v>1951922</v>
      </c>
      <c r="H819" s="378">
        <v>1951922</v>
      </c>
      <c r="I819" s="378">
        <v>0</v>
      </c>
      <c r="J819" s="2">
        <f t="shared" si="14"/>
        <v>8</v>
      </c>
    </row>
    <row r="820" spans="1:10" ht="15.75" customHeight="1" x14ac:dyDescent="0.25">
      <c r="A820" s="380">
        <v>25050501</v>
      </c>
      <c r="B820" s="381" t="s">
        <v>315</v>
      </c>
      <c r="C820" s="381" t="s">
        <v>95</v>
      </c>
      <c r="D820" s="381" t="s">
        <v>788</v>
      </c>
      <c r="E820" s="381" t="s">
        <v>789</v>
      </c>
      <c r="F820" s="378">
        <v>0</v>
      </c>
      <c r="G820" s="378">
        <v>4640438</v>
      </c>
      <c r="H820" s="378">
        <v>4640438</v>
      </c>
      <c r="I820" s="378">
        <v>0</v>
      </c>
      <c r="J820" s="2">
        <f t="shared" si="14"/>
        <v>8</v>
      </c>
    </row>
    <row r="821" spans="1:10" ht="15.75" customHeight="1" x14ac:dyDescent="0.25">
      <c r="A821" s="380">
        <v>25050501</v>
      </c>
      <c r="B821" s="381" t="s">
        <v>315</v>
      </c>
      <c r="C821" s="381" t="s">
        <v>95</v>
      </c>
      <c r="D821" s="381" t="s">
        <v>1206</v>
      </c>
      <c r="E821" s="381" t="s">
        <v>1207</v>
      </c>
      <c r="F821" s="378">
        <v>0</v>
      </c>
      <c r="G821" s="378">
        <v>3053405</v>
      </c>
      <c r="H821" s="378">
        <v>3053405</v>
      </c>
      <c r="I821" s="378">
        <v>0</v>
      </c>
      <c r="J821" s="2">
        <f t="shared" si="14"/>
        <v>8</v>
      </c>
    </row>
    <row r="822" spans="1:10" ht="15.75" customHeight="1" x14ac:dyDescent="0.25">
      <c r="A822" s="380">
        <v>25050501</v>
      </c>
      <c r="B822" s="381" t="s">
        <v>315</v>
      </c>
      <c r="C822" s="381" t="s">
        <v>95</v>
      </c>
      <c r="D822" s="381" t="s">
        <v>1088</v>
      </c>
      <c r="E822" s="381" t="s">
        <v>1089</v>
      </c>
      <c r="F822" s="378">
        <v>0</v>
      </c>
      <c r="G822" s="378">
        <v>2278450</v>
      </c>
      <c r="H822" s="378">
        <v>2278450</v>
      </c>
      <c r="I822" s="378">
        <v>0</v>
      </c>
      <c r="J822" s="2">
        <f t="shared" si="14"/>
        <v>8</v>
      </c>
    </row>
    <row r="823" spans="1:10" ht="15.75" customHeight="1" x14ac:dyDescent="0.25">
      <c r="A823" s="380">
        <v>25050501</v>
      </c>
      <c r="B823" s="381" t="s">
        <v>315</v>
      </c>
      <c r="C823" s="381" t="s">
        <v>95</v>
      </c>
      <c r="D823" s="381" t="s">
        <v>776</v>
      </c>
      <c r="E823" s="381" t="s">
        <v>777</v>
      </c>
      <c r="F823" s="378">
        <v>0</v>
      </c>
      <c r="G823" s="378">
        <v>2365152</v>
      </c>
      <c r="H823" s="378">
        <v>2365152</v>
      </c>
      <c r="I823" s="378">
        <v>0</v>
      </c>
      <c r="J823" s="2">
        <f t="shared" si="14"/>
        <v>8</v>
      </c>
    </row>
    <row r="824" spans="1:10" ht="15.75" customHeight="1" x14ac:dyDescent="0.25">
      <c r="A824" s="380">
        <v>25050501</v>
      </c>
      <c r="B824" s="381" t="s">
        <v>315</v>
      </c>
      <c r="C824" s="381" t="s">
        <v>95</v>
      </c>
      <c r="D824" s="381" t="s">
        <v>790</v>
      </c>
      <c r="E824" s="381" t="s">
        <v>791</v>
      </c>
      <c r="F824" s="378">
        <v>0</v>
      </c>
      <c r="G824" s="378">
        <v>3048285</v>
      </c>
      <c r="H824" s="378">
        <v>3048285</v>
      </c>
      <c r="I824" s="378">
        <v>0</v>
      </c>
      <c r="J824" s="2">
        <f t="shared" si="14"/>
        <v>8</v>
      </c>
    </row>
    <row r="825" spans="1:10" ht="15.75" customHeight="1" x14ac:dyDescent="0.25">
      <c r="A825" s="380">
        <v>25050501</v>
      </c>
      <c r="B825" s="381" t="s">
        <v>315</v>
      </c>
      <c r="C825" s="381" t="s">
        <v>95</v>
      </c>
      <c r="D825" s="381" t="s">
        <v>1208</v>
      </c>
      <c r="E825" s="381" t="s">
        <v>1209</v>
      </c>
      <c r="F825" s="378">
        <v>0</v>
      </c>
      <c r="G825" s="378">
        <v>2925121</v>
      </c>
      <c r="H825" s="378">
        <v>2925121</v>
      </c>
      <c r="I825" s="378">
        <v>0</v>
      </c>
      <c r="J825" s="2">
        <f t="shared" si="14"/>
        <v>8</v>
      </c>
    </row>
    <row r="826" spans="1:10" ht="15.75" customHeight="1" x14ac:dyDescent="0.25">
      <c r="A826" s="380">
        <v>25050501</v>
      </c>
      <c r="B826" s="381" t="s">
        <v>315</v>
      </c>
      <c r="C826" s="381" t="s">
        <v>95</v>
      </c>
      <c r="D826" s="381" t="s">
        <v>1237</v>
      </c>
      <c r="E826" s="381" t="s">
        <v>1238</v>
      </c>
      <c r="F826" s="378">
        <v>0</v>
      </c>
      <c r="G826" s="378">
        <v>2512653</v>
      </c>
      <c r="H826" s="378">
        <v>2512653</v>
      </c>
      <c r="I826" s="378">
        <v>0</v>
      </c>
      <c r="J826" s="2">
        <f t="shared" si="14"/>
        <v>8</v>
      </c>
    </row>
    <row r="827" spans="1:10" ht="15.75" customHeight="1" x14ac:dyDescent="0.25">
      <c r="A827" s="380">
        <v>25050501</v>
      </c>
      <c r="B827" s="381" t="s">
        <v>315</v>
      </c>
      <c r="C827" s="381" t="s">
        <v>95</v>
      </c>
      <c r="D827" s="381" t="s">
        <v>1239</v>
      </c>
      <c r="E827" s="381" t="s">
        <v>1240</v>
      </c>
      <c r="F827" s="378">
        <v>0</v>
      </c>
      <c r="G827" s="378">
        <v>235850</v>
      </c>
      <c r="H827" s="378">
        <v>0</v>
      </c>
      <c r="I827" s="378">
        <v>235850</v>
      </c>
      <c r="J827" s="2">
        <f t="shared" si="14"/>
        <v>8</v>
      </c>
    </row>
    <row r="828" spans="1:10" ht="15.75" customHeight="1" x14ac:dyDescent="0.25">
      <c r="A828" s="380">
        <v>25050501</v>
      </c>
      <c r="B828" s="381" t="s">
        <v>315</v>
      </c>
      <c r="C828" s="381" t="s">
        <v>95</v>
      </c>
      <c r="D828" s="381" t="s">
        <v>1210</v>
      </c>
      <c r="E828" s="381" t="s">
        <v>1211</v>
      </c>
      <c r="F828" s="378">
        <v>0</v>
      </c>
      <c r="G828" s="378">
        <v>2488761</v>
      </c>
      <c r="H828" s="378">
        <v>2488761</v>
      </c>
      <c r="I828" s="378">
        <v>0</v>
      </c>
      <c r="J828" s="2">
        <f t="shared" si="14"/>
        <v>8</v>
      </c>
    </row>
    <row r="829" spans="1:10" ht="15.75" customHeight="1" x14ac:dyDescent="0.25">
      <c r="A829" s="380">
        <v>25050501</v>
      </c>
      <c r="B829" s="381" t="s">
        <v>315</v>
      </c>
      <c r="C829" s="381" t="s">
        <v>95</v>
      </c>
      <c r="D829" s="381" t="s">
        <v>1090</v>
      </c>
      <c r="E829" s="381" t="s">
        <v>1091</v>
      </c>
      <c r="F829" s="378">
        <v>0</v>
      </c>
      <c r="G829" s="378">
        <v>3711910</v>
      </c>
      <c r="H829" s="378">
        <v>3711910</v>
      </c>
      <c r="I829" s="378">
        <v>0</v>
      </c>
      <c r="J829" s="2">
        <f t="shared" si="14"/>
        <v>8</v>
      </c>
    </row>
    <row r="830" spans="1:10" ht="15.75" customHeight="1" x14ac:dyDescent="0.25">
      <c r="A830" s="380">
        <v>25050501</v>
      </c>
      <c r="B830" s="381" t="s">
        <v>315</v>
      </c>
      <c r="C830" s="381" t="s">
        <v>95</v>
      </c>
      <c r="D830" s="381" t="s">
        <v>1241</v>
      </c>
      <c r="E830" s="381" t="s">
        <v>1242</v>
      </c>
      <c r="F830" s="378">
        <v>0</v>
      </c>
      <c r="G830" s="378">
        <v>2717261</v>
      </c>
      <c r="H830" s="378">
        <v>2717261</v>
      </c>
      <c r="I830" s="378">
        <v>0</v>
      </c>
      <c r="J830" s="2">
        <f t="shared" si="14"/>
        <v>8</v>
      </c>
    </row>
    <row r="831" spans="1:10" ht="15.75" customHeight="1" x14ac:dyDescent="0.25">
      <c r="A831" s="380">
        <v>25050501</v>
      </c>
      <c r="B831" s="381" t="s">
        <v>315</v>
      </c>
      <c r="C831" s="381" t="s">
        <v>95</v>
      </c>
      <c r="D831" s="381" t="s">
        <v>792</v>
      </c>
      <c r="E831" s="381" t="s">
        <v>793</v>
      </c>
      <c r="F831" s="378">
        <v>0</v>
      </c>
      <c r="G831" s="378">
        <v>3369483</v>
      </c>
      <c r="H831" s="378">
        <v>3369483</v>
      </c>
      <c r="I831" s="378">
        <v>0</v>
      </c>
      <c r="J831" s="2">
        <f t="shared" si="14"/>
        <v>8</v>
      </c>
    </row>
    <row r="832" spans="1:10" ht="15.75" customHeight="1" x14ac:dyDescent="0.25">
      <c r="A832" s="380">
        <v>25050501</v>
      </c>
      <c r="B832" s="381" t="s">
        <v>315</v>
      </c>
      <c r="C832" s="381" t="s">
        <v>95</v>
      </c>
      <c r="D832" s="381" t="s">
        <v>794</v>
      </c>
      <c r="E832" s="381" t="s">
        <v>795</v>
      </c>
      <c r="F832" s="378">
        <v>0</v>
      </c>
      <c r="G832" s="378">
        <v>3198698</v>
      </c>
      <c r="H832" s="378">
        <v>3198698</v>
      </c>
      <c r="I832" s="378">
        <v>0</v>
      </c>
      <c r="J832" s="2">
        <f t="shared" si="14"/>
        <v>8</v>
      </c>
    </row>
    <row r="833" spans="1:10" ht="15.75" customHeight="1" x14ac:dyDescent="0.25">
      <c r="A833" s="380">
        <v>25050501</v>
      </c>
      <c r="B833" s="381" t="s">
        <v>315</v>
      </c>
      <c r="C833" s="381" t="s">
        <v>95</v>
      </c>
      <c r="D833" s="381" t="s">
        <v>1212</v>
      </c>
      <c r="E833" s="381" t="s">
        <v>1213</v>
      </c>
      <c r="F833" s="378">
        <v>0</v>
      </c>
      <c r="G833" s="378">
        <v>1206169</v>
      </c>
      <c r="H833" s="378">
        <v>1206169</v>
      </c>
      <c r="I833" s="378">
        <v>0</v>
      </c>
      <c r="J833" s="2">
        <f t="shared" si="14"/>
        <v>8</v>
      </c>
    </row>
    <row r="834" spans="1:10" ht="15.75" customHeight="1" x14ac:dyDescent="0.25">
      <c r="A834" s="380">
        <v>25050501</v>
      </c>
      <c r="B834" s="381" t="s">
        <v>315</v>
      </c>
      <c r="C834" s="381" t="s">
        <v>95</v>
      </c>
      <c r="D834" s="381" t="s">
        <v>1092</v>
      </c>
      <c r="E834" s="381" t="s">
        <v>1093</v>
      </c>
      <c r="F834" s="378">
        <v>0</v>
      </c>
      <c r="G834" s="378">
        <v>3498361</v>
      </c>
      <c r="H834" s="378">
        <v>3498361</v>
      </c>
      <c r="I834" s="378">
        <v>0</v>
      </c>
      <c r="J834" s="2">
        <f t="shared" si="14"/>
        <v>8</v>
      </c>
    </row>
    <row r="835" spans="1:10" ht="15.75" customHeight="1" x14ac:dyDescent="0.25">
      <c r="A835" s="380">
        <v>25050501</v>
      </c>
      <c r="B835" s="381" t="s">
        <v>315</v>
      </c>
      <c r="C835" s="381" t="s">
        <v>95</v>
      </c>
      <c r="D835" s="381" t="s">
        <v>1214</v>
      </c>
      <c r="E835" s="381" t="s">
        <v>1489</v>
      </c>
      <c r="F835" s="378">
        <v>0</v>
      </c>
      <c r="G835" s="378">
        <v>3397870</v>
      </c>
      <c r="H835" s="378">
        <v>3397870</v>
      </c>
      <c r="I835" s="378">
        <v>0</v>
      </c>
      <c r="J835" s="2">
        <f t="shared" si="14"/>
        <v>8</v>
      </c>
    </row>
    <row r="836" spans="1:10" ht="15.75" customHeight="1" x14ac:dyDescent="0.25">
      <c r="A836" s="380">
        <v>25050501</v>
      </c>
      <c r="B836" s="381" t="s">
        <v>315</v>
      </c>
      <c r="C836" s="381" t="s">
        <v>95</v>
      </c>
      <c r="D836" s="381" t="s">
        <v>1094</v>
      </c>
      <c r="E836" s="381" t="s">
        <v>1095</v>
      </c>
      <c r="F836" s="378">
        <v>0</v>
      </c>
      <c r="G836" s="378">
        <v>2452710</v>
      </c>
      <c r="H836" s="378">
        <v>2452710</v>
      </c>
      <c r="I836" s="378">
        <v>0</v>
      </c>
      <c r="J836" s="2">
        <f t="shared" si="14"/>
        <v>8</v>
      </c>
    </row>
    <row r="837" spans="1:10" ht="15.75" customHeight="1" x14ac:dyDescent="0.25">
      <c r="A837" s="380">
        <v>2510</v>
      </c>
      <c r="B837" s="381" t="s">
        <v>315</v>
      </c>
      <c r="C837" s="381" t="s">
        <v>447</v>
      </c>
      <c r="D837" s="381" t="s">
        <v>315</v>
      </c>
      <c r="E837" s="381" t="s">
        <v>315</v>
      </c>
      <c r="F837" s="378">
        <v>0</v>
      </c>
      <c r="G837" s="378">
        <v>0</v>
      </c>
      <c r="H837" s="378">
        <v>0</v>
      </c>
      <c r="I837" s="378">
        <v>0</v>
      </c>
      <c r="J837" s="2">
        <f t="shared" si="14"/>
        <v>4</v>
      </c>
    </row>
    <row r="838" spans="1:10" ht="15.75" customHeight="1" x14ac:dyDescent="0.25">
      <c r="A838" s="380">
        <v>251010</v>
      </c>
      <c r="B838" s="381" t="s">
        <v>315</v>
      </c>
      <c r="C838" s="381" t="s">
        <v>1215</v>
      </c>
      <c r="D838" s="381" t="s">
        <v>315</v>
      </c>
      <c r="E838" s="381" t="s">
        <v>315</v>
      </c>
      <c r="F838" s="378">
        <v>0</v>
      </c>
      <c r="G838" s="378">
        <v>0</v>
      </c>
      <c r="H838" s="378">
        <v>0</v>
      </c>
      <c r="I838" s="378">
        <v>0</v>
      </c>
      <c r="J838" s="2">
        <f t="shared" si="14"/>
        <v>6</v>
      </c>
    </row>
    <row r="839" spans="1:10" ht="15.75" customHeight="1" x14ac:dyDescent="0.25">
      <c r="A839" s="380">
        <v>25101001</v>
      </c>
      <c r="B839" s="381" t="s">
        <v>315</v>
      </c>
      <c r="C839" s="381" t="s">
        <v>1215</v>
      </c>
      <c r="D839" s="381" t="s">
        <v>315</v>
      </c>
      <c r="E839" s="381" t="s">
        <v>315</v>
      </c>
      <c r="F839" s="378">
        <v>0</v>
      </c>
      <c r="G839" s="378">
        <v>0</v>
      </c>
      <c r="H839" s="378">
        <v>0</v>
      </c>
      <c r="I839" s="378">
        <v>0</v>
      </c>
      <c r="J839" s="2">
        <f t="shared" si="14"/>
        <v>8</v>
      </c>
    </row>
    <row r="840" spans="1:10" ht="15.75" customHeight="1" x14ac:dyDescent="0.25">
      <c r="A840" s="380">
        <v>2515</v>
      </c>
      <c r="B840" s="381" t="s">
        <v>315</v>
      </c>
      <c r="C840" s="381" t="s">
        <v>451</v>
      </c>
      <c r="D840" s="381" t="s">
        <v>315</v>
      </c>
      <c r="E840" s="381" t="s">
        <v>315</v>
      </c>
      <c r="F840" s="378">
        <v>0</v>
      </c>
      <c r="G840" s="378">
        <v>0</v>
      </c>
      <c r="H840" s="378">
        <v>0</v>
      </c>
      <c r="I840" s="378">
        <v>0</v>
      </c>
      <c r="J840" s="2">
        <f t="shared" si="14"/>
        <v>4</v>
      </c>
    </row>
    <row r="841" spans="1:10" ht="15.75" customHeight="1" x14ac:dyDescent="0.25">
      <c r="A841" s="380">
        <v>251505</v>
      </c>
      <c r="B841" s="381" t="s">
        <v>315</v>
      </c>
      <c r="C841" s="381" t="s">
        <v>451</v>
      </c>
      <c r="D841" s="381" t="s">
        <v>315</v>
      </c>
      <c r="E841" s="381" t="s">
        <v>315</v>
      </c>
      <c r="F841" s="378">
        <v>0</v>
      </c>
      <c r="G841" s="378">
        <v>0</v>
      </c>
      <c r="H841" s="378">
        <v>0</v>
      </c>
      <c r="I841" s="378">
        <v>0</v>
      </c>
      <c r="J841" s="2">
        <f t="shared" si="14"/>
        <v>6</v>
      </c>
    </row>
    <row r="842" spans="1:10" ht="15.75" customHeight="1" x14ac:dyDescent="0.25">
      <c r="A842" s="380">
        <v>25150501</v>
      </c>
      <c r="B842" s="381" t="s">
        <v>315</v>
      </c>
      <c r="C842" s="381" t="s">
        <v>451</v>
      </c>
      <c r="D842" s="381" t="s">
        <v>315</v>
      </c>
      <c r="E842" s="381" t="s">
        <v>315</v>
      </c>
      <c r="F842" s="378">
        <v>0</v>
      </c>
      <c r="G842" s="378">
        <v>0</v>
      </c>
      <c r="H842" s="378">
        <v>0</v>
      </c>
      <c r="I842" s="378">
        <v>0</v>
      </c>
      <c r="J842" s="2">
        <f t="shared" si="14"/>
        <v>8</v>
      </c>
    </row>
    <row r="843" spans="1:10" ht="15.75" customHeight="1" x14ac:dyDescent="0.25">
      <c r="A843" s="380">
        <v>25150502</v>
      </c>
      <c r="B843" s="381" t="s">
        <v>321</v>
      </c>
      <c r="C843" s="381" t="s">
        <v>1216</v>
      </c>
      <c r="D843" s="381" t="s">
        <v>315</v>
      </c>
      <c r="E843" s="381" t="s">
        <v>315</v>
      </c>
      <c r="F843" s="378">
        <v>0</v>
      </c>
      <c r="G843" s="378">
        <v>0</v>
      </c>
      <c r="H843" s="378">
        <v>0</v>
      </c>
      <c r="I843" s="378">
        <v>0</v>
      </c>
      <c r="J843" s="2">
        <f t="shared" si="14"/>
        <v>8</v>
      </c>
    </row>
    <row r="844" spans="1:10" ht="15.75" customHeight="1" x14ac:dyDescent="0.25">
      <c r="A844" s="380">
        <v>2520</v>
      </c>
      <c r="B844" s="381" t="s">
        <v>315</v>
      </c>
      <c r="C844" s="381" t="s">
        <v>106</v>
      </c>
      <c r="D844" s="381" t="s">
        <v>315</v>
      </c>
      <c r="E844" s="381" t="s">
        <v>315</v>
      </c>
      <c r="F844" s="378">
        <v>0</v>
      </c>
      <c r="G844" s="378">
        <v>0</v>
      </c>
      <c r="H844" s="378">
        <v>0</v>
      </c>
      <c r="I844" s="378">
        <v>0</v>
      </c>
      <c r="J844" s="2">
        <f t="shared" si="14"/>
        <v>4</v>
      </c>
    </row>
    <row r="845" spans="1:10" ht="15.75" customHeight="1" x14ac:dyDescent="0.25">
      <c r="A845" s="380">
        <v>252005</v>
      </c>
      <c r="B845" s="381" t="s">
        <v>315</v>
      </c>
      <c r="C845" s="381" t="s">
        <v>106</v>
      </c>
      <c r="D845" s="381" t="s">
        <v>315</v>
      </c>
      <c r="E845" s="381" t="s">
        <v>315</v>
      </c>
      <c r="F845" s="378">
        <v>0</v>
      </c>
      <c r="G845" s="378">
        <v>0</v>
      </c>
      <c r="H845" s="378">
        <v>0</v>
      </c>
      <c r="I845" s="378">
        <v>0</v>
      </c>
      <c r="J845" s="2">
        <f t="shared" ref="J845:J908" si="15">+LEN(A845)</f>
        <v>6</v>
      </c>
    </row>
    <row r="846" spans="1:10" ht="15.75" customHeight="1" x14ac:dyDescent="0.25">
      <c r="A846" s="380">
        <v>25200501</v>
      </c>
      <c r="B846" s="381" t="s">
        <v>315</v>
      </c>
      <c r="C846" s="381" t="s">
        <v>106</v>
      </c>
      <c r="D846" s="381" t="s">
        <v>315</v>
      </c>
      <c r="E846" s="381" t="s">
        <v>315</v>
      </c>
      <c r="F846" s="378">
        <v>0</v>
      </c>
      <c r="G846" s="378">
        <v>0</v>
      </c>
      <c r="H846" s="378">
        <v>0</v>
      </c>
      <c r="I846" s="378">
        <v>0</v>
      </c>
      <c r="J846" s="2">
        <f t="shared" si="15"/>
        <v>8</v>
      </c>
    </row>
    <row r="847" spans="1:10" ht="15.75" customHeight="1" x14ac:dyDescent="0.25">
      <c r="A847" s="380">
        <v>2525</v>
      </c>
      <c r="B847" s="381" t="s">
        <v>315</v>
      </c>
      <c r="C847" s="381" t="s">
        <v>448</v>
      </c>
      <c r="D847" s="381" t="s">
        <v>315</v>
      </c>
      <c r="E847" s="381" t="s">
        <v>315</v>
      </c>
      <c r="F847" s="378">
        <v>-7719648</v>
      </c>
      <c r="G847" s="378">
        <v>705000</v>
      </c>
      <c r="H847" s="378">
        <v>0</v>
      </c>
      <c r="I847" s="378">
        <v>-7014648</v>
      </c>
      <c r="J847" s="2">
        <f t="shared" si="15"/>
        <v>4</v>
      </c>
    </row>
    <row r="848" spans="1:10" ht="15.75" customHeight="1" x14ac:dyDescent="0.25">
      <c r="A848" s="380">
        <v>252505</v>
      </c>
      <c r="B848" s="381" t="s">
        <v>315</v>
      </c>
      <c r="C848" s="381" t="s">
        <v>448</v>
      </c>
      <c r="D848" s="381" t="s">
        <v>315</v>
      </c>
      <c r="E848" s="381" t="s">
        <v>315</v>
      </c>
      <c r="F848" s="378">
        <v>-7719648</v>
      </c>
      <c r="G848" s="378">
        <v>705000</v>
      </c>
      <c r="H848" s="378">
        <v>0</v>
      </c>
      <c r="I848" s="378">
        <v>-7014648</v>
      </c>
      <c r="J848" s="2">
        <f t="shared" si="15"/>
        <v>6</v>
      </c>
    </row>
    <row r="849" spans="1:10" ht="15.75" customHeight="1" x14ac:dyDescent="0.25">
      <c r="A849" s="380">
        <v>25250501</v>
      </c>
      <c r="B849" s="381" t="s">
        <v>315</v>
      </c>
      <c r="C849" s="381" t="s">
        <v>448</v>
      </c>
      <c r="D849" s="381" t="s">
        <v>315</v>
      </c>
      <c r="E849" s="381" t="s">
        <v>315</v>
      </c>
      <c r="F849" s="378">
        <v>-7719648</v>
      </c>
      <c r="G849" s="378">
        <v>705000</v>
      </c>
      <c r="H849" s="378">
        <v>0</v>
      </c>
      <c r="I849" s="378">
        <v>-7014648</v>
      </c>
      <c r="J849" s="2">
        <f t="shared" si="15"/>
        <v>8</v>
      </c>
    </row>
    <row r="850" spans="1:10" ht="15.75" customHeight="1" x14ac:dyDescent="0.25">
      <c r="A850" s="380">
        <v>25250501</v>
      </c>
      <c r="B850" s="381" t="s">
        <v>315</v>
      </c>
      <c r="C850" s="381" t="s">
        <v>448</v>
      </c>
      <c r="D850" s="381" t="s">
        <v>1194</v>
      </c>
      <c r="E850" s="381" t="s">
        <v>1195</v>
      </c>
      <c r="F850" s="378">
        <v>-51257</v>
      </c>
      <c r="G850" s="378">
        <v>0</v>
      </c>
      <c r="H850" s="378">
        <v>0</v>
      </c>
      <c r="I850" s="378">
        <v>-51257</v>
      </c>
      <c r="J850" s="2">
        <f t="shared" si="15"/>
        <v>8</v>
      </c>
    </row>
    <row r="851" spans="1:10" ht="15.75" customHeight="1" x14ac:dyDescent="0.25">
      <c r="A851" s="380">
        <v>25250501</v>
      </c>
      <c r="B851" s="381" t="s">
        <v>315</v>
      </c>
      <c r="C851" s="381" t="s">
        <v>448</v>
      </c>
      <c r="D851" s="381" t="s">
        <v>774</v>
      </c>
      <c r="E851" s="381" t="s">
        <v>775</v>
      </c>
      <c r="F851" s="378">
        <v>-369200</v>
      </c>
      <c r="G851" s="378">
        <v>0</v>
      </c>
      <c r="H851" s="378">
        <v>0</v>
      </c>
      <c r="I851" s="378">
        <v>-369200</v>
      </c>
      <c r="J851" s="2">
        <f t="shared" si="15"/>
        <v>8</v>
      </c>
    </row>
    <row r="852" spans="1:10" ht="15.75" customHeight="1" x14ac:dyDescent="0.25">
      <c r="A852" s="380">
        <v>25250501</v>
      </c>
      <c r="B852" s="381" t="s">
        <v>315</v>
      </c>
      <c r="C852" s="381" t="s">
        <v>448</v>
      </c>
      <c r="D852" s="381" t="s">
        <v>1196</v>
      </c>
      <c r="E852" s="381" t="s">
        <v>1197</v>
      </c>
      <c r="F852" s="378">
        <v>-46460</v>
      </c>
      <c r="G852" s="378">
        <v>0</v>
      </c>
      <c r="H852" s="378">
        <v>0</v>
      </c>
      <c r="I852" s="378">
        <v>-46460</v>
      </c>
      <c r="J852" s="2">
        <f t="shared" si="15"/>
        <v>8</v>
      </c>
    </row>
    <row r="853" spans="1:10" ht="15.75" customHeight="1" x14ac:dyDescent="0.25">
      <c r="A853" s="380">
        <v>25250501</v>
      </c>
      <c r="B853" s="381" t="s">
        <v>315</v>
      </c>
      <c r="C853" s="381" t="s">
        <v>448</v>
      </c>
      <c r="D853" s="381" t="s">
        <v>781</v>
      </c>
      <c r="E853" s="381" t="s">
        <v>782</v>
      </c>
      <c r="F853" s="378">
        <v>-284800</v>
      </c>
      <c r="G853" s="378">
        <v>0</v>
      </c>
      <c r="H853" s="378">
        <v>0</v>
      </c>
      <c r="I853" s="378">
        <v>-284800</v>
      </c>
      <c r="J853" s="2">
        <f t="shared" si="15"/>
        <v>8</v>
      </c>
    </row>
    <row r="854" spans="1:10" ht="15.75" customHeight="1" x14ac:dyDescent="0.25">
      <c r="A854" s="380">
        <v>25250501</v>
      </c>
      <c r="B854" s="381" t="s">
        <v>315</v>
      </c>
      <c r="C854" s="381" t="s">
        <v>448</v>
      </c>
      <c r="D854" s="381" t="s">
        <v>783</v>
      </c>
      <c r="E854" s="381" t="s">
        <v>784</v>
      </c>
      <c r="F854" s="378">
        <v>-337973</v>
      </c>
      <c r="G854" s="378">
        <v>0</v>
      </c>
      <c r="H854" s="378">
        <v>0</v>
      </c>
      <c r="I854" s="378">
        <v>-337973</v>
      </c>
      <c r="J854" s="2">
        <f t="shared" si="15"/>
        <v>8</v>
      </c>
    </row>
    <row r="855" spans="1:10" ht="15.75" customHeight="1" x14ac:dyDescent="0.25">
      <c r="A855" s="380">
        <v>25250501</v>
      </c>
      <c r="B855" s="381" t="s">
        <v>315</v>
      </c>
      <c r="C855" s="381" t="s">
        <v>448</v>
      </c>
      <c r="D855" s="381" t="s">
        <v>1200</v>
      </c>
      <c r="E855" s="381" t="s">
        <v>1201</v>
      </c>
      <c r="F855" s="378">
        <v>-430324</v>
      </c>
      <c r="G855" s="378">
        <v>0</v>
      </c>
      <c r="H855" s="378">
        <v>0</v>
      </c>
      <c r="I855" s="378">
        <v>-430324</v>
      </c>
      <c r="J855" s="2">
        <f t="shared" si="15"/>
        <v>8</v>
      </c>
    </row>
    <row r="856" spans="1:10" ht="15.75" customHeight="1" x14ac:dyDescent="0.25">
      <c r="A856" s="380">
        <v>25250501</v>
      </c>
      <c r="B856" s="381" t="s">
        <v>315</v>
      </c>
      <c r="C856" s="381" t="s">
        <v>448</v>
      </c>
      <c r="D856" s="381" t="s">
        <v>786</v>
      </c>
      <c r="E856" s="381" t="s">
        <v>787</v>
      </c>
      <c r="F856" s="378">
        <v>-73113</v>
      </c>
      <c r="G856" s="378">
        <v>0</v>
      </c>
      <c r="H856" s="378">
        <v>0</v>
      </c>
      <c r="I856" s="378">
        <v>-73113</v>
      </c>
      <c r="J856" s="2">
        <f t="shared" si="15"/>
        <v>8</v>
      </c>
    </row>
    <row r="857" spans="1:10" ht="15.75" customHeight="1" x14ac:dyDescent="0.25">
      <c r="A857" s="380">
        <v>25250501</v>
      </c>
      <c r="B857" s="381" t="s">
        <v>315</v>
      </c>
      <c r="C857" s="381" t="s">
        <v>448</v>
      </c>
      <c r="D857" s="381" t="s">
        <v>788</v>
      </c>
      <c r="E857" s="381" t="s">
        <v>789</v>
      </c>
      <c r="F857" s="378">
        <v>-1288651</v>
      </c>
      <c r="G857" s="378">
        <v>0</v>
      </c>
      <c r="H857" s="378">
        <v>0</v>
      </c>
      <c r="I857" s="378">
        <v>-1288651</v>
      </c>
      <c r="J857" s="2">
        <f t="shared" si="15"/>
        <v>8</v>
      </c>
    </row>
    <row r="858" spans="1:10" ht="15.75" customHeight="1" x14ac:dyDescent="0.25">
      <c r="A858" s="380">
        <v>25250501</v>
      </c>
      <c r="B858" s="381" t="s">
        <v>315</v>
      </c>
      <c r="C858" s="381" t="s">
        <v>448</v>
      </c>
      <c r="D858" s="381" t="s">
        <v>776</v>
      </c>
      <c r="E858" s="381" t="s">
        <v>777</v>
      </c>
      <c r="F858" s="378">
        <v>-716247</v>
      </c>
      <c r="G858" s="378">
        <v>0</v>
      </c>
      <c r="H858" s="378">
        <v>0</v>
      </c>
      <c r="I858" s="378">
        <v>-716247</v>
      </c>
      <c r="J858" s="2">
        <f t="shared" si="15"/>
        <v>8</v>
      </c>
    </row>
    <row r="859" spans="1:10" ht="15.75" customHeight="1" x14ac:dyDescent="0.25">
      <c r="A859" s="380">
        <v>25250501</v>
      </c>
      <c r="B859" s="381" t="s">
        <v>315</v>
      </c>
      <c r="C859" s="381" t="s">
        <v>448</v>
      </c>
      <c r="D859" s="381" t="s">
        <v>790</v>
      </c>
      <c r="E859" s="381" t="s">
        <v>791</v>
      </c>
      <c r="F859" s="378">
        <v>-384616</v>
      </c>
      <c r="G859" s="378">
        <v>0</v>
      </c>
      <c r="H859" s="378">
        <v>0</v>
      </c>
      <c r="I859" s="378">
        <v>-384616</v>
      </c>
      <c r="J859" s="2">
        <f t="shared" si="15"/>
        <v>8</v>
      </c>
    </row>
    <row r="860" spans="1:10" ht="15.75" customHeight="1" x14ac:dyDescent="0.25">
      <c r="A860" s="380">
        <v>25250501</v>
      </c>
      <c r="B860" s="381" t="s">
        <v>315</v>
      </c>
      <c r="C860" s="381" t="s">
        <v>448</v>
      </c>
      <c r="D860" s="381" t="s">
        <v>1208</v>
      </c>
      <c r="E860" s="381" t="s">
        <v>1209</v>
      </c>
      <c r="F860" s="378">
        <v>-270944</v>
      </c>
      <c r="G860" s="378">
        <v>0</v>
      </c>
      <c r="H860" s="378">
        <v>0</v>
      </c>
      <c r="I860" s="378">
        <v>-270944</v>
      </c>
      <c r="J860" s="2">
        <f t="shared" si="15"/>
        <v>8</v>
      </c>
    </row>
    <row r="861" spans="1:10" ht="15.75" customHeight="1" x14ac:dyDescent="0.25">
      <c r="A861" s="380">
        <v>25250501</v>
      </c>
      <c r="B861" s="381" t="s">
        <v>315</v>
      </c>
      <c r="C861" s="381" t="s">
        <v>448</v>
      </c>
      <c r="D861" s="381" t="s">
        <v>1239</v>
      </c>
      <c r="E861" s="381" t="s">
        <v>1240</v>
      </c>
      <c r="F861" s="378">
        <v>-235850</v>
      </c>
      <c r="G861" s="378">
        <v>0</v>
      </c>
      <c r="H861" s="378">
        <v>0</v>
      </c>
      <c r="I861" s="378">
        <v>-235850</v>
      </c>
      <c r="J861" s="2">
        <f t="shared" si="15"/>
        <v>8</v>
      </c>
    </row>
    <row r="862" spans="1:10" ht="15.75" customHeight="1" x14ac:dyDescent="0.25">
      <c r="A862" s="380">
        <v>25250501</v>
      </c>
      <c r="B862" s="381" t="s">
        <v>315</v>
      </c>
      <c r="C862" s="381" t="s">
        <v>448</v>
      </c>
      <c r="D862" s="381" t="s">
        <v>1210</v>
      </c>
      <c r="E862" s="381" t="s">
        <v>1211</v>
      </c>
      <c r="F862" s="378">
        <v>-975969</v>
      </c>
      <c r="G862" s="378">
        <v>0</v>
      </c>
      <c r="H862" s="378">
        <v>0</v>
      </c>
      <c r="I862" s="378">
        <v>-975969</v>
      </c>
      <c r="J862" s="2">
        <f t="shared" si="15"/>
        <v>8</v>
      </c>
    </row>
    <row r="863" spans="1:10" ht="15.75" customHeight="1" x14ac:dyDescent="0.25">
      <c r="A863" s="380">
        <v>25250501</v>
      </c>
      <c r="B863" s="381" t="s">
        <v>315</v>
      </c>
      <c r="C863" s="381" t="s">
        <v>448</v>
      </c>
      <c r="D863" s="381" t="s">
        <v>792</v>
      </c>
      <c r="E863" s="381" t="s">
        <v>793</v>
      </c>
      <c r="F863" s="378">
        <v>-226271</v>
      </c>
      <c r="G863" s="378">
        <v>0</v>
      </c>
      <c r="H863" s="378">
        <v>0</v>
      </c>
      <c r="I863" s="378">
        <v>-226271</v>
      </c>
      <c r="J863" s="2">
        <f t="shared" si="15"/>
        <v>8</v>
      </c>
    </row>
    <row r="864" spans="1:10" ht="15.75" customHeight="1" x14ac:dyDescent="0.25">
      <c r="A864" s="380">
        <v>25250501</v>
      </c>
      <c r="B864" s="381" t="s">
        <v>315</v>
      </c>
      <c r="C864" s="381" t="s">
        <v>448</v>
      </c>
      <c r="D864" s="381" t="s">
        <v>794</v>
      </c>
      <c r="E864" s="381" t="s">
        <v>795</v>
      </c>
      <c r="F864" s="378">
        <v>-1012130</v>
      </c>
      <c r="G864" s="378">
        <v>0</v>
      </c>
      <c r="H864" s="378">
        <v>0</v>
      </c>
      <c r="I864" s="378">
        <v>-1012130</v>
      </c>
      <c r="J864" s="2">
        <f t="shared" si="15"/>
        <v>8</v>
      </c>
    </row>
    <row r="865" spans="1:10" ht="15.75" customHeight="1" x14ac:dyDescent="0.25">
      <c r="A865" s="380">
        <v>25250501</v>
      </c>
      <c r="B865" s="381" t="s">
        <v>315</v>
      </c>
      <c r="C865" s="381" t="s">
        <v>448</v>
      </c>
      <c r="D865" s="381" t="s">
        <v>1092</v>
      </c>
      <c r="E865" s="381" t="s">
        <v>1093</v>
      </c>
      <c r="F865" s="378">
        <v>-705000</v>
      </c>
      <c r="G865" s="378">
        <v>705000</v>
      </c>
      <c r="H865" s="378">
        <v>0</v>
      </c>
      <c r="I865" s="378">
        <v>0</v>
      </c>
      <c r="J865" s="2">
        <f t="shared" si="15"/>
        <v>8</v>
      </c>
    </row>
    <row r="866" spans="1:10" ht="15.75" customHeight="1" x14ac:dyDescent="0.25">
      <c r="A866" s="380">
        <v>25250501</v>
      </c>
      <c r="B866" s="381" t="s">
        <v>315</v>
      </c>
      <c r="C866" s="381" t="s">
        <v>448</v>
      </c>
      <c r="D866" s="381" t="s">
        <v>1094</v>
      </c>
      <c r="E866" s="381" t="s">
        <v>1095</v>
      </c>
      <c r="F866" s="378">
        <v>-310843</v>
      </c>
      <c r="G866" s="378">
        <v>0</v>
      </c>
      <c r="H866" s="378">
        <v>0</v>
      </c>
      <c r="I866" s="378">
        <v>-310843</v>
      </c>
      <c r="J866" s="2">
        <f t="shared" si="15"/>
        <v>8</v>
      </c>
    </row>
    <row r="867" spans="1:10" ht="15.75" customHeight="1" x14ac:dyDescent="0.25">
      <c r="A867" s="380">
        <v>2530</v>
      </c>
      <c r="B867" s="381" t="s">
        <v>321</v>
      </c>
      <c r="C867" s="381" t="s">
        <v>1217</v>
      </c>
      <c r="D867" s="381" t="s">
        <v>315</v>
      </c>
      <c r="E867" s="381" t="s">
        <v>315</v>
      </c>
      <c r="F867" s="378">
        <v>-71456591</v>
      </c>
      <c r="G867" s="378">
        <v>38180117</v>
      </c>
      <c r="H867" s="378">
        <v>17534022</v>
      </c>
      <c r="I867" s="378">
        <v>-50810496</v>
      </c>
      <c r="J867" s="2">
        <f t="shared" si="15"/>
        <v>4</v>
      </c>
    </row>
    <row r="868" spans="1:10" ht="15.75" customHeight="1" x14ac:dyDescent="0.25">
      <c r="A868" s="380">
        <v>253005</v>
      </c>
      <c r="B868" s="381" t="s">
        <v>315</v>
      </c>
      <c r="C868" s="381" t="s">
        <v>99</v>
      </c>
      <c r="D868" s="381" t="s">
        <v>315</v>
      </c>
      <c r="E868" s="381" t="s">
        <v>315</v>
      </c>
      <c r="F868" s="378">
        <v>-25353159</v>
      </c>
      <c r="G868" s="378">
        <v>2749333</v>
      </c>
      <c r="H868" s="378">
        <v>6351159</v>
      </c>
      <c r="I868" s="378">
        <v>-28954985</v>
      </c>
      <c r="J868" s="2">
        <f t="shared" si="15"/>
        <v>6</v>
      </c>
    </row>
    <row r="869" spans="1:10" ht="15.75" customHeight="1" x14ac:dyDescent="0.25">
      <c r="A869" s="380">
        <v>25300505</v>
      </c>
      <c r="B869" s="381" t="s">
        <v>315</v>
      </c>
      <c r="C869" s="381" t="s">
        <v>1218</v>
      </c>
      <c r="D869" s="381" t="s">
        <v>315</v>
      </c>
      <c r="E869" s="381" t="s">
        <v>315</v>
      </c>
      <c r="F869" s="378">
        <v>-29523489</v>
      </c>
      <c r="G869" s="378">
        <v>0</v>
      </c>
      <c r="H869" s="378">
        <v>6351159</v>
      </c>
      <c r="I869" s="378">
        <v>-35874648</v>
      </c>
      <c r="J869" s="2">
        <f t="shared" si="15"/>
        <v>8</v>
      </c>
    </row>
    <row r="870" spans="1:10" ht="15.75" customHeight="1" x14ac:dyDescent="0.25">
      <c r="A870" s="380">
        <v>25300505</v>
      </c>
      <c r="B870" s="381" t="s">
        <v>315</v>
      </c>
      <c r="C870" s="381" t="s">
        <v>1218</v>
      </c>
      <c r="D870" s="381" t="s">
        <v>1194</v>
      </c>
      <c r="E870" s="381" t="s">
        <v>1195</v>
      </c>
      <c r="F870" s="378">
        <v>-867493</v>
      </c>
      <c r="G870" s="378">
        <v>0</v>
      </c>
      <c r="H870" s="378">
        <v>178687</v>
      </c>
      <c r="I870" s="378">
        <v>-1046180</v>
      </c>
      <c r="J870" s="2">
        <f t="shared" si="15"/>
        <v>8</v>
      </c>
    </row>
    <row r="871" spans="1:10" ht="15.75" customHeight="1" x14ac:dyDescent="0.25">
      <c r="A871" s="380">
        <v>25300505</v>
      </c>
      <c r="B871" s="381" t="s">
        <v>315</v>
      </c>
      <c r="C871" s="381" t="s">
        <v>1218</v>
      </c>
      <c r="D871" s="381" t="s">
        <v>779</v>
      </c>
      <c r="E871" s="381" t="s">
        <v>780</v>
      </c>
      <c r="F871" s="378">
        <v>-908398</v>
      </c>
      <c r="G871" s="378">
        <v>0</v>
      </c>
      <c r="H871" s="378">
        <v>215424</v>
      </c>
      <c r="I871" s="378">
        <v>-1123822</v>
      </c>
      <c r="J871" s="2">
        <f t="shared" si="15"/>
        <v>8</v>
      </c>
    </row>
    <row r="872" spans="1:10" ht="15.75" customHeight="1" x14ac:dyDescent="0.25">
      <c r="A872" s="380">
        <v>25300505</v>
      </c>
      <c r="B872" s="381" t="s">
        <v>315</v>
      </c>
      <c r="C872" s="381" t="s">
        <v>1218</v>
      </c>
      <c r="D872" s="381" t="s">
        <v>1219</v>
      </c>
      <c r="E872" s="381" t="s">
        <v>1220</v>
      </c>
      <c r="F872" s="378">
        <v>-92706</v>
      </c>
      <c r="G872" s="378">
        <v>0</v>
      </c>
      <c r="H872" s="378">
        <v>0</v>
      </c>
      <c r="I872" s="378">
        <v>-92706</v>
      </c>
      <c r="J872" s="2">
        <f t="shared" si="15"/>
        <v>8</v>
      </c>
    </row>
    <row r="873" spans="1:10" ht="15.75" customHeight="1" x14ac:dyDescent="0.25">
      <c r="A873" s="380">
        <v>25300505</v>
      </c>
      <c r="B873" s="381" t="s">
        <v>315</v>
      </c>
      <c r="C873" s="381" t="s">
        <v>1218</v>
      </c>
      <c r="D873" s="381" t="s">
        <v>774</v>
      </c>
      <c r="E873" s="381" t="s">
        <v>775</v>
      </c>
      <c r="F873" s="378">
        <v>-766382</v>
      </c>
      <c r="G873" s="378">
        <v>0</v>
      </c>
      <c r="H873" s="378">
        <v>136839</v>
      </c>
      <c r="I873" s="378">
        <v>-903221</v>
      </c>
      <c r="J873" s="2">
        <f t="shared" si="15"/>
        <v>8</v>
      </c>
    </row>
    <row r="874" spans="1:10" ht="15.75" customHeight="1" x14ac:dyDescent="0.25">
      <c r="A874" s="380">
        <v>25300505</v>
      </c>
      <c r="B874" s="381" t="s">
        <v>315</v>
      </c>
      <c r="C874" s="381" t="s">
        <v>1218</v>
      </c>
      <c r="D874" s="381" t="s">
        <v>1196</v>
      </c>
      <c r="E874" s="381" t="s">
        <v>1197</v>
      </c>
      <c r="F874" s="378">
        <v>-880822</v>
      </c>
      <c r="G874" s="378">
        <v>0</v>
      </c>
      <c r="H874" s="378">
        <v>166260</v>
      </c>
      <c r="I874" s="378">
        <v>-1047082</v>
      </c>
      <c r="J874" s="2">
        <f t="shared" si="15"/>
        <v>8</v>
      </c>
    </row>
    <row r="875" spans="1:10" ht="15.75" customHeight="1" x14ac:dyDescent="0.25">
      <c r="A875" s="380">
        <v>25300505</v>
      </c>
      <c r="B875" s="381" t="s">
        <v>315</v>
      </c>
      <c r="C875" s="381" t="s">
        <v>1218</v>
      </c>
      <c r="D875" s="381" t="s">
        <v>1078</v>
      </c>
      <c r="E875" s="381" t="s">
        <v>1079</v>
      </c>
      <c r="F875" s="378">
        <v>-1233333</v>
      </c>
      <c r="G875" s="378">
        <v>0</v>
      </c>
      <c r="H875" s="378">
        <v>812500</v>
      </c>
      <c r="I875" s="378">
        <v>-2045833</v>
      </c>
      <c r="J875" s="2">
        <f t="shared" si="15"/>
        <v>8</v>
      </c>
    </row>
    <row r="876" spans="1:10" ht="15.75" customHeight="1" x14ac:dyDescent="0.25">
      <c r="A876" s="380">
        <v>25300505</v>
      </c>
      <c r="B876" s="381" t="s">
        <v>315</v>
      </c>
      <c r="C876" s="381" t="s">
        <v>1218</v>
      </c>
      <c r="D876" s="381" t="s">
        <v>781</v>
      </c>
      <c r="E876" s="381" t="s">
        <v>782</v>
      </c>
      <c r="F876" s="378">
        <v>-994903</v>
      </c>
      <c r="G876" s="378">
        <v>0</v>
      </c>
      <c r="H876" s="378">
        <v>198980</v>
      </c>
      <c r="I876" s="378">
        <v>-1193883</v>
      </c>
      <c r="J876" s="2">
        <f t="shared" si="15"/>
        <v>8</v>
      </c>
    </row>
    <row r="877" spans="1:10" ht="15.75" customHeight="1" x14ac:dyDescent="0.25">
      <c r="A877" s="380">
        <v>25300505</v>
      </c>
      <c r="B877" s="381" t="s">
        <v>315</v>
      </c>
      <c r="C877" s="381" t="s">
        <v>1218</v>
      </c>
      <c r="D877" s="381" t="s">
        <v>728</v>
      </c>
      <c r="E877" s="381" t="s">
        <v>729</v>
      </c>
      <c r="F877" s="378">
        <v>-989853</v>
      </c>
      <c r="G877" s="378">
        <v>0</v>
      </c>
      <c r="H877" s="378">
        <v>197970</v>
      </c>
      <c r="I877" s="378">
        <v>-1187823</v>
      </c>
      <c r="J877" s="2">
        <f t="shared" si="15"/>
        <v>8</v>
      </c>
    </row>
    <row r="878" spans="1:10" ht="15.75" customHeight="1" x14ac:dyDescent="0.25">
      <c r="A878" s="380">
        <v>25300505</v>
      </c>
      <c r="B878" s="381" t="s">
        <v>315</v>
      </c>
      <c r="C878" s="381" t="s">
        <v>1218</v>
      </c>
      <c r="D878" s="381" t="s">
        <v>783</v>
      </c>
      <c r="E878" s="381" t="s">
        <v>784</v>
      </c>
      <c r="F878" s="378">
        <v>-778184</v>
      </c>
      <c r="G878" s="378">
        <v>0</v>
      </c>
      <c r="H878" s="378">
        <v>161202</v>
      </c>
      <c r="I878" s="378">
        <v>-939386</v>
      </c>
      <c r="J878" s="2">
        <f t="shared" si="15"/>
        <v>8</v>
      </c>
    </row>
    <row r="879" spans="1:10" ht="15.75" customHeight="1" x14ac:dyDescent="0.25">
      <c r="A879" s="380">
        <v>25300505</v>
      </c>
      <c r="B879" s="381" t="s">
        <v>315</v>
      </c>
      <c r="C879" s="381" t="s">
        <v>1218</v>
      </c>
      <c r="D879" s="381" t="s">
        <v>797</v>
      </c>
      <c r="E879" s="381" t="s">
        <v>798</v>
      </c>
      <c r="F879" s="378">
        <v>-751279</v>
      </c>
      <c r="G879" s="378">
        <v>0</v>
      </c>
      <c r="H879" s="378">
        <v>142127</v>
      </c>
      <c r="I879" s="378">
        <v>-893406</v>
      </c>
      <c r="J879" s="2">
        <f t="shared" si="15"/>
        <v>8</v>
      </c>
    </row>
    <row r="880" spans="1:10" ht="15.75" customHeight="1" x14ac:dyDescent="0.25">
      <c r="A880" s="380">
        <v>25300505</v>
      </c>
      <c r="B880" s="381" t="s">
        <v>315</v>
      </c>
      <c r="C880" s="381" t="s">
        <v>1218</v>
      </c>
      <c r="D880" s="381" t="s">
        <v>1221</v>
      </c>
      <c r="E880" s="381" t="s">
        <v>1494</v>
      </c>
      <c r="F880" s="378">
        <v>-790427</v>
      </c>
      <c r="G880" s="378">
        <v>0</v>
      </c>
      <c r="H880" s="378">
        <v>0</v>
      </c>
      <c r="I880" s="378">
        <v>-790427</v>
      </c>
      <c r="J880" s="2">
        <f t="shared" si="15"/>
        <v>8</v>
      </c>
    </row>
    <row r="881" spans="1:10" ht="15.75" customHeight="1" x14ac:dyDescent="0.25">
      <c r="A881" s="380">
        <v>25300505</v>
      </c>
      <c r="B881" s="381" t="s">
        <v>315</v>
      </c>
      <c r="C881" s="381" t="s">
        <v>1218</v>
      </c>
      <c r="D881" s="381" t="s">
        <v>1222</v>
      </c>
      <c r="E881" s="381" t="s">
        <v>1223</v>
      </c>
      <c r="F881" s="378">
        <v>-141734</v>
      </c>
      <c r="G881" s="378">
        <v>0</v>
      </c>
      <c r="H881" s="378">
        <v>0</v>
      </c>
      <c r="I881" s="378">
        <v>-141734</v>
      </c>
      <c r="J881" s="2">
        <f t="shared" si="15"/>
        <v>8</v>
      </c>
    </row>
    <row r="882" spans="1:10" ht="15.75" customHeight="1" x14ac:dyDescent="0.25">
      <c r="A882" s="380">
        <v>25300505</v>
      </c>
      <c r="B882" s="381" t="s">
        <v>315</v>
      </c>
      <c r="C882" s="381" t="s">
        <v>1218</v>
      </c>
      <c r="D882" s="381" t="s">
        <v>1198</v>
      </c>
      <c r="E882" s="381" t="s">
        <v>1199</v>
      </c>
      <c r="F882" s="378">
        <v>-207171</v>
      </c>
      <c r="G882" s="378">
        <v>0</v>
      </c>
      <c r="H882" s="378">
        <v>147091</v>
      </c>
      <c r="I882" s="378">
        <v>-354262</v>
      </c>
      <c r="J882" s="2">
        <f t="shared" si="15"/>
        <v>8</v>
      </c>
    </row>
    <row r="883" spans="1:10" ht="15.75" customHeight="1" x14ac:dyDescent="0.25">
      <c r="A883" s="380">
        <v>25300505</v>
      </c>
      <c r="B883" s="381" t="s">
        <v>315</v>
      </c>
      <c r="C883" s="381" t="s">
        <v>1218</v>
      </c>
      <c r="D883" s="381" t="s">
        <v>753</v>
      </c>
      <c r="E883" s="381" t="s">
        <v>754</v>
      </c>
      <c r="F883" s="378">
        <v>-135292</v>
      </c>
      <c r="G883" s="378">
        <v>0</v>
      </c>
      <c r="H883" s="378">
        <v>0</v>
      </c>
      <c r="I883" s="378">
        <v>-135292</v>
      </c>
      <c r="J883" s="2">
        <f t="shared" si="15"/>
        <v>8</v>
      </c>
    </row>
    <row r="884" spans="1:10" ht="15.75" customHeight="1" x14ac:dyDescent="0.25">
      <c r="A884" s="380">
        <v>25300505</v>
      </c>
      <c r="B884" s="381" t="s">
        <v>315</v>
      </c>
      <c r="C884" s="381" t="s">
        <v>1218</v>
      </c>
      <c r="D884" s="381" t="s">
        <v>1200</v>
      </c>
      <c r="E884" s="381" t="s">
        <v>1201</v>
      </c>
      <c r="F884" s="378">
        <v>-756138</v>
      </c>
      <c r="G884" s="378">
        <v>0</v>
      </c>
      <c r="H884" s="378">
        <v>167422</v>
      </c>
      <c r="I884" s="378">
        <v>-923560</v>
      </c>
      <c r="J884" s="2">
        <f t="shared" si="15"/>
        <v>8</v>
      </c>
    </row>
    <row r="885" spans="1:10" ht="15.75" customHeight="1" x14ac:dyDescent="0.25">
      <c r="A885" s="380">
        <v>25300505</v>
      </c>
      <c r="B885" s="381" t="s">
        <v>315</v>
      </c>
      <c r="C885" s="381" t="s">
        <v>1218</v>
      </c>
      <c r="D885" s="381" t="s">
        <v>786</v>
      </c>
      <c r="E885" s="381" t="s">
        <v>787</v>
      </c>
      <c r="F885" s="378">
        <v>-1091560</v>
      </c>
      <c r="G885" s="378">
        <v>0</v>
      </c>
      <c r="H885" s="378">
        <v>223300</v>
      </c>
      <c r="I885" s="378">
        <v>-1314860</v>
      </c>
      <c r="J885" s="2">
        <f t="shared" si="15"/>
        <v>8</v>
      </c>
    </row>
    <row r="886" spans="1:10" ht="15.75" customHeight="1" x14ac:dyDescent="0.25">
      <c r="A886" s="380">
        <v>25300505</v>
      </c>
      <c r="B886" s="381" t="s">
        <v>315</v>
      </c>
      <c r="C886" s="381" t="s">
        <v>1218</v>
      </c>
      <c r="D886" s="381" t="s">
        <v>1224</v>
      </c>
      <c r="E886" s="381" t="s">
        <v>1225</v>
      </c>
      <c r="F886" s="378">
        <v>-843665</v>
      </c>
      <c r="G886" s="378">
        <v>0</v>
      </c>
      <c r="H886" s="378">
        <v>196889</v>
      </c>
      <c r="I886" s="378">
        <v>-1040554</v>
      </c>
      <c r="J886" s="2">
        <f t="shared" si="15"/>
        <v>8</v>
      </c>
    </row>
    <row r="887" spans="1:10" ht="15.75" customHeight="1" x14ac:dyDescent="0.25">
      <c r="A887" s="380">
        <v>25300505</v>
      </c>
      <c r="B887" s="381" t="s">
        <v>315</v>
      </c>
      <c r="C887" s="381" t="s">
        <v>1218</v>
      </c>
      <c r="D887" s="381" t="s">
        <v>1226</v>
      </c>
      <c r="E887" s="381" t="s">
        <v>1227</v>
      </c>
      <c r="F887" s="378">
        <v>-40303</v>
      </c>
      <c r="G887" s="378">
        <v>0</v>
      </c>
      <c r="H887" s="378">
        <v>0</v>
      </c>
      <c r="I887" s="378">
        <v>-40303</v>
      </c>
      <c r="J887" s="2">
        <f t="shared" si="15"/>
        <v>8</v>
      </c>
    </row>
    <row r="888" spans="1:10" ht="15.75" customHeight="1" x14ac:dyDescent="0.25">
      <c r="A888" s="380">
        <v>25300505</v>
      </c>
      <c r="B888" s="381" t="s">
        <v>315</v>
      </c>
      <c r="C888" s="381" t="s">
        <v>1218</v>
      </c>
      <c r="D888" s="381" t="s">
        <v>1202</v>
      </c>
      <c r="E888" s="381" t="s">
        <v>1203</v>
      </c>
      <c r="F888" s="378">
        <v>-815226</v>
      </c>
      <c r="G888" s="378">
        <v>0</v>
      </c>
      <c r="H888" s="378">
        <v>157819</v>
      </c>
      <c r="I888" s="378">
        <v>-973045</v>
      </c>
      <c r="J888" s="2">
        <f t="shared" si="15"/>
        <v>8</v>
      </c>
    </row>
    <row r="889" spans="1:10" ht="15.75" customHeight="1" x14ac:dyDescent="0.25">
      <c r="A889" s="380">
        <v>25300505</v>
      </c>
      <c r="B889" s="381" t="s">
        <v>315</v>
      </c>
      <c r="C889" s="381" t="s">
        <v>1218</v>
      </c>
      <c r="D889" s="381" t="s">
        <v>1228</v>
      </c>
      <c r="E889" s="381" t="s">
        <v>1229</v>
      </c>
      <c r="F889" s="378">
        <v>-839909</v>
      </c>
      <c r="G889" s="378">
        <v>0</v>
      </c>
      <c r="H889" s="378">
        <v>112570</v>
      </c>
      <c r="I889" s="378">
        <v>-952479</v>
      </c>
      <c r="J889" s="2">
        <f t="shared" si="15"/>
        <v>8</v>
      </c>
    </row>
    <row r="890" spans="1:10" ht="15.75" customHeight="1" x14ac:dyDescent="0.25">
      <c r="A890" s="380">
        <v>25300505</v>
      </c>
      <c r="B890" s="381" t="s">
        <v>315</v>
      </c>
      <c r="C890" s="381" t="s">
        <v>1218</v>
      </c>
      <c r="D890" s="381" t="s">
        <v>1086</v>
      </c>
      <c r="E890" s="381" t="s">
        <v>1087</v>
      </c>
      <c r="F890" s="378">
        <v>-787313</v>
      </c>
      <c r="G890" s="378">
        <v>0</v>
      </c>
      <c r="H890" s="378">
        <v>158448</v>
      </c>
      <c r="I890" s="378">
        <v>-945761</v>
      </c>
      <c r="J890" s="2">
        <f t="shared" si="15"/>
        <v>8</v>
      </c>
    </row>
    <row r="891" spans="1:10" ht="15.75" customHeight="1" x14ac:dyDescent="0.25">
      <c r="A891" s="380">
        <v>25300505</v>
      </c>
      <c r="B891" s="381" t="s">
        <v>315</v>
      </c>
      <c r="C891" s="381" t="s">
        <v>1218</v>
      </c>
      <c r="D891" s="381" t="s">
        <v>404</v>
      </c>
      <c r="E891" s="381" t="s">
        <v>1230</v>
      </c>
      <c r="F891" s="378">
        <v>-738416</v>
      </c>
      <c r="G891" s="378">
        <v>0</v>
      </c>
      <c r="H891" s="378">
        <v>147405</v>
      </c>
      <c r="I891" s="378">
        <v>-885821</v>
      </c>
      <c r="J891" s="2">
        <f t="shared" si="15"/>
        <v>8</v>
      </c>
    </row>
    <row r="892" spans="1:10" ht="15.75" customHeight="1" x14ac:dyDescent="0.25">
      <c r="A892" s="380">
        <v>25300505</v>
      </c>
      <c r="B892" s="381" t="s">
        <v>315</v>
      </c>
      <c r="C892" s="381" t="s">
        <v>1218</v>
      </c>
      <c r="D892" s="381" t="s">
        <v>1204</v>
      </c>
      <c r="E892" s="381" t="s">
        <v>1205</v>
      </c>
      <c r="F892" s="378">
        <v>-187312</v>
      </c>
      <c r="G892" s="378">
        <v>0</v>
      </c>
      <c r="H892" s="378">
        <v>145672</v>
      </c>
      <c r="I892" s="378">
        <v>-332984</v>
      </c>
      <c r="J892" s="2">
        <f t="shared" si="15"/>
        <v>8</v>
      </c>
    </row>
    <row r="893" spans="1:10" ht="15.75" customHeight="1" x14ac:dyDescent="0.25">
      <c r="A893" s="380">
        <v>25300505</v>
      </c>
      <c r="B893" s="381" t="s">
        <v>315</v>
      </c>
      <c r="C893" s="381" t="s">
        <v>1218</v>
      </c>
      <c r="D893" s="381" t="s">
        <v>1231</v>
      </c>
      <c r="E893" s="381" t="s">
        <v>1232</v>
      </c>
      <c r="F893" s="378">
        <v>-149099</v>
      </c>
      <c r="G893" s="378">
        <v>0</v>
      </c>
      <c r="H893" s="378">
        <v>0</v>
      </c>
      <c r="I893" s="378">
        <v>-149099</v>
      </c>
      <c r="J893" s="2">
        <f t="shared" si="15"/>
        <v>8</v>
      </c>
    </row>
    <row r="894" spans="1:10" ht="15.75" customHeight="1" x14ac:dyDescent="0.25">
      <c r="A894" s="380">
        <v>25300505</v>
      </c>
      <c r="B894" s="381" t="s">
        <v>315</v>
      </c>
      <c r="C894" s="381" t="s">
        <v>1218</v>
      </c>
      <c r="D894" s="381" t="s">
        <v>788</v>
      </c>
      <c r="E894" s="381" t="s">
        <v>789</v>
      </c>
      <c r="F894" s="378">
        <v>-1287638</v>
      </c>
      <c r="G894" s="378">
        <v>0</v>
      </c>
      <c r="H894" s="378">
        <v>255468</v>
      </c>
      <c r="I894" s="378">
        <v>-1543106</v>
      </c>
      <c r="J894" s="2">
        <f t="shared" si="15"/>
        <v>8</v>
      </c>
    </row>
    <row r="895" spans="1:10" ht="15.75" customHeight="1" x14ac:dyDescent="0.25">
      <c r="A895" s="380">
        <v>25300505</v>
      </c>
      <c r="B895" s="381" t="s">
        <v>315</v>
      </c>
      <c r="C895" s="381" t="s">
        <v>1218</v>
      </c>
      <c r="D895" s="381" t="s">
        <v>1206</v>
      </c>
      <c r="E895" s="381" t="s">
        <v>1207</v>
      </c>
      <c r="F895" s="378">
        <v>-826381</v>
      </c>
      <c r="G895" s="378">
        <v>0</v>
      </c>
      <c r="H895" s="378">
        <v>176557</v>
      </c>
      <c r="I895" s="378">
        <v>-1002938</v>
      </c>
      <c r="J895" s="2">
        <f t="shared" si="15"/>
        <v>8</v>
      </c>
    </row>
    <row r="896" spans="1:10" ht="15.75" customHeight="1" x14ac:dyDescent="0.25">
      <c r="A896" s="380">
        <v>25300505</v>
      </c>
      <c r="B896" s="381" t="s">
        <v>315</v>
      </c>
      <c r="C896" s="381" t="s">
        <v>1218</v>
      </c>
      <c r="D896" s="381" t="s">
        <v>1088</v>
      </c>
      <c r="E896" s="381" t="s">
        <v>1089</v>
      </c>
      <c r="F896" s="378">
        <v>0</v>
      </c>
      <c r="G896" s="378">
        <v>0</v>
      </c>
      <c r="H896" s="378">
        <v>35822</v>
      </c>
      <c r="I896" s="378">
        <v>-35822</v>
      </c>
      <c r="J896" s="2">
        <f t="shared" si="15"/>
        <v>8</v>
      </c>
    </row>
    <row r="897" spans="1:10" ht="15.75" customHeight="1" x14ac:dyDescent="0.25">
      <c r="A897" s="380">
        <v>25300505</v>
      </c>
      <c r="B897" s="381" t="s">
        <v>315</v>
      </c>
      <c r="C897" s="381" t="s">
        <v>1218</v>
      </c>
      <c r="D897" s="381" t="s">
        <v>776</v>
      </c>
      <c r="E897" s="381" t="s">
        <v>777</v>
      </c>
      <c r="F897" s="378">
        <v>-937019</v>
      </c>
      <c r="G897" s="378">
        <v>0</v>
      </c>
      <c r="H897" s="378">
        <v>181327</v>
      </c>
      <c r="I897" s="378">
        <v>-1118346</v>
      </c>
      <c r="J897" s="2">
        <f t="shared" si="15"/>
        <v>8</v>
      </c>
    </row>
    <row r="898" spans="1:10" ht="15.75" customHeight="1" x14ac:dyDescent="0.25">
      <c r="A898" s="380">
        <v>25300505</v>
      </c>
      <c r="B898" s="381" t="s">
        <v>315</v>
      </c>
      <c r="C898" s="381" t="s">
        <v>1218</v>
      </c>
      <c r="D898" s="381" t="s">
        <v>790</v>
      </c>
      <c r="E898" s="381" t="s">
        <v>791</v>
      </c>
      <c r="F898" s="378">
        <v>-846200</v>
      </c>
      <c r="G898" s="378">
        <v>0</v>
      </c>
      <c r="H898" s="378">
        <v>190571</v>
      </c>
      <c r="I898" s="378">
        <v>-1036771</v>
      </c>
      <c r="J898" s="2">
        <f t="shared" si="15"/>
        <v>8</v>
      </c>
    </row>
    <row r="899" spans="1:10" ht="15.75" customHeight="1" x14ac:dyDescent="0.25">
      <c r="A899" s="380">
        <v>25300505</v>
      </c>
      <c r="B899" s="381" t="s">
        <v>315</v>
      </c>
      <c r="C899" s="381" t="s">
        <v>1218</v>
      </c>
      <c r="D899" s="381" t="s">
        <v>1233</v>
      </c>
      <c r="E899" s="381" t="s">
        <v>1234</v>
      </c>
      <c r="F899" s="378">
        <v>-556222</v>
      </c>
      <c r="G899" s="378">
        <v>0</v>
      </c>
      <c r="H899" s="378">
        <v>0</v>
      </c>
      <c r="I899" s="378">
        <v>-556222</v>
      </c>
      <c r="J899" s="2">
        <f t="shared" si="15"/>
        <v>8</v>
      </c>
    </row>
    <row r="900" spans="1:10" ht="15.75" customHeight="1" x14ac:dyDescent="0.25">
      <c r="A900" s="380">
        <v>25300505</v>
      </c>
      <c r="B900" s="381" t="s">
        <v>315</v>
      </c>
      <c r="C900" s="381" t="s">
        <v>1218</v>
      </c>
      <c r="D900" s="381" t="s">
        <v>1235</v>
      </c>
      <c r="E900" s="381" t="s">
        <v>1236</v>
      </c>
      <c r="F900" s="378">
        <v>-67646</v>
      </c>
      <c r="G900" s="378">
        <v>0</v>
      </c>
      <c r="H900" s="378">
        <v>0</v>
      </c>
      <c r="I900" s="378">
        <v>-67646</v>
      </c>
      <c r="J900" s="2">
        <f t="shared" si="15"/>
        <v>8</v>
      </c>
    </row>
    <row r="901" spans="1:10" ht="15.75" customHeight="1" x14ac:dyDescent="0.25">
      <c r="A901" s="380">
        <v>25300505</v>
      </c>
      <c r="B901" s="381" t="s">
        <v>315</v>
      </c>
      <c r="C901" s="381" t="s">
        <v>1218</v>
      </c>
      <c r="D901" s="381" t="s">
        <v>1208</v>
      </c>
      <c r="E901" s="381" t="s">
        <v>1209</v>
      </c>
      <c r="F901" s="378">
        <v>-845969</v>
      </c>
      <c r="G901" s="378">
        <v>0</v>
      </c>
      <c r="H901" s="378">
        <v>163362</v>
      </c>
      <c r="I901" s="378">
        <v>-1009331</v>
      </c>
      <c r="J901" s="2">
        <f t="shared" si="15"/>
        <v>8</v>
      </c>
    </row>
    <row r="902" spans="1:10" ht="15.75" customHeight="1" x14ac:dyDescent="0.25">
      <c r="A902" s="380">
        <v>25300505</v>
      </c>
      <c r="B902" s="381" t="s">
        <v>315</v>
      </c>
      <c r="C902" s="381" t="s">
        <v>1218</v>
      </c>
      <c r="D902" s="381" t="s">
        <v>1237</v>
      </c>
      <c r="E902" s="381" t="s">
        <v>1238</v>
      </c>
      <c r="F902" s="378">
        <v>-216116</v>
      </c>
      <c r="G902" s="378">
        <v>0</v>
      </c>
      <c r="H902" s="378">
        <v>181028</v>
      </c>
      <c r="I902" s="378">
        <v>-397144</v>
      </c>
      <c r="J902" s="2">
        <f t="shared" si="15"/>
        <v>8</v>
      </c>
    </row>
    <row r="903" spans="1:10" ht="15.75" customHeight="1" x14ac:dyDescent="0.25">
      <c r="A903" s="380">
        <v>25300505</v>
      </c>
      <c r="B903" s="381" t="s">
        <v>315</v>
      </c>
      <c r="C903" s="381" t="s">
        <v>1218</v>
      </c>
      <c r="D903" s="381" t="s">
        <v>1239</v>
      </c>
      <c r="E903" s="381" t="s">
        <v>1240</v>
      </c>
      <c r="F903" s="378">
        <v>-807398</v>
      </c>
      <c r="G903" s="378">
        <v>0</v>
      </c>
      <c r="H903" s="378">
        <v>0</v>
      </c>
      <c r="I903" s="378">
        <v>-807398</v>
      </c>
      <c r="J903" s="2">
        <f t="shared" si="15"/>
        <v>8</v>
      </c>
    </row>
    <row r="904" spans="1:10" ht="15.75" customHeight="1" x14ac:dyDescent="0.25">
      <c r="A904" s="380">
        <v>25300505</v>
      </c>
      <c r="B904" s="381" t="s">
        <v>315</v>
      </c>
      <c r="C904" s="381" t="s">
        <v>1218</v>
      </c>
      <c r="D904" s="381" t="s">
        <v>1210</v>
      </c>
      <c r="E904" s="381" t="s">
        <v>1211</v>
      </c>
      <c r="F904" s="378">
        <v>-764687</v>
      </c>
      <c r="G904" s="378">
        <v>0</v>
      </c>
      <c r="H904" s="378">
        <v>143160</v>
      </c>
      <c r="I904" s="378">
        <v>-907847</v>
      </c>
      <c r="J904" s="2">
        <f t="shared" si="15"/>
        <v>8</v>
      </c>
    </row>
    <row r="905" spans="1:10" ht="15.75" customHeight="1" x14ac:dyDescent="0.25">
      <c r="A905" s="380">
        <v>25300505</v>
      </c>
      <c r="B905" s="381" t="s">
        <v>315</v>
      </c>
      <c r="C905" s="381" t="s">
        <v>1218</v>
      </c>
      <c r="D905" s="381" t="s">
        <v>1090</v>
      </c>
      <c r="E905" s="381" t="s">
        <v>1091</v>
      </c>
      <c r="F905" s="378">
        <v>-962535</v>
      </c>
      <c r="G905" s="378">
        <v>0</v>
      </c>
      <c r="H905" s="378">
        <v>222910</v>
      </c>
      <c r="I905" s="378">
        <v>-1185445</v>
      </c>
      <c r="J905" s="2">
        <f t="shared" si="15"/>
        <v>8</v>
      </c>
    </row>
    <row r="906" spans="1:10" ht="15.75" customHeight="1" x14ac:dyDescent="0.25">
      <c r="A906" s="380">
        <v>25300505</v>
      </c>
      <c r="B906" s="381" t="s">
        <v>315</v>
      </c>
      <c r="C906" s="381" t="s">
        <v>1218</v>
      </c>
      <c r="D906" s="381" t="s">
        <v>1241</v>
      </c>
      <c r="E906" s="381" t="s">
        <v>1242</v>
      </c>
      <c r="F906" s="378">
        <v>-776328</v>
      </c>
      <c r="G906" s="378">
        <v>0</v>
      </c>
      <c r="H906" s="378">
        <v>153277</v>
      </c>
      <c r="I906" s="378">
        <v>-929605</v>
      </c>
      <c r="J906" s="2">
        <f t="shared" si="15"/>
        <v>8</v>
      </c>
    </row>
    <row r="907" spans="1:10" ht="15.75" customHeight="1" x14ac:dyDescent="0.25">
      <c r="A907" s="380">
        <v>25300505</v>
      </c>
      <c r="B907" s="381" t="s">
        <v>315</v>
      </c>
      <c r="C907" s="381" t="s">
        <v>1218</v>
      </c>
      <c r="D907" s="381" t="s">
        <v>792</v>
      </c>
      <c r="E907" s="381" t="s">
        <v>793</v>
      </c>
      <c r="F907" s="378">
        <v>-915987</v>
      </c>
      <c r="G907" s="378">
        <v>0</v>
      </c>
      <c r="H907" s="378">
        <v>198830</v>
      </c>
      <c r="I907" s="378">
        <v>-1114817</v>
      </c>
      <c r="J907" s="2">
        <f t="shared" si="15"/>
        <v>8</v>
      </c>
    </row>
    <row r="908" spans="1:10" ht="15.75" customHeight="1" x14ac:dyDescent="0.25">
      <c r="A908" s="380">
        <v>25300505</v>
      </c>
      <c r="B908" s="381" t="s">
        <v>315</v>
      </c>
      <c r="C908" s="381" t="s">
        <v>1218</v>
      </c>
      <c r="D908" s="381" t="s">
        <v>794</v>
      </c>
      <c r="E908" s="381" t="s">
        <v>795</v>
      </c>
      <c r="F908" s="378">
        <v>-790430</v>
      </c>
      <c r="G908" s="378">
        <v>0</v>
      </c>
      <c r="H908" s="378">
        <v>320374</v>
      </c>
      <c r="I908" s="378">
        <v>-1110804</v>
      </c>
      <c r="J908" s="2">
        <f t="shared" si="15"/>
        <v>8</v>
      </c>
    </row>
    <row r="909" spans="1:10" ht="15.75" customHeight="1" x14ac:dyDescent="0.25">
      <c r="A909" s="380">
        <v>25300505</v>
      </c>
      <c r="B909" s="381" t="s">
        <v>315</v>
      </c>
      <c r="C909" s="381" t="s">
        <v>1218</v>
      </c>
      <c r="D909" s="381" t="s">
        <v>1212</v>
      </c>
      <c r="E909" s="381" t="s">
        <v>1213</v>
      </c>
      <c r="F909" s="378">
        <v>0</v>
      </c>
      <c r="G909" s="378">
        <v>0</v>
      </c>
      <c r="H909" s="378">
        <v>99214</v>
      </c>
      <c r="I909" s="378">
        <v>-99214</v>
      </c>
      <c r="J909" s="2">
        <f t="shared" ref="J909:J972" si="16">+LEN(A909)</f>
        <v>8</v>
      </c>
    </row>
    <row r="910" spans="1:10" ht="15.75" customHeight="1" x14ac:dyDescent="0.25">
      <c r="A910" s="380">
        <v>25300505</v>
      </c>
      <c r="B910" s="381" t="s">
        <v>315</v>
      </c>
      <c r="C910" s="381" t="s">
        <v>1218</v>
      </c>
      <c r="D910" s="381" t="s">
        <v>1092</v>
      </c>
      <c r="E910" s="381" t="s">
        <v>1093</v>
      </c>
      <c r="F910" s="378">
        <v>-941083</v>
      </c>
      <c r="G910" s="378">
        <v>0</v>
      </c>
      <c r="H910" s="378">
        <v>12551</v>
      </c>
      <c r="I910" s="378">
        <v>-953634</v>
      </c>
      <c r="J910" s="2">
        <f t="shared" si="16"/>
        <v>8</v>
      </c>
    </row>
    <row r="911" spans="1:10" ht="15.75" customHeight="1" x14ac:dyDescent="0.25">
      <c r="A911" s="380">
        <v>25300505</v>
      </c>
      <c r="B911" s="381" t="s">
        <v>315</v>
      </c>
      <c r="C911" s="381" t="s">
        <v>1218</v>
      </c>
      <c r="D911" s="381" t="s">
        <v>1243</v>
      </c>
      <c r="E911" s="381" t="s">
        <v>1244</v>
      </c>
      <c r="F911" s="378">
        <v>-449286</v>
      </c>
      <c r="G911" s="378">
        <v>0</v>
      </c>
      <c r="H911" s="378">
        <v>0</v>
      </c>
      <c r="I911" s="378">
        <v>-449286</v>
      </c>
      <c r="J911" s="2">
        <f t="shared" si="16"/>
        <v>8</v>
      </c>
    </row>
    <row r="912" spans="1:10" ht="15.75" customHeight="1" x14ac:dyDescent="0.25">
      <c r="A912" s="380">
        <v>25300505</v>
      </c>
      <c r="B912" s="381" t="s">
        <v>315</v>
      </c>
      <c r="C912" s="381" t="s">
        <v>1218</v>
      </c>
      <c r="D912" s="381" t="s">
        <v>1214</v>
      </c>
      <c r="E912" s="381" t="s">
        <v>1489</v>
      </c>
      <c r="F912" s="378">
        <v>-994903</v>
      </c>
      <c r="G912" s="378">
        <v>0</v>
      </c>
      <c r="H912" s="378">
        <v>198980</v>
      </c>
      <c r="I912" s="378">
        <v>-1193883</v>
      </c>
      <c r="J912" s="2">
        <f t="shared" si="16"/>
        <v>8</v>
      </c>
    </row>
    <row r="913" spans="1:10" ht="15.75" customHeight="1" x14ac:dyDescent="0.25">
      <c r="A913" s="380">
        <v>25300505</v>
      </c>
      <c r="B913" s="381" t="s">
        <v>315</v>
      </c>
      <c r="C913" s="381" t="s">
        <v>1218</v>
      </c>
      <c r="D913" s="381" t="s">
        <v>1094</v>
      </c>
      <c r="E913" s="381" t="s">
        <v>1095</v>
      </c>
      <c r="F913" s="378">
        <v>-750743</v>
      </c>
      <c r="G913" s="378">
        <v>0</v>
      </c>
      <c r="H913" s="378">
        <v>151123</v>
      </c>
      <c r="I913" s="378">
        <v>-901866</v>
      </c>
      <c r="J913" s="2">
        <f t="shared" si="16"/>
        <v>8</v>
      </c>
    </row>
    <row r="914" spans="1:10" ht="15.75" customHeight="1" x14ac:dyDescent="0.25">
      <c r="A914" s="380">
        <v>25300510</v>
      </c>
      <c r="B914" s="381" t="s">
        <v>315</v>
      </c>
      <c r="C914" s="381" t="s">
        <v>1245</v>
      </c>
      <c r="D914" s="381" t="s">
        <v>315</v>
      </c>
      <c r="E914" s="381" t="s">
        <v>315</v>
      </c>
      <c r="F914" s="378">
        <v>4170330</v>
      </c>
      <c r="G914" s="378">
        <v>2749333</v>
      </c>
      <c r="H914" s="378">
        <v>0</v>
      </c>
      <c r="I914" s="378">
        <v>6919663</v>
      </c>
      <c r="J914" s="2">
        <f t="shared" si="16"/>
        <v>8</v>
      </c>
    </row>
    <row r="915" spans="1:10" ht="15.75" customHeight="1" x14ac:dyDescent="0.25">
      <c r="A915" s="380">
        <v>25300510</v>
      </c>
      <c r="B915" s="381" t="s">
        <v>315</v>
      </c>
      <c r="C915" s="381" t="s">
        <v>1245</v>
      </c>
      <c r="D915" s="381" t="s">
        <v>1246</v>
      </c>
      <c r="E915" s="381" t="s">
        <v>1247</v>
      </c>
      <c r="F915" s="378">
        <v>1934</v>
      </c>
      <c r="G915" s="378">
        <v>0</v>
      </c>
      <c r="H915" s="378">
        <v>0</v>
      </c>
      <c r="I915" s="378">
        <v>1934</v>
      </c>
      <c r="J915" s="2">
        <f t="shared" si="16"/>
        <v>8</v>
      </c>
    </row>
    <row r="916" spans="1:10" ht="15.75" customHeight="1" x14ac:dyDescent="0.25">
      <c r="A916" s="380">
        <v>25300510</v>
      </c>
      <c r="B916" s="381" t="s">
        <v>315</v>
      </c>
      <c r="C916" s="381" t="s">
        <v>1245</v>
      </c>
      <c r="D916" s="381" t="s">
        <v>1219</v>
      </c>
      <c r="E916" s="381" t="s">
        <v>1220</v>
      </c>
      <c r="F916" s="378">
        <v>92706</v>
      </c>
      <c r="G916" s="378">
        <v>0</v>
      </c>
      <c r="H916" s="378">
        <v>0</v>
      </c>
      <c r="I916" s="378">
        <v>92706</v>
      </c>
      <c r="J916" s="2">
        <f t="shared" si="16"/>
        <v>8</v>
      </c>
    </row>
    <row r="917" spans="1:10" ht="15.75" customHeight="1" x14ac:dyDescent="0.25">
      <c r="A917" s="380">
        <v>25300510</v>
      </c>
      <c r="B917" s="381" t="s">
        <v>315</v>
      </c>
      <c r="C917" s="381" t="s">
        <v>1245</v>
      </c>
      <c r="D917" s="381" t="s">
        <v>1221</v>
      </c>
      <c r="E917" s="381" t="s">
        <v>1494</v>
      </c>
      <c r="F917" s="378">
        <v>790427</v>
      </c>
      <c r="G917" s="378">
        <v>0</v>
      </c>
      <c r="H917" s="378">
        <v>0</v>
      </c>
      <c r="I917" s="378">
        <v>790427</v>
      </c>
      <c r="J917" s="2">
        <f t="shared" si="16"/>
        <v>8</v>
      </c>
    </row>
    <row r="918" spans="1:10" ht="15.75" customHeight="1" x14ac:dyDescent="0.25">
      <c r="A918" s="380">
        <v>25300510</v>
      </c>
      <c r="B918" s="381" t="s">
        <v>315</v>
      </c>
      <c r="C918" s="381" t="s">
        <v>1245</v>
      </c>
      <c r="D918" s="381" t="s">
        <v>1222</v>
      </c>
      <c r="E918" s="381" t="s">
        <v>1223</v>
      </c>
      <c r="F918" s="378">
        <v>141734</v>
      </c>
      <c r="G918" s="378">
        <v>0</v>
      </c>
      <c r="H918" s="378">
        <v>0</v>
      </c>
      <c r="I918" s="378">
        <v>141734</v>
      </c>
      <c r="J918" s="2">
        <f t="shared" si="16"/>
        <v>8</v>
      </c>
    </row>
    <row r="919" spans="1:10" ht="15.75" customHeight="1" x14ac:dyDescent="0.25">
      <c r="A919" s="380">
        <v>25300510</v>
      </c>
      <c r="B919" s="381" t="s">
        <v>315</v>
      </c>
      <c r="C919" s="381" t="s">
        <v>1245</v>
      </c>
      <c r="D919" s="381" t="s">
        <v>753</v>
      </c>
      <c r="E919" s="381" t="s">
        <v>754</v>
      </c>
      <c r="F919" s="378">
        <v>135292</v>
      </c>
      <c r="G919" s="378">
        <v>0</v>
      </c>
      <c r="H919" s="378">
        <v>0</v>
      </c>
      <c r="I919" s="378">
        <v>135292</v>
      </c>
      <c r="J919" s="2">
        <f t="shared" si="16"/>
        <v>8</v>
      </c>
    </row>
    <row r="920" spans="1:10" ht="15.75" customHeight="1" x14ac:dyDescent="0.25">
      <c r="A920" s="380">
        <v>25300510</v>
      </c>
      <c r="B920" s="381" t="s">
        <v>315</v>
      </c>
      <c r="C920" s="381" t="s">
        <v>1245</v>
      </c>
      <c r="D920" s="381" t="s">
        <v>1226</v>
      </c>
      <c r="E920" s="381" t="s">
        <v>1227</v>
      </c>
      <c r="F920" s="378">
        <v>40303</v>
      </c>
      <c r="G920" s="378">
        <v>0</v>
      </c>
      <c r="H920" s="378">
        <v>0</v>
      </c>
      <c r="I920" s="378">
        <v>40303</v>
      </c>
      <c r="J920" s="2">
        <f t="shared" si="16"/>
        <v>8</v>
      </c>
    </row>
    <row r="921" spans="1:10" ht="15.75" customHeight="1" x14ac:dyDescent="0.25">
      <c r="A921" s="380">
        <v>25300510</v>
      </c>
      <c r="B921" s="381" t="s">
        <v>315</v>
      </c>
      <c r="C921" s="381" t="s">
        <v>1245</v>
      </c>
      <c r="D921" s="381" t="s">
        <v>1228</v>
      </c>
      <c r="E921" s="381" t="s">
        <v>1229</v>
      </c>
      <c r="F921" s="378">
        <v>0</v>
      </c>
      <c r="G921" s="378">
        <v>952479</v>
      </c>
      <c r="H921" s="378">
        <v>0</v>
      </c>
      <c r="I921" s="378">
        <v>952479</v>
      </c>
      <c r="J921" s="2">
        <f t="shared" si="16"/>
        <v>8</v>
      </c>
    </row>
    <row r="922" spans="1:10" ht="15.75" customHeight="1" x14ac:dyDescent="0.25">
      <c r="A922" s="380">
        <v>25300510</v>
      </c>
      <c r="B922" s="381" t="s">
        <v>315</v>
      </c>
      <c r="C922" s="381" t="s">
        <v>1245</v>
      </c>
      <c r="D922" s="381" t="s">
        <v>1231</v>
      </c>
      <c r="E922" s="381" t="s">
        <v>1232</v>
      </c>
      <c r="F922" s="378">
        <v>149099</v>
      </c>
      <c r="G922" s="378">
        <v>0</v>
      </c>
      <c r="H922" s="378">
        <v>0</v>
      </c>
      <c r="I922" s="378">
        <v>149099</v>
      </c>
      <c r="J922" s="2">
        <f t="shared" si="16"/>
        <v>8</v>
      </c>
    </row>
    <row r="923" spans="1:10" ht="15.75" customHeight="1" x14ac:dyDescent="0.25">
      <c r="A923" s="380">
        <v>25300510</v>
      </c>
      <c r="B923" s="381" t="s">
        <v>315</v>
      </c>
      <c r="C923" s="381" t="s">
        <v>1245</v>
      </c>
      <c r="D923" s="381" t="s">
        <v>1088</v>
      </c>
      <c r="E923" s="381" t="s">
        <v>1089</v>
      </c>
      <c r="F923" s="378">
        <v>0</v>
      </c>
      <c r="G923" s="378">
        <v>755434</v>
      </c>
      <c r="H923" s="378">
        <v>0</v>
      </c>
      <c r="I923" s="378">
        <v>755434</v>
      </c>
      <c r="J923" s="2">
        <f t="shared" si="16"/>
        <v>8</v>
      </c>
    </row>
    <row r="924" spans="1:10" ht="15.75" customHeight="1" x14ac:dyDescent="0.25">
      <c r="A924" s="380">
        <v>25300510</v>
      </c>
      <c r="B924" s="381" t="s">
        <v>315</v>
      </c>
      <c r="C924" s="381" t="s">
        <v>1245</v>
      </c>
      <c r="D924" s="381" t="s">
        <v>1233</v>
      </c>
      <c r="E924" s="381" t="s">
        <v>1234</v>
      </c>
      <c r="F924" s="378">
        <v>556222</v>
      </c>
      <c r="G924" s="378">
        <v>0</v>
      </c>
      <c r="H924" s="378">
        <v>0</v>
      </c>
      <c r="I924" s="378">
        <v>556222</v>
      </c>
      <c r="J924" s="2">
        <f t="shared" si="16"/>
        <v>8</v>
      </c>
    </row>
    <row r="925" spans="1:10" ht="15.75" customHeight="1" x14ac:dyDescent="0.25">
      <c r="A925" s="380">
        <v>25300510</v>
      </c>
      <c r="B925" s="381" t="s">
        <v>315</v>
      </c>
      <c r="C925" s="381" t="s">
        <v>1245</v>
      </c>
      <c r="D925" s="381" t="s">
        <v>1235</v>
      </c>
      <c r="E925" s="381" t="s">
        <v>1236</v>
      </c>
      <c r="F925" s="378">
        <v>1807458</v>
      </c>
      <c r="G925" s="378">
        <v>0</v>
      </c>
      <c r="H925" s="378">
        <v>0</v>
      </c>
      <c r="I925" s="378">
        <v>1807458</v>
      </c>
      <c r="J925" s="2">
        <f t="shared" si="16"/>
        <v>8</v>
      </c>
    </row>
    <row r="926" spans="1:10" ht="15.75" customHeight="1" x14ac:dyDescent="0.25">
      <c r="A926" s="380">
        <v>25300510</v>
      </c>
      <c r="B926" s="381" t="s">
        <v>315</v>
      </c>
      <c r="C926" s="381" t="s">
        <v>1245</v>
      </c>
      <c r="D926" s="381" t="s">
        <v>1239</v>
      </c>
      <c r="E926" s="381" t="s">
        <v>1240</v>
      </c>
      <c r="F926" s="378">
        <v>0</v>
      </c>
      <c r="G926" s="378">
        <v>87786</v>
      </c>
      <c r="H926" s="378">
        <v>0</v>
      </c>
      <c r="I926" s="378">
        <v>87786</v>
      </c>
      <c r="J926" s="2">
        <f t="shared" si="16"/>
        <v>8</v>
      </c>
    </row>
    <row r="927" spans="1:10" ht="15.75" customHeight="1" x14ac:dyDescent="0.25">
      <c r="A927" s="380">
        <v>25300510</v>
      </c>
      <c r="B927" s="381" t="s">
        <v>315</v>
      </c>
      <c r="C927" s="381" t="s">
        <v>1245</v>
      </c>
      <c r="D927" s="381" t="s">
        <v>1248</v>
      </c>
      <c r="E927" s="381" t="s">
        <v>1249</v>
      </c>
      <c r="F927" s="378">
        <v>5869</v>
      </c>
      <c r="G927" s="378">
        <v>0</v>
      </c>
      <c r="H927" s="378">
        <v>0</v>
      </c>
      <c r="I927" s="378">
        <v>5869</v>
      </c>
      <c r="J927" s="2">
        <f t="shared" si="16"/>
        <v>8</v>
      </c>
    </row>
    <row r="928" spans="1:10" ht="15.75" customHeight="1" x14ac:dyDescent="0.25">
      <c r="A928" s="380">
        <v>25300510</v>
      </c>
      <c r="B928" s="381" t="s">
        <v>315</v>
      </c>
      <c r="C928" s="381" t="s">
        <v>1245</v>
      </c>
      <c r="D928" s="381" t="s">
        <v>1092</v>
      </c>
      <c r="E928" s="381" t="s">
        <v>1093</v>
      </c>
      <c r="F928" s="378">
        <v>0</v>
      </c>
      <c r="G928" s="378">
        <v>953634</v>
      </c>
      <c r="H928" s="378">
        <v>0</v>
      </c>
      <c r="I928" s="378">
        <v>953634</v>
      </c>
      <c r="J928" s="2">
        <f t="shared" si="16"/>
        <v>8</v>
      </c>
    </row>
    <row r="929" spans="1:10" ht="15.75" customHeight="1" x14ac:dyDescent="0.25">
      <c r="A929" s="380">
        <v>25300510</v>
      </c>
      <c r="B929" s="381" t="s">
        <v>315</v>
      </c>
      <c r="C929" s="381" t="s">
        <v>1245</v>
      </c>
      <c r="D929" s="381" t="s">
        <v>1243</v>
      </c>
      <c r="E929" s="381" t="s">
        <v>1244</v>
      </c>
      <c r="F929" s="378">
        <v>449286</v>
      </c>
      <c r="G929" s="378">
        <v>0</v>
      </c>
      <c r="H929" s="378">
        <v>0</v>
      </c>
      <c r="I929" s="378">
        <v>449286</v>
      </c>
      <c r="J929" s="2">
        <f t="shared" si="16"/>
        <v>8</v>
      </c>
    </row>
    <row r="930" spans="1:10" ht="15.75" customHeight="1" x14ac:dyDescent="0.25">
      <c r="A930" s="380">
        <v>253010</v>
      </c>
      <c r="B930" s="381" t="s">
        <v>315</v>
      </c>
      <c r="C930" s="381" t="s">
        <v>451</v>
      </c>
      <c r="D930" s="381" t="s">
        <v>315</v>
      </c>
      <c r="E930" s="381" t="s">
        <v>315</v>
      </c>
      <c r="F930" s="378">
        <v>-1492055</v>
      </c>
      <c r="G930" s="378">
        <v>145263</v>
      </c>
      <c r="H930" s="378">
        <v>599222</v>
      </c>
      <c r="I930" s="378">
        <v>-1946014</v>
      </c>
      <c r="J930" s="2">
        <f t="shared" si="16"/>
        <v>6</v>
      </c>
    </row>
    <row r="931" spans="1:10" ht="15.75" customHeight="1" x14ac:dyDescent="0.25">
      <c r="A931" s="380">
        <v>25301005</v>
      </c>
      <c r="B931" s="381" t="s">
        <v>315</v>
      </c>
      <c r="C931" s="381" t="s">
        <v>1250</v>
      </c>
      <c r="D931" s="381" t="s">
        <v>315</v>
      </c>
      <c r="E931" s="381" t="s">
        <v>315</v>
      </c>
      <c r="F931" s="378">
        <v>-1567407</v>
      </c>
      <c r="G931" s="378">
        <v>0</v>
      </c>
      <c r="H931" s="378">
        <v>599222</v>
      </c>
      <c r="I931" s="378">
        <v>-2166629</v>
      </c>
      <c r="J931" s="2">
        <f t="shared" si="16"/>
        <v>8</v>
      </c>
    </row>
    <row r="932" spans="1:10" ht="15.75" customHeight="1" x14ac:dyDescent="0.25">
      <c r="A932" s="380">
        <v>25301005</v>
      </c>
      <c r="B932" s="381" t="s">
        <v>315</v>
      </c>
      <c r="C932" s="381" t="s">
        <v>1250</v>
      </c>
      <c r="D932" s="381" t="s">
        <v>1194</v>
      </c>
      <c r="E932" s="381" t="s">
        <v>1195</v>
      </c>
      <c r="F932" s="378">
        <v>-43375</v>
      </c>
      <c r="G932" s="378">
        <v>0</v>
      </c>
      <c r="H932" s="378">
        <v>19396</v>
      </c>
      <c r="I932" s="378">
        <v>-62771</v>
      </c>
      <c r="J932" s="2">
        <f t="shared" si="16"/>
        <v>8</v>
      </c>
    </row>
    <row r="933" spans="1:10" ht="15.75" customHeight="1" x14ac:dyDescent="0.25">
      <c r="A933" s="380">
        <v>25301005</v>
      </c>
      <c r="B933" s="381" t="s">
        <v>315</v>
      </c>
      <c r="C933" s="381" t="s">
        <v>1250</v>
      </c>
      <c r="D933" s="381" t="s">
        <v>779</v>
      </c>
      <c r="E933" s="381" t="s">
        <v>780</v>
      </c>
      <c r="F933" s="378">
        <v>-45420</v>
      </c>
      <c r="G933" s="378">
        <v>0</v>
      </c>
      <c r="H933" s="378">
        <v>22009</v>
      </c>
      <c r="I933" s="378">
        <v>-67429</v>
      </c>
      <c r="J933" s="2">
        <f t="shared" si="16"/>
        <v>8</v>
      </c>
    </row>
    <row r="934" spans="1:10" ht="15.75" customHeight="1" x14ac:dyDescent="0.25">
      <c r="A934" s="380">
        <v>25301005</v>
      </c>
      <c r="B934" s="381" t="s">
        <v>315</v>
      </c>
      <c r="C934" s="381" t="s">
        <v>1250</v>
      </c>
      <c r="D934" s="381" t="s">
        <v>1219</v>
      </c>
      <c r="E934" s="381" t="s">
        <v>1220</v>
      </c>
      <c r="F934" s="378">
        <v>-494</v>
      </c>
      <c r="G934" s="378">
        <v>0</v>
      </c>
      <c r="H934" s="378">
        <v>0</v>
      </c>
      <c r="I934" s="378">
        <v>-494</v>
      </c>
      <c r="J934" s="2">
        <f t="shared" si="16"/>
        <v>8</v>
      </c>
    </row>
    <row r="935" spans="1:10" ht="15.75" customHeight="1" x14ac:dyDescent="0.25">
      <c r="A935" s="380">
        <v>25301005</v>
      </c>
      <c r="B935" s="381" t="s">
        <v>315</v>
      </c>
      <c r="C935" s="381" t="s">
        <v>1250</v>
      </c>
      <c r="D935" s="381" t="s">
        <v>774</v>
      </c>
      <c r="E935" s="381" t="s">
        <v>775</v>
      </c>
      <c r="F935" s="378">
        <v>-38319</v>
      </c>
      <c r="G935" s="378">
        <v>0</v>
      </c>
      <c r="H935" s="378">
        <v>15874</v>
      </c>
      <c r="I935" s="378">
        <v>-54193</v>
      </c>
      <c r="J935" s="2">
        <f t="shared" si="16"/>
        <v>8</v>
      </c>
    </row>
    <row r="936" spans="1:10" ht="15.75" customHeight="1" x14ac:dyDescent="0.25">
      <c r="A936" s="380">
        <v>25301005</v>
      </c>
      <c r="B936" s="381" t="s">
        <v>315</v>
      </c>
      <c r="C936" s="381" t="s">
        <v>1250</v>
      </c>
      <c r="D936" s="381" t="s">
        <v>1196</v>
      </c>
      <c r="E936" s="381" t="s">
        <v>1197</v>
      </c>
      <c r="F936" s="378">
        <v>-44041</v>
      </c>
      <c r="G936" s="378">
        <v>0</v>
      </c>
      <c r="H936" s="378">
        <v>18784</v>
      </c>
      <c r="I936" s="378">
        <v>-62825</v>
      </c>
      <c r="J936" s="2">
        <f t="shared" si="16"/>
        <v>8</v>
      </c>
    </row>
    <row r="937" spans="1:10" ht="15.75" customHeight="1" x14ac:dyDescent="0.25">
      <c r="A937" s="380">
        <v>25301005</v>
      </c>
      <c r="B937" s="381" t="s">
        <v>315</v>
      </c>
      <c r="C937" s="381" t="s">
        <v>1250</v>
      </c>
      <c r="D937" s="381" t="s">
        <v>1078</v>
      </c>
      <c r="E937" s="381" t="s">
        <v>1079</v>
      </c>
      <c r="F937" s="378">
        <v>-45633</v>
      </c>
      <c r="G937" s="378">
        <v>0</v>
      </c>
      <c r="H937" s="378">
        <v>50521</v>
      </c>
      <c r="I937" s="378">
        <v>-96154</v>
      </c>
      <c r="J937" s="2">
        <f t="shared" si="16"/>
        <v>8</v>
      </c>
    </row>
    <row r="938" spans="1:10" ht="15.75" customHeight="1" x14ac:dyDescent="0.25">
      <c r="A938" s="380">
        <v>25301005</v>
      </c>
      <c r="B938" s="381" t="s">
        <v>315</v>
      </c>
      <c r="C938" s="381" t="s">
        <v>1250</v>
      </c>
      <c r="D938" s="381" t="s">
        <v>781</v>
      </c>
      <c r="E938" s="381" t="s">
        <v>782</v>
      </c>
      <c r="F938" s="378">
        <v>-49745</v>
      </c>
      <c r="G938" s="378">
        <v>0</v>
      </c>
      <c r="H938" s="378">
        <v>21888</v>
      </c>
      <c r="I938" s="378">
        <v>-71633</v>
      </c>
      <c r="J938" s="2">
        <f t="shared" si="16"/>
        <v>8</v>
      </c>
    </row>
    <row r="939" spans="1:10" ht="15.75" customHeight="1" x14ac:dyDescent="0.25">
      <c r="A939" s="380">
        <v>25301005</v>
      </c>
      <c r="B939" s="381" t="s">
        <v>315</v>
      </c>
      <c r="C939" s="381" t="s">
        <v>1250</v>
      </c>
      <c r="D939" s="381" t="s">
        <v>728</v>
      </c>
      <c r="E939" s="381" t="s">
        <v>729</v>
      </c>
      <c r="F939" s="378">
        <v>-49493</v>
      </c>
      <c r="G939" s="378">
        <v>0</v>
      </c>
      <c r="H939" s="378">
        <v>21776</v>
      </c>
      <c r="I939" s="378">
        <v>-71269</v>
      </c>
      <c r="J939" s="2">
        <f t="shared" si="16"/>
        <v>8</v>
      </c>
    </row>
    <row r="940" spans="1:10" ht="15.75" customHeight="1" x14ac:dyDescent="0.25">
      <c r="A940" s="380">
        <v>25301005</v>
      </c>
      <c r="B940" s="381" t="s">
        <v>315</v>
      </c>
      <c r="C940" s="381" t="s">
        <v>1250</v>
      </c>
      <c r="D940" s="381" t="s">
        <v>783</v>
      </c>
      <c r="E940" s="381" t="s">
        <v>784</v>
      </c>
      <c r="F940" s="378">
        <v>-38909</v>
      </c>
      <c r="G940" s="378">
        <v>0</v>
      </c>
      <c r="H940" s="378">
        <v>17454</v>
      </c>
      <c r="I940" s="378">
        <v>-56363</v>
      </c>
      <c r="J940" s="2">
        <f t="shared" si="16"/>
        <v>8</v>
      </c>
    </row>
    <row r="941" spans="1:10" ht="15.75" customHeight="1" x14ac:dyDescent="0.25">
      <c r="A941" s="380">
        <v>25301005</v>
      </c>
      <c r="B941" s="381" t="s">
        <v>315</v>
      </c>
      <c r="C941" s="381" t="s">
        <v>1250</v>
      </c>
      <c r="D941" s="381" t="s">
        <v>797</v>
      </c>
      <c r="E941" s="381" t="s">
        <v>798</v>
      </c>
      <c r="F941" s="378">
        <v>-37564</v>
      </c>
      <c r="G941" s="378">
        <v>0</v>
      </c>
      <c r="H941" s="378">
        <v>16040</v>
      </c>
      <c r="I941" s="378">
        <v>-53604</v>
      </c>
      <c r="J941" s="2">
        <f t="shared" si="16"/>
        <v>8</v>
      </c>
    </row>
    <row r="942" spans="1:10" ht="15.75" customHeight="1" x14ac:dyDescent="0.25">
      <c r="A942" s="380">
        <v>25301005</v>
      </c>
      <c r="B942" s="381" t="s">
        <v>315</v>
      </c>
      <c r="C942" s="381" t="s">
        <v>1250</v>
      </c>
      <c r="D942" s="381" t="s">
        <v>1221</v>
      </c>
      <c r="E942" s="381" t="s">
        <v>1494</v>
      </c>
      <c r="F942" s="378">
        <v>-35569</v>
      </c>
      <c r="G942" s="378">
        <v>0</v>
      </c>
      <c r="H942" s="378">
        <v>0</v>
      </c>
      <c r="I942" s="378">
        <v>-35569</v>
      </c>
      <c r="J942" s="2">
        <f t="shared" si="16"/>
        <v>8</v>
      </c>
    </row>
    <row r="943" spans="1:10" ht="15.75" customHeight="1" x14ac:dyDescent="0.25">
      <c r="A943" s="380">
        <v>25301005</v>
      </c>
      <c r="B943" s="381" t="s">
        <v>315</v>
      </c>
      <c r="C943" s="381" t="s">
        <v>1250</v>
      </c>
      <c r="D943" s="381" t="s">
        <v>1222</v>
      </c>
      <c r="E943" s="381" t="s">
        <v>1223</v>
      </c>
      <c r="F943" s="378">
        <v>-1465</v>
      </c>
      <c r="G943" s="378">
        <v>0</v>
      </c>
      <c r="H943" s="378">
        <v>0</v>
      </c>
      <c r="I943" s="378">
        <v>-1465</v>
      </c>
      <c r="J943" s="2">
        <f t="shared" si="16"/>
        <v>8</v>
      </c>
    </row>
    <row r="944" spans="1:10" ht="15.75" customHeight="1" x14ac:dyDescent="0.25">
      <c r="A944" s="380">
        <v>25301005</v>
      </c>
      <c r="B944" s="381" t="s">
        <v>315</v>
      </c>
      <c r="C944" s="381" t="s">
        <v>1250</v>
      </c>
      <c r="D944" s="381" t="s">
        <v>1198</v>
      </c>
      <c r="E944" s="381" t="s">
        <v>1199</v>
      </c>
      <c r="F944" s="378">
        <v>-2762</v>
      </c>
      <c r="G944" s="378">
        <v>0</v>
      </c>
      <c r="H944" s="378">
        <v>5504</v>
      </c>
      <c r="I944" s="378">
        <v>-8266</v>
      </c>
      <c r="J944" s="2">
        <f t="shared" si="16"/>
        <v>8</v>
      </c>
    </row>
    <row r="945" spans="1:10" ht="15.75" customHeight="1" x14ac:dyDescent="0.25">
      <c r="A945" s="380">
        <v>25301005</v>
      </c>
      <c r="B945" s="381" t="s">
        <v>315</v>
      </c>
      <c r="C945" s="381" t="s">
        <v>1250</v>
      </c>
      <c r="D945" s="381" t="s">
        <v>753</v>
      </c>
      <c r="E945" s="381" t="s">
        <v>754</v>
      </c>
      <c r="F945" s="378">
        <v>-176793</v>
      </c>
      <c r="G945" s="378">
        <v>0</v>
      </c>
      <c r="H945" s="378">
        <v>0</v>
      </c>
      <c r="I945" s="378">
        <v>-176793</v>
      </c>
      <c r="J945" s="2">
        <f t="shared" si="16"/>
        <v>8</v>
      </c>
    </row>
    <row r="946" spans="1:10" ht="15.75" customHeight="1" x14ac:dyDescent="0.25">
      <c r="A946" s="380">
        <v>25301005</v>
      </c>
      <c r="B946" s="381" t="s">
        <v>315</v>
      </c>
      <c r="C946" s="381" t="s">
        <v>1250</v>
      </c>
      <c r="D946" s="381" t="s">
        <v>1200</v>
      </c>
      <c r="E946" s="381" t="s">
        <v>1201</v>
      </c>
      <c r="F946" s="378">
        <v>-37807</v>
      </c>
      <c r="G946" s="378">
        <v>0</v>
      </c>
      <c r="H946" s="378">
        <v>17607</v>
      </c>
      <c r="I946" s="378">
        <v>-55414</v>
      </c>
      <c r="J946" s="2">
        <f t="shared" si="16"/>
        <v>8</v>
      </c>
    </row>
    <row r="947" spans="1:10" ht="15.75" customHeight="1" x14ac:dyDescent="0.25">
      <c r="A947" s="380">
        <v>25301005</v>
      </c>
      <c r="B947" s="381" t="s">
        <v>315</v>
      </c>
      <c r="C947" s="381" t="s">
        <v>1250</v>
      </c>
      <c r="D947" s="381" t="s">
        <v>786</v>
      </c>
      <c r="E947" s="381" t="s">
        <v>787</v>
      </c>
      <c r="F947" s="378">
        <v>-54578</v>
      </c>
      <c r="G947" s="378">
        <v>0</v>
      </c>
      <c r="H947" s="378">
        <v>24314</v>
      </c>
      <c r="I947" s="378">
        <v>-78892</v>
      </c>
      <c r="J947" s="2">
        <f t="shared" si="16"/>
        <v>8</v>
      </c>
    </row>
    <row r="948" spans="1:10" ht="15.75" customHeight="1" x14ac:dyDescent="0.25">
      <c r="A948" s="380">
        <v>25301005</v>
      </c>
      <c r="B948" s="381" t="s">
        <v>315</v>
      </c>
      <c r="C948" s="381" t="s">
        <v>1250</v>
      </c>
      <c r="D948" s="381" t="s">
        <v>1224</v>
      </c>
      <c r="E948" s="381" t="s">
        <v>1225</v>
      </c>
      <c r="F948" s="378">
        <v>-42183</v>
      </c>
      <c r="G948" s="378">
        <v>0</v>
      </c>
      <c r="H948" s="378">
        <v>20250</v>
      </c>
      <c r="I948" s="378">
        <v>-62433</v>
      </c>
      <c r="J948" s="2">
        <f t="shared" si="16"/>
        <v>8</v>
      </c>
    </row>
    <row r="949" spans="1:10" ht="15.75" customHeight="1" x14ac:dyDescent="0.25">
      <c r="A949" s="380">
        <v>25301005</v>
      </c>
      <c r="B949" s="381" t="s">
        <v>315</v>
      </c>
      <c r="C949" s="381" t="s">
        <v>1250</v>
      </c>
      <c r="D949" s="381" t="s">
        <v>1226</v>
      </c>
      <c r="E949" s="381" t="s">
        <v>1227</v>
      </c>
      <c r="F949" s="378">
        <v>-54</v>
      </c>
      <c r="G949" s="378">
        <v>0</v>
      </c>
      <c r="H949" s="378">
        <v>0</v>
      </c>
      <c r="I949" s="378">
        <v>-54</v>
      </c>
      <c r="J949" s="2">
        <f t="shared" si="16"/>
        <v>8</v>
      </c>
    </row>
    <row r="950" spans="1:10" ht="15.75" customHeight="1" x14ac:dyDescent="0.25">
      <c r="A950" s="380">
        <v>25301005</v>
      </c>
      <c r="B950" s="381" t="s">
        <v>315</v>
      </c>
      <c r="C950" s="381" t="s">
        <v>1250</v>
      </c>
      <c r="D950" s="381" t="s">
        <v>1202</v>
      </c>
      <c r="E950" s="381" t="s">
        <v>1203</v>
      </c>
      <c r="F950" s="378">
        <v>-40761</v>
      </c>
      <c r="G950" s="378">
        <v>0</v>
      </c>
      <c r="H950" s="378">
        <v>17622</v>
      </c>
      <c r="I950" s="378">
        <v>-58383</v>
      </c>
      <c r="J950" s="2">
        <f t="shared" si="16"/>
        <v>8</v>
      </c>
    </row>
    <row r="951" spans="1:10" ht="15.75" customHeight="1" x14ac:dyDescent="0.25">
      <c r="A951" s="380">
        <v>25301005</v>
      </c>
      <c r="B951" s="381" t="s">
        <v>315</v>
      </c>
      <c r="C951" s="381" t="s">
        <v>1250</v>
      </c>
      <c r="D951" s="381" t="s">
        <v>1228</v>
      </c>
      <c r="E951" s="381" t="s">
        <v>1229</v>
      </c>
      <c r="F951" s="378">
        <v>-41995</v>
      </c>
      <c r="G951" s="378">
        <v>0</v>
      </c>
      <c r="H951" s="378">
        <v>11027</v>
      </c>
      <c r="I951" s="378">
        <v>-53022</v>
      </c>
      <c r="J951" s="2">
        <f t="shared" si="16"/>
        <v>8</v>
      </c>
    </row>
    <row r="952" spans="1:10" ht="15.75" customHeight="1" x14ac:dyDescent="0.25">
      <c r="A952" s="380">
        <v>25301005</v>
      </c>
      <c r="B952" s="381" t="s">
        <v>315</v>
      </c>
      <c r="C952" s="381" t="s">
        <v>1250</v>
      </c>
      <c r="D952" s="381" t="s">
        <v>1086</v>
      </c>
      <c r="E952" s="381" t="s">
        <v>1087</v>
      </c>
      <c r="F952" s="378">
        <v>-39366</v>
      </c>
      <c r="G952" s="378">
        <v>0</v>
      </c>
      <c r="H952" s="378">
        <v>17380</v>
      </c>
      <c r="I952" s="378">
        <v>-56746</v>
      </c>
      <c r="J952" s="2">
        <f t="shared" si="16"/>
        <v>8</v>
      </c>
    </row>
    <row r="953" spans="1:10" ht="15.75" customHeight="1" x14ac:dyDescent="0.25">
      <c r="A953" s="380">
        <v>25301005</v>
      </c>
      <c r="B953" s="381" t="s">
        <v>315</v>
      </c>
      <c r="C953" s="381" t="s">
        <v>1250</v>
      </c>
      <c r="D953" s="381" t="s">
        <v>404</v>
      </c>
      <c r="E953" s="381" t="s">
        <v>1230</v>
      </c>
      <c r="F953" s="378">
        <v>-36921</v>
      </c>
      <c r="G953" s="378">
        <v>0</v>
      </c>
      <c r="H953" s="378">
        <v>16228</v>
      </c>
      <c r="I953" s="378">
        <v>-53149</v>
      </c>
      <c r="J953" s="2">
        <f t="shared" si="16"/>
        <v>8</v>
      </c>
    </row>
    <row r="954" spans="1:10" ht="15.75" customHeight="1" x14ac:dyDescent="0.25">
      <c r="A954" s="380">
        <v>25301005</v>
      </c>
      <c r="B954" s="381" t="s">
        <v>315</v>
      </c>
      <c r="C954" s="381" t="s">
        <v>1250</v>
      </c>
      <c r="D954" s="381" t="s">
        <v>1204</v>
      </c>
      <c r="E954" s="381" t="s">
        <v>1205</v>
      </c>
      <c r="F954" s="378">
        <v>-2497</v>
      </c>
      <c r="G954" s="378">
        <v>0</v>
      </c>
      <c r="H954" s="378">
        <v>5273</v>
      </c>
      <c r="I954" s="378">
        <v>-7770</v>
      </c>
      <c r="J954" s="2">
        <f t="shared" si="16"/>
        <v>8</v>
      </c>
    </row>
    <row r="955" spans="1:10" ht="15.75" customHeight="1" x14ac:dyDescent="0.25">
      <c r="A955" s="380">
        <v>25301005</v>
      </c>
      <c r="B955" s="381" t="s">
        <v>315</v>
      </c>
      <c r="C955" s="381" t="s">
        <v>1250</v>
      </c>
      <c r="D955" s="381" t="s">
        <v>1231</v>
      </c>
      <c r="E955" s="381" t="s">
        <v>1232</v>
      </c>
      <c r="F955" s="378">
        <v>-1093</v>
      </c>
      <c r="G955" s="378">
        <v>0</v>
      </c>
      <c r="H955" s="378">
        <v>0</v>
      </c>
      <c r="I955" s="378">
        <v>-1093</v>
      </c>
      <c r="J955" s="2">
        <f t="shared" si="16"/>
        <v>8</v>
      </c>
    </row>
    <row r="956" spans="1:10" ht="15.75" customHeight="1" x14ac:dyDescent="0.25">
      <c r="A956" s="380">
        <v>25301005</v>
      </c>
      <c r="B956" s="381" t="s">
        <v>315</v>
      </c>
      <c r="C956" s="381" t="s">
        <v>1250</v>
      </c>
      <c r="D956" s="381" t="s">
        <v>788</v>
      </c>
      <c r="E956" s="381" t="s">
        <v>789</v>
      </c>
      <c r="F956" s="378">
        <v>-64382</v>
      </c>
      <c r="G956" s="378">
        <v>0</v>
      </c>
      <c r="H956" s="378">
        <v>28204</v>
      </c>
      <c r="I956" s="378">
        <v>-92586</v>
      </c>
      <c r="J956" s="2">
        <f t="shared" si="16"/>
        <v>8</v>
      </c>
    </row>
    <row r="957" spans="1:10" ht="15.75" customHeight="1" x14ac:dyDescent="0.25">
      <c r="A957" s="380">
        <v>25301005</v>
      </c>
      <c r="B957" s="381" t="s">
        <v>315</v>
      </c>
      <c r="C957" s="381" t="s">
        <v>1250</v>
      </c>
      <c r="D957" s="381" t="s">
        <v>1206</v>
      </c>
      <c r="E957" s="381" t="s">
        <v>1207</v>
      </c>
      <c r="F957" s="378">
        <v>-41319</v>
      </c>
      <c r="G957" s="378">
        <v>0</v>
      </c>
      <c r="H957" s="378">
        <v>18857</v>
      </c>
      <c r="I957" s="378">
        <v>-60176</v>
      </c>
      <c r="J957" s="2">
        <f t="shared" si="16"/>
        <v>8</v>
      </c>
    </row>
    <row r="958" spans="1:10" ht="15.75" customHeight="1" x14ac:dyDescent="0.25">
      <c r="A958" s="380">
        <v>25301005</v>
      </c>
      <c r="B958" s="381" t="s">
        <v>315</v>
      </c>
      <c r="C958" s="381" t="s">
        <v>1250</v>
      </c>
      <c r="D958" s="381" t="s">
        <v>1088</v>
      </c>
      <c r="E958" s="381" t="s">
        <v>1089</v>
      </c>
      <c r="F958" s="378">
        <v>0</v>
      </c>
      <c r="G958" s="378">
        <v>0</v>
      </c>
      <c r="H958" s="378">
        <v>3553</v>
      </c>
      <c r="I958" s="378">
        <v>-3553</v>
      </c>
      <c r="J958" s="2">
        <f t="shared" si="16"/>
        <v>8</v>
      </c>
    </row>
    <row r="959" spans="1:10" ht="15.75" customHeight="1" x14ac:dyDescent="0.25">
      <c r="A959" s="380">
        <v>25301005</v>
      </c>
      <c r="B959" s="381" t="s">
        <v>315</v>
      </c>
      <c r="C959" s="381" t="s">
        <v>1250</v>
      </c>
      <c r="D959" s="381" t="s">
        <v>776</v>
      </c>
      <c r="E959" s="381" t="s">
        <v>777</v>
      </c>
      <c r="F959" s="378">
        <v>-46851</v>
      </c>
      <c r="G959" s="378">
        <v>0</v>
      </c>
      <c r="H959" s="378">
        <v>20250</v>
      </c>
      <c r="I959" s="378">
        <v>-67101</v>
      </c>
      <c r="J959" s="2">
        <f t="shared" si="16"/>
        <v>8</v>
      </c>
    </row>
    <row r="960" spans="1:10" ht="15.75" customHeight="1" x14ac:dyDescent="0.25">
      <c r="A960" s="380">
        <v>25301005</v>
      </c>
      <c r="B960" s="381" t="s">
        <v>315</v>
      </c>
      <c r="C960" s="381" t="s">
        <v>1250</v>
      </c>
      <c r="D960" s="381" t="s">
        <v>790</v>
      </c>
      <c r="E960" s="381" t="s">
        <v>791</v>
      </c>
      <c r="F960" s="378">
        <v>-42310</v>
      </c>
      <c r="G960" s="378">
        <v>0</v>
      </c>
      <c r="H960" s="378">
        <v>19896</v>
      </c>
      <c r="I960" s="378">
        <v>-62206</v>
      </c>
      <c r="J960" s="2">
        <f t="shared" si="16"/>
        <v>8</v>
      </c>
    </row>
    <row r="961" spans="1:10" ht="15.75" customHeight="1" x14ac:dyDescent="0.25">
      <c r="A961" s="380">
        <v>25301005</v>
      </c>
      <c r="B961" s="381" t="s">
        <v>315</v>
      </c>
      <c r="C961" s="381" t="s">
        <v>1250</v>
      </c>
      <c r="D961" s="381" t="s">
        <v>1233</v>
      </c>
      <c r="E961" s="381" t="s">
        <v>1234</v>
      </c>
      <c r="F961" s="378">
        <v>-21507</v>
      </c>
      <c r="G961" s="378">
        <v>0</v>
      </c>
      <c r="H961" s="378">
        <v>0</v>
      </c>
      <c r="I961" s="378">
        <v>-21507</v>
      </c>
      <c r="J961" s="2">
        <f t="shared" si="16"/>
        <v>8</v>
      </c>
    </row>
    <row r="962" spans="1:10" ht="15.75" customHeight="1" x14ac:dyDescent="0.25">
      <c r="A962" s="380">
        <v>25301005</v>
      </c>
      <c r="B962" s="381" t="s">
        <v>315</v>
      </c>
      <c r="C962" s="381" t="s">
        <v>1250</v>
      </c>
      <c r="D962" s="381" t="s">
        <v>1235</v>
      </c>
      <c r="E962" s="381" t="s">
        <v>1236</v>
      </c>
      <c r="F962" s="378">
        <v>-338</v>
      </c>
      <c r="G962" s="378">
        <v>0</v>
      </c>
      <c r="H962" s="378">
        <v>0</v>
      </c>
      <c r="I962" s="378">
        <v>-338</v>
      </c>
      <c r="J962" s="2">
        <f t="shared" si="16"/>
        <v>8</v>
      </c>
    </row>
    <row r="963" spans="1:10" ht="15.75" customHeight="1" x14ac:dyDescent="0.25">
      <c r="A963" s="380">
        <v>25301005</v>
      </c>
      <c r="B963" s="381" t="s">
        <v>315</v>
      </c>
      <c r="C963" s="381" t="s">
        <v>1250</v>
      </c>
      <c r="D963" s="381" t="s">
        <v>1208</v>
      </c>
      <c r="E963" s="381" t="s">
        <v>1209</v>
      </c>
      <c r="F963" s="378">
        <v>-42298</v>
      </c>
      <c r="G963" s="378">
        <v>0</v>
      </c>
      <c r="H963" s="378">
        <v>18262</v>
      </c>
      <c r="I963" s="378">
        <v>-60560</v>
      </c>
      <c r="J963" s="2">
        <f t="shared" si="16"/>
        <v>8</v>
      </c>
    </row>
    <row r="964" spans="1:10" ht="15.75" customHeight="1" x14ac:dyDescent="0.25">
      <c r="A964" s="380">
        <v>25301005</v>
      </c>
      <c r="B964" s="381" t="s">
        <v>315</v>
      </c>
      <c r="C964" s="381" t="s">
        <v>1250</v>
      </c>
      <c r="D964" s="381" t="s">
        <v>1237</v>
      </c>
      <c r="E964" s="381" t="s">
        <v>1238</v>
      </c>
      <c r="F964" s="378">
        <v>-2882</v>
      </c>
      <c r="G964" s="378">
        <v>0</v>
      </c>
      <c r="H964" s="378">
        <v>6385</v>
      </c>
      <c r="I964" s="378">
        <v>-9267</v>
      </c>
      <c r="J964" s="2">
        <f t="shared" si="16"/>
        <v>8</v>
      </c>
    </row>
    <row r="965" spans="1:10" ht="15.75" customHeight="1" x14ac:dyDescent="0.25">
      <c r="A965" s="380">
        <v>25301005</v>
      </c>
      <c r="B965" s="381" t="s">
        <v>315</v>
      </c>
      <c r="C965" s="381" t="s">
        <v>1250</v>
      </c>
      <c r="D965" s="381" t="s">
        <v>1239</v>
      </c>
      <c r="E965" s="381" t="s">
        <v>1240</v>
      </c>
      <c r="F965" s="378">
        <v>-40370</v>
      </c>
      <c r="G965" s="378">
        <v>0</v>
      </c>
      <c r="H965" s="378">
        <v>0</v>
      </c>
      <c r="I965" s="378">
        <v>-40370</v>
      </c>
      <c r="J965" s="2">
        <f t="shared" si="16"/>
        <v>8</v>
      </c>
    </row>
    <row r="966" spans="1:10" ht="15.75" customHeight="1" x14ac:dyDescent="0.25">
      <c r="A966" s="380">
        <v>25301005</v>
      </c>
      <c r="B966" s="381" t="s">
        <v>315</v>
      </c>
      <c r="C966" s="381" t="s">
        <v>1250</v>
      </c>
      <c r="D966" s="381" t="s">
        <v>1210</v>
      </c>
      <c r="E966" s="381" t="s">
        <v>1211</v>
      </c>
      <c r="F966" s="378">
        <v>-38234</v>
      </c>
      <c r="G966" s="378">
        <v>0</v>
      </c>
      <c r="H966" s="378">
        <v>16237</v>
      </c>
      <c r="I966" s="378">
        <v>-54471</v>
      </c>
      <c r="J966" s="2">
        <f t="shared" si="16"/>
        <v>8</v>
      </c>
    </row>
    <row r="967" spans="1:10" ht="15.75" customHeight="1" x14ac:dyDescent="0.25">
      <c r="A967" s="380">
        <v>25301005</v>
      </c>
      <c r="B967" s="381" t="s">
        <v>315</v>
      </c>
      <c r="C967" s="381" t="s">
        <v>1250</v>
      </c>
      <c r="D967" s="381" t="s">
        <v>1090</v>
      </c>
      <c r="E967" s="381" t="s">
        <v>1091</v>
      </c>
      <c r="F967" s="378">
        <v>-48127</v>
      </c>
      <c r="G967" s="378">
        <v>0</v>
      </c>
      <c r="H967" s="378">
        <v>23000</v>
      </c>
      <c r="I967" s="378">
        <v>-71127</v>
      </c>
      <c r="J967" s="2">
        <f t="shared" si="16"/>
        <v>8</v>
      </c>
    </row>
    <row r="968" spans="1:10" ht="15.75" customHeight="1" x14ac:dyDescent="0.25">
      <c r="A968" s="380">
        <v>25301005</v>
      </c>
      <c r="B968" s="381" t="s">
        <v>315</v>
      </c>
      <c r="C968" s="381" t="s">
        <v>1250</v>
      </c>
      <c r="D968" s="381" t="s">
        <v>1241</v>
      </c>
      <c r="E968" s="381" t="s">
        <v>1242</v>
      </c>
      <c r="F968" s="378">
        <v>-38816</v>
      </c>
      <c r="G968" s="378">
        <v>0</v>
      </c>
      <c r="H968" s="378">
        <v>16960</v>
      </c>
      <c r="I968" s="378">
        <v>-55776</v>
      </c>
      <c r="J968" s="2">
        <f t="shared" si="16"/>
        <v>8</v>
      </c>
    </row>
    <row r="969" spans="1:10" ht="15.75" customHeight="1" x14ac:dyDescent="0.25">
      <c r="A969" s="380">
        <v>25301005</v>
      </c>
      <c r="B969" s="381" t="s">
        <v>315</v>
      </c>
      <c r="C969" s="381" t="s">
        <v>1250</v>
      </c>
      <c r="D969" s="381" t="s">
        <v>792</v>
      </c>
      <c r="E969" s="381" t="s">
        <v>793</v>
      </c>
      <c r="F969" s="378">
        <v>-45799</v>
      </c>
      <c r="G969" s="378">
        <v>0</v>
      </c>
      <c r="H969" s="378">
        <v>21090</v>
      </c>
      <c r="I969" s="378">
        <v>-66889</v>
      </c>
      <c r="J969" s="2">
        <f t="shared" si="16"/>
        <v>8</v>
      </c>
    </row>
    <row r="970" spans="1:10" ht="15.75" customHeight="1" x14ac:dyDescent="0.25">
      <c r="A970" s="380">
        <v>25301005</v>
      </c>
      <c r="B970" s="381" t="s">
        <v>315</v>
      </c>
      <c r="C970" s="381" t="s">
        <v>1250</v>
      </c>
      <c r="D970" s="381" t="s">
        <v>794</v>
      </c>
      <c r="E970" s="381" t="s">
        <v>795</v>
      </c>
      <c r="F970" s="378">
        <v>-39522</v>
      </c>
      <c r="G970" s="378">
        <v>0</v>
      </c>
      <c r="H970" s="378">
        <v>27126</v>
      </c>
      <c r="I970" s="378">
        <v>-66648</v>
      </c>
      <c r="J970" s="2">
        <f t="shared" si="16"/>
        <v>8</v>
      </c>
    </row>
    <row r="971" spans="1:10" ht="15.75" customHeight="1" x14ac:dyDescent="0.25">
      <c r="A971" s="380">
        <v>25301005</v>
      </c>
      <c r="B971" s="381" t="s">
        <v>315</v>
      </c>
      <c r="C971" s="381" t="s">
        <v>1250</v>
      </c>
      <c r="D971" s="381" t="s">
        <v>1212</v>
      </c>
      <c r="E971" s="381" t="s">
        <v>1213</v>
      </c>
      <c r="F971" s="378">
        <v>0</v>
      </c>
      <c r="G971" s="378">
        <v>0</v>
      </c>
      <c r="H971" s="378">
        <v>728</v>
      </c>
      <c r="I971" s="378">
        <v>-728</v>
      </c>
      <c r="J971" s="2">
        <f t="shared" si="16"/>
        <v>8</v>
      </c>
    </row>
    <row r="972" spans="1:10" ht="15.75" customHeight="1" x14ac:dyDescent="0.25">
      <c r="A972" s="380">
        <v>25301005</v>
      </c>
      <c r="B972" s="381" t="s">
        <v>315</v>
      </c>
      <c r="C972" s="381" t="s">
        <v>1250</v>
      </c>
      <c r="D972" s="381" t="s">
        <v>1092</v>
      </c>
      <c r="E972" s="381" t="s">
        <v>1093</v>
      </c>
      <c r="F972" s="378">
        <v>-47054</v>
      </c>
      <c r="G972" s="378">
        <v>0</v>
      </c>
      <c r="H972" s="378">
        <v>1264</v>
      </c>
      <c r="I972" s="378">
        <v>-48318</v>
      </c>
      <c r="J972" s="2">
        <f t="shared" si="16"/>
        <v>8</v>
      </c>
    </row>
    <row r="973" spans="1:10" ht="15.75" customHeight="1" x14ac:dyDescent="0.25">
      <c r="A973" s="380">
        <v>25301005</v>
      </c>
      <c r="B973" s="381" t="s">
        <v>315</v>
      </c>
      <c r="C973" s="381" t="s">
        <v>1250</v>
      </c>
      <c r="D973" s="381" t="s">
        <v>1243</v>
      </c>
      <c r="E973" s="381" t="s">
        <v>1244</v>
      </c>
      <c r="F973" s="378">
        <v>-13479</v>
      </c>
      <c r="G973" s="378">
        <v>0</v>
      </c>
      <c r="H973" s="378">
        <v>0</v>
      </c>
      <c r="I973" s="378">
        <v>-13479</v>
      </c>
      <c r="J973" s="2">
        <f t="shared" ref="J973:J1036" si="17">+LEN(A973)</f>
        <v>8</v>
      </c>
    </row>
    <row r="974" spans="1:10" ht="15.75" customHeight="1" x14ac:dyDescent="0.25">
      <c r="A974" s="380">
        <v>25301005</v>
      </c>
      <c r="B974" s="381" t="s">
        <v>315</v>
      </c>
      <c r="C974" s="381" t="s">
        <v>1250</v>
      </c>
      <c r="D974" s="381" t="s">
        <v>1214</v>
      </c>
      <c r="E974" s="381" t="s">
        <v>1489</v>
      </c>
      <c r="F974" s="378">
        <v>-49745</v>
      </c>
      <c r="G974" s="378">
        <v>0</v>
      </c>
      <c r="H974" s="378">
        <v>21888</v>
      </c>
      <c r="I974" s="378">
        <v>-71633</v>
      </c>
      <c r="J974" s="2">
        <f t="shared" si="17"/>
        <v>8</v>
      </c>
    </row>
    <row r="975" spans="1:10" ht="15.75" customHeight="1" x14ac:dyDescent="0.25">
      <c r="A975" s="380">
        <v>25301005</v>
      </c>
      <c r="B975" s="381" t="s">
        <v>315</v>
      </c>
      <c r="C975" s="381" t="s">
        <v>1250</v>
      </c>
      <c r="D975" s="381" t="s">
        <v>1094</v>
      </c>
      <c r="E975" s="381" t="s">
        <v>1095</v>
      </c>
      <c r="F975" s="378">
        <v>-37537</v>
      </c>
      <c r="G975" s="378">
        <v>0</v>
      </c>
      <c r="H975" s="378">
        <v>16575</v>
      </c>
      <c r="I975" s="378">
        <v>-54112</v>
      </c>
      <c r="J975" s="2">
        <f t="shared" si="17"/>
        <v>8</v>
      </c>
    </row>
    <row r="976" spans="1:10" ht="15.75" customHeight="1" x14ac:dyDescent="0.25">
      <c r="A976" s="380">
        <v>25301010</v>
      </c>
      <c r="B976" s="381" t="s">
        <v>315</v>
      </c>
      <c r="C976" s="381" t="s">
        <v>1251</v>
      </c>
      <c r="D976" s="381" t="s">
        <v>315</v>
      </c>
      <c r="E976" s="381" t="s">
        <v>315</v>
      </c>
      <c r="F976" s="378">
        <v>75352</v>
      </c>
      <c r="G976" s="378">
        <v>145263</v>
      </c>
      <c r="H976" s="378">
        <v>0</v>
      </c>
      <c r="I976" s="378">
        <v>220615</v>
      </c>
      <c r="J976" s="2">
        <f t="shared" si="17"/>
        <v>8</v>
      </c>
    </row>
    <row r="977" spans="1:10" ht="15.75" customHeight="1" x14ac:dyDescent="0.25">
      <c r="A977" s="380">
        <v>25301010</v>
      </c>
      <c r="B977" s="381" t="s">
        <v>315</v>
      </c>
      <c r="C977" s="381" t="s">
        <v>1251</v>
      </c>
      <c r="D977" s="381" t="s">
        <v>1219</v>
      </c>
      <c r="E977" s="381" t="s">
        <v>1220</v>
      </c>
      <c r="F977" s="378">
        <v>494</v>
      </c>
      <c r="G977" s="378">
        <v>0</v>
      </c>
      <c r="H977" s="378">
        <v>0</v>
      </c>
      <c r="I977" s="378">
        <v>494</v>
      </c>
      <c r="J977" s="2">
        <f t="shared" si="17"/>
        <v>8</v>
      </c>
    </row>
    <row r="978" spans="1:10" ht="15.75" customHeight="1" x14ac:dyDescent="0.25">
      <c r="A978" s="380">
        <v>25301010</v>
      </c>
      <c r="B978" s="381" t="s">
        <v>315</v>
      </c>
      <c r="C978" s="381" t="s">
        <v>1251</v>
      </c>
      <c r="D978" s="381" t="s">
        <v>1221</v>
      </c>
      <c r="E978" s="381" t="s">
        <v>1494</v>
      </c>
      <c r="F978" s="378">
        <v>35569</v>
      </c>
      <c r="G978" s="378">
        <v>0</v>
      </c>
      <c r="H978" s="378">
        <v>0</v>
      </c>
      <c r="I978" s="378">
        <v>35569</v>
      </c>
      <c r="J978" s="2">
        <f t="shared" si="17"/>
        <v>8</v>
      </c>
    </row>
    <row r="979" spans="1:10" ht="15.75" customHeight="1" x14ac:dyDescent="0.25">
      <c r="A979" s="380">
        <v>25301010</v>
      </c>
      <c r="B979" s="381" t="s">
        <v>315</v>
      </c>
      <c r="C979" s="381" t="s">
        <v>1251</v>
      </c>
      <c r="D979" s="381" t="s">
        <v>1222</v>
      </c>
      <c r="E979" s="381" t="s">
        <v>1223</v>
      </c>
      <c r="F979" s="378">
        <v>1465</v>
      </c>
      <c r="G979" s="378">
        <v>0</v>
      </c>
      <c r="H979" s="378">
        <v>0</v>
      </c>
      <c r="I979" s="378">
        <v>1465</v>
      </c>
      <c r="J979" s="2">
        <f t="shared" si="17"/>
        <v>8</v>
      </c>
    </row>
    <row r="980" spans="1:10" ht="15.75" customHeight="1" x14ac:dyDescent="0.25">
      <c r="A980" s="380">
        <v>25301010</v>
      </c>
      <c r="B980" s="381" t="s">
        <v>315</v>
      </c>
      <c r="C980" s="381" t="s">
        <v>1251</v>
      </c>
      <c r="D980" s="381" t="s">
        <v>753</v>
      </c>
      <c r="E980" s="381" t="s">
        <v>754</v>
      </c>
      <c r="F980" s="378">
        <v>1353</v>
      </c>
      <c r="G980" s="378">
        <v>0</v>
      </c>
      <c r="H980" s="378">
        <v>0</v>
      </c>
      <c r="I980" s="378">
        <v>1353</v>
      </c>
      <c r="J980" s="2">
        <f t="shared" si="17"/>
        <v>8</v>
      </c>
    </row>
    <row r="981" spans="1:10" ht="15.75" customHeight="1" x14ac:dyDescent="0.25">
      <c r="A981" s="380">
        <v>25301010</v>
      </c>
      <c r="B981" s="381" t="s">
        <v>315</v>
      </c>
      <c r="C981" s="381" t="s">
        <v>1251</v>
      </c>
      <c r="D981" s="381" t="s">
        <v>1226</v>
      </c>
      <c r="E981" s="381" t="s">
        <v>1227</v>
      </c>
      <c r="F981" s="378">
        <v>54</v>
      </c>
      <c r="G981" s="378">
        <v>0</v>
      </c>
      <c r="H981" s="378">
        <v>0</v>
      </c>
      <c r="I981" s="378">
        <v>54</v>
      </c>
      <c r="J981" s="2">
        <f t="shared" si="17"/>
        <v>8</v>
      </c>
    </row>
    <row r="982" spans="1:10" ht="15.75" customHeight="1" x14ac:dyDescent="0.25">
      <c r="A982" s="380">
        <v>25301010</v>
      </c>
      <c r="B982" s="381" t="s">
        <v>315</v>
      </c>
      <c r="C982" s="381" t="s">
        <v>1251</v>
      </c>
      <c r="D982" s="381" t="s">
        <v>1228</v>
      </c>
      <c r="E982" s="381" t="s">
        <v>1229</v>
      </c>
      <c r="F982" s="378">
        <v>0</v>
      </c>
      <c r="G982" s="378">
        <v>53022</v>
      </c>
      <c r="H982" s="378">
        <v>0</v>
      </c>
      <c r="I982" s="378">
        <v>53022</v>
      </c>
      <c r="J982" s="2">
        <f t="shared" si="17"/>
        <v>8</v>
      </c>
    </row>
    <row r="983" spans="1:10" ht="15.75" customHeight="1" x14ac:dyDescent="0.25">
      <c r="A983" s="380">
        <v>25301010</v>
      </c>
      <c r="B983" s="381" t="s">
        <v>315</v>
      </c>
      <c r="C983" s="381" t="s">
        <v>1251</v>
      </c>
      <c r="D983" s="381" t="s">
        <v>1231</v>
      </c>
      <c r="E983" s="381" t="s">
        <v>1232</v>
      </c>
      <c r="F983" s="378">
        <v>1093</v>
      </c>
      <c r="G983" s="378">
        <v>0</v>
      </c>
      <c r="H983" s="378">
        <v>0</v>
      </c>
      <c r="I983" s="378">
        <v>1093</v>
      </c>
      <c r="J983" s="2">
        <f t="shared" si="17"/>
        <v>8</v>
      </c>
    </row>
    <row r="984" spans="1:10" ht="15.75" customHeight="1" x14ac:dyDescent="0.25">
      <c r="A984" s="380">
        <v>25301010</v>
      </c>
      <c r="B984" s="381" t="s">
        <v>315</v>
      </c>
      <c r="C984" s="381" t="s">
        <v>1251</v>
      </c>
      <c r="D984" s="381" t="s">
        <v>1088</v>
      </c>
      <c r="E984" s="381" t="s">
        <v>1089</v>
      </c>
      <c r="F984" s="378">
        <v>0</v>
      </c>
      <c r="G984" s="378">
        <v>39534</v>
      </c>
      <c r="H984" s="378">
        <v>0</v>
      </c>
      <c r="I984" s="378">
        <v>39534</v>
      </c>
      <c r="J984" s="2">
        <f t="shared" si="17"/>
        <v>8</v>
      </c>
    </row>
    <row r="985" spans="1:10" ht="15.75" customHeight="1" x14ac:dyDescent="0.25">
      <c r="A985" s="380">
        <v>25301010</v>
      </c>
      <c r="B985" s="381" t="s">
        <v>315</v>
      </c>
      <c r="C985" s="381" t="s">
        <v>1251</v>
      </c>
      <c r="D985" s="381" t="s">
        <v>1233</v>
      </c>
      <c r="E985" s="381" t="s">
        <v>1234</v>
      </c>
      <c r="F985" s="378">
        <v>21507</v>
      </c>
      <c r="G985" s="378">
        <v>0</v>
      </c>
      <c r="H985" s="378">
        <v>0</v>
      </c>
      <c r="I985" s="378">
        <v>21507</v>
      </c>
      <c r="J985" s="2">
        <f t="shared" si="17"/>
        <v>8</v>
      </c>
    </row>
    <row r="986" spans="1:10" ht="15.75" customHeight="1" x14ac:dyDescent="0.25">
      <c r="A986" s="380">
        <v>25301010</v>
      </c>
      <c r="B986" s="381" t="s">
        <v>315</v>
      </c>
      <c r="C986" s="381" t="s">
        <v>1251</v>
      </c>
      <c r="D986" s="381" t="s">
        <v>1235</v>
      </c>
      <c r="E986" s="381" t="s">
        <v>1236</v>
      </c>
      <c r="F986" s="378">
        <v>338</v>
      </c>
      <c r="G986" s="378">
        <v>0</v>
      </c>
      <c r="H986" s="378">
        <v>0</v>
      </c>
      <c r="I986" s="378">
        <v>338</v>
      </c>
      <c r="J986" s="2">
        <f t="shared" si="17"/>
        <v>8</v>
      </c>
    </row>
    <row r="987" spans="1:10" ht="15.75" customHeight="1" x14ac:dyDescent="0.25">
      <c r="A987" s="380">
        <v>25301010</v>
      </c>
      <c r="B987" s="381" t="s">
        <v>315</v>
      </c>
      <c r="C987" s="381" t="s">
        <v>1251</v>
      </c>
      <c r="D987" s="381" t="s">
        <v>1239</v>
      </c>
      <c r="E987" s="381" t="s">
        <v>1240</v>
      </c>
      <c r="F987" s="378">
        <v>0</v>
      </c>
      <c r="G987" s="378">
        <v>4389</v>
      </c>
      <c r="H987" s="378">
        <v>0</v>
      </c>
      <c r="I987" s="378">
        <v>4389</v>
      </c>
      <c r="J987" s="2">
        <f t="shared" si="17"/>
        <v>8</v>
      </c>
    </row>
    <row r="988" spans="1:10" ht="15.75" customHeight="1" x14ac:dyDescent="0.25">
      <c r="A988" s="380">
        <v>25301010</v>
      </c>
      <c r="B988" s="381" t="s">
        <v>315</v>
      </c>
      <c r="C988" s="381" t="s">
        <v>1251</v>
      </c>
      <c r="D988" s="381" t="s">
        <v>1092</v>
      </c>
      <c r="E988" s="381" t="s">
        <v>1093</v>
      </c>
      <c r="F988" s="378">
        <v>0</v>
      </c>
      <c r="G988" s="378">
        <v>48318</v>
      </c>
      <c r="H988" s="378">
        <v>0</v>
      </c>
      <c r="I988" s="378">
        <v>48318</v>
      </c>
      <c r="J988" s="2">
        <f t="shared" si="17"/>
        <v>8</v>
      </c>
    </row>
    <row r="989" spans="1:10" ht="15.75" customHeight="1" x14ac:dyDescent="0.25">
      <c r="A989" s="380">
        <v>25301010</v>
      </c>
      <c r="B989" s="381" t="s">
        <v>315</v>
      </c>
      <c r="C989" s="381" t="s">
        <v>1251</v>
      </c>
      <c r="D989" s="381" t="s">
        <v>1243</v>
      </c>
      <c r="E989" s="381" t="s">
        <v>1244</v>
      </c>
      <c r="F989" s="378">
        <v>13479</v>
      </c>
      <c r="G989" s="378">
        <v>0</v>
      </c>
      <c r="H989" s="378">
        <v>0</v>
      </c>
      <c r="I989" s="378">
        <v>13479</v>
      </c>
      <c r="J989" s="2">
        <f t="shared" si="17"/>
        <v>8</v>
      </c>
    </row>
    <row r="990" spans="1:10" ht="15.75" customHeight="1" x14ac:dyDescent="0.25">
      <c r="A990" s="380">
        <v>253015</v>
      </c>
      <c r="B990" s="381" t="s">
        <v>315</v>
      </c>
      <c r="C990" s="381" t="s">
        <v>104</v>
      </c>
      <c r="D990" s="381" t="s">
        <v>315</v>
      </c>
      <c r="E990" s="381" t="s">
        <v>315</v>
      </c>
      <c r="F990" s="378">
        <v>-17618034</v>
      </c>
      <c r="G990" s="378">
        <v>2405147</v>
      </c>
      <c r="H990" s="378">
        <v>4886087</v>
      </c>
      <c r="I990" s="378">
        <v>-20098974</v>
      </c>
      <c r="J990" s="2">
        <f t="shared" si="17"/>
        <v>6</v>
      </c>
    </row>
    <row r="991" spans="1:10" ht="15.75" customHeight="1" x14ac:dyDescent="0.25">
      <c r="A991" s="380">
        <v>25301505</v>
      </c>
      <c r="B991" s="381" t="s">
        <v>315</v>
      </c>
      <c r="C991" s="381" t="s">
        <v>1252</v>
      </c>
      <c r="D991" s="381" t="s">
        <v>315</v>
      </c>
      <c r="E991" s="381" t="s">
        <v>315</v>
      </c>
      <c r="F991" s="378">
        <v>-21106969</v>
      </c>
      <c r="G991" s="378">
        <v>710595</v>
      </c>
      <c r="H991" s="378">
        <v>3334525</v>
      </c>
      <c r="I991" s="378">
        <v>-23730899</v>
      </c>
      <c r="J991" s="2">
        <f t="shared" si="17"/>
        <v>8</v>
      </c>
    </row>
    <row r="992" spans="1:10" ht="15.75" customHeight="1" x14ac:dyDescent="0.25">
      <c r="A992" s="380">
        <v>25301505</v>
      </c>
      <c r="B992" s="381" t="s">
        <v>315</v>
      </c>
      <c r="C992" s="381" t="s">
        <v>1252</v>
      </c>
      <c r="D992" s="381" t="s">
        <v>1246</v>
      </c>
      <c r="E992" s="381" t="s">
        <v>1247</v>
      </c>
      <c r="F992" s="378">
        <v>-3150</v>
      </c>
      <c r="G992" s="378">
        <v>0</v>
      </c>
      <c r="H992" s="378">
        <v>0</v>
      </c>
      <c r="I992" s="378">
        <v>-3150</v>
      </c>
      <c r="J992" s="2">
        <f t="shared" si="17"/>
        <v>8</v>
      </c>
    </row>
    <row r="993" spans="1:10" ht="15.75" customHeight="1" x14ac:dyDescent="0.25">
      <c r="A993" s="380">
        <v>25301505</v>
      </c>
      <c r="B993" s="381" t="s">
        <v>315</v>
      </c>
      <c r="C993" s="381" t="s">
        <v>1252</v>
      </c>
      <c r="D993" s="381" t="s">
        <v>1194</v>
      </c>
      <c r="E993" s="381" t="s">
        <v>1195</v>
      </c>
      <c r="F993" s="378">
        <v>-393911</v>
      </c>
      <c r="G993" s="378">
        <v>0</v>
      </c>
      <c r="H993" s="378">
        <v>81010</v>
      </c>
      <c r="I993" s="378">
        <v>-474921</v>
      </c>
      <c r="J993" s="2">
        <f t="shared" si="17"/>
        <v>8</v>
      </c>
    </row>
    <row r="994" spans="1:10" ht="15.75" customHeight="1" x14ac:dyDescent="0.25">
      <c r="A994" s="380">
        <v>25301505</v>
      </c>
      <c r="B994" s="381" t="s">
        <v>315</v>
      </c>
      <c r="C994" s="381" t="s">
        <v>1252</v>
      </c>
      <c r="D994" s="381" t="s">
        <v>779</v>
      </c>
      <c r="E994" s="381" t="s">
        <v>780</v>
      </c>
      <c r="F994" s="378">
        <v>-1031015</v>
      </c>
      <c r="G994" s="378">
        <v>0</v>
      </c>
      <c r="H994" s="378">
        <v>108718</v>
      </c>
      <c r="I994" s="378">
        <v>-1139733</v>
      </c>
      <c r="J994" s="2">
        <f t="shared" si="17"/>
        <v>8</v>
      </c>
    </row>
    <row r="995" spans="1:10" ht="15.75" customHeight="1" x14ac:dyDescent="0.25">
      <c r="A995" s="380">
        <v>25301505</v>
      </c>
      <c r="B995" s="381" t="s">
        <v>315</v>
      </c>
      <c r="C995" s="381" t="s">
        <v>1252</v>
      </c>
      <c r="D995" s="381" t="s">
        <v>1219</v>
      </c>
      <c r="E995" s="381" t="s">
        <v>1220</v>
      </c>
      <c r="F995" s="378">
        <v>-570888</v>
      </c>
      <c r="G995" s="378">
        <v>0</v>
      </c>
      <c r="H995" s="378">
        <v>0</v>
      </c>
      <c r="I995" s="378">
        <v>-570888</v>
      </c>
      <c r="J995" s="2">
        <f t="shared" si="17"/>
        <v>8</v>
      </c>
    </row>
    <row r="996" spans="1:10" ht="15.75" customHeight="1" x14ac:dyDescent="0.25">
      <c r="A996" s="380">
        <v>25301505</v>
      </c>
      <c r="B996" s="381" t="s">
        <v>315</v>
      </c>
      <c r="C996" s="381" t="s">
        <v>1252</v>
      </c>
      <c r="D996" s="381" t="s">
        <v>774</v>
      </c>
      <c r="E996" s="381" t="s">
        <v>775</v>
      </c>
      <c r="F996" s="378">
        <v>-344124</v>
      </c>
      <c r="G996" s="378">
        <v>0</v>
      </c>
      <c r="H996" s="378">
        <v>60086</v>
      </c>
      <c r="I996" s="378">
        <v>-404210</v>
      </c>
      <c r="J996" s="2">
        <f t="shared" si="17"/>
        <v>8</v>
      </c>
    </row>
    <row r="997" spans="1:10" ht="15.75" customHeight="1" x14ac:dyDescent="0.25">
      <c r="A997" s="380">
        <v>25301505</v>
      </c>
      <c r="B997" s="381" t="s">
        <v>315</v>
      </c>
      <c r="C997" s="381" t="s">
        <v>1252</v>
      </c>
      <c r="D997" s="381" t="s">
        <v>1196</v>
      </c>
      <c r="E997" s="381" t="s">
        <v>1197</v>
      </c>
      <c r="F997" s="378">
        <v>-400880</v>
      </c>
      <c r="G997" s="378">
        <v>0</v>
      </c>
      <c r="H997" s="378">
        <v>74628</v>
      </c>
      <c r="I997" s="378">
        <v>-475508</v>
      </c>
      <c r="J997" s="2">
        <f t="shared" si="17"/>
        <v>8</v>
      </c>
    </row>
    <row r="998" spans="1:10" ht="15.75" customHeight="1" x14ac:dyDescent="0.25">
      <c r="A998" s="380">
        <v>25301505</v>
      </c>
      <c r="B998" s="381" t="s">
        <v>315</v>
      </c>
      <c r="C998" s="381" t="s">
        <v>1252</v>
      </c>
      <c r="D998" s="381" t="s">
        <v>1078</v>
      </c>
      <c r="E998" s="381" t="s">
        <v>1079</v>
      </c>
      <c r="F998" s="378">
        <v>-616667</v>
      </c>
      <c r="G998" s="378">
        <v>0</v>
      </c>
      <c r="H998" s="378">
        <v>406250</v>
      </c>
      <c r="I998" s="378">
        <v>-1022917</v>
      </c>
      <c r="J998" s="2">
        <f t="shared" si="17"/>
        <v>8</v>
      </c>
    </row>
    <row r="999" spans="1:10" ht="15.75" customHeight="1" x14ac:dyDescent="0.25">
      <c r="A999" s="380">
        <v>25301505</v>
      </c>
      <c r="B999" s="381" t="s">
        <v>315</v>
      </c>
      <c r="C999" s="381" t="s">
        <v>1252</v>
      </c>
      <c r="D999" s="381" t="s">
        <v>781</v>
      </c>
      <c r="E999" s="381" t="s">
        <v>782</v>
      </c>
      <c r="F999" s="378">
        <v>-1073588</v>
      </c>
      <c r="G999" s="378">
        <v>0</v>
      </c>
      <c r="H999" s="378">
        <v>91157</v>
      </c>
      <c r="I999" s="378">
        <v>-1164745</v>
      </c>
      <c r="J999" s="2">
        <f t="shared" si="17"/>
        <v>8</v>
      </c>
    </row>
    <row r="1000" spans="1:10" ht="15.75" customHeight="1" x14ac:dyDescent="0.25">
      <c r="A1000" s="380">
        <v>25301505</v>
      </c>
      <c r="B1000" s="381" t="s">
        <v>315</v>
      </c>
      <c r="C1000" s="381" t="s">
        <v>1252</v>
      </c>
      <c r="D1000" s="381" t="s">
        <v>728</v>
      </c>
      <c r="E1000" s="381" t="s">
        <v>729</v>
      </c>
      <c r="F1000" s="378">
        <v>-1149611</v>
      </c>
      <c r="G1000" s="378">
        <v>0</v>
      </c>
      <c r="H1000" s="378">
        <v>90652</v>
      </c>
      <c r="I1000" s="378">
        <v>-1240263</v>
      </c>
      <c r="J1000" s="2">
        <f t="shared" si="17"/>
        <v>8</v>
      </c>
    </row>
    <row r="1001" spans="1:10" ht="15.75" customHeight="1" x14ac:dyDescent="0.25">
      <c r="A1001" s="380">
        <v>25301505</v>
      </c>
      <c r="B1001" s="381" t="s">
        <v>315</v>
      </c>
      <c r="C1001" s="381" t="s">
        <v>1252</v>
      </c>
      <c r="D1001" s="381" t="s">
        <v>783</v>
      </c>
      <c r="E1001" s="381" t="s">
        <v>784</v>
      </c>
      <c r="F1001" s="378">
        <v>-351218</v>
      </c>
      <c r="G1001" s="378">
        <v>0</v>
      </c>
      <c r="H1001" s="378">
        <v>72823</v>
      </c>
      <c r="I1001" s="378">
        <v>-424041</v>
      </c>
      <c r="J1001" s="2">
        <f t="shared" si="17"/>
        <v>8</v>
      </c>
    </row>
    <row r="1002" spans="1:10" ht="15.75" customHeight="1" x14ac:dyDescent="0.25">
      <c r="A1002" s="380">
        <v>25301505</v>
      </c>
      <c r="B1002" s="381" t="s">
        <v>315</v>
      </c>
      <c r="C1002" s="381" t="s">
        <v>1252</v>
      </c>
      <c r="D1002" s="381" t="s">
        <v>797</v>
      </c>
      <c r="E1002" s="381" t="s">
        <v>798</v>
      </c>
      <c r="F1002" s="378">
        <v>-333973</v>
      </c>
      <c r="G1002" s="378">
        <v>0</v>
      </c>
      <c r="H1002" s="378">
        <v>62730</v>
      </c>
      <c r="I1002" s="378">
        <v>-396703</v>
      </c>
      <c r="J1002" s="2">
        <f t="shared" si="17"/>
        <v>8</v>
      </c>
    </row>
    <row r="1003" spans="1:10" ht="15.75" customHeight="1" x14ac:dyDescent="0.25">
      <c r="A1003" s="380">
        <v>25301505</v>
      </c>
      <c r="B1003" s="381" t="s">
        <v>315</v>
      </c>
      <c r="C1003" s="381" t="s">
        <v>1252</v>
      </c>
      <c r="D1003" s="381" t="s">
        <v>1221</v>
      </c>
      <c r="E1003" s="381" t="s">
        <v>1494</v>
      </c>
      <c r="F1003" s="378">
        <v>-568050</v>
      </c>
      <c r="G1003" s="378">
        <v>0</v>
      </c>
      <c r="H1003" s="378">
        <v>0</v>
      </c>
      <c r="I1003" s="378">
        <v>-568050</v>
      </c>
      <c r="J1003" s="2">
        <f t="shared" si="17"/>
        <v>8</v>
      </c>
    </row>
    <row r="1004" spans="1:10" ht="15.75" customHeight="1" x14ac:dyDescent="0.25">
      <c r="A1004" s="380">
        <v>25301505</v>
      </c>
      <c r="B1004" s="381" t="s">
        <v>315</v>
      </c>
      <c r="C1004" s="381" t="s">
        <v>1252</v>
      </c>
      <c r="D1004" s="381" t="s">
        <v>1222</v>
      </c>
      <c r="E1004" s="381" t="s">
        <v>1223</v>
      </c>
      <c r="F1004" s="378">
        <v>-62258</v>
      </c>
      <c r="G1004" s="378">
        <v>0</v>
      </c>
      <c r="H1004" s="378">
        <v>0</v>
      </c>
      <c r="I1004" s="378">
        <v>-62258</v>
      </c>
      <c r="J1004" s="2">
        <f t="shared" si="17"/>
        <v>8</v>
      </c>
    </row>
    <row r="1005" spans="1:10" ht="15.75" customHeight="1" x14ac:dyDescent="0.25">
      <c r="A1005" s="380">
        <v>25301505</v>
      </c>
      <c r="B1005" s="381" t="s">
        <v>315</v>
      </c>
      <c r="C1005" s="381" t="s">
        <v>1252</v>
      </c>
      <c r="D1005" s="381" t="s">
        <v>1198</v>
      </c>
      <c r="E1005" s="381" t="s">
        <v>1199</v>
      </c>
      <c r="F1005" s="378">
        <v>-92474</v>
      </c>
      <c r="G1005" s="378">
        <v>0</v>
      </c>
      <c r="H1005" s="378">
        <v>65213</v>
      </c>
      <c r="I1005" s="378">
        <v>-157687</v>
      </c>
      <c r="J1005" s="2">
        <f t="shared" si="17"/>
        <v>8</v>
      </c>
    </row>
    <row r="1006" spans="1:10" ht="15.75" customHeight="1" x14ac:dyDescent="0.25">
      <c r="A1006" s="380">
        <v>25301505</v>
      </c>
      <c r="B1006" s="381" t="s">
        <v>315</v>
      </c>
      <c r="C1006" s="381" t="s">
        <v>1252</v>
      </c>
      <c r="D1006" s="381" t="s">
        <v>753</v>
      </c>
      <c r="E1006" s="381" t="s">
        <v>754</v>
      </c>
      <c r="F1006" s="378">
        <v>-343688</v>
      </c>
      <c r="G1006" s="378">
        <v>343688</v>
      </c>
      <c r="H1006" s="378">
        <v>0</v>
      </c>
      <c r="I1006" s="378">
        <v>0</v>
      </c>
      <c r="J1006" s="2">
        <f t="shared" si="17"/>
        <v>8</v>
      </c>
    </row>
    <row r="1007" spans="1:10" ht="15.75" customHeight="1" x14ac:dyDescent="0.25">
      <c r="A1007" s="380">
        <v>25301505</v>
      </c>
      <c r="B1007" s="381" t="s">
        <v>315</v>
      </c>
      <c r="C1007" s="381" t="s">
        <v>1252</v>
      </c>
      <c r="D1007" s="381" t="s">
        <v>1253</v>
      </c>
      <c r="E1007" s="381" t="s">
        <v>1254</v>
      </c>
      <c r="F1007" s="378">
        <v>0</v>
      </c>
      <c r="G1007" s="378">
        <v>0</v>
      </c>
      <c r="H1007" s="378">
        <v>208123</v>
      </c>
      <c r="I1007" s="378">
        <v>-208123</v>
      </c>
      <c r="J1007" s="2">
        <f t="shared" si="17"/>
        <v>8</v>
      </c>
    </row>
    <row r="1008" spans="1:10" ht="15.75" customHeight="1" x14ac:dyDescent="0.25">
      <c r="A1008" s="380">
        <v>25301505</v>
      </c>
      <c r="B1008" s="381" t="s">
        <v>315</v>
      </c>
      <c r="C1008" s="381" t="s">
        <v>1252</v>
      </c>
      <c r="D1008" s="381" t="s">
        <v>1200</v>
      </c>
      <c r="E1008" s="381" t="s">
        <v>1201</v>
      </c>
      <c r="F1008" s="378">
        <v>-392023</v>
      </c>
      <c r="G1008" s="378">
        <v>0</v>
      </c>
      <c r="H1008" s="378">
        <v>79815</v>
      </c>
      <c r="I1008" s="378">
        <v>-471838</v>
      </c>
      <c r="J1008" s="2">
        <f t="shared" si="17"/>
        <v>8</v>
      </c>
    </row>
    <row r="1009" spans="1:10" ht="15.75" customHeight="1" x14ac:dyDescent="0.25">
      <c r="A1009" s="380">
        <v>25301505</v>
      </c>
      <c r="B1009" s="381" t="s">
        <v>315</v>
      </c>
      <c r="C1009" s="381" t="s">
        <v>1252</v>
      </c>
      <c r="D1009" s="381" t="s">
        <v>786</v>
      </c>
      <c r="E1009" s="381" t="s">
        <v>787</v>
      </c>
      <c r="F1009" s="378">
        <v>-698752</v>
      </c>
      <c r="G1009" s="378">
        <v>0</v>
      </c>
      <c r="H1009" s="378">
        <v>110613</v>
      </c>
      <c r="I1009" s="378">
        <v>-809365</v>
      </c>
      <c r="J1009" s="2">
        <f t="shared" si="17"/>
        <v>8</v>
      </c>
    </row>
    <row r="1010" spans="1:10" ht="15.75" customHeight="1" x14ac:dyDescent="0.25">
      <c r="A1010" s="380">
        <v>25301505</v>
      </c>
      <c r="B1010" s="381" t="s">
        <v>315</v>
      </c>
      <c r="C1010" s="381" t="s">
        <v>1252</v>
      </c>
      <c r="D1010" s="381" t="s">
        <v>1224</v>
      </c>
      <c r="E1010" s="381" t="s">
        <v>1225</v>
      </c>
      <c r="F1010" s="378">
        <v>-327054</v>
      </c>
      <c r="G1010" s="378">
        <v>0</v>
      </c>
      <c r="H1010" s="378">
        <v>81923</v>
      </c>
      <c r="I1010" s="378">
        <v>-408977</v>
      </c>
      <c r="J1010" s="2">
        <f t="shared" si="17"/>
        <v>8</v>
      </c>
    </row>
    <row r="1011" spans="1:10" ht="15.75" customHeight="1" x14ac:dyDescent="0.25">
      <c r="A1011" s="380">
        <v>25301505</v>
      </c>
      <c r="B1011" s="381" t="s">
        <v>315</v>
      </c>
      <c r="C1011" s="381" t="s">
        <v>1252</v>
      </c>
      <c r="D1011" s="381" t="s">
        <v>1226</v>
      </c>
      <c r="E1011" s="381" t="s">
        <v>1227</v>
      </c>
      <c r="F1011" s="378">
        <v>-21117</v>
      </c>
      <c r="G1011" s="378">
        <v>0</v>
      </c>
      <c r="H1011" s="378">
        <v>0</v>
      </c>
      <c r="I1011" s="378">
        <v>-21117</v>
      </c>
      <c r="J1011" s="2">
        <f t="shared" si="17"/>
        <v>8</v>
      </c>
    </row>
    <row r="1012" spans="1:10" ht="15.75" customHeight="1" x14ac:dyDescent="0.25">
      <c r="A1012" s="380">
        <v>25301505</v>
      </c>
      <c r="B1012" s="381" t="s">
        <v>315</v>
      </c>
      <c r="C1012" s="381" t="s">
        <v>1252</v>
      </c>
      <c r="D1012" s="381" t="s">
        <v>1202</v>
      </c>
      <c r="E1012" s="381" t="s">
        <v>1203</v>
      </c>
      <c r="F1012" s="378">
        <v>-838107</v>
      </c>
      <c r="G1012" s="378">
        <v>0</v>
      </c>
      <c r="H1012" s="378">
        <v>76310</v>
      </c>
      <c r="I1012" s="378">
        <v>-914417</v>
      </c>
      <c r="J1012" s="2">
        <f t="shared" si="17"/>
        <v>8</v>
      </c>
    </row>
    <row r="1013" spans="1:10" ht="15.75" customHeight="1" x14ac:dyDescent="0.25">
      <c r="A1013" s="380">
        <v>25301505</v>
      </c>
      <c r="B1013" s="381" t="s">
        <v>315</v>
      </c>
      <c r="C1013" s="381" t="s">
        <v>1252</v>
      </c>
      <c r="D1013" s="381" t="s">
        <v>1228</v>
      </c>
      <c r="E1013" s="381" t="s">
        <v>1229</v>
      </c>
      <c r="F1013" s="378">
        <v>-52936</v>
      </c>
      <c r="G1013" s="378">
        <v>0</v>
      </c>
      <c r="H1013" s="378">
        <v>43805</v>
      </c>
      <c r="I1013" s="378">
        <v>-96741</v>
      </c>
      <c r="J1013" s="2">
        <f t="shared" si="17"/>
        <v>8</v>
      </c>
    </row>
    <row r="1014" spans="1:10" ht="15.75" customHeight="1" x14ac:dyDescent="0.25">
      <c r="A1014" s="380">
        <v>25301505</v>
      </c>
      <c r="B1014" s="381" t="s">
        <v>315</v>
      </c>
      <c r="C1014" s="381" t="s">
        <v>1252</v>
      </c>
      <c r="D1014" s="381" t="s">
        <v>1086</v>
      </c>
      <c r="E1014" s="381" t="s">
        <v>1087</v>
      </c>
      <c r="F1014" s="378">
        <v>-484603</v>
      </c>
      <c r="G1014" s="378">
        <v>0</v>
      </c>
      <c r="H1014" s="378">
        <v>71351</v>
      </c>
      <c r="I1014" s="378">
        <v>-555954</v>
      </c>
      <c r="J1014" s="2">
        <f t="shared" si="17"/>
        <v>8</v>
      </c>
    </row>
    <row r="1015" spans="1:10" ht="15.75" customHeight="1" x14ac:dyDescent="0.25">
      <c r="A1015" s="380">
        <v>25301505</v>
      </c>
      <c r="B1015" s="381" t="s">
        <v>315</v>
      </c>
      <c r="C1015" s="381" t="s">
        <v>1252</v>
      </c>
      <c r="D1015" s="381" t="s">
        <v>404</v>
      </c>
      <c r="E1015" s="381" t="s">
        <v>1230</v>
      </c>
      <c r="F1015" s="378">
        <v>-1075719</v>
      </c>
      <c r="G1015" s="378">
        <v>0</v>
      </c>
      <c r="H1015" s="378">
        <v>65124</v>
      </c>
      <c r="I1015" s="378">
        <v>-1140843</v>
      </c>
      <c r="J1015" s="2">
        <f t="shared" si="17"/>
        <v>8</v>
      </c>
    </row>
    <row r="1016" spans="1:10" ht="15.75" customHeight="1" x14ac:dyDescent="0.25">
      <c r="A1016" s="380">
        <v>25301505</v>
      </c>
      <c r="B1016" s="381" t="s">
        <v>315</v>
      </c>
      <c r="C1016" s="381" t="s">
        <v>1252</v>
      </c>
      <c r="D1016" s="381" t="s">
        <v>1204</v>
      </c>
      <c r="E1016" s="381" t="s">
        <v>1205</v>
      </c>
      <c r="F1016" s="378">
        <v>-82545</v>
      </c>
      <c r="G1016" s="378">
        <v>0</v>
      </c>
      <c r="H1016" s="378">
        <v>64503</v>
      </c>
      <c r="I1016" s="378">
        <v>-147048</v>
      </c>
      <c r="J1016" s="2">
        <f t="shared" si="17"/>
        <v>8</v>
      </c>
    </row>
    <row r="1017" spans="1:10" ht="15.75" customHeight="1" x14ac:dyDescent="0.25">
      <c r="A1017" s="380">
        <v>25301505</v>
      </c>
      <c r="B1017" s="381" t="s">
        <v>315</v>
      </c>
      <c r="C1017" s="381" t="s">
        <v>1252</v>
      </c>
      <c r="D1017" s="381" t="s">
        <v>1231</v>
      </c>
      <c r="E1017" s="381" t="s">
        <v>1232</v>
      </c>
      <c r="F1017" s="378">
        <v>-68438</v>
      </c>
      <c r="G1017" s="378">
        <v>0</v>
      </c>
      <c r="H1017" s="378">
        <v>0</v>
      </c>
      <c r="I1017" s="378">
        <v>-68438</v>
      </c>
      <c r="J1017" s="2">
        <f t="shared" si="17"/>
        <v>8</v>
      </c>
    </row>
    <row r="1018" spans="1:10" ht="15.75" customHeight="1" x14ac:dyDescent="0.25">
      <c r="A1018" s="380">
        <v>25301505</v>
      </c>
      <c r="B1018" s="381" t="s">
        <v>315</v>
      </c>
      <c r="C1018" s="381" t="s">
        <v>1252</v>
      </c>
      <c r="D1018" s="381" t="s">
        <v>788</v>
      </c>
      <c r="E1018" s="381" t="s">
        <v>789</v>
      </c>
      <c r="F1018" s="378">
        <v>-710655</v>
      </c>
      <c r="G1018" s="378">
        <v>0</v>
      </c>
      <c r="H1018" s="378">
        <v>134021</v>
      </c>
      <c r="I1018" s="378">
        <v>-844676</v>
      </c>
      <c r="J1018" s="2">
        <f t="shared" si="17"/>
        <v>8</v>
      </c>
    </row>
    <row r="1019" spans="1:10" ht="15.75" customHeight="1" x14ac:dyDescent="0.25">
      <c r="A1019" s="380">
        <v>25301505</v>
      </c>
      <c r="B1019" s="381" t="s">
        <v>315</v>
      </c>
      <c r="C1019" s="381" t="s">
        <v>1252</v>
      </c>
      <c r="D1019" s="381" t="s">
        <v>1206</v>
      </c>
      <c r="E1019" s="381" t="s">
        <v>1207</v>
      </c>
      <c r="F1019" s="378">
        <v>-585697</v>
      </c>
      <c r="G1019" s="378">
        <v>0</v>
      </c>
      <c r="H1019" s="378">
        <v>79945</v>
      </c>
      <c r="I1019" s="378">
        <v>-665642</v>
      </c>
      <c r="J1019" s="2">
        <f t="shared" si="17"/>
        <v>8</v>
      </c>
    </row>
    <row r="1020" spans="1:10" ht="15.75" customHeight="1" x14ac:dyDescent="0.25">
      <c r="A1020" s="380">
        <v>25301505</v>
      </c>
      <c r="B1020" s="381" t="s">
        <v>315</v>
      </c>
      <c r="C1020" s="381" t="s">
        <v>1252</v>
      </c>
      <c r="D1020" s="381" t="s">
        <v>1088</v>
      </c>
      <c r="E1020" s="381" t="s">
        <v>1089</v>
      </c>
      <c r="F1020" s="378">
        <v>0</v>
      </c>
      <c r="G1020" s="378">
        <v>2628</v>
      </c>
      <c r="H1020" s="378">
        <v>2628</v>
      </c>
      <c r="I1020" s="378">
        <v>0</v>
      </c>
      <c r="J1020" s="2">
        <f t="shared" si="17"/>
        <v>8</v>
      </c>
    </row>
    <row r="1021" spans="1:10" ht="15.75" customHeight="1" x14ac:dyDescent="0.25">
      <c r="A1021" s="380">
        <v>25301505</v>
      </c>
      <c r="B1021" s="381" t="s">
        <v>315</v>
      </c>
      <c r="C1021" s="381" t="s">
        <v>1252</v>
      </c>
      <c r="D1021" s="381" t="s">
        <v>776</v>
      </c>
      <c r="E1021" s="381" t="s">
        <v>777</v>
      </c>
      <c r="F1021" s="378">
        <v>-465083</v>
      </c>
      <c r="G1021" s="378">
        <v>0</v>
      </c>
      <c r="H1021" s="378">
        <v>92609</v>
      </c>
      <c r="I1021" s="378">
        <v>-557692</v>
      </c>
      <c r="J1021" s="2">
        <f t="shared" si="17"/>
        <v>8</v>
      </c>
    </row>
    <row r="1022" spans="1:10" ht="15.75" customHeight="1" x14ac:dyDescent="0.25">
      <c r="A1022" s="380">
        <v>25301505</v>
      </c>
      <c r="B1022" s="381" t="s">
        <v>315</v>
      </c>
      <c r="C1022" s="381" t="s">
        <v>1252</v>
      </c>
      <c r="D1022" s="381" t="s">
        <v>790</v>
      </c>
      <c r="E1022" s="381" t="s">
        <v>791</v>
      </c>
      <c r="F1022" s="378">
        <v>-383657</v>
      </c>
      <c r="G1022" s="378">
        <v>0</v>
      </c>
      <c r="H1022" s="378">
        <v>86952</v>
      </c>
      <c r="I1022" s="378">
        <v>-470609</v>
      </c>
      <c r="J1022" s="2">
        <f t="shared" si="17"/>
        <v>8</v>
      </c>
    </row>
    <row r="1023" spans="1:10" ht="15.75" customHeight="1" x14ac:dyDescent="0.25">
      <c r="A1023" s="380">
        <v>25301505</v>
      </c>
      <c r="B1023" s="381" t="s">
        <v>315</v>
      </c>
      <c r="C1023" s="381" t="s">
        <v>1252</v>
      </c>
      <c r="D1023" s="381" t="s">
        <v>1233</v>
      </c>
      <c r="E1023" s="381" t="s">
        <v>1234</v>
      </c>
      <c r="F1023" s="378">
        <v>-249410</v>
      </c>
      <c r="G1023" s="378">
        <v>0</v>
      </c>
      <c r="H1023" s="378">
        <v>0</v>
      </c>
      <c r="I1023" s="378">
        <v>-249410</v>
      </c>
      <c r="J1023" s="2">
        <f t="shared" si="17"/>
        <v>8</v>
      </c>
    </row>
    <row r="1024" spans="1:10" ht="15.75" customHeight="1" x14ac:dyDescent="0.25">
      <c r="A1024" s="380">
        <v>25301505</v>
      </c>
      <c r="B1024" s="381" t="s">
        <v>315</v>
      </c>
      <c r="C1024" s="381" t="s">
        <v>1252</v>
      </c>
      <c r="D1024" s="381" t="s">
        <v>1235</v>
      </c>
      <c r="E1024" s="381" t="s">
        <v>1236</v>
      </c>
      <c r="F1024" s="378">
        <v>-44921</v>
      </c>
      <c r="G1024" s="378">
        <v>0</v>
      </c>
      <c r="H1024" s="378">
        <v>0</v>
      </c>
      <c r="I1024" s="378">
        <v>-44921</v>
      </c>
      <c r="J1024" s="2">
        <f t="shared" si="17"/>
        <v>8</v>
      </c>
    </row>
    <row r="1025" spans="1:10" ht="15.75" customHeight="1" x14ac:dyDescent="0.25">
      <c r="A1025" s="380">
        <v>25301505</v>
      </c>
      <c r="B1025" s="381" t="s">
        <v>315</v>
      </c>
      <c r="C1025" s="381" t="s">
        <v>1252</v>
      </c>
      <c r="D1025" s="381" t="s">
        <v>1208</v>
      </c>
      <c r="E1025" s="381" t="s">
        <v>1209</v>
      </c>
      <c r="F1025" s="378">
        <v>-364992</v>
      </c>
      <c r="G1025" s="378">
        <v>0</v>
      </c>
      <c r="H1025" s="378">
        <v>75143</v>
      </c>
      <c r="I1025" s="378">
        <v>-440135</v>
      </c>
      <c r="J1025" s="2">
        <f t="shared" si="17"/>
        <v>8</v>
      </c>
    </row>
    <row r="1026" spans="1:10" ht="15.75" customHeight="1" x14ac:dyDescent="0.25">
      <c r="A1026" s="380">
        <v>25301505</v>
      </c>
      <c r="B1026" s="381" t="s">
        <v>315</v>
      </c>
      <c r="C1026" s="381" t="s">
        <v>1252</v>
      </c>
      <c r="D1026" s="381" t="s">
        <v>1237</v>
      </c>
      <c r="E1026" s="381" t="s">
        <v>1238</v>
      </c>
      <c r="F1026" s="378">
        <v>-97502</v>
      </c>
      <c r="G1026" s="378">
        <v>0</v>
      </c>
      <c r="H1026" s="378">
        <v>82181</v>
      </c>
      <c r="I1026" s="378">
        <v>-179683</v>
      </c>
      <c r="J1026" s="2">
        <f t="shared" si="17"/>
        <v>8</v>
      </c>
    </row>
    <row r="1027" spans="1:10" ht="15.75" customHeight="1" x14ac:dyDescent="0.25">
      <c r="A1027" s="380">
        <v>25301505</v>
      </c>
      <c r="B1027" s="381" t="s">
        <v>315</v>
      </c>
      <c r="C1027" s="381" t="s">
        <v>1252</v>
      </c>
      <c r="D1027" s="381" t="s">
        <v>1239</v>
      </c>
      <c r="E1027" s="381" t="s">
        <v>1240</v>
      </c>
      <c r="F1027" s="378">
        <v>-364279</v>
      </c>
      <c r="G1027" s="378">
        <v>364279</v>
      </c>
      <c r="H1027" s="378">
        <v>0</v>
      </c>
      <c r="I1027" s="378">
        <v>0</v>
      </c>
      <c r="J1027" s="2">
        <f t="shared" si="17"/>
        <v>8</v>
      </c>
    </row>
    <row r="1028" spans="1:10" ht="15.75" customHeight="1" x14ac:dyDescent="0.25">
      <c r="A1028" s="380">
        <v>25301505</v>
      </c>
      <c r="B1028" s="381" t="s">
        <v>315</v>
      </c>
      <c r="C1028" s="381" t="s">
        <v>1252</v>
      </c>
      <c r="D1028" s="381" t="s">
        <v>1248</v>
      </c>
      <c r="E1028" s="381" t="s">
        <v>1249</v>
      </c>
      <c r="F1028" s="378">
        <v>-4855</v>
      </c>
      <c r="G1028" s="378">
        <v>0</v>
      </c>
      <c r="H1028" s="378">
        <v>0</v>
      </c>
      <c r="I1028" s="378">
        <v>-4855</v>
      </c>
      <c r="J1028" s="2">
        <f t="shared" si="17"/>
        <v>8</v>
      </c>
    </row>
    <row r="1029" spans="1:10" ht="15.75" customHeight="1" x14ac:dyDescent="0.25">
      <c r="A1029" s="380">
        <v>25301505</v>
      </c>
      <c r="B1029" s="381" t="s">
        <v>315</v>
      </c>
      <c r="C1029" s="381" t="s">
        <v>1252</v>
      </c>
      <c r="D1029" s="381" t="s">
        <v>1210</v>
      </c>
      <c r="E1029" s="381" t="s">
        <v>1211</v>
      </c>
      <c r="F1029" s="378">
        <v>-367909</v>
      </c>
      <c r="G1029" s="378">
        <v>0</v>
      </c>
      <c r="H1029" s="378">
        <v>68369</v>
      </c>
      <c r="I1029" s="378">
        <v>-436278</v>
      </c>
      <c r="J1029" s="2">
        <f t="shared" si="17"/>
        <v>8</v>
      </c>
    </row>
    <row r="1030" spans="1:10" ht="15.75" customHeight="1" x14ac:dyDescent="0.25">
      <c r="A1030" s="380">
        <v>25301505</v>
      </c>
      <c r="B1030" s="381" t="s">
        <v>315</v>
      </c>
      <c r="C1030" s="381" t="s">
        <v>1252</v>
      </c>
      <c r="D1030" s="381" t="s">
        <v>1090</v>
      </c>
      <c r="E1030" s="381" t="s">
        <v>1091</v>
      </c>
      <c r="F1030" s="378">
        <v>-2069748</v>
      </c>
      <c r="G1030" s="378">
        <v>0</v>
      </c>
      <c r="H1030" s="378">
        <v>100668</v>
      </c>
      <c r="I1030" s="378">
        <v>-2170416</v>
      </c>
      <c r="J1030" s="2">
        <f t="shared" si="17"/>
        <v>8</v>
      </c>
    </row>
    <row r="1031" spans="1:10" ht="15.75" customHeight="1" x14ac:dyDescent="0.25">
      <c r="A1031" s="380">
        <v>25301505</v>
      </c>
      <c r="B1031" s="381" t="s">
        <v>315</v>
      </c>
      <c r="C1031" s="381" t="s">
        <v>1252</v>
      </c>
      <c r="D1031" s="381" t="s">
        <v>1241</v>
      </c>
      <c r="E1031" s="381" t="s">
        <v>1242</v>
      </c>
      <c r="F1031" s="378">
        <v>-721635</v>
      </c>
      <c r="G1031" s="378">
        <v>0</v>
      </c>
      <c r="H1031" s="378">
        <v>68105</v>
      </c>
      <c r="I1031" s="378">
        <v>-789740</v>
      </c>
      <c r="J1031" s="2">
        <f t="shared" si="17"/>
        <v>8</v>
      </c>
    </row>
    <row r="1032" spans="1:10" ht="15.75" customHeight="1" x14ac:dyDescent="0.25">
      <c r="A1032" s="380">
        <v>25301505</v>
      </c>
      <c r="B1032" s="381" t="s">
        <v>315</v>
      </c>
      <c r="C1032" s="381" t="s">
        <v>1252</v>
      </c>
      <c r="D1032" s="381" t="s">
        <v>792</v>
      </c>
      <c r="E1032" s="381" t="s">
        <v>793</v>
      </c>
      <c r="F1032" s="378">
        <v>-1087998</v>
      </c>
      <c r="G1032" s="378">
        <v>0</v>
      </c>
      <c r="H1032" s="378">
        <v>88324</v>
      </c>
      <c r="I1032" s="378">
        <v>-1176322</v>
      </c>
      <c r="J1032" s="2">
        <f t="shared" si="17"/>
        <v>8</v>
      </c>
    </row>
    <row r="1033" spans="1:10" ht="15.75" customHeight="1" x14ac:dyDescent="0.25">
      <c r="A1033" s="380">
        <v>25301505</v>
      </c>
      <c r="B1033" s="381" t="s">
        <v>315</v>
      </c>
      <c r="C1033" s="381" t="s">
        <v>1252</v>
      </c>
      <c r="D1033" s="381" t="s">
        <v>794</v>
      </c>
      <c r="E1033" s="381" t="s">
        <v>795</v>
      </c>
      <c r="F1033" s="378">
        <v>-155187</v>
      </c>
      <c r="G1033" s="378">
        <v>0</v>
      </c>
      <c r="H1033" s="378">
        <v>346048</v>
      </c>
      <c r="I1033" s="378">
        <v>-501235</v>
      </c>
      <c r="J1033" s="2">
        <f t="shared" si="17"/>
        <v>8</v>
      </c>
    </row>
    <row r="1034" spans="1:10" ht="15.75" customHeight="1" x14ac:dyDescent="0.25">
      <c r="A1034" s="380">
        <v>25301505</v>
      </c>
      <c r="B1034" s="381" t="s">
        <v>315</v>
      </c>
      <c r="C1034" s="381" t="s">
        <v>1252</v>
      </c>
      <c r="D1034" s="381" t="s">
        <v>1212</v>
      </c>
      <c r="E1034" s="381" t="s">
        <v>1213</v>
      </c>
      <c r="F1034" s="378">
        <v>0</v>
      </c>
      <c r="G1034" s="378">
        <v>0</v>
      </c>
      <c r="H1034" s="378">
        <v>43496</v>
      </c>
      <c r="I1034" s="378">
        <v>-43496</v>
      </c>
      <c r="J1034" s="2">
        <f t="shared" si="17"/>
        <v>8</v>
      </c>
    </row>
    <row r="1035" spans="1:10" ht="15.75" customHeight="1" x14ac:dyDescent="0.25">
      <c r="A1035" s="380">
        <v>25301505</v>
      </c>
      <c r="B1035" s="381" t="s">
        <v>315</v>
      </c>
      <c r="C1035" s="381" t="s">
        <v>1252</v>
      </c>
      <c r="D1035" s="381" t="s">
        <v>1092</v>
      </c>
      <c r="E1035" s="381" t="s">
        <v>1093</v>
      </c>
      <c r="F1035" s="378">
        <v>-495850</v>
      </c>
      <c r="G1035" s="378">
        <v>0</v>
      </c>
      <c r="H1035" s="378">
        <v>5489</v>
      </c>
      <c r="I1035" s="378">
        <v>-501339</v>
      </c>
      <c r="J1035" s="2">
        <f t="shared" si="17"/>
        <v>8</v>
      </c>
    </row>
    <row r="1036" spans="1:10" ht="15.75" customHeight="1" x14ac:dyDescent="0.25">
      <c r="A1036" s="380">
        <v>25301505</v>
      </c>
      <c r="B1036" s="381" t="s">
        <v>315</v>
      </c>
      <c r="C1036" s="381" t="s">
        <v>1252</v>
      </c>
      <c r="D1036" s="381" t="s">
        <v>1243</v>
      </c>
      <c r="E1036" s="381" t="s">
        <v>1244</v>
      </c>
      <c r="F1036" s="378">
        <v>-202006</v>
      </c>
      <c r="G1036" s="378">
        <v>0</v>
      </c>
      <c r="H1036" s="378">
        <v>0</v>
      </c>
      <c r="I1036" s="378">
        <v>-202006</v>
      </c>
      <c r="J1036" s="2">
        <f t="shared" si="17"/>
        <v>8</v>
      </c>
    </row>
    <row r="1037" spans="1:10" ht="15.75" customHeight="1" x14ac:dyDescent="0.25">
      <c r="A1037" s="380">
        <v>25301505</v>
      </c>
      <c r="B1037" s="381" t="s">
        <v>315</v>
      </c>
      <c r="C1037" s="381" t="s">
        <v>1252</v>
      </c>
      <c r="D1037" s="381" t="s">
        <v>1214</v>
      </c>
      <c r="E1037" s="381" t="s">
        <v>1489</v>
      </c>
      <c r="F1037" s="378">
        <v>-938715</v>
      </c>
      <c r="G1037" s="378">
        <v>0</v>
      </c>
      <c r="H1037" s="378">
        <v>91157</v>
      </c>
      <c r="I1037" s="378">
        <v>-1029872</v>
      </c>
      <c r="J1037" s="2">
        <f t="shared" ref="J1037:J1100" si="18">+LEN(A1037)</f>
        <v>8</v>
      </c>
    </row>
    <row r="1038" spans="1:10" ht="15.75" customHeight="1" x14ac:dyDescent="0.25">
      <c r="A1038" s="380">
        <v>25301505</v>
      </c>
      <c r="B1038" s="381" t="s">
        <v>315</v>
      </c>
      <c r="C1038" s="381" t="s">
        <v>1252</v>
      </c>
      <c r="D1038" s="381" t="s">
        <v>1094</v>
      </c>
      <c r="E1038" s="381" t="s">
        <v>1095</v>
      </c>
      <c r="F1038" s="378">
        <v>-420081</v>
      </c>
      <c r="G1038" s="378">
        <v>0</v>
      </c>
      <c r="H1038" s="378">
        <v>54556</v>
      </c>
      <c r="I1038" s="378">
        <v>-474637</v>
      </c>
      <c r="J1038" s="2">
        <f t="shared" si="18"/>
        <v>8</v>
      </c>
    </row>
    <row r="1039" spans="1:10" ht="15.75" customHeight="1" x14ac:dyDescent="0.25">
      <c r="A1039" s="380">
        <v>25301510</v>
      </c>
      <c r="B1039" s="381" t="s">
        <v>315</v>
      </c>
      <c r="C1039" s="381" t="s">
        <v>1255</v>
      </c>
      <c r="D1039" s="381" t="s">
        <v>315</v>
      </c>
      <c r="E1039" s="381" t="s">
        <v>315</v>
      </c>
      <c r="F1039" s="378">
        <v>2406730</v>
      </c>
      <c r="G1039" s="378">
        <v>1220637</v>
      </c>
      <c r="H1039" s="378">
        <v>0</v>
      </c>
      <c r="I1039" s="378">
        <v>3627367</v>
      </c>
      <c r="J1039" s="2">
        <f t="shared" si="18"/>
        <v>8</v>
      </c>
    </row>
    <row r="1040" spans="1:10" ht="15.75" customHeight="1" x14ac:dyDescent="0.25">
      <c r="A1040" s="380">
        <v>25301510</v>
      </c>
      <c r="B1040" s="381" t="s">
        <v>315</v>
      </c>
      <c r="C1040" s="381" t="s">
        <v>1255</v>
      </c>
      <c r="D1040" s="381" t="s">
        <v>1246</v>
      </c>
      <c r="E1040" s="381" t="s">
        <v>1247</v>
      </c>
      <c r="F1040" s="378">
        <v>3150</v>
      </c>
      <c r="G1040" s="378">
        <v>0</v>
      </c>
      <c r="H1040" s="378">
        <v>0</v>
      </c>
      <c r="I1040" s="378">
        <v>3150</v>
      </c>
      <c r="J1040" s="2">
        <f t="shared" si="18"/>
        <v>8</v>
      </c>
    </row>
    <row r="1041" spans="1:10" ht="15.75" customHeight="1" x14ac:dyDescent="0.25">
      <c r="A1041" s="380">
        <v>25301510</v>
      </c>
      <c r="B1041" s="381" t="s">
        <v>315</v>
      </c>
      <c r="C1041" s="381" t="s">
        <v>1255</v>
      </c>
      <c r="D1041" s="381" t="s">
        <v>728</v>
      </c>
      <c r="E1041" s="381" t="s">
        <v>729</v>
      </c>
      <c r="F1041" s="378">
        <v>77018</v>
      </c>
      <c r="G1041" s="378">
        <v>0</v>
      </c>
      <c r="H1041" s="378">
        <v>0</v>
      </c>
      <c r="I1041" s="378">
        <v>77018</v>
      </c>
      <c r="J1041" s="2">
        <f t="shared" si="18"/>
        <v>8</v>
      </c>
    </row>
    <row r="1042" spans="1:10" ht="15.75" customHeight="1" x14ac:dyDescent="0.25">
      <c r="A1042" s="380">
        <v>25301510</v>
      </c>
      <c r="B1042" s="381" t="s">
        <v>315</v>
      </c>
      <c r="C1042" s="381" t="s">
        <v>1255</v>
      </c>
      <c r="D1042" s="381" t="s">
        <v>1221</v>
      </c>
      <c r="E1042" s="381" t="s">
        <v>1494</v>
      </c>
      <c r="F1042" s="378">
        <v>118991</v>
      </c>
      <c r="G1042" s="378">
        <v>0</v>
      </c>
      <c r="H1042" s="378">
        <v>0</v>
      </c>
      <c r="I1042" s="378">
        <v>118991</v>
      </c>
      <c r="J1042" s="2">
        <f t="shared" si="18"/>
        <v>8</v>
      </c>
    </row>
    <row r="1043" spans="1:10" ht="15.75" customHeight="1" x14ac:dyDescent="0.25">
      <c r="A1043" s="380">
        <v>25301510</v>
      </c>
      <c r="B1043" s="381" t="s">
        <v>315</v>
      </c>
      <c r="C1043" s="381" t="s">
        <v>1255</v>
      </c>
      <c r="D1043" s="381" t="s">
        <v>753</v>
      </c>
      <c r="E1043" s="381" t="s">
        <v>754</v>
      </c>
      <c r="F1043" s="378">
        <v>343688</v>
      </c>
      <c r="G1043" s="378">
        <v>0</v>
      </c>
      <c r="H1043" s="378">
        <v>0</v>
      </c>
      <c r="I1043" s="378">
        <v>343688</v>
      </c>
      <c r="J1043" s="2">
        <f t="shared" si="18"/>
        <v>8</v>
      </c>
    </row>
    <row r="1044" spans="1:10" ht="15.75" customHeight="1" x14ac:dyDescent="0.25">
      <c r="A1044" s="380">
        <v>25301510</v>
      </c>
      <c r="B1044" s="381" t="s">
        <v>315</v>
      </c>
      <c r="C1044" s="381" t="s">
        <v>1255</v>
      </c>
      <c r="D1044" s="381" t="s">
        <v>1224</v>
      </c>
      <c r="E1044" s="381" t="s">
        <v>1225</v>
      </c>
      <c r="F1044" s="378">
        <v>151017</v>
      </c>
      <c r="G1044" s="378">
        <v>0</v>
      </c>
      <c r="H1044" s="378">
        <v>0</v>
      </c>
      <c r="I1044" s="378">
        <v>151017</v>
      </c>
      <c r="J1044" s="2">
        <f t="shared" si="18"/>
        <v>8</v>
      </c>
    </row>
    <row r="1045" spans="1:10" ht="15.75" customHeight="1" x14ac:dyDescent="0.25">
      <c r="A1045" s="380">
        <v>25301510</v>
      </c>
      <c r="B1045" s="381" t="s">
        <v>315</v>
      </c>
      <c r="C1045" s="381" t="s">
        <v>1255</v>
      </c>
      <c r="D1045" s="381" t="s">
        <v>1226</v>
      </c>
      <c r="E1045" s="381" t="s">
        <v>1227</v>
      </c>
      <c r="F1045" s="378">
        <v>21117</v>
      </c>
      <c r="G1045" s="378">
        <v>0</v>
      </c>
      <c r="H1045" s="378">
        <v>0</v>
      </c>
      <c r="I1045" s="378">
        <v>21117</v>
      </c>
      <c r="J1045" s="2">
        <f t="shared" si="18"/>
        <v>8</v>
      </c>
    </row>
    <row r="1046" spans="1:10" ht="15.75" customHeight="1" x14ac:dyDescent="0.25">
      <c r="A1046" s="380">
        <v>25301510</v>
      </c>
      <c r="B1046" s="381" t="s">
        <v>315</v>
      </c>
      <c r="C1046" s="381" t="s">
        <v>1255</v>
      </c>
      <c r="D1046" s="381" t="s">
        <v>1286</v>
      </c>
      <c r="E1046" s="381" t="s">
        <v>1287</v>
      </c>
      <c r="F1046" s="378">
        <v>-719298</v>
      </c>
      <c r="G1046" s="378">
        <v>719298</v>
      </c>
      <c r="H1046" s="378">
        <v>0</v>
      </c>
      <c r="I1046" s="378">
        <v>0</v>
      </c>
      <c r="J1046" s="2">
        <f t="shared" si="18"/>
        <v>8</v>
      </c>
    </row>
    <row r="1047" spans="1:10" ht="15.75" customHeight="1" x14ac:dyDescent="0.25">
      <c r="A1047" s="380">
        <v>25301510</v>
      </c>
      <c r="B1047" s="381" t="s">
        <v>315</v>
      </c>
      <c r="C1047" s="381" t="s">
        <v>1255</v>
      </c>
      <c r="D1047" s="381" t="s">
        <v>1086</v>
      </c>
      <c r="E1047" s="381" t="s">
        <v>1087</v>
      </c>
      <c r="F1047" s="378">
        <v>228747</v>
      </c>
      <c r="G1047" s="378">
        <v>0</v>
      </c>
      <c r="H1047" s="378">
        <v>0</v>
      </c>
      <c r="I1047" s="378">
        <v>228747</v>
      </c>
      <c r="J1047" s="2">
        <f t="shared" si="18"/>
        <v>8</v>
      </c>
    </row>
    <row r="1048" spans="1:10" ht="15.75" customHeight="1" x14ac:dyDescent="0.25">
      <c r="A1048" s="380">
        <v>25301510</v>
      </c>
      <c r="B1048" s="381" t="s">
        <v>315</v>
      </c>
      <c r="C1048" s="381" t="s">
        <v>1255</v>
      </c>
      <c r="D1048" s="381" t="s">
        <v>1231</v>
      </c>
      <c r="E1048" s="381" t="s">
        <v>1232</v>
      </c>
      <c r="F1048" s="378">
        <v>68438</v>
      </c>
      <c r="G1048" s="378">
        <v>0</v>
      </c>
      <c r="H1048" s="378">
        <v>0</v>
      </c>
      <c r="I1048" s="378">
        <v>68438</v>
      </c>
      <c r="J1048" s="2">
        <f t="shared" si="18"/>
        <v>8</v>
      </c>
    </row>
    <row r="1049" spans="1:10" ht="15.75" customHeight="1" x14ac:dyDescent="0.25">
      <c r="A1049" s="380">
        <v>25301510</v>
      </c>
      <c r="B1049" s="381" t="s">
        <v>315</v>
      </c>
      <c r="C1049" s="381" t="s">
        <v>1255</v>
      </c>
      <c r="D1049" s="381" t="s">
        <v>1233</v>
      </c>
      <c r="E1049" s="381" t="s">
        <v>1234</v>
      </c>
      <c r="F1049" s="378">
        <v>249410</v>
      </c>
      <c r="G1049" s="378">
        <v>0</v>
      </c>
      <c r="H1049" s="378">
        <v>0</v>
      </c>
      <c r="I1049" s="378">
        <v>249410</v>
      </c>
      <c r="J1049" s="2">
        <f t="shared" si="18"/>
        <v>8</v>
      </c>
    </row>
    <row r="1050" spans="1:10" ht="15.75" customHeight="1" x14ac:dyDescent="0.25">
      <c r="A1050" s="380">
        <v>25301510</v>
      </c>
      <c r="B1050" s="381" t="s">
        <v>315</v>
      </c>
      <c r="C1050" s="381" t="s">
        <v>1255</v>
      </c>
      <c r="D1050" s="381" t="s">
        <v>1235</v>
      </c>
      <c r="E1050" s="381" t="s">
        <v>1236</v>
      </c>
      <c r="F1050" s="378">
        <v>44921</v>
      </c>
      <c r="G1050" s="378">
        <v>0</v>
      </c>
      <c r="H1050" s="378">
        <v>0</v>
      </c>
      <c r="I1050" s="378">
        <v>44921</v>
      </c>
      <c r="J1050" s="2">
        <f t="shared" si="18"/>
        <v>8</v>
      </c>
    </row>
    <row r="1051" spans="1:10" ht="15.75" customHeight="1" x14ac:dyDescent="0.25">
      <c r="A1051" s="380">
        <v>25301510</v>
      </c>
      <c r="B1051" s="381" t="s">
        <v>315</v>
      </c>
      <c r="C1051" s="381" t="s">
        <v>1255</v>
      </c>
      <c r="D1051" s="381" t="s">
        <v>1248</v>
      </c>
      <c r="E1051" s="381" t="s">
        <v>1249</v>
      </c>
      <c r="F1051" s="378">
        <v>4855</v>
      </c>
      <c r="G1051" s="378">
        <v>0</v>
      </c>
      <c r="H1051" s="378">
        <v>0</v>
      </c>
      <c r="I1051" s="378">
        <v>4855</v>
      </c>
      <c r="J1051" s="2">
        <f t="shared" si="18"/>
        <v>8</v>
      </c>
    </row>
    <row r="1052" spans="1:10" ht="15.75" customHeight="1" x14ac:dyDescent="0.25">
      <c r="A1052" s="380">
        <v>25301510</v>
      </c>
      <c r="B1052" s="381" t="s">
        <v>315</v>
      </c>
      <c r="C1052" s="381" t="s">
        <v>1255</v>
      </c>
      <c r="D1052" s="381" t="s">
        <v>1090</v>
      </c>
      <c r="E1052" s="381" t="s">
        <v>1091</v>
      </c>
      <c r="F1052" s="378">
        <v>1131355</v>
      </c>
      <c r="G1052" s="378">
        <v>0</v>
      </c>
      <c r="H1052" s="378">
        <v>0</v>
      </c>
      <c r="I1052" s="378">
        <v>1131355</v>
      </c>
      <c r="J1052" s="2">
        <f t="shared" si="18"/>
        <v>8</v>
      </c>
    </row>
    <row r="1053" spans="1:10" ht="15.75" customHeight="1" x14ac:dyDescent="0.25">
      <c r="A1053" s="380">
        <v>25301510</v>
      </c>
      <c r="B1053" s="381" t="s">
        <v>315</v>
      </c>
      <c r="C1053" s="381" t="s">
        <v>1255</v>
      </c>
      <c r="D1053" s="381" t="s">
        <v>1241</v>
      </c>
      <c r="E1053" s="381" t="s">
        <v>1242</v>
      </c>
      <c r="F1053" s="378">
        <v>427050</v>
      </c>
      <c r="G1053" s="378">
        <v>0</v>
      </c>
      <c r="H1053" s="378">
        <v>0</v>
      </c>
      <c r="I1053" s="378">
        <v>427050</v>
      </c>
      <c r="J1053" s="2">
        <f t="shared" si="18"/>
        <v>8</v>
      </c>
    </row>
    <row r="1054" spans="1:10" ht="15.75" customHeight="1" x14ac:dyDescent="0.25">
      <c r="A1054" s="380">
        <v>25301510</v>
      </c>
      <c r="B1054" s="381" t="s">
        <v>315</v>
      </c>
      <c r="C1054" s="381" t="s">
        <v>1255</v>
      </c>
      <c r="D1054" s="381" t="s">
        <v>1092</v>
      </c>
      <c r="E1054" s="381" t="s">
        <v>1093</v>
      </c>
      <c r="F1054" s="378">
        <v>0</v>
      </c>
      <c r="G1054" s="378">
        <v>501339</v>
      </c>
      <c r="H1054" s="378">
        <v>0</v>
      </c>
      <c r="I1054" s="378">
        <v>501339</v>
      </c>
      <c r="J1054" s="2">
        <f t="shared" si="18"/>
        <v>8</v>
      </c>
    </row>
    <row r="1055" spans="1:10" ht="15.75" customHeight="1" x14ac:dyDescent="0.25">
      <c r="A1055" s="380">
        <v>25301510</v>
      </c>
      <c r="B1055" s="381" t="s">
        <v>315</v>
      </c>
      <c r="C1055" s="381" t="s">
        <v>1255</v>
      </c>
      <c r="D1055" s="381" t="s">
        <v>1243</v>
      </c>
      <c r="E1055" s="381" t="s">
        <v>1244</v>
      </c>
      <c r="F1055" s="378">
        <v>12529</v>
      </c>
      <c r="G1055" s="378">
        <v>0</v>
      </c>
      <c r="H1055" s="378">
        <v>0</v>
      </c>
      <c r="I1055" s="378">
        <v>12529</v>
      </c>
      <c r="J1055" s="2">
        <f t="shared" si="18"/>
        <v>8</v>
      </c>
    </row>
    <row r="1056" spans="1:10" ht="15.75" customHeight="1" x14ac:dyDescent="0.25">
      <c r="A1056" s="380">
        <v>25301510</v>
      </c>
      <c r="B1056" s="381" t="s">
        <v>315</v>
      </c>
      <c r="C1056" s="381" t="s">
        <v>1255</v>
      </c>
      <c r="D1056" s="381" t="s">
        <v>1214</v>
      </c>
      <c r="E1056" s="381" t="s">
        <v>1489</v>
      </c>
      <c r="F1056" s="378">
        <v>243742</v>
      </c>
      <c r="G1056" s="378">
        <v>0</v>
      </c>
      <c r="H1056" s="378">
        <v>0</v>
      </c>
      <c r="I1056" s="378">
        <v>243742</v>
      </c>
      <c r="J1056" s="2">
        <f t="shared" si="18"/>
        <v>8</v>
      </c>
    </row>
    <row r="1057" spans="1:10" ht="15.75" customHeight="1" x14ac:dyDescent="0.25">
      <c r="A1057" s="380">
        <v>25301512</v>
      </c>
      <c r="B1057" s="381" t="s">
        <v>321</v>
      </c>
      <c r="C1057" s="381" t="s">
        <v>1256</v>
      </c>
      <c r="D1057" s="381" t="s">
        <v>315</v>
      </c>
      <c r="E1057" s="381" t="s">
        <v>315</v>
      </c>
      <c r="F1057" s="378">
        <v>1082205</v>
      </c>
      <c r="G1057" s="378">
        <v>473915</v>
      </c>
      <c r="H1057" s="378">
        <v>1551562</v>
      </c>
      <c r="I1057" s="378">
        <v>4558</v>
      </c>
      <c r="J1057" s="2">
        <f t="shared" si="18"/>
        <v>8</v>
      </c>
    </row>
    <row r="1058" spans="1:10" ht="15.75" customHeight="1" x14ac:dyDescent="0.25">
      <c r="A1058" s="380">
        <v>25301512</v>
      </c>
      <c r="B1058" s="381" t="s">
        <v>321</v>
      </c>
      <c r="C1058" s="381" t="s">
        <v>1256</v>
      </c>
      <c r="D1058" s="381" t="s">
        <v>1219</v>
      </c>
      <c r="E1058" s="381" t="s">
        <v>1220</v>
      </c>
      <c r="F1058" s="378">
        <v>570888</v>
      </c>
      <c r="G1058" s="378">
        <v>0</v>
      </c>
      <c r="H1058" s="378">
        <v>0</v>
      </c>
      <c r="I1058" s="378">
        <v>570888</v>
      </c>
      <c r="J1058" s="2">
        <f t="shared" si="18"/>
        <v>8</v>
      </c>
    </row>
    <row r="1059" spans="1:10" ht="15.75" customHeight="1" x14ac:dyDescent="0.25">
      <c r="A1059" s="380">
        <v>25301512</v>
      </c>
      <c r="B1059" s="381" t="s">
        <v>321</v>
      </c>
      <c r="C1059" s="381" t="s">
        <v>1256</v>
      </c>
      <c r="D1059" s="381" t="s">
        <v>1221</v>
      </c>
      <c r="E1059" s="381" t="s">
        <v>1494</v>
      </c>
      <c r="F1059" s="378">
        <v>449059</v>
      </c>
      <c r="G1059" s="378">
        <v>0</v>
      </c>
      <c r="H1059" s="378">
        <v>0</v>
      </c>
      <c r="I1059" s="378">
        <v>449059</v>
      </c>
      <c r="J1059" s="2">
        <f t="shared" si="18"/>
        <v>8</v>
      </c>
    </row>
    <row r="1060" spans="1:10" ht="15.75" customHeight="1" x14ac:dyDescent="0.25">
      <c r="A1060" s="380">
        <v>25301512</v>
      </c>
      <c r="B1060" s="381" t="s">
        <v>321</v>
      </c>
      <c r="C1060" s="381" t="s">
        <v>1256</v>
      </c>
      <c r="D1060" s="381" t="s">
        <v>1222</v>
      </c>
      <c r="E1060" s="381" t="s">
        <v>1223</v>
      </c>
      <c r="F1060" s="378">
        <v>62258</v>
      </c>
      <c r="G1060" s="378">
        <v>0</v>
      </c>
      <c r="H1060" s="378">
        <v>0</v>
      </c>
      <c r="I1060" s="378">
        <v>62258</v>
      </c>
      <c r="J1060" s="2">
        <f t="shared" si="18"/>
        <v>8</v>
      </c>
    </row>
    <row r="1061" spans="1:10" ht="15.75" customHeight="1" x14ac:dyDescent="0.25">
      <c r="A1061" s="380">
        <v>25301512</v>
      </c>
      <c r="B1061" s="381" t="s">
        <v>321</v>
      </c>
      <c r="C1061" s="381" t="s">
        <v>1256</v>
      </c>
      <c r="D1061" s="381" t="s">
        <v>753</v>
      </c>
      <c r="E1061" s="381" t="s">
        <v>754</v>
      </c>
      <c r="F1061" s="378">
        <v>0</v>
      </c>
      <c r="G1061" s="378">
        <v>0</v>
      </c>
      <c r="H1061" s="378">
        <v>1174388</v>
      </c>
      <c r="I1061" s="378">
        <v>-1174388</v>
      </c>
      <c r="J1061" s="2">
        <f t="shared" si="18"/>
        <v>8</v>
      </c>
    </row>
    <row r="1062" spans="1:10" ht="15.75" customHeight="1" x14ac:dyDescent="0.25">
      <c r="A1062" s="380">
        <v>25301512</v>
      </c>
      <c r="B1062" s="381" t="s">
        <v>321</v>
      </c>
      <c r="C1062" s="381" t="s">
        <v>1256</v>
      </c>
      <c r="D1062" s="381" t="s">
        <v>1228</v>
      </c>
      <c r="E1062" s="381" t="s">
        <v>1229</v>
      </c>
      <c r="F1062" s="378">
        <v>0</v>
      </c>
      <c r="G1062" s="378">
        <v>96741</v>
      </c>
      <c r="H1062" s="378">
        <v>0</v>
      </c>
      <c r="I1062" s="378">
        <v>96741</v>
      </c>
      <c r="J1062" s="2">
        <f t="shared" si="18"/>
        <v>8</v>
      </c>
    </row>
    <row r="1063" spans="1:10" ht="15.75" customHeight="1" x14ac:dyDescent="0.25">
      <c r="A1063" s="380">
        <v>25301512</v>
      </c>
      <c r="B1063" s="381" t="s">
        <v>321</v>
      </c>
      <c r="C1063" s="381" t="s">
        <v>1256</v>
      </c>
      <c r="D1063" s="381" t="s">
        <v>1088</v>
      </c>
      <c r="E1063" s="381" t="s">
        <v>1089</v>
      </c>
      <c r="F1063" s="378">
        <v>0</v>
      </c>
      <c r="G1063" s="378">
        <v>377174</v>
      </c>
      <c r="H1063" s="378">
        <v>377174</v>
      </c>
      <c r="I1063" s="378">
        <v>0</v>
      </c>
      <c r="J1063" s="2">
        <f t="shared" si="18"/>
        <v>8</v>
      </c>
    </row>
    <row r="1064" spans="1:10" ht="15.75" customHeight="1" x14ac:dyDescent="0.25">
      <c r="A1064" s="380">
        <v>253020</v>
      </c>
      <c r="B1064" s="381" t="s">
        <v>315</v>
      </c>
      <c r="C1064" s="381" t="s">
        <v>106</v>
      </c>
      <c r="D1064" s="381" t="s">
        <v>315</v>
      </c>
      <c r="E1064" s="381" t="s">
        <v>315</v>
      </c>
      <c r="F1064" s="378">
        <v>-26993343</v>
      </c>
      <c r="G1064" s="378">
        <v>32880374</v>
      </c>
      <c r="H1064" s="378">
        <v>5697554</v>
      </c>
      <c r="I1064" s="378">
        <v>189477</v>
      </c>
      <c r="J1064" s="2">
        <f t="shared" si="18"/>
        <v>6</v>
      </c>
    </row>
    <row r="1065" spans="1:10" ht="15.75" customHeight="1" x14ac:dyDescent="0.25">
      <c r="A1065" s="380">
        <v>25302005</v>
      </c>
      <c r="B1065" s="381" t="s">
        <v>315</v>
      </c>
      <c r="C1065" s="381" t="s">
        <v>1257</v>
      </c>
      <c r="D1065" s="381" t="s">
        <v>315</v>
      </c>
      <c r="E1065" s="381" t="s">
        <v>315</v>
      </c>
      <c r="F1065" s="378">
        <v>-29539544</v>
      </c>
      <c r="G1065" s="378">
        <v>0</v>
      </c>
      <c r="H1065" s="378">
        <v>5639057</v>
      </c>
      <c r="I1065" s="378">
        <v>-35178601</v>
      </c>
      <c r="J1065" s="2">
        <f t="shared" si="18"/>
        <v>8</v>
      </c>
    </row>
    <row r="1066" spans="1:10" ht="15.75" customHeight="1" x14ac:dyDescent="0.25">
      <c r="A1066" s="380">
        <v>25302005</v>
      </c>
      <c r="B1066" s="381" t="s">
        <v>315</v>
      </c>
      <c r="C1066" s="381" t="s">
        <v>1257</v>
      </c>
      <c r="D1066" s="381" t="s">
        <v>1194</v>
      </c>
      <c r="E1066" s="381" t="s">
        <v>1195</v>
      </c>
      <c r="F1066" s="378">
        <v>-867493</v>
      </c>
      <c r="G1066" s="378">
        <v>0</v>
      </c>
      <c r="H1066" s="378">
        <v>129857</v>
      </c>
      <c r="I1066" s="378">
        <v>-997350</v>
      </c>
      <c r="J1066" s="2">
        <f t="shared" si="18"/>
        <v>8</v>
      </c>
    </row>
    <row r="1067" spans="1:10" ht="15.75" customHeight="1" x14ac:dyDescent="0.25">
      <c r="A1067" s="380">
        <v>25302005</v>
      </c>
      <c r="B1067" s="381" t="s">
        <v>315</v>
      </c>
      <c r="C1067" s="381" t="s">
        <v>1257</v>
      </c>
      <c r="D1067" s="381" t="s">
        <v>779</v>
      </c>
      <c r="E1067" s="381" t="s">
        <v>780</v>
      </c>
      <c r="F1067" s="378">
        <v>-908398</v>
      </c>
      <c r="G1067" s="378">
        <v>0</v>
      </c>
      <c r="H1067" s="378">
        <v>183402</v>
      </c>
      <c r="I1067" s="378">
        <v>-1091800</v>
      </c>
      <c r="J1067" s="2">
        <f t="shared" si="18"/>
        <v>8</v>
      </c>
    </row>
    <row r="1068" spans="1:10" ht="15.75" customHeight="1" x14ac:dyDescent="0.25">
      <c r="A1068" s="380">
        <v>25302005</v>
      </c>
      <c r="B1068" s="381" t="s">
        <v>315</v>
      </c>
      <c r="C1068" s="381" t="s">
        <v>1257</v>
      </c>
      <c r="D1068" s="381" t="s">
        <v>1219</v>
      </c>
      <c r="E1068" s="381" t="s">
        <v>1220</v>
      </c>
      <c r="F1068" s="378">
        <v>-81175</v>
      </c>
      <c r="G1068" s="378">
        <v>0</v>
      </c>
      <c r="H1068" s="378">
        <v>0</v>
      </c>
      <c r="I1068" s="378">
        <v>-81175</v>
      </c>
      <c r="J1068" s="2">
        <f t="shared" si="18"/>
        <v>8</v>
      </c>
    </row>
    <row r="1069" spans="1:10" ht="15.75" customHeight="1" x14ac:dyDescent="0.25">
      <c r="A1069" s="380">
        <v>25302005</v>
      </c>
      <c r="B1069" s="381" t="s">
        <v>315</v>
      </c>
      <c r="C1069" s="381" t="s">
        <v>1257</v>
      </c>
      <c r="D1069" s="381" t="s">
        <v>774</v>
      </c>
      <c r="E1069" s="381" t="s">
        <v>775</v>
      </c>
      <c r="F1069" s="378">
        <v>-766382</v>
      </c>
      <c r="G1069" s="378">
        <v>0</v>
      </c>
      <c r="H1069" s="378">
        <v>149275</v>
      </c>
      <c r="I1069" s="378">
        <v>-915657</v>
      </c>
      <c r="J1069" s="2">
        <f t="shared" si="18"/>
        <v>8</v>
      </c>
    </row>
    <row r="1070" spans="1:10" ht="15.75" customHeight="1" x14ac:dyDescent="0.25">
      <c r="A1070" s="380">
        <v>25302005</v>
      </c>
      <c r="B1070" s="381" t="s">
        <v>315</v>
      </c>
      <c r="C1070" s="381" t="s">
        <v>1257</v>
      </c>
      <c r="D1070" s="381" t="s">
        <v>1196</v>
      </c>
      <c r="E1070" s="381" t="s">
        <v>1197</v>
      </c>
      <c r="F1070" s="378">
        <v>-880822</v>
      </c>
      <c r="G1070" s="378">
        <v>0</v>
      </c>
      <c r="H1070" s="378">
        <v>136135</v>
      </c>
      <c r="I1070" s="378">
        <v>-1016957</v>
      </c>
      <c r="J1070" s="2">
        <f t="shared" si="18"/>
        <v>8</v>
      </c>
    </row>
    <row r="1071" spans="1:10" ht="15.75" customHeight="1" x14ac:dyDescent="0.25">
      <c r="A1071" s="380">
        <v>25302005</v>
      </c>
      <c r="B1071" s="381" t="s">
        <v>315</v>
      </c>
      <c r="C1071" s="381" t="s">
        <v>1257</v>
      </c>
      <c r="D1071" s="381" t="s">
        <v>1078</v>
      </c>
      <c r="E1071" s="381" t="s">
        <v>1079</v>
      </c>
      <c r="F1071" s="378">
        <v>-1233333</v>
      </c>
      <c r="G1071" s="378">
        <v>0</v>
      </c>
      <c r="H1071" s="378">
        <v>809685</v>
      </c>
      <c r="I1071" s="378">
        <v>-2043018</v>
      </c>
      <c r="J1071" s="2">
        <f t="shared" si="18"/>
        <v>8</v>
      </c>
    </row>
    <row r="1072" spans="1:10" ht="15.75" customHeight="1" x14ac:dyDescent="0.25">
      <c r="A1072" s="380">
        <v>25302005</v>
      </c>
      <c r="B1072" s="381" t="s">
        <v>315</v>
      </c>
      <c r="C1072" s="381" t="s">
        <v>1257</v>
      </c>
      <c r="D1072" s="381" t="s">
        <v>781</v>
      </c>
      <c r="E1072" s="381" t="s">
        <v>782</v>
      </c>
      <c r="F1072" s="378">
        <v>-994903</v>
      </c>
      <c r="G1072" s="378">
        <v>0</v>
      </c>
      <c r="H1072" s="378">
        <v>198980</v>
      </c>
      <c r="I1072" s="378">
        <v>-1193883</v>
      </c>
      <c r="J1072" s="2">
        <f t="shared" si="18"/>
        <v>8</v>
      </c>
    </row>
    <row r="1073" spans="1:10" ht="15.75" customHeight="1" x14ac:dyDescent="0.25">
      <c r="A1073" s="380">
        <v>25302005</v>
      </c>
      <c r="B1073" s="381" t="s">
        <v>315</v>
      </c>
      <c r="C1073" s="381" t="s">
        <v>1257</v>
      </c>
      <c r="D1073" s="381" t="s">
        <v>728</v>
      </c>
      <c r="E1073" s="381" t="s">
        <v>729</v>
      </c>
      <c r="F1073" s="378">
        <v>-989853</v>
      </c>
      <c r="G1073" s="378">
        <v>0</v>
      </c>
      <c r="H1073" s="378">
        <v>197970</v>
      </c>
      <c r="I1073" s="378">
        <v>-1187823</v>
      </c>
      <c r="J1073" s="2">
        <f t="shared" si="18"/>
        <v>8</v>
      </c>
    </row>
    <row r="1074" spans="1:10" ht="15.75" customHeight="1" x14ac:dyDescent="0.25">
      <c r="A1074" s="380">
        <v>25302005</v>
      </c>
      <c r="B1074" s="381" t="s">
        <v>315</v>
      </c>
      <c r="C1074" s="381" t="s">
        <v>1257</v>
      </c>
      <c r="D1074" s="381" t="s">
        <v>783</v>
      </c>
      <c r="E1074" s="381" t="s">
        <v>784</v>
      </c>
      <c r="F1074" s="378">
        <v>-778184</v>
      </c>
      <c r="G1074" s="378">
        <v>0</v>
      </c>
      <c r="H1074" s="378">
        <v>136258</v>
      </c>
      <c r="I1074" s="378">
        <v>-914442</v>
      </c>
      <c r="J1074" s="2">
        <f t="shared" si="18"/>
        <v>8</v>
      </c>
    </row>
    <row r="1075" spans="1:10" ht="15.75" customHeight="1" x14ac:dyDescent="0.25">
      <c r="A1075" s="380">
        <v>25302005</v>
      </c>
      <c r="B1075" s="381" t="s">
        <v>315</v>
      </c>
      <c r="C1075" s="381" t="s">
        <v>1257</v>
      </c>
      <c r="D1075" s="381" t="s">
        <v>797</v>
      </c>
      <c r="E1075" s="381" t="s">
        <v>798</v>
      </c>
      <c r="F1075" s="378">
        <v>-751279</v>
      </c>
      <c r="G1075" s="378">
        <v>0</v>
      </c>
      <c r="H1075" s="378">
        <v>150255</v>
      </c>
      <c r="I1075" s="378">
        <v>-901534</v>
      </c>
      <c r="J1075" s="2">
        <f t="shared" si="18"/>
        <v>8</v>
      </c>
    </row>
    <row r="1076" spans="1:10" ht="15.75" customHeight="1" x14ac:dyDescent="0.25">
      <c r="A1076" s="380">
        <v>25302005</v>
      </c>
      <c r="B1076" s="381" t="s">
        <v>315</v>
      </c>
      <c r="C1076" s="381" t="s">
        <v>1257</v>
      </c>
      <c r="D1076" s="381" t="s">
        <v>1221</v>
      </c>
      <c r="E1076" s="381" t="s">
        <v>1494</v>
      </c>
      <c r="F1076" s="378">
        <v>-765714</v>
      </c>
      <c r="G1076" s="378">
        <v>0</v>
      </c>
      <c r="H1076" s="378">
        <v>0</v>
      </c>
      <c r="I1076" s="378">
        <v>-765714</v>
      </c>
      <c r="J1076" s="2">
        <f t="shared" si="18"/>
        <v>8</v>
      </c>
    </row>
    <row r="1077" spans="1:10" ht="15.75" customHeight="1" x14ac:dyDescent="0.25">
      <c r="A1077" s="380">
        <v>25302005</v>
      </c>
      <c r="B1077" s="381" t="s">
        <v>315</v>
      </c>
      <c r="C1077" s="381" t="s">
        <v>1257</v>
      </c>
      <c r="D1077" s="381" t="s">
        <v>1222</v>
      </c>
      <c r="E1077" s="381" t="s">
        <v>1223</v>
      </c>
      <c r="F1077" s="378">
        <v>-148821</v>
      </c>
      <c r="G1077" s="378">
        <v>0</v>
      </c>
      <c r="H1077" s="378">
        <v>0</v>
      </c>
      <c r="I1077" s="378">
        <v>-148821</v>
      </c>
      <c r="J1077" s="2">
        <f t="shared" si="18"/>
        <v>8</v>
      </c>
    </row>
    <row r="1078" spans="1:10" ht="15.75" customHeight="1" x14ac:dyDescent="0.25">
      <c r="A1078" s="380">
        <v>25302005</v>
      </c>
      <c r="B1078" s="381" t="s">
        <v>315</v>
      </c>
      <c r="C1078" s="381" t="s">
        <v>1257</v>
      </c>
      <c r="D1078" s="381" t="s">
        <v>1198</v>
      </c>
      <c r="E1078" s="381" t="s">
        <v>1199</v>
      </c>
      <c r="F1078" s="378">
        <v>-207171</v>
      </c>
      <c r="G1078" s="378">
        <v>0</v>
      </c>
      <c r="H1078" s="378">
        <v>155378</v>
      </c>
      <c r="I1078" s="378">
        <v>-362549</v>
      </c>
      <c r="J1078" s="2">
        <f t="shared" si="18"/>
        <v>8</v>
      </c>
    </row>
    <row r="1079" spans="1:10" ht="15.75" customHeight="1" x14ac:dyDescent="0.25">
      <c r="A1079" s="380">
        <v>25302005</v>
      </c>
      <c r="B1079" s="381" t="s">
        <v>315</v>
      </c>
      <c r="C1079" s="381" t="s">
        <v>1257</v>
      </c>
      <c r="D1079" s="381" t="s">
        <v>753</v>
      </c>
      <c r="E1079" s="381" t="s">
        <v>754</v>
      </c>
      <c r="F1079" s="378">
        <v>-135292</v>
      </c>
      <c r="G1079" s="378">
        <v>0</v>
      </c>
      <c r="H1079" s="378">
        <v>0</v>
      </c>
      <c r="I1079" s="378">
        <v>-135292</v>
      </c>
      <c r="J1079" s="2">
        <f t="shared" si="18"/>
        <v>8</v>
      </c>
    </row>
    <row r="1080" spans="1:10" ht="15.75" customHeight="1" x14ac:dyDescent="0.25">
      <c r="A1080" s="380">
        <v>25302005</v>
      </c>
      <c r="B1080" s="381" t="s">
        <v>315</v>
      </c>
      <c r="C1080" s="381" t="s">
        <v>1257</v>
      </c>
      <c r="D1080" s="381" t="s">
        <v>1200</v>
      </c>
      <c r="E1080" s="381" t="s">
        <v>1201</v>
      </c>
      <c r="F1080" s="378">
        <v>-756138</v>
      </c>
      <c r="G1080" s="378">
        <v>0</v>
      </c>
      <c r="H1080" s="378">
        <v>144030</v>
      </c>
      <c r="I1080" s="378">
        <v>-900168</v>
      </c>
      <c r="J1080" s="2">
        <f t="shared" si="18"/>
        <v>8</v>
      </c>
    </row>
    <row r="1081" spans="1:10" ht="15.75" customHeight="1" x14ac:dyDescent="0.25">
      <c r="A1081" s="380">
        <v>25302005</v>
      </c>
      <c r="B1081" s="381" t="s">
        <v>315</v>
      </c>
      <c r="C1081" s="381" t="s">
        <v>1257</v>
      </c>
      <c r="D1081" s="381" t="s">
        <v>786</v>
      </c>
      <c r="E1081" s="381" t="s">
        <v>787</v>
      </c>
      <c r="F1081" s="378">
        <v>-1091560</v>
      </c>
      <c r="G1081" s="378">
        <v>0</v>
      </c>
      <c r="H1081" s="378">
        <v>193662</v>
      </c>
      <c r="I1081" s="378">
        <v>-1285222</v>
      </c>
      <c r="J1081" s="2">
        <f t="shared" si="18"/>
        <v>8</v>
      </c>
    </row>
    <row r="1082" spans="1:10" ht="15.75" customHeight="1" x14ac:dyDescent="0.25">
      <c r="A1082" s="380">
        <v>25302005</v>
      </c>
      <c r="B1082" s="381" t="s">
        <v>315</v>
      </c>
      <c r="C1082" s="381" t="s">
        <v>1257</v>
      </c>
      <c r="D1082" s="381" t="s">
        <v>1224</v>
      </c>
      <c r="E1082" s="381" t="s">
        <v>1225</v>
      </c>
      <c r="F1082" s="378">
        <v>-843665</v>
      </c>
      <c r="G1082" s="378">
        <v>0</v>
      </c>
      <c r="H1082" s="378">
        <v>160990</v>
      </c>
      <c r="I1082" s="378">
        <v>-1004655</v>
      </c>
      <c r="J1082" s="2">
        <f t="shared" si="18"/>
        <v>8</v>
      </c>
    </row>
    <row r="1083" spans="1:10" ht="15.75" customHeight="1" x14ac:dyDescent="0.25">
      <c r="A1083" s="380">
        <v>25302005</v>
      </c>
      <c r="B1083" s="381" t="s">
        <v>315</v>
      </c>
      <c r="C1083" s="381" t="s">
        <v>1257</v>
      </c>
      <c r="D1083" s="381" t="s">
        <v>1226</v>
      </c>
      <c r="E1083" s="381" t="s">
        <v>1227</v>
      </c>
      <c r="F1083" s="378">
        <v>-20827</v>
      </c>
      <c r="G1083" s="378">
        <v>0</v>
      </c>
      <c r="H1083" s="378">
        <v>0</v>
      </c>
      <c r="I1083" s="378">
        <v>-20827</v>
      </c>
      <c r="J1083" s="2">
        <f t="shared" si="18"/>
        <v>8</v>
      </c>
    </row>
    <row r="1084" spans="1:10" ht="15.75" customHeight="1" x14ac:dyDescent="0.25">
      <c r="A1084" s="380">
        <v>25302005</v>
      </c>
      <c r="B1084" s="381" t="s">
        <v>315</v>
      </c>
      <c r="C1084" s="381" t="s">
        <v>1257</v>
      </c>
      <c r="D1084" s="381" t="s">
        <v>1202</v>
      </c>
      <c r="E1084" s="381" t="s">
        <v>1203</v>
      </c>
      <c r="F1084" s="378">
        <v>-815226</v>
      </c>
      <c r="G1084" s="378">
        <v>0</v>
      </c>
      <c r="H1084" s="378">
        <v>151426</v>
      </c>
      <c r="I1084" s="378">
        <v>-966652</v>
      </c>
      <c r="J1084" s="2">
        <f t="shared" si="18"/>
        <v>8</v>
      </c>
    </row>
    <row r="1085" spans="1:10" ht="15.75" customHeight="1" x14ac:dyDescent="0.25">
      <c r="A1085" s="380">
        <v>25302005</v>
      </c>
      <c r="B1085" s="381" t="s">
        <v>315</v>
      </c>
      <c r="C1085" s="381" t="s">
        <v>1257</v>
      </c>
      <c r="D1085" s="381" t="s">
        <v>1228</v>
      </c>
      <c r="E1085" s="381" t="s">
        <v>1229</v>
      </c>
      <c r="F1085" s="378">
        <v>-839909</v>
      </c>
      <c r="G1085" s="378">
        <v>0</v>
      </c>
      <c r="H1085" s="378">
        <v>112358</v>
      </c>
      <c r="I1085" s="378">
        <v>-952267</v>
      </c>
      <c r="J1085" s="2">
        <f t="shared" si="18"/>
        <v>8</v>
      </c>
    </row>
    <row r="1086" spans="1:10" ht="15.75" customHeight="1" x14ac:dyDescent="0.25">
      <c r="A1086" s="380">
        <v>25302005</v>
      </c>
      <c r="B1086" s="381" t="s">
        <v>315</v>
      </c>
      <c r="C1086" s="381" t="s">
        <v>1257</v>
      </c>
      <c r="D1086" s="381" t="s">
        <v>1086</v>
      </c>
      <c r="E1086" s="381" t="s">
        <v>1087</v>
      </c>
      <c r="F1086" s="378">
        <v>-787313</v>
      </c>
      <c r="G1086" s="378">
        <v>0</v>
      </c>
      <c r="H1086" s="378">
        <v>134911</v>
      </c>
      <c r="I1086" s="378">
        <v>-922224</v>
      </c>
      <c r="J1086" s="2">
        <f t="shared" si="18"/>
        <v>8</v>
      </c>
    </row>
    <row r="1087" spans="1:10" ht="15.75" customHeight="1" x14ac:dyDescent="0.25">
      <c r="A1087" s="380">
        <v>25302005</v>
      </c>
      <c r="B1087" s="381" t="s">
        <v>315</v>
      </c>
      <c r="C1087" s="381" t="s">
        <v>1257</v>
      </c>
      <c r="D1087" s="381" t="s">
        <v>404</v>
      </c>
      <c r="E1087" s="381" t="s">
        <v>1230</v>
      </c>
      <c r="F1087" s="378">
        <v>-820462</v>
      </c>
      <c r="G1087" s="378">
        <v>0</v>
      </c>
      <c r="H1087" s="378">
        <v>57216</v>
      </c>
      <c r="I1087" s="378">
        <v>-877678</v>
      </c>
      <c r="J1087" s="2">
        <f t="shared" si="18"/>
        <v>8</v>
      </c>
    </row>
    <row r="1088" spans="1:10" ht="15.75" customHeight="1" x14ac:dyDescent="0.25">
      <c r="A1088" s="380">
        <v>25302005</v>
      </c>
      <c r="B1088" s="381" t="s">
        <v>315</v>
      </c>
      <c r="C1088" s="381" t="s">
        <v>1257</v>
      </c>
      <c r="D1088" s="381" t="s">
        <v>1204</v>
      </c>
      <c r="E1088" s="381" t="s">
        <v>1205</v>
      </c>
      <c r="F1088" s="378">
        <v>-187312</v>
      </c>
      <c r="G1088" s="378">
        <v>0</v>
      </c>
      <c r="H1088" s="378">
        <v>140484</v>
      </c>
      <c r="I1088" s="378">
        <v>-327796</v>
      </c>
      <c r="J1088" s="2">
        <f t="shared" si="18"/>
        <v>8</v>
      </c>
    </row>
    <row r="1089" spans="1:10" ht="15.75" customHeight="1" x14ac:dyDescent="0.25">
      <c r="A1089" s="380">
        <v>25302005</v>
      </c>
      <c r="B1089" s="381" t="s">
        <v>315</v>
      </c>
      <c r="C1089" s="381" t="s">
        <v>1257</v>
      </c>
      <c r="D1089" s="381" t="s">
        <v>1231</v>
      </c>
      <c r="E1089" s="381" t="s">
        <v>1232</v>
      </c>
      <c r="F1089" s="378">
        <v>-122596</v>
      </c>
      <c r="G1089" s="378">
        <v>0</v>
      </c>
      <c r="H1089" s="378">
        <v>0</v>
      </c>
      <c r="I1089" s="378">
        <v>-122596</v>
      </c>
      <c r="J1089" s="2">
        <f t="shared" si="18"/>
        <v>8</v>
      </c>
    </row>
    <row r="1090" spans="1:10" ht="15.75" customHeight="1" x14ac:dyDescent="0.25">
      <c r="A1090" s="380">
        <v>25302005</v>
      </c>
      <c r="B1090" s="381" t="s">
        <v>315</v>
      </c>
      <c r="C1090" s="381" t="s">
        <v>1257</v>
      </c>
      <c r="D1090" s="381" t="s">
        <v>788</v>
      </c>
      <c r="E1090" s="381" t="s">
        <v>789</v>
      </c>
      <c r="F1090" s="378">
        <v>-1287638</v>
      </c>
      <c r="G1090" s="378">
        <v>0</v>
      </c>
      <c r="H1090" s="378">
        <v>216524</v>
      </c>
      <c r="I1090" s="378">
        <v>-1504162</v>
      </c>
      <c r="J1090" s="2">
        <f t="shared" si="18"/>
        <v>8</v>
      </c>
    </row>
    <row r="1091" spans="1:10" ht="15.75" customHeight="1" x14ac:dyDescent="0.25">
      <c r="A1091" s="380">
        <v>25302005</v>
      </c>
      <c r="B1091" s="381" t="s">
        <v>315</v>
      </c>
      <c r="C1091" s="381" t="s">
        <v>1257</v>
      </c>
      <c r="D1091" s="381" t="s">
        <v>1206</v>
      </c>
      <c r="E1091" s="381" t="s">
        <v>1207</v>
      </c>
      <c r="F1091" s="378">
        <v>-826381</v>
      </c>
      <c r="G1091" s="378">
        <v>0</v>
      </c>
      <c r="H1091" s="378">
        <v>139379</v>
      </c>
      <c r="I1091" s="378">
        <v>-965760</v>
      </c>
      <c r="J1091" s="2">
        <f t="shared" si="18"/>
        <v>8</v>
      </c>
    </row>
    <row r="1092" spans="1:10" ht="15.75" customHeight="1" x14ac:dyDescent="0.25">
      <c r="A1092" s="380">
        <v>25302005</v>
      </c>
      <c r="B1092" s="381" t="s">
        <v>315</v>
      </c>
      <c r="C1092" s="381" t="s">
        <v>1257</v>
      </c>
      <c r="D1092" s="381" t="s">
        <v>1088</v>
      </c>
      <c r="E1092" s="381" t="s">
        <v>1089</v>
      </c>
      <c r="F1092" s="378">
        <v>0</v>
      </c>
      <c r="G1092" s="378">
        <v>0</v>
      </c>
      <c r="H1092" s="378">
        <v>14023</v>
      </c>
      <c r="I1092" s="378">
        <v>-14023</v>
      </c>
      <c r="J1092" s="2">
        <f t="shared" si="18"/>
        <v>8</v>
      </c>
    </row>
    <row r="1093" spans="1:10" ht="15.75" customHeight="1" x14ac:dyDescent="0.25">
      <c r="A1093" s="380">
        <v>25302005</v>
      </c>
      <c r="B1093" s="381" t="s">
        <v>315</v>
      </c>
      <c r="C1093" s="381" t="s">
        <v>1257</v>
      </c>
      <c r="D1093" s="381" t="s">
        <v>776</v>
      </c>
      <c r="E1093" s="381" t="s">
        <v>777</v>
      </c>
      <c r="F1093" s="378">
        <v>-937019</v>
      </c>
      <c r="G1093" s="378">
        <v>0</v>
      </c>
      <c r="H1093" s="378">
        <v>168289</v>
      </c>
      <c r="I1093" s="378">
        <v>-1105308</v>
      </c>
      <c r="J1093" s="2">
        <f t="shared" si="18"/>
        <v>8</v>
      </c>
    </row>
    <row r="1094" spans="1:10" ht="15.75" customHeight="1" x14ac:dyDescent="0.25">
      <c r="A1094" s="380">
        <v>25302005</v>
      </c>
      <c r="B1094" s="381" t="s">
        <v>315</v>
      </c>
      <c r="C1094" s="381" t="s">
        <v>1257</v>
      </c>
      <c r="D1094" s="381" t="s">
        <v>790</v>
      </c>
      <c r="E1094" s="381" t="s">
        <v>791</v>
      </c>
      <c r="F1094" s="378">
        <v>-846200</v>
      </c>
      <c r="G1094" s="378">
        <v>0</v>
      </c>
      <c r="H1094" s="378">
        <v>128726</v>
      </c>
      <c r="I1094" s="378">
        <v>-974926</v>
      </c>
      <c r="J1094" s="2">
        <f t="shared" si="18"/>
        <v>8</v>
      </c>
    </row>
    <row r="1095" spans="1:10" ht="15.75" customHeight="1" x14ac:dyDescent="0.25">
      <c r="A1095" s="380">
        <v>25302005</v>
      </c>
      <c r="B1095" s="381" t="s">
        <v>315</v>
      </c>
      <c r="C1095" s="381" t="s">
        <v>1257</v>
      </c>
      <c r="D1095" s="381" t="s">
        <v>1233</v>
      </c>
      <c r="E1095" s="381" t="s">
        <v>1234</v>
      </c>
      <c r="F1095" s="378">
        <v>-547266</v>
      </c>
      <c r="G1095" s="378">
        <v>0</v>
      </c>
      <c r="H1095" s="378">
        <v>0</v>
      </c>
      <c r="I1095" s="378">
        <v>-547266</v>
      </c>
      <c r="J1095" s="2">
        <f t="shared" si="18"/>
        <v>8</v>
      </c>
    </row>
    <row r="1096" spans="1:10" ht="15.75" customHeight="1" x14ac:dyDescent="0.25">
      <c r="A1096" s="380">
        <v>25302005</v>
      </c>
      <c r="B1096" s="381" t="s">
        <v>315</v>
      </c>
      <c r="C1096" s="381" t="s">
        <v>1257</v>
      </c>
      <c r="D1096" s="381" t="s">
        <v>1235</v>
      </c>
      <c r="E1096" s="381" t="s">
        <v>1236</v>
      </c>
      <c r="F1096" s="378">
        <v>-67646</v>
      </c>
      <c r="G1096" s="378">
        <v>0</v>
      </c>
      <c r="H1096" s="378">
        <v>0</v>
      </c>
      <c r="I1096" s="378">
        <v>-67646</v>
      </c>
      <c r="J1096" s="2">
        <f t="shared" si="18"/>
        <v>8</v>
      </c>
    </row>
    <row r="1097" spans="1:10" ht="15.75" customHeight="1" x14ac:dyDescent="0.25">
      <c r="A1097" s="380">
        <v>25302005</v>
      </c>
      <c r="B1097" s="381" t="s">
        <v>315</v>
      </c>
      <c r="C1097" s="381" t="s">
        <v>1257</v>
      </c>
      <c r="D1097" s="381" t="s">
        <v>1208</v>
      </c>
      <c r="E1097" s="381" t="s">
        <v>1209</v>
      </c>
      <c r="F1097" s="378">
        <v>-845969</v>
      </c>
      <c r="G1097" s="378">
        <v>0</v>
      </c>
      <c r="H1097" s="378">
        <v>139735</v>
      </c>
      <c r="I1097" s="378">
        <v>-985704</v>
      </c>
      <c r="J1097" s="2">
        <f t="shared" si="18"/>
        <v>8</v>
      </c>
    </row>
    <row r="1098" spans="1:10" ht="15.75" customHeight="1" x14ac:dyDescent="0.25">
      <c r="A1098" s="380">
        <v>25302005</v>
      </c>
      <c r="B1098" s="381" t="s">
        <v>315</v>
      </c>
      <c r="C1098" s="381" t="s">
        <v>1257</v>
      </c>
      <c r="D1098" s="381" t="s">
        <v>1237</v>
      </c>
      <c r="E1098" s="381" t="s">
        <v>1238</v>
      </c>
      <c r="F1098" s="378">
        <v>-216116</v>
      </c>
      <c r="G1098" s="378">
        <v>0</v>
      </c>
      <c r="H1098" s="378">
        <v>162087</v>
      </c>
      <c r="I1098" s="378">
        <v>-378203</v>
      </c>
      <c r="J1098" s="2">
        <f t="shared" si="18"/>
        <v>8</v>
      </c>
    </row>
    <row r="1099" spans="1:10" ht="15.75" customHeight="1" x14ac:dyDescent="0.25">
      <c r="A1099" s="380">
        <v>25302005</v>
      </c>
      <c r="B1099" s="381" t="s">
        <v>315</v>
      </c>
      <c r="C1099" s="381" t="s">
        <v>1257</v>
      </c>
      <c r="D1099" s="381" t="s">
        <v>1239</v>
      </c>
      <c r="E1099" s="381" t="s">
        <v>1240</v>
      </c>
      <c r="F1099" s="378">
        <v>-807398</v>
      </c>
      <c r="G1099" s="378">
        <v>0</v>
      </c>
      <c r="H1099" s="378">
        <v>0</v>
      </c>
      <c r="I1099" s="378">
        <v>-807398</v>
      </c>
      <c r="J1099" s="2">
        <f t="shared" si="18"/>
        <v>8</v>
      </c>
    </row>
    <row r="1100" spans="1:10" ht="15.75" customHeight="1" x14ac:dyDescent="0.25">
      <c r="A1100" s="380">
        <v>25302005</v>
      </c>
      <c r="B1100" s="381" t="s">
        <v>315</v>
      </c>
      <c r="C1100" s="381" t="s">
        <v>1257</v>
      </c>
      <c r="D1100" s="381" t="s">
        <v>1248</v>
      </c>
      <c r="E1100" s="381" t="s">
        <v>1249</v>
      </c>
      <c r="F1100" s="378">
        <v>-18101</v>
      </c>
      <c r="G1100" s="378">
        <v>0</v>
      </c>
      <c r="H1100" s="378">
        <v>0</v>
      </c>
      <c r="I1100" s="378">
        <v>-18101</v>
      </c>
      <c r="J1100" s="2">
        <f t="shared" si="18"/>
        <v>8</v>
      </c>
    </row>
    <row r="1101" spans="1:10" ht="15.75" customHeight="1" x14ac:dyDescent="0.25">
      <c r="A1101" s="380">
        <v>25302005</v>
      </c>
      <c r="B1101" s="381" t="s">
        <v>315</v>
      </c>
      <c r="C1101" s="381" t="s">
        <v>1257</v>
      </c>
      <c r="D1101" s="381" t="s">
        <v>1210</v>
      </c>
      <c r="E1101" s="381" t="s">
        <v>1211</v>
      </c>
      <c r="F1101" s="378">
        <v>-764687</v>
      </c>
      <c r="G1101" s="378">
        <v>0</v>
      </c>
      <c r="H1101" s="378">
        <v>125131</v>
      </c>
      <c r="I1101" s="378">
        <v>-889818</v>
      </c>
      <c r="J1101" s="2">
        <f t="shared" ref="J1101:J1164" si="19">+LEN(A1101)</f>
        <v>8</v>
      </c>
    </row>
    <row r="1102" spans="1:10" ht="15.75" customHeight="1" x14ac:dyDescent="0.25">
      <c r="A1102" s="380">
        <v>25302005</v>
      </c>
      <c r="B1102" s="381" t="s">
        <v>315</v>
      </c>
      <c r="C1102" s="381" t="s">
        <v>1257</v>
      </c>
      <c r="D1102" s="381" t="s">
        <v>1090</v>
      </c>
      <c r="E1102" s="381" t="s">
        <v>1091</v>
      </c>
      <c r="F1102" s="378">
        <v>-962535</v>
      </c>
      <c r="G1102" s="378">
        <v>0</v>
      </c>
      <c r="H1102" s="378">
        <v>155451</v>
      </c>
      <c r="I1102" s="378">
        <v>-1117986</v>
      </c>
      <c r="J1102" s="2">
        <f t="shared" si="19"/>
        <v>8</v>
      </c>
    </row>
    <row r="1103" spans="1:10" ht="15.75" customHeight="1" x14ac:dyDescent="0.25">
      <c r="A1103" s="380">
        <v>25302005</v>
      </c>
      <c r="B1103" s="381" t="s">
        <v>315</v>
      </c>
      <c r="C1103" s="381" t="s">
        <v>1257</v>
      </c>
      <c r="D1103" s="381" t="s">
        <v>1241</v>
      </c>
      <c r="E1103" s="381" t="s">
        <v>1242</v>
      </c>
      <c r="F1103" s="378">
        <v>-776328</v>
      </c>
      <c r="G1103" s="378">
        <v>0</v>
      </c>
      <c r="H1103" s="378">
        <v>135239</v>
      </c>
      <c r="I1103" s="378">
        <v>-911567</v>
      </c>
      <c r="J1103" s="2">
        <f t="shared" si="19"/>
        <v>8</v>
      </c>
    </row>
    <row r="1104" spans="1:10" ht="15.75" customHeight="1" x14ac:dyDescent="0.25">
      <c r="A1104" s="380">
        <v>25302005</v>
      </c>
      <c r="B1104" s="381" t="s">
        <v>315</v>
      </c>
      <c r="C1104" s="381" t="s">
        <v>1257</v>
      </c>
      <c r="D1104" s="381" t="s">
        <v>792</v>
      </c>
      <c r="E1104" s="381" t="s">
        <v>793</v>
      </c>
      <c r="F1104" s="378">
        <v>-915987</v>
      </c>
      <c r="G1104" s="378">
        <v>0</v>
      </c>
      <c r="H1104" s="378">
        <v>188677</v>
      </c>
      <c r="I1104" s="378">
        <v>-1104664</v>
      </c>
      <c r="J1104" s="2">
        <f t="shared" si="19"/>
        <v>8</v>
      </c>
    </row>
    <row r="1105" spans="1:10" ht="15.75" customHeight="1" x14ac:dyDescent="0.25">
      <c r="A1105" s="380">
        <v>25302005</v>
      </c>
      <c r="B1105" s="381" t="s">
        <v>315</v>
      </c>
      <c r="C1105" s="381" t="s">
        <v>1257</v>
      </c>
      <c r="D1105" s="381" t="s">
        <v>794</v>
      </c>
      <c r="E1105" s="381" t="s">
        <v>795</v>
      </c>
      <c r="F1105" s="378">
        <v>-790430</v>
      </c>
      <c r="G1105" s="378">
        <v>0</v>
      </c>
      <c r="H1105" s="378">
        <v>285980</v>
      </c>
      <c r="I1105" s="378">
        <v>-1076410</v>
      </c>
      <c r="J1105" s="2">
        <f t="shared" si="19"/>
        <v>8</v>
      </c>
    </row>
    <row r="1106" spans="1:10" ht="15.75" customHeight="1" x14ac:dyDescent="0.25">
      <c r="A1106" s="380">
        <v>25302005</v>
      </c>
      <c r="B1106" s="381" t="s">
        <v>315</v>
      </c>
      <c r="C1106" s="381" t="s">
        <v>1257</v>
      </c>
      <c r="D1106" s="381" t="s">
        <v>1212</v>
      </c>
      <c r="E1106" s="381" t="s">
        <v>1213</v>
      </c>
      <c r="F1106" s="378">
        <v>0</v>
      </c>
      <c r="G1106" s="378">
        <v>0</v>
      </c>
      <c r="H1106" s="378">
        <v>99214</v>
      </c>
      <c r="I1106" s="378">
        <v>-99214</v>
      </c>
      <c r="J1106" s="2">
        <f t="shared" si="19"/>
        <v>8</v>
      </c>
    </row>
    <row r="1107" spans="1:10" ht="15.75" customHeight="1" x14ac:dyDescent="0.25">
      <c r="A1107" s="380">
        <v>25302005</v>
      </c>
      <c r="B1107" s="381" t="s">
        <v>315</v>
      </c>
      <c r="C1107" s="381" t="s">
        <v>1257</v>
      </c>
      <c r="D1107" s="381" t="s">
        <v>1092</v>
      </c>
      <c r="E1107" s="381" t="s">
        <v>1093</v>
      </c>
      <c r="F1107" s="378">
        <v>-941083</v>
      </c>
      <c r="G1107" s="378">
        <v>0</v>
      </c>
      <c r="H1107" s="378">
        <v>12548</v>
      </c>
      <c r="I1107" s="378">
        <v>-953631</v>
      </c>
      <c r="J1107" s="2">
        <f t="shared" si="19"/>
        <v>8</v>
      </c>
    </row>
    <row r="1108" spans="1:10" ht="15.75" customHeight="1" x14ac:dyDescent="0.25">
      <c r="A1108" s="380">
        <v>25302005</v>
      </c>
      <c r="B1108" s="381" t="s">
        <v>315</v>
      </c>
      <c r="C1108" s="381" t="s">
        <v>1257</v>
      </c>
      <c r="D1108" s="381" t="s">
        <v>1243</v>
      </c>
      <c r="E1108" s="381" t="s">
        <v>1244</v>
      </c>
      <c r="F1108" s="378">
        <v>-449286</v>
      </c>
      <c r="G1108" s="378">
        <v>0</v>
      </c>
      <c r="H1108" s="378">
        <v>0</v>
      </c>
      <c r="I1108" s="378">
        <v>-449286</v>
      </c>
      <c r="J1108" s="2">
        <f t="shared" si="19"/>
        <v>8</v>
      </c>
    </row>
    <row r="1109" spans="1:10" ht="15.75" customHeight="1" x14ac:dyDescent="0.25">
      <c r="A1109" s="380">
        <v>25302005</v>
      </c>
      <c r="B1109" s="381" t="s">
        <v>315</v>
      </c>
      <c r="C1109" s="381" t="s">
        <v>1257</v>
      </c>
      <c r="D1109" s="381" t="s">
        <v>1214</v>
      </c>
      <c r="E1109" s="381" t="s">
        <v>1489</v>
      </c>
      <c r="F1109" s="378">
        <v>-994903</v>
      </c>
      <c r="G1109" s="378">
        <v>0</v>
      </c>
      <c r="H1109" s="378">
        <v>198980</v>
      </c>
      <c r="I1109" s="378">
        <v>-1193883</v>
      </c>
      <c r="J1109" s="2">
        <f t="shared" si="19"/>
        <v>8</v>
      </c>
    </row>
    <row r="1110" spans="1:10" ht="15.75" customHeight="1" x14ac:dyDescent="0.25">
      <c r="A1110" s="380">
        <v>25302005</v>
      </c>
      <c r="B1110" s="381" t="s">
        <v>315</v>
      </c>
      <c r="C1110" s="381" t="s">
        <v>1257</v>
      </c>
      <c r="D1110" s="381" t="s">
        <v>1094</v>
      </c>
      <c r="E1110" s="381" t="s">
        <v>1095</v>
      </c>
      <c r="F1110" s="378">
        <v>-750743</v>
      </c>
      <c r="G1110" s="378">
        <v>0</v>
      </c>
      <c r="H1110" s="378">
        <v>126802</v>
      </c>
      <c r="I1110" s="378">
        <v>-877545</v>
      </c>
      <c r="J1110" s="2">
        <f t="shared" si="19"/>
        <v>8</v>
      </c>
    </row>
    <row r="1111" spans="1:10" ht="15.75" customHeight="1" x14ac:dyDescent="0.25">
      <c r="A1111" s="380">
        <v>25302010</v>
      </c>
      <c r="B1111" s="381" t="s">
        <v>315</v>
      </c>
      <c r="C1111" s="381" t="s">
        <v>1258</v>
      </c>
      <c r="D1111" s="381" t="s">
        <v>315</v>
      </c>
      <c r="E1111" s="381" t="s">
        <v>315</v>
      </c>
      <c r="F1111" s="378">
        <v>2546201</v>
      </c>
      <c r="G1111" s="378">
        <v>32880374</v>
      </c>
      <c r="H1111" s="378">
        <v>58497</v>
      </c>
      <c r="I1111" s="378">
        <v>35368078</v>
      </c>
      <c r="J1111" s="2">
        <f t="shared" si="19"/>
        <v>8</v>
      </c>
    </row>
    <row r="1112" spans="1:10" ht="15.75" customHeight="1" x14ac:dyDescent="0.25">
      <c r="A1112" s="380">
        <v>25302010</v>
      </c>
      <c r="B1112" s="381" t="s">
        <v>315</v>
      </c>
      <c r="C1112" s="381" t="s">
        <v>1258</v>
      </c>
      <c r="D1112" s="381" t="s">
        <v>1194</v>
      </c>
      <c r="E1112" s="381" t="s">
        <v>1195</v>
      </c>
      <c r="F1112" s="378">
        <v>0</v>
      </c>
      <c r="G1112" s="378">
        <v>997350</v>
      </c>
      <c r="H1112" s="378">
        <v>0</v>
      </c>
      <c r="I1112" s="378">
        <v>997350</v>
      </c>
      <c r="J1112" s="2">
        <f t="shared" si="19"/>
        <v>8</v>
      </c>
    </row>
    <row r="1113" spans="1:10" ht="15.75" customHeight="1" x14ac:dyDescent="0.25">
      <c r="A1113" s="380">
        <v>25302010</v>
      </c>
      <c r="B1113" s="381" t="s">
        <v>315</v>
      </c>
      <c r="C1113" s="381" t="s">
        <v>1258</v>
      </c>
      <c r="D1113" s="381" t="s">
        <v>779</v>
      </c>
      <c r="E1113" s="381" t="s">
        <v>780</v>
      </c>
      <c r="F1113" s="378">
        <v>0</v>
      </c>
      <c r="G1113" s="378">
        <v>1091800</v>
      </c>
      <c r="H1113" s="378">
        <v>0</v>
      </c>
      <c r="I1113" s="378">
        <v>1091800</v>
      </c>
      <c r="J1113" s="2">
        <f t="shared" si="19"/>
        <v>8</v>
      </c>
    </row>
    <row r="1114" spans="1:10" ht="15.75" customHeight="1" x14ac:dyDescent="0.25">
      <c r="A1114" s="380">
        <v>25302010</v>
      </c>
      <c r="B1114" s="381" t="s">
        <v>315</v>
      </c>
      <c r="C1114" s="381" t="s">
        <v>1258</v>
      </c>
      <c r="D1114" s="381" t="s">
        <v>1219</v>
      </c>
      <c r="E1114" s="381" t="s">
        <v>1220</v>
      </c>
      <c r="F1114" s="378">
        <v>81175</v>
      </c>
      <c r="G1114" s="378">
        <v>0</v>
      </c>
      <c r="H1114" s="378">
        <v>0</v>
      </c>
      <c r="I1114" s="378">
        <v>81175</v>
      </c>
      <c r="J1114" s="2">
        <f t="shared" si="19"/>
        <v>8</v>
      </c>
    </row>
    <row r="1115" spans="1:10" ht="15.75" customHeight="1" x14ac:dyDescent="0.25">
      <c r="A1115" s="380">
        <v>25302010</v>
      </c>
      <c r="B1115" s="381" t="s">
        <v>315</v>
      </c>
      <c r="C1115" s="381" t="s">
        <v>1258</v>
      </c>
      <c r="D1115" s="381" t="s">
        <v>774</v>
      </c>
      <c r="E1115" s="381" t="s">
        <v>775</v>
      </c>
      <c r="F1115" s="378">
        <v>0</v>
      </c>
      <c r="G1115" s="378">
        <v>915657</v>
      </c>
      <c r="H1115" s="378">
        <v>0</v>
      </c>
      <c r="I1115" s="378">
        <v>915657</v>
      </c>
      <c r="J1115" s="2">
        <f t="shared" si="19"/>
        <v>8</v>
      </c>
    </row>
    <row r="1116" spans="1:10" ht="15.75" customHeight="1" x14ac:dyDescent="0.25">
      <c r="A1116" s="380">
        <v>25302010</v>
      </c>
      <c r="B1116" s="381" t="s">
        <v>315</v>
      </c>
      <c r="C1116" s="381" t="s">
        <v>1258</v>
      </c>
      <c r="D1116" s="381" t="s">
        <v>1196</v>
      </c>
      <c r="E1116" s="381" t="s">
        <v>1197</v>
      </c>
      <c r="F1116" s="378">
        <v>0</v>
      </c>
      <c r="G1116" s="378">
        <v>1016957</v>
      </c>
      <c r="H1116" s="378">
        <v>0</v>
      </c>
      <c r="I1116" s="378">
        <v>1016957</v>
      </c>
      <c r="J1116" s="2">
        <f t="shared" si="19"/>
        <v>8</v>
      </c>
    </row>
    <row r="1117" spans="1:10" ht="15.75" customHeight="1" x14ac:dyDescent="0.25">
      <c r="A1117" s="380">
        <v>25302010</v>
      </c>
      <c r="B1117" s="381" t="s">
        <v>315</v>
      </c>
      <c r="C1117" s="381" t="s">
        <v>1258</v>
      </c>
      <c r="D1117" s="381" t="s">
        <v>1078</v>
      </c>
      <c r="E1117" s="381" t="s">
        <v>1079</v>
      </c>
      <c r="F1117" s="378">
        <v>0</v>
      </c>
      <c r="G1117" s="378">
        <v>2043018</v>
      </c>
      <c r="H1117" s="378">
        <v>0</v>
      </c>
      <c r="I1117" s="378">
        <v>2043018</v>
      </c>
      <c r="J1117" s="2">
        <f t="shared" si="19"/>
        <v>8</v>
      </c>
    </row>
    <row r="1118" spans="1:10" ht="15.75" customHeight="1" x14ac:dyDescent="0.25">
      <c r="A1118" s="380">
        <v>25302010</v>
      </c>
      <c r="B1118" s="381" t="s">
        <v>315</v>
      </c>
      <c r="C1118" s="381" t="s">
        <v>1258</v>
      </c>
      <c r="D1118" s="381" t="s">
        <v>781</v>
      </c>
      <c r="E1118" s="381" t="s">
        <v>782</v>
      </c>
      <c r="F1118" s="378">
        <v>0</v>
      </c>
      <c r="G1118" s="378">
        <v>1193883</v>
      </c>
      <c r="H1118" s="378">
        <v>0</v>
      </c>
      <c r="I1118" s="378">
        <v>1193883</v>
      </c>
      <c r="J1118" s="2">
        <f t="shared" si="19"/>
        <v>8</v>
      </c>
    </row>
    <row r="1119" spans="1:10" ht="15.75" customHeight="1" x14ac:dyDescent="0.25">
      <c r="A1119" s="380">
        <v>25302010</v>
      </c>
      <c r="B1119" s="381" t="s">
        <v>315</v>
      </c>
      <c r="C1119" s="381" t="s">
        <v>1258</v>
      </c>
      <c r="D1119" s="381" t="s">
        <v>728</v>
      </c>
      <c r="E1119" s="381" t="s">
        <v>729</v>
      </c>
      <c r="F1119" s="378">
        <v>0</v>
      </c>
      <c r="G1119" s="378">
        <v>1187823</v>
      </c>
      <c r="H1119" s="378">
        <v>0</v>
      </c>
      <c r="I1119" s="378">
        <v>1187823</v>
      </c>
      <c r="J1119" s="2">
        <f t="shared" si="19"/>
        <v>8</v>
      </c>
    </row>
    <row r="1120" spans="1:10" ht="15.75" customHeight="1" x14ac:dyDescent="0.25">
      <c r="A1120" s="380">
        <v>25302010</v>
      </c>
      <c r="B1120" s="381" t="s">
        <v>315</v>
      </c>
      <c r="C1120" s="381" t="s">
        <v>1258</v>
      </c>
      <c r="D1120" s="381" t="s">
        <v>783</v>
      </c>
      <c r="E1120" s="381" t="s">
        <v>784</v>
      </c>
      <c r="F1120" s="378">
        <v>0</v>
      </c>
      <c r="G1120" s="378">
        <v>914442</v>
      </c>
      <c r="H1120" s="378">
        <v>0</v>
      </c>
      <c r="I1120" s="378">
        <v>914442</v>
      </c>
      <c r="J1120" s="2">
        <f t="shared" si="19"/>
        <v>8</v>
      </c>
    </row>
    <row r="1121" spans="1:10" ht="15.75" customHeight="1" x14ac:dyDescent="0.25">
      <c r="A1121" s="380">
        <v>25302010</v>
      </c>
      <c r="B1121" s="381" t="s">
        <v>315</v>
      </c>
      <c r="C1121" s="381" t="s">
        <v>1258</v>
      </c>
      <c r="D1121" s="381" t="s">
        <v>797</v>
      </c>
      <c r="E1121" s="381" t="s">
        <v>798</v>
      </c>
      <c r="F1121" s="378">
        <v>0</v>
      </c>
      <c r="G1121" s="378">
        <v>901534</v>
      </c>
      <c r="H1121" s="378">
        <v>0</v>
      </c>
      <c r="I1121" s="378">
        <v>901534</v>
      </c>
      <c r="J1121" s="2">
        <f t="shared" si="19"/>
        <v>8</v>
      </c>
    </row>
    <row r="1122" spans="1:10" ht="15.75" customHeight="1" x14ac:dyDescent="0.25">
      <c r="A1122" s="380">
        <v>25302010</v>
      </c>
      <c r="B1122" s="381" t="s">
        <v>315</v>
      </c>
      <c r="C1122" s="381" t="s">
        <v>1258</v>
      </c>
      <c r="D1122" s="381" t="s">
        <v>1221</v>
      </c>
      <c r="E1122" s="381" t="s">
        <v>1494</v>
      </c>
      <c r="F1122" s="378">
        <v>765714</v>
      </c>
      <c r="G1122" s="378">
        <v>0</v>
      </c>
      <c r="H1122" s="378">
        <v>0</v>
      </c>
      <c r="I1122" s="378">
        <v>765714</v>
      </c>
      <c r="J1122" s="2">
        <f t="shared" si="19"/>
        <v>8</v>
      </c>
    </row>
    <row r="1123" spans="1:10" ht="15.75" customHeight="1" x14ac:dyDescent="0.25">
      <c r="A1123" s="380">
        <v>25302010</v>
      </c>
      <c r="B1123" s="381" t="s">
        <v>315</v>
      </c>
      <c r="C1123" s="381" t="s">
        <v>1258</v>
      </c>
      <c r="D1123" s="381" t="s">
        <v>1222</v>
      </c>
      <c r="E1123" s="381" t="s">
        <v>1223</v>
      </c>
      <c r="F1123" s="378">
        <v>148821</v>
      </c>
      <c r="G1123" s="378">
        <v>0</v>
      </c>
      <c r="H1123" s="378">
        <v>0</v>
      </c>
      <c r="I1123" s="378">
        <v>148821</v>
      </c>
      <c r="J1123" s="2">
        <f t="shared" si="19"/>
        <v>8</v>
      </c>
    </row>
    <row r="1124" spans="1:10" ht="15.75" customHeight="1" x14ac:dyDescent="0.25">
      <c r="A1124" s="380">
        <v>25302010</v>
      </c>
      <c r="B1124" s="381" t="s">
        <v>315</v>
      </c>
      <c r="C1124" s="381" t="s">
        <v>1258</v>
      </c>
      <c r="D1124" s="381" t="s">
        <v>1198</v>
      </c>
      <c r="E1124" s="381" t="s">
        <v>1199</v>
      </c>
      <c r="F1124" s="378">
        <v>0</v>
      </c>
      <c r="G1124" s="378">
        <v>362549</v>
      </c>
      <c r="H1124" s="378">
        <v>0</v>
      </c>
      <c r="I1124" s="378">
        <v>362549</v>
      </c>
      <c r="J1124" s="2">
        <f t="shared" si="19"/>
        <v>8</v>
      </c>
    </row>
    <row r="1125" spans="1:10" ht="15.75" customHeight="1" x14ac:dyDescent="0.25">
      <c r="A1125" s="380">
        <v>25302010</v>
      </c>
      <c r="B1125" s="381" t="s">
        <v>315</v>
      </c>
      <c r="C1125" s="381" t="s">
        <v>1258</v>
      </c>
      <c r="D1125" s="381" t="s">
        <v>753</v>
      </c>
      <c r="E1125" s="381" t="s">
        <v>754</v>
      </c>
      <c r="F1125" s="378">
        <v>135292</v>
      </c>
      <c r="G1125" s="378">
        <v>0</v>
      </c>
      <c r="H1125" s="378">
        <v>0</v>
      </c>
      <c r="I1125" s="378">
        <v>135292</v>
      </c>
      <c r="J1125" s="2">
        <f t="shared" si="19"/>
        <v>8</v>
      </c>
    </row>
    <row r="1126" spans="1:10" ht="15.75" customHeight="1" x14ac:dyDescent="0.25">
      <c r="A1126" s="380">
        <v>25302010</v>
      </c>
      <c r="B1126" s="381" t="s">
        <v>315</v>
      </c>
      <c r="C1126" s="381" t="s">
        <v>1258</v>
      </c>
      <c r="D1126" s="381" t="s">
        <v>1200</v>
      </c>
      <c r="E1126" s="381" t="s">
        <v>1201</v>
      </c>
      <c r="F1126" s="378">
        <v>0</v>
      </c>
      <c r="G1126" s="378">
        <v>900168</v>
      </c>
      <c r="H1126" s="378">
        <v>0</v>
      </c>
      <c r="I1126" s="378">
        <v>900168</v>
      </c>
      <c r="J1126" s="2">
        <f t="shared" si="19"/>
        <v>8</v>
      </c>
    </row>
    <row r="1127" spans="1:10" ht="15.75" customHeight="1" x14ac:dyDescent="0.25">
      <c r="A1127" s="380">
        <v>25302010</v>
      </c>
      <c r="B1127" s="381" t="s">
        <v>315</v>
      </c>
      <c r="C1127" s="381" t="s">
        <v>1258</v>
      </c>
      <c r="D1127" s="381" t="s">
        <v>786</v>
      </c>
      <c r="E1127" s="381" t="s">
        <v>787</v>
      </c>
      <c r="F1127" s="378">
        <v>0</v>
      </c>
      <c r="G1127" s="378">
        <v>1285222</v>
      </c>
      <c r="H1127" s="378">
        <v>0</v>
      </c>
      <c r="I1127" s="378">
        <v>1285222</v>
      </c>
      <c r="J1127" s="2">
        <f t="shared" si="19"/>
        <v>8</v>
      </c>
    </row>
    <row r="1128" spans="1:10" ht="15.75" customHeight="1" x14ac:dyDescent="0.25">
      <c r="A1128" s="380">
        <v>25302010</v>
      </c>
      <c r="B1128" s="381" t="s">
        <v>315</v>
      </c>
      <c r="C1128" s="381" t="s">
        <v>1258</v>
      </c>
      <c r="D1128" s="381" t="s">
        <v>1224</v>
      </c>
      <c r="E1128" s="381" t="s">
        <v>1225</v>
      </c>
      <c r="F1128" s="378">
        <v>0</v>
      </c>
      <c r="G1128" s="378">
        <v>1004655</v>
      </c>
      <c r="H1128" s="378">
        <v>0</v>
      </c>
      <c r="I1128" s="378">
        <v>1004655</v>
      </c>
      <c r="J1128" s="2">
        <f t="shared" si="19"/>
        <v>8</v>
      </c>
    </row>
    <row r="1129" spans="1:10" ht="15.75" customHeight="1" x14ac:dyDescent="0.25">
      <c r="A1129" s="380">
        <v>25302010</v>
      </c>
      <c r="B1129" s="381" t="s">
        <v>315</v>
      </c>
      <c r="C1129" s="381" t="s">
        <v>1258</v>
      </c>
      <c r="D1129" s="381" t="s">
        <v>1226</v>
      </c>
      <c r="E1129" s="381" t="s">
        <v>1227</v>
      </c>
      <c r="F1129" s="378">
        <v>20827</v>
      </c>
      <c r="G1129" s="378">
        <v>0</v>
      </c>
      <c r="H1129" s="378">
        <v>0</v>
      </c>
      <c r="I1129" s="378">
        <v>20827</v>
      </c>
      <c r="J1129" s="2">
        <f t="shared" si="19"/>
        <v>8</v>
      </c>
    </row>
    <row r="1130" spans="1:10" ht="15.75" customHeight="1" x14ac:dyDescent="0.25">
      <c r="A1130" s="380">
        <v>25302010</v>
      </c>
      <c r="B1130" s="381" t="s">
        <v>315</v>
      </c>
      <c r="C1130" s="381" t="s">
        <v>1258</v>
      </c>
      <c r="D1130" s="381" t="s">
        <v>1202</v>
      </c>
      <c r="E1130" s="381" t="s">
        <v>1203</v>
      </c>
      <c r="F1130" s="378">
        <v>0</v>
      </c>
      <c r="G1130" s="378">
        <v>966652</v>
      </c>
      <c r="H1130" s="378">
        <v>0</v>
      </c>
      <c r="I1130" s="378">
        <v>966652</v>
      </c>
      <c r="J1130" s="2">
        <f t="shared" si="19"/>
        <v>8</v>
      </c>
    </row>
    <row r="1131" spans="1:10" ht="15.75" customHeight="1" x14ac:dyDescent="0.25">
      <c r="A1131" s="380">
        <v>25302010</v>
      </c>
      <c r="B1131" s="381" t="s">
        <v>315</v>
      </c>
      <c r="C1131" s="381" t="s">
        <v>1258</v>
      </c>
      <c r="D1131" s="381" t="s">
        <v>1228</v>
      </c>
      <c r="E1131" s="381" t="s">
        <v>1229</v>
      </c>
      <c r="F1131" s="378">
        <v>0</v>
      </c>
      <c r="G1131" s="378">
        <v>1010764</v>
      </c>
      <c r="H1131" s="378">
        <v>58497</v>
      </c>
      <c r="I1131" s="378">
        <v>952267</v>
      </c>
      <c r="J1131" s="2">
        <f t="shared" si="19"/>
        <v>8</v>
      </c>
    </row>
    <row r="1132" spans="1:10" ht="15.75" customHeight="1" x14ac:dyDescent="0.25">
      <c r="A1132" s="380">
        <v>25302010</v>
      </c>
      <c r="B1132" s="381" t="s">
        <v>315</v>
      </c>
      <c r="C1132" s="381" t="s">
        <v>1258</v>
      </c>
      <c r="D1132" s="381" t="s">
        <v>1086</v>
      </c>
      <c r="E1132" s="381" t="s">
        <v>1087</v>
      </c>
      <c r="F1132" s="378">
        <v>0</v>
      </c>
      <c r="G1132" s="378">
        <v>922224</v>
      </c>
      <c r="H1132" s="378">
        <v>0</v>
      </c>
      <c r="I1132" s="378">
        <v>922224</v>
      </c>
      <c r="J1132" s="2">
        <f t="shared" si="19"/>
        <v>8</v>
      </c>
    </row>
    <row r="1133" spans="1:10" ht="15.75" customHeight="1" x14ac:dyDescent="0.25">
      <c r="A1133" s="380">
        <v>25302010</v>
      </c>
      <c r="B1133" s="381" t="s">
        <v>315</v>
      </c>
      <c r="C1133" s="381" t="s">
        <v>1258</v>
      </c>
      <c r="D1133" s="381" t="s">
        <v>404</v>
      </c>
      <c r="E1133" s="381" t="s">
        <v>1230</v>
      </c>
      <c r="F1133" s="378">
        <v>0</v>
      </c>
      <c r="G1133" s="378">
        <v>877678</v>
      </c>
      <c r="H1133" s="378">
        <v>0</v>
      </c>
      <c r="I1133" s="378">
        <v>877678</v>
      </c>
      <c r="J1133" s="2">
        <f t="shared" si="19"/>
        <v>8</v>
      </c>
    </row>
    <row r="1134" spans="1:10" ht="15.75" customHeight="1" x14ac:dyDescent="0.25">
      <c r="A1134" s="380">
        <v>25302010</v>
      </c>
      <c r="B1134" s="381" t="s">
        <v>315</v>
      </c>
      <c r="C1134" s="381" t="s">
        <v>1258</v>
      </c>
      <c r="D1134" s="381" t="s">
        <v>1204</v>
      </c>
      <c r="E1134" s="381" t="s">
        <v>1205</v>
      </c>
      <c r="F1134" s="378">
        <v>0</v>
      </c>
      <c r="G1134" s="378">
        <v>327796</v>
      </c>
      <c r="H1134" s="378">
        <v>0</v>
      </c>
      <c r="I1134" s="378">
        <v>327796</v>
      </c>
      <c r="J1134" s="2">
        <f t="shared" si="19"/>
        <v>8</v>
      </c>
    </row>
    <row r="1135" spans="1:10" ht="15.75" customHeight="1" x14ac:dyDescent="0.25">
      <c r="A1135" s="380">
        <v>25302010</v>
      </c>
      <c r="B1135" s="381" t="s">
        <v>315</v>
      </c>
      <c r="C1135" s="381" t="s">
        <v>1258</v>
      </c>
      <c r="D1135" s="381" t="s">
        <v>1231</v>
      </c>
      <c r="E1135" s="381" t="s">
        <v>1232</v>
      </c>
      <c r="F1135" s="378">
        <v>122596</v>
      </c>
      <c r="G1135" s="378">
        <v>0</v>
      </c>
      <c r="H1135" s="378">
        <v>0</v>
      </c>
      <c r="I1135" s="378">
        <v>122596</v>
      </c>
      <c r="J1135" s="2">
        <f t="shared" si="19"/>
        <v>8</v>
      </c>
    </row>
    <row r="1136" spans="1:10" ht="15.75" customHeight="1" x14ac:dyDescent="0.25">
      <c r="A1136" s="380">
        <v>25302010</v>
      </c>
      <c r="B1136" s="381" t="s">
        <v>315</v>
      </c>
      <c r="C1136" s="381" t="s">
        <v>1258</v>
      </c>
      <c r="D1136" s="381" t="s">
        <v>788</v>
      </c>
      <c r="E1136" s="381" t="s">
        <v>789</v>
      </c>
      <c r="F1136" s="378">
        <v>0</v>
      </c>
      <c r="G1136" s="378">
        <v>1504162</v>
      </c>
      <c r="H1136" s="378">
        <v>0</v>
      </c>
      <c r="I1136" s="378">
        <v>1504162</v>
      </c>
      <c r="J1136" s="2">
        <f t="shared" si="19"/>
        <v>8</v>
      </c>
    </row>
    <row r="1137" spans="1:10" ht="15.75" customHeight="1" x14ac:dyDescent="0.25">
      <c r="A1137" s="380">
        <v>25302010</v>
      </c>
      <c r="B1137" s="381" t="s">
        <v>315</v>
      </c>
      <c r="C1137" s="381" t="s">
        <v>1258</v>
      </c>
      <c r="D1137" s="381" t="s">
        <v>1206</v>
      </c>
      <c r="E1137" s="381" t="s">
        <v>1207</v>
      </c>
      <c r="F1137" s="378">
        <v>0</v>
      </c>
      <c r="G1137" s="378">
        <v>965760</v>
      </c>
      <c r="H1137" s="378">
        <v>0</v>
      </c>
      <c r="I1137" s="378">
        <v>965760</v>
      </c>
      <c r="J1137" s="2">
        <f t="shared" si="19"/>
        <v>8</v>
      </c>
    </row>
    <row r="1138" spans="1:10" ht="15.75" customHeight="1" x14ac:dyDescent="0.25">
      <c r="A1138" s="380">
        <v>25302010</v>
      </c>
      <c r="B1138" s="381" t="s">
        <v>315</v>
      </c>
      <c r="C1138" s="381" t="s">
        <v>1258</v>
      </c>
      <c r="D1138" s="381" t="s">
        <v>1088</v>
      </c>
      <c r="E1138" s="381" t="s">
        <v>1089</v>
      </c>
      <c r="F1138" s="378">
        <v>0</v>
      </c>
      <c r="G1138" s="378">
        <v>733635</v>
      </c>
      <c r="H1138" s="378">
        <v>0</v>
      </c>
      <c r="I1138" s="378">
        <v>733635</v>
      </c>
      <c r="J1138" s="2">
        <f t="shared" si="19"/>
        <v>8</v>
      </c>
    </row>
    <row r="1139" spans="1:10" ht="15.75" customHeight="1" x14ac:dyDescent="0.25">
      <c r="A1139" s="380">
        <v>25302010</v>
      </c>
      <c r="B1139" s="381" t="s">
        <v>315</v>
      </c>
      <c r="C1139" s="381" t="s">
        <v>1258</v>
      </c>
      <c r="D1139" s="381" t="s">
        <v>776</v>
      </c>
      <c r="E1139" s="381" t="s">
        <v>777</v>
      </c>
      <c r="F1139" s="378">
        <v>0</v>
      </c>
      <c r="G1139" s="378">
        <v>1105308</v>
      </c>
      <c r="H1139" s="378">
        <v>0</v>
      </c>
      <c r="I1139" s="378">
        <v>1105308</v>
      </c>
      <c r="J1139" s="2">
        <f t="shared" si="19"/>
        <v>8</v>
      </c>
    </row>
    <row r="1140" spans="1:10" ht="15.75" customHeight="1" x14ac:dyDescent="0.25">
      <c r="A1140" s="380">
        <v>25302010</v>
      </c>
      <c r="B1140" s="381" t="s">
        <v>315</v>
      </c>
      <c r="C1140" s="381" t="s">
        <v>1258</v>
      </c>
      <c r="D1140" s="381" t="s">
        <v>790</v>
      </c>
      <c r="E1140" s="381" t="s">
        <v>791</v>
      </c>
      <c r="F1140" s="378">
        <v>0</v>
      </c>
      <c r="G1140" s="378">
        <v>974926</v>
      </c>
      <c r="H1140" s="378">
        <v>0</v>
      </c>
      <c r="I1140" s="378">
        <v>974926</v>
      </c>
      <c r="J1140" s="2">
        <f t="shared" si="19"/>
        <v>8</v>
      </c>
    </row>
    <row r="1141" spans="1:10" ht="15.75" customHeight="1" x14ac:dyDescent="0.25">
      <c r="A1141" s="380">
        <v>25302010</v>
      </c>
      <c r="B1141" s="381" t="s">
        <v>315</v>
      </c>
      <c r="C1141" s="381" t="s">
        <v>1258</v>
      </c>
      <c r="D1141" s="381" t="s">
        <v>1233</v>
      </c>
      <c r="E1141" s="381" t="s">
        <v>1234</v>
      </c>
      <c r="F1141" s="378">
        <v>547266</v>
      </c>
      <c r="G1141" s="378">
        <v>0</v>
      </c>
      <c r="H1141" s="378">
        <v>0</v>
      </c>
      <c r="I1141" s="378">
        <v>547266</v>
      </c>
      <c r="J1141" s="2">
        <f t="shared" si="19"/>
        <v>8</v>
      </c>
    </row>
    <row r="1142" spans="1:10" ht="15.75" customHeight="1" x14ac:dyDescent="0.25">
      <c r="A1142" s="380">
        <v>25302010</v>
      </c>
      <c r="B1142" s="381" t="s">
        <v>315</v>
      </c>
      <c r="C1142" s="381" t="s">
        <v>1258</v>
      </c>
      <c r="D1142" s="381" t="s">
        <v>1235</v>
      </c>
      <c r="E1142" s="381" t="s">
        <v>1236</v>
      </c>
      <c r="F1142" s="378">
        <v>67646</v>
      </c>
      <c r="G1142" s="378">
        <v>0</v>
      </c>
      <c r="H1142" s="378">
        <v>0</v>
      </c>
      <c r="I1142" s="378">
        <v>67646</v>
      </c>
      <c r="J1142" s="2">
        <f t="shared" si="19"/>
        <v>8</v>
      </c>
    </row>
    <row r="1143" spans="1:10" ht="15.75" customHeight="1" x14ac:dyDescent="0.25">
      <c r="A1143" s="380">
        <v>25302010</v>
      </c>
      <c r="B1143" s="381" t="s">
        <v>315</v>
      </c>
      <c r="C1143" s="381" t="s">
        <v>1258</v>
      </c>
      <c r="D1143" s="381" t="s">
        <v>1208</v>
      </c>
      <c r="E1143" s="381" t="s">
        <v>1209</v>
      </c>
      <c r="F1143" s="378">
        <v>0</v>
      </c>
      <c r="G1143" s="378">
        <v>985704</v>
      </c>
      <c r="H1143" s="378">
        <v>0</v>
      </c>
      <c r="I1143" s="378">
        <v>985704</v>
      </c>
      <c r="J1143" s="2">
        <f t="shared" si="19"/>
        <v>8</v>
      </c>
    </row>
    <row r="1144" spans="1:10" ht="15.75" customHeight="1" x14ac:dyDescent="0.25">
      <c r="A1144" s="380">
        <v>25302010</v>
      </c>
      <c r="B1144" s="381" t="s">
        <v>315</v>
      </c>
      <c r="C1144" s="381" t="s">
        <v>1258</v>
      </c>
      <c r="D1144" s="381" t="s">
        <v>1237</v>
      </c>
      <c r="E1144" s="381" t="s">
        <v>1238</v>
      </c>
      <c r="F1144" s="378">
        <v>0</v>
      </c>
      <c r="G1144" s="378">
        <v>378203</v>
      </c>
      <c r="H1144" s="378">
        <v>0</v>
      </c>
      <c r="I1144" s="378">
        <v>378203</v>
      </c>
      <c r="J1144" s="2">
        <f t="shared" si="19"/>
        <v>8</v>
      </c>
    </row>
    <row r="1145" spans="1:10" ht="15.75" customHeight="1" x14ac:dyDescent="0.25">
      <c r="A1145" s="380">
        <v>25302010</v>
      </c>
      <c r="B1145" s="381" t="s">
        <v>315</v>
      </c>
      <c r="C1145" s="381" t="s">
        <v>1258</v>
      </c>
      <c r="D1145" s="381" t="s">
        <v>1239</v>
      </c>
      <c r="E1145" s="381" t="s">
        <v>1240</v>
      </c>
      <c r="F1145" s="378">
        <v>0</v>
      </c>
      <c r="G1145" s="378">
        <v>87786</v>
      </c>
      <c r="H1145" s="378">
        <v>0</v>
      </c>
      <c r="I1145" s="378">
        <v>87786</v>
      </c>
      <c r="J1145" s="2">
        <f t="shared" si="19"/>
        <v>8</v>
      </c>
    </row>
    <row r="1146" spans="1:10" ht="15.75" customHeight="1" x14ac:dyDescent="0.25">
      <c r="A1146" s="380">
        <v>25302010</v>
      </c>
      <c r="B1146" s="381" t="s">
        <v>315</v>
      </c>
      <c r="C1146" s="381" t="s">
        <v>1258</v>
      </c>
      <c r="D1146" s="381" t="s">
        <v>1248</v>
      </c>
      <c r="E1146" s="381" t="s">
        <v>1249</v>
      </c>
      <c r="F1146" s="378">
        <v>18101</v>
      </c>
      <c r="G1146" s="378">
        <v>0</v>
      </c>
      <c r="H1146" s="378">
        <v>0</v>
      </c>
      <c r="I1146" s="378">
        <v>18101</v>
      </c>
      <c r="J1146" s="2">
        <f t="shared" si="19"/>
        <v>8</v>
      </c>
    </row>
    <row r="1147" spans="1:10" ht="15.75" customHeight="1" x14ac:dyDescent="0.25">
      <c r="A1147" s="380">
        <v>25302010</v>
      </c>
      <c r="B1147" s="381" t="s">
        <v>315</v>
      </c>
      <c r="C1147" s="381" t="s">
        <v>1258</v>
      </c>
      <c r="D1147" s="381" t="s">
        <v>1210</v>
      </c>
      <c r="E1147" s="381" t="s">
        <v>1211</v>
      </c>
      <c r="F1147" s="378">
        <v>0</v>
      </c>
      <c r="G1147" s="378">
        <v>889818</v>
      </c>
      <c r="H1147" s="378">
        <v>0</v>
      </c>
      <c r="I1147" s="378">
        <v>889818</v>
      </c>
      <c r="J1147" s="2">
        <f t="shared" si="19"/>
        <v>8</v>
      </c>
    </row>
    <row r="1148" spans="1:10" ht="15.75" customHeight="1" x14ac:dyDescent="0.25">
      <c r="A1148" s="380">
        <v>25302010</v>
      </c>
      <c r="B1148" s="381" t="s">
        <v>315</v>
      </c>
      <c r="C1148" s="381" t="s">
        <v>1258</v>
      </c>
      <c r="D1148" s="381" t="s">
        <v>1090</v>
      </c>
      <c r="E1148" s="381" t="s">
        <v>1091</v>
      </c>
      <c r="F1148" s="378">
        <v>0</v>
      </c>
      <c r="G1148" s="378">
        <v>1117986</v>
      </c>
      <c r="H1148" s="378">
        <v>0</v>
      </c>
      <c r="I1148" s="378">
        <v>1117986</v>
      </c>
      <c r="J1148" s="2">
        <f t="shared" si="19"/>
        <v>8</v>
      </c>
    </row>
    <row r="1149" spans="1:10" ht="15.75" customHeight="1" x14ac:dyDescent="0.25">
      <c r="A1149" s="380">
        <v>25302010</v>
      </c>
      <c r="B1149" s="381" t="s">
        <v>315</v>
      </c>
      <c r="C1149" s="381" t="s">
        <v>1258</v>
      </c>
      <c r="D1149" s="381" t="s">
        <v>1241</v>
      </c>
      <c r="E1149" s="381" t="s">
        <v>1242</v>
      </c>
      <c r="F1149" s="378">
        <v>0</v>
      </c>
      <c r="G1149" s="378">
        <v>911567</v>
      </c>
      <c r="H1149" s="378">
        <v>0</v>
      </c>
      <c r="I1149" s="378">
        <v>911567</v>
      </c>
      <c r="J1149" s="2">
        <f t="shared" si="19"/>
        <v>8</v>
      </c>
    </row>
    <row r="1150" spans="1:10" ht="15.75" customHeight="1" x14ac:dyDescent="0.25">
      <c r="A1150" s="380">
        <v>25302010</v>
      </c>
      <c r="B1150" s="381" t="s">
        <v>315</v>
      </c>
      <c r="C1150" s="381" t="s">
        <v>1258</v>
      </c>
      <c r="D1150" s="381" t="s">
        <v>792</v>
      </c>
      <c r="E1150" s="381" t="s">
        <v>793</v>
      </c>
      <c r="F1150" s="378">
        <v>0</v>
      </c>
      <c r="G1150" s="378">
        <v>1104664</v>
      </c>
      <c r="H1150" s="378">
        <v>0</v>
      </c>
      <c r="I1150" s="378">
        <v>1104664</v>
      </c>
      <c r="J1150" s="2">
        <f t="shared" si="19"/>
        <v>8</v>
      </c>
    </row>
    <row r="1151" spans="1:10" ht="15.75" customHeight="1" x14ac:dyDescent="0.25">
      <c r="A1151" s="380">
        <v>25302010</v>
      </c>
      <c r="B1151" s="381" t="s">
        <v>315</v>
      </c>
      <c r="C1151" s="381" t="s">
        <v>1258</v>
      </c>
      <c r="D1151" s="381" t="s">
        <v>794</v>
      </c>
      <c r="E1151" s="381" t="s">
        <v>795</v>
      </c>
      <c r="F1151" s="378">
        <v>0</v>
      </c>
      <c r="G1151" s="378">
        <v>1076410</v>
      </c>
      <c r="H1151" s="378">
        <v>0</v>
      </c>
      <c r="I1151" s="378">
        <v>1076410</v>
      </c>
      <c r="J1151" s="2">
        <f t="shared" si="19"/>
        <v>8</v>
      </c>
    </row>
    <row r="1152" spans="1:10" ht="15.75" customHeight="1" x14ac:dyDescent="0.25">
      <c r="A1152" s="380">
        <v>25302010</v>
      </c>
      <c r="B1152" s="381" t="s">
        <v>315</v>
      </c>
      <c r="C1152" s="381" t="s">
        <v>1258</v>
      </c>
      <c r="D1152" s="381" t="s">
        <v>1212</v>
      </c>
      <c r="E1152" s="381" t="s">
        <v>1213</v>
      </c>
      <c r="F1152" s="378">
        <v>0</v>
      </c>
      <c r="G1152" s="378">
        <v>99214</v>
      </c>
      <c r="H1152" s="378">
        <v>0</v>
      </c>
      <c r="I1152" s="378">
        <v>99214</v>
      </c>
      <c r="J1152" s="2">
        <f t="shared" si="19"/>
        <v>8</v>
      </c>
    </row>
    <row r="1153" spans="1:10" ht="15.75" customHeight="1" x14ac:dyDescent="0.25">
      <c r="A1153" s="380">
        <v>25302010</v>
      </c>
      <c r="B1153" s="381" t="s">
        <v>315</v>
      </c>
      <c r="C1153" s="381" t="s">
        <v>1258</v>
      </c>
      <c r="D1153" s="381" t="s">
        <v>1092</v>
      </c>
      <c r="E1153" s="381" t="s">
        <v>1093</v>
      </c>
      <c r="F1153" s="378">
        <v>0</v>
      </c>
      <c r="G1153" s="378">
        <v>953631</v>
      </c>
      <c r="H1153" s="378">
        <v>0</v>
      </c>
      <c r="I1153" s="378">
        <v>953631</v>
      </c>
      <c r="J1153" s="2">
        <f t="shared" si="19"/>
        <v>8</v>
      </c>
    </row>
    <row r="1154" spans="1:10" ht="15.75" customHeight="1" x14ac:dyDescent="0.25">
      <c r="A1154" s="380">
        <v>25302010</v>
      </c>
      <c r="B1154" s="381" t="s">
        <v>315</v>
      </c>
      <c r="C1154" s="381" t="s">
        <v>1258</v>
      </c>
      <c r="D1154" s="381" t="s">
        <v>1243</v>
      </c>
      <c r="E1154" s="381" t="s">
        <v>1244</v>
      </c>
      <c r="F1154" s="378">
        <v>638763</v>
      </c>
      <c r="G1154" s="378">
        <v>0</v>
      </c>
      <c r="H1154" s="378">
        <v>0</v>
      </c>
      <c r="I1154" s="378">
        <v>638763</v>
      </c>
      <c r="J1154" s="2">
        <f t="shared" si="19"/>
        <v>8</v>
      </c>
    </row>
    <row r="1155" spans="1:10" ht="15.75" customHeight="1" x14ac:dyDescent="0.25">
      <c r="A1155" s="380">
        <v>25302010</v>
      </c>
      <c r="B1155" s="381" t="s">
        <v>315</v>
      </c>
      <c r="C1155" s="381" t="s">
        <v>1258</v>
      </c>
      <c r="D1155" s="381" t="s">
        <v>1214</v>
      </c>
      <c r="E1155" s="381" t="s">
        <v>1489</v>
      </c>
      <c r="F1155" s="378">
        <v>0</v>
      </c>
      <c r="G1155" s="378">
        <v>1193883</v>
      </c>
      <c r="H1155" s="378">
        <v>0</v>
      </c>
      <c r="I1155" s="378">
        <v>1193883</v>
      </c>
      <c r="J1155" s="2">
        <f t="shared" si="19"/>
        <v>8</v>
      </c>
    </row>
    <row r="1156" spans="1:10" ht="15.75" customHeight="1" x14ac:dyDescent="0.25">
      <c r="A1156" s="380">
        <v>25302010</v>
      </c>
      <c r="B1156" s="381" t="s">
        <v>315</v>
      </c>
      <c r="C1156" s="381" t="s">
        <v>1258</v>
      </c>
      <c r="D1156" s="381" t="s">
        <v>1094</v>
      </c>
      <c r="E1156" s="381" t="s">
        <v>1095</v>
      </c>
      <c r="F1156" s="378">
        <v>0</v>
      </c>
      <c r="G1156" s="378">
        <v>877545</v>
      </c>
      <c r="H1156" s="378">
        <v>0</v>
      </c>
      <c r="I1156" s="378">
        <v>877545</v>
      </c>
      <c r="J1156" s="2">
        <f t="shared" si="19"/>
        <v>8</v>
      </c>
    </row>
    <row r="1157" spans="1:10" ht="15.75" customHeight="1" x14ac:dyDescent="0.25">
      <c r="A1157" s="380">
        <v>2550</v>
      </c>
      <c r="B1157" s="381" t="s">
        <v>315</v>
      </c>
      <c r="C1157" s="381" t="s">
        <v>1259</v>
      </c>
      <c r="D1157" s="381" t="s">
        <v>315</v>
      </c>
      <c r="E1157" s="381" t="s">
        <v>315</v>
      </c>
      <c r="F1157" s="378">
        <v>-23510333</v>
      </c>
      <c r="G1157" s="378">
        <v>19702308</v>
      </c>
      <c r="H1157" s="378">
        <v>17588108</v>
      </c>
      <c r="I1157" s="378">
        <v>-21396133</v>
      </c>
      <c r="J1157" s="2">
        <f t="shared" si="19"/>
        <v>4</v>
      </c>
    </row>
    <row r="1158" spans="1:10" ht="15.75" customHeight="1" x14ac:dyDescent="0.25">
      <c r="A1158" s="380">
        <v>255005</v>
      </c>
      <c r="B1158" s="381" t="s">
        <v>315</v>
      </c>
      <c r="C1158" s="381" t="s">
        <v>1260</v>
      </c>
      <c r="D1158" s="381" t="s">
        <v>315</v>
      </c>
      <c r="E1158" s="381" t="s">
        <v>315</v>
      </c>
      <c r="F1158" s="378">
        <v>-2744500</v>
      </c>
      <c r="G1158" s="378">
        <v>2744500</v>
      </c>
      <c r="H1158" s="378">
        <v>2544400</v>
      </c>
      <c r="I1158" s="378">
        <v>-2544400</v>
      </c>
      <c r="J1158" s="2">
        <f t="shared" si="19"/>
        <v>6</v>
      </c>
    </row>
    <row r="1159" spans="1:10" ht="15.75" customHeight="1" x14ac:dyDescent="0.25">
      <c r="A1159" s="380">
        <v>25500501</v>
      </c>
      <c r="B1159" s="381" t="s">
        <v>321</v>
      </c>
      <c r="C1159" s="381" t="s">
        <v>1261</v>
      </c>
      <c r="D1159" s="381" t="s">
        <v>315</v>
      </c>
      <c r="E1159" s="381" t="s">
        <v>315</v>
      </c>
      <c r="F1159" s="378">
        <v>-1950485</v>
      </c>
      <c r="G1159" s="378">
        <v>0</v>
      </c>
      <c r="H1159" s="378">
        <v>3229</v>
      </c>
      <c r="I1159" s="378">
        <v>-1953714</v>
      </c>
      <c r="J1159" s="2">
        <f t="shared" si="19"/>
        <v>8</v>
      </c>
    </row>
    <row r="1160" spans="1:10" ht="15.75" customHeight="1" x14ac:dyDescent="0.25">
      <c r="A1160" s="380">
        <v>25500501</v>
      </c>
      <c r="B1160" s="381" t="s">
        <v>321</v>
      </c>
      <c r="C1160" s="381" t="s">
        <v>1261</v>
      </c>
      <c r="D1160" s="381" t="s">
        <v>356</v>
      </c>
      <c r="E1160" s="381" t="s">
        <v>357</v>
      </c>
      <c r="F1160" s="378">
        <v>-1967100</v>
      </c>
      <c r="G1160" s="378">
        <v>0</v>
      </c>
      <c r="H1160" s="378">
        <v>0</v>
      </c>
      <c r="I1160" s="378">
        <v>-1967100</v>
      </c>
      <c r="J1160" s="2">
        <f t="shared" si="19"/>
        <v>8</v>
      </c>
    </row>
    <row r="1161" spans="1:10" ht="15.75" customHeight="1" x14ac:dyDescent="0.25">
      <c r="A1161" s="380">
        <v>25500501</v>
      </c>
      <c r="B1161" s="381" t="s">
        <v>321</v>
      </c>
      <c r="C1161" s="381" t="s">
        <v>1261</v>
      </c>
      <c r="D1161" s="381" t="s">
        <v>1246</v>
      </c>
      <c r="E1161" s="381" t="s">
        <v>1247</v>
      </c>
      <c r="F1161" s="378">
        <v>-972</v>
      </c>
      <c r="G1161" s="378">
        <v>0</v>
      </c>
      <c r="H1161" s="378">
        <v>0</v>
      </c>
      <c r="I1161" s="378">
        <v>-972</v>
      </c>
      <c r="J1161" s="2">
        <f t="shared" si="19"/>
        <v>8</v>
      </c>
    </row>
    <row r="1162" spans="1:10" ht="15.75" customHeight="1" x14ac:dyDescent="0.25">
      <c r="A1162" s="380">
        <v>25500501</v>
      </c>
      <c r="B1162" s="381" t="s">
        <v>321</v>
      </c>
      <c r="C1162" s="381" t="s">
        <v>1261</v>
      </c>
      <c r="D1162" s="381" t="s">
        <v>1194</v>
      </c>
      <c r="E1162" s="381" t="s">
        <v>1195</v>
      </c>
      <c r="F1162" s="378">
        <v>-303</v>
      </c>
      <c r="G1162" s="378">
        <v>0</v>
      </c>
      <c r="H1162" s="378">
        <v>30</v>
      </c>
      <c r="I1162" s="378">
        <v>-333</v>
      </c>
      <c r="J1162" s="2">
        <f t="shared" si="19"/>
        <v>8</v>
      </c>
    </row>
    <row r="1163" spans="1:10" ht="15.75" customHeight="1" x14ac:dyDescent="0.25">
      <c r="A1163" s="380">
        <v>25500501</v>
      </c>
      <c r="B1163" s="381" t="s">
        <v>321</v>
      </c>
      <c r="C1163" s="381" t="s">
        <v>1261</v>
      </c>
      <c r="D1163" s="381" t="s">
        <v>779</v>
      </c>
      <c r="E1163" s="381" t="s">
        <v>780</v>
      </c>
      <c r="F1163" s="378">
        <v>-12</v>
      </c>
      <c r="G1163" s="378">
        <v>0</v>
      </c>
      <c r="H1163" s="378">
        <v>97</v>
      </c>
      <c r="I1163" s="378">
        <v>-109</v>
      </c>
      <c r="J1163" s="2">
        <f t="shared" si="19"/>
        <v>8</v>
      </c>
    </row>
    <row r="1164" spans="1:10" ht="15.75" customHeight="1" x14ac:dyDescent="0.25">
      <c r="A1164" s="380">
        <v>25500501</v>
      </c>
      <c r="B1164" s="381" t="s">
        <v>321</v>
      </c>
      <c r="C1164" s="381" t="s">
        <v>1261</v>
      </c>
      <c r="D1164" s="381" t="s">
        <v>1219</v>
      </c>
      <c r="E1164" s="381" t="s">
        <v>1220</v>
      </c>
      <c r="F1164" s="378">
        <v>-67</v>
      </c>
      <c r="G1164" s="378">
        <v>0</v>
      </c>
      <c r="H1164" s="378">
        <v>0</v>
      </c>
      <c r="I1164" s="378">
        <v>-67</v>
      </c>
      <c r="J1164" s="2">
        <f t="shared" si="19"/>
        <v>8</v>
      </c>
    </row>
    <row r="1165" spans="1:10" ht="15.75" customHeight="1" x14ac:dyDescent="0.25">
      <c r="A1165" s="380">
        <v>25500501</v>
      </c>
      <c r="B1165" s="381" t="s">
        <v>321</v>
      </c>
      <c r="C1165" s="381" t="s">
        <v>1261</v>
      </c>
      <c r="D1165" s="381" t="s">
        <v>774</v>
      </c>
      <c r="E1165" s="381" t="s">
        <v>775</v>
      </c>
      <c r="F1165" s="378">
        <v>-285</v>
      </c>
      <c r="G1165" s="378">
        <v>0</v>
      </c>
      <c r="H1165" s="378">
        <v>17</v>
      </c>
      <c r="I1165" s="378">
        <v>-302</v>
      </c>
      <c r="J1165" s="2">
        <f t="shared" ref="J1165:J1228" si="20">+LEN(A1165)</f>
        <v>8</v>
      </c>
    </row>
    <row r="1166" spans="1:10" ht="15.75" customHeight="1" x14ac:dyDescent="0.25">
      <c r="A1166" s="380">
        <v>25500501</v>
      </c>
      <c r="B1166" s="381" t="s">
        <v>321</v>
      </c>
      <c r="C1166" s="381" t="s">
        <v>1261</v>
      </c>
      <c r="D1166" s="381" t="s">
        <v>1196</v>
      </c>
      <c r="E1166" s="381" t="s">
        <v>1197</v>
      </c>
      <c r="F1166" s="378">
        <v>-215</v>
      </c>
      <c r="G1166" s="378">
        <v>0</v>
      </c>
      <c r="H1166" s="378">
        <v>46</v>
      </c>
      <c r="I1166" s="378">
        <v>-261</v>
      </c>
      <c r="J1166" s="2">
        <f t="shared" si="20"/>
        <v>8</v>
      </c>
    </row>
    <row r="1167" spans="1:10" ht="15.75" customHeight="1" x14ac:dyDescent="0.25">
      <c r="A1167" s="380">
        <v>25500501</v>
      </c>
      <c r="B1167" s="381" t="s">
        <v>321</v>
      </c>
      <c r="C1167" s="381" t="s">
        <v>1261</v>
      </c>
      <c r="D1167" s="381" t="s">
        <v>781</v>
      </c>
      <c r="E1167" s="381" t="s">
        <v>782</v>
      </c>
      <c r="F1167" s="378">
        <v>-444</v>
      </c>
      <c r="G1167" s="378">
        <v>0</v>
      </c>
      <c r="H1167" s="378">
        <v>89</v>
      </c>
      <c r="I1167" s="378">
        <v>-533</v>
      </c>
      <c r="J1167" s="2">
        <f t="shared" si="20"/>
        <v>8</v>
      </c>
    </row>
    <row r="1168" spans="1:10" ht="15.75" customHeight="1" x14ac:dyDescent="0.25">
      <c r="A1168" s="380">
        <v>25500501</v>
      </c>
      <c r="B1168" s="381" t="s">
        <v>321</v>
      </c>
      <c r="C1168" s="381" t="s">
        <v>1261</v>
      </c>
      <c r="D1168" s="381" t="s">
        <v>728</v>
      </c>
      <c r="E1168" s="381" t="s">
        <v>729</v>
      </c>
      <c r="F1168" s="378">
        <v>3749</v>
      </c>
      <c r="G1168" s="378">
        <v>0</v>
      </c>
      <c r="H1168" s="378">
        <v>81</v>
      </c>
      <c r="I1168" s="378">
        <v>3668</v>
      </c>
      <c r="J1168" s="2">
        <f t="shared" si="20"/>
        <v>8</v>
      </c>
    </row>
    <row r="1169" spans="1:10" ht="15.75" customHeight="1" x14ac:dyDescent="0.25">
      <c r="A1169" s="380">
        <v>25500501</v>
      </c>
      <c r="B1169" s="381" t="s">
        <v>321</v>
      </c>
      <c r="C1169" s="381" t="s">
        <v>1261</v>
      </c>
      <c r="D1169" s="381" t="s">
        <v>783</v>
      </c>
      <c r="E1169" s="381" t="s">
        <v>784</v>
      </c>
      <c r="F1169" s="378">
        <v>-172</v>
      </c>
      <c r="G1169" s="378">
        <v>0</v>
      </c>
      <c r="H1169" s="378">
        <v>90</v>
      </c>
      <c r="I1169" s="378">
        <v>-262</v>
      </c>
      <c r="J1169" s="2">
        <f t="shared" si="20"/>
        <v>8</v>
      </c>
    </row>
    <row r="1170" spans="1:10" ht="15.75" customHeight="1" x14ac:dyDescent="0.25">
      <c r="A1170" s="380">
        <v>25500501</v>
      </c>
      <c r="B1170" s="381" t="s">
        <v>321</v>
      </c>
      <c r="C1170" s="381" t="s">
        <v>1261</v>
      </c>
      <c r="D1170" s="381" t="s">
        <v>797</v>
      </c>
      <c r="E1170" s="381" t="s">
        <v>798</v>
      </c>
      <c r="F1170" s="378">
        <v>-184</v>
      </c>
      <c r="G1170" s="378">
        <v>0</v>
      </c>
      <c r="H1170" s="378">
        <v>79</v>
      </c>
      <c r="I1170" s="378">
        <v>-263</v>
      </c>
      <c r="J1170" s="2">
        <f t="shared" si="20"/>
        <v>8</v>
      </c>
    </row>
    <row r="1171" spans="1:10" ht="15.75" customHeight="1" x14ac:dyDescent="0.25">
      <c r="A1171" s="380">
        <v>25500501</v>
      </c>
      <c r="B1171" s="381" t="s">
        <v>321</v>
      </c>
      <c r="C1171" s="381" t="s">
        <v>1261</v>
      </c>
      <c r="D1171" s="381" t="s">
        <v>1221</v>
      </c>
      <c r="E1171" s="381" t="s">
        <v>1494</v>
      </c>
      <c r="F1171" s="378">
        <v>15693</v>
      </c>
      <c r="G1171" s="378">
        <v>0</v>
      </c>
      <c r="H1171" s="378">
        <v>0</v>
      </c>
      <c r="I1171" s="378">
        <v>15693</v>
      </c>
      <c r="J1171" s="2">
        <f t="shared" si="20"/>
        <v>8</v>
      </c>
    </row>
    <row r="1172" spans="1:10" ht="15.75" customHeight="1" x14ac:dyDescent="0.25">
      <c r="A1172" s="380">
        <v>25500501</v>
      </c>
      <c r="B1172" s="381" t="s">
        <v>321</v>
      </c>
      <c r="C1172" s="381" t="s">
        <v>1261</v>
      </c>
      <c r="D1172" s="381" t="s">
        <v>1222</v>
      </c>
      <c r="E1172" s="381" t="s">
        <v>1223</v>
      </c>
      <c r="F1172" s="378">
        <v>-134</v>
      </c>
      <c r="G1172" s="378">
        <v>0</v>
      </c>
      <c r="H1172" s="378">
        <v>0</v>
      </c>
      <c r="I1172" s="378">
        <v>-134</v>
      </c>
      <c r="J1172" s="2">
        <f t="shared" si="20"/>
        <v>8</v>
      </c>
    </row>
    <row r="1173" spans="1:10" ht="15.75" customHeight="1" x14ac:dyDescent="0.25">
      <c r="A1173" s="380">
        <v>25500501</v>
      </c>
      <c r="B1173" s="381" t="s">
        <v>321</v>
      </c>
      <c r="C1173" s="381" t="s">
        <v>1261</v>
      </c>
      <c r="D1173" s="381" t="s">
        <v>1198</v>
      </c>
      <c r="E1173" s="381" t="s">
        <v>1199</v>
      </c>
      <c r="F1173" s="378">
        <v>-25</v>
      </c>
      <c r="G1173" s="378">
        <v>0</v>
      </c>
      <c r="H1173" s="378">
        <v>96</v>
      </c>
      <c r="I1173" s="378">
        <v>-121</v>
      </c>
      <c r="J1173" s="2">
        <f t="shared" si="20"/>
        <v>8</v>
      </c>
    </row>
    <row r="1174" spans="1:10" ht="15.75" customHeight="1" x14ac:dyDescent="0.25">
      <c r="A1174" s="380">
        <v>25500501</v>
      </c>
      <c r="B1174" s="381" t="s">
        <v>321</v>
      </c>
      <c r="C1174" s="381" t="s">
        <v>1261</v>
      </c>
      <c r="D1174" s="381" t="s">
        <v>753</v>
      </c>
      <c r="E1174" s="381" t="s">
        <v>754</v>
      </c>
      <c r="F1174" s="378">
        <v>-2365</v>
      </c>
      <c r="G1174" s="378">
        <v>0</v>
      </c>
      <c r="H1174" s="378">
        <v>0</v>
      </c>
      <c r="I1174" s="378">
        <v>-2365</v>
      </c>
      <c r="J1174" s="2">
        <f t="shared" si="20"/>
        <v>8</v>
      </c>
    </row>
    <row r="1175" spans="1:10" ht="15.75" customHeight="1" x14ac:dyDescent="0.25">
      <c r="A1175" s="380">
        <v>25500501</v>
      </c>
      <c r="B1175" s="381" t="s">
        <v>321</v>
      </c>
      <c r="C1175" s="381" t="s">
        <v>1261</v>
      </c>
      <c r="D1175" s="381" t="s">
        <v>1200</v>
      </c>
      <c r="E1175" s="381" t="s">
        <v>1201</v>
      </c>
      <c r="F1175" s="378">
        <v>-369</v>
      </c>
      <c r="G1175" s="378">
        <v>0</v>
      </c>
      <c r="H1175" s="378">
        <v>37</v>
      </c>
      <c r="I1175" s="378">
        <v>-406</v>
      </c>
      <c r="J1175" s="2">
        <f t="shared" si="20"/>
        <v>8</v>
      </c>
    </row>
    <row r="1176" spans="1:10" ht="15.75" customHeight="1" x14ac:dyDescent="0.25">
      <c r="A1176" s="380">
        <v>25500501</v>
      </c>
      <c r="B1176" s="381" t="s">
        <v>321</v>
      </c>
      <c r="C1176" s="381" t="s">
        <v>1261</v>
      </c>
      <c r="D1176" s="381" t="s">
        <v>786</v>
      </c>
      <c r="E1176" s="381" t="s">
        <v>787</v>
      </c>
      <c r="F1176" s="378">
        <v>-242</v>
      </c>
      <c r="G1176" s="378">
        <v>0</v>
      </c>
      <c r="H1176" s="378">
        <v>16</v>
      </c>
      <c r="I1176" s="378">
        <v>-258</v>
      </c>
      <c r="J1176" s="2">
        <f t="shared" si="20"/>
        <v>8</v>
      </c>
    </row>
    <row r="1177" spans="1:10" ht="15.75" customHeight="1" x14ac:dyDescent="0.25">
      <c r="A1177" s="380">
        <v>25500501</v>
      </c>
      <c r="B1177" s="381" t="s">
        <v>321</v>
      </c>
      <c r="C1177" s="381" t="s">
        <v>1261</v>
      </c>
      <c r="D1177" s="381" t="s">
        <v>1224</v>
      </c>
      <c r="E1177" s="381" t="s">
        <v>1225</v>
      </c>
      <c r="F1177" s="378">
        <v>-371</v>
      </c>
      <c r="G1177" s="378">
        <v>0</v>
      </c>
      <c r="H1177" s="378">
        <v>93</v>
      </c>
      <c r="I1177" s="378">
        <v>-464</v>
      </c>
      <c r="J1177" s="2">
        <f t="shared" si="20"/>
        <v>8</v>
      </c>
    </row>
    <row r="1178" spans="1:10" ht="15.75" customHeight="1" x14ac:dyDescent="0.25">
      <c r="A1178" s="380">
        <v>25500501</v>
      </c>
      <c r="B1178" s="381" t="s">
        <v>321</v>
      </c>
      <c r="C1178" s="381" t="s">
        <v>1261</v>
      </c>
      <c r="D1178" s="381" t="s">
        <v>1226</v>
      </c>
      <c r="E1178" s="381" t="s">
        <v>1227</v>
      </c>
      <c r="F1178" s="378">
        <v>-19</v>
      </c>
      <c r="G1178" s="378">
        <v>0</v>
      </c>
      <c r="H1178" s="378">
        <v>0</v>
      </c>
      <c r="I1178" s="378">
        <v>-19</v>
      </c>
      <c r="J1178" s="2">
        <f t="shared" si="20"/>
        <v>8</v>
      </c>
    </row>
    <row r="1179" spans="1:10" ht="15.75" customHeight="1" x14ac:dyDescent="0.25">
      <c r="A1179" s="380">
        <v>25500501</v>
      </c>
      <c r="B1179" s="381" t="s">
        <v>321</v>
      </c>
      <c r="C1179" s="381" t="s">
        <v>1261</v>
      </c>
      <c r="D1179" s="381" t="s">
        <v>1202</v>
      </c>
      <c r="E1179" s="381" t="s">
        <v>1203</v>
      </c>
      <c r="F1179" s="378">
        <v>-85</v>
      </c>
      <c r="G1179" s="378">
        <v>0</v>
      </c>
      <c r="H1179" s="378">
        <v>47</v>
      </c>
      <c r="I1179" s="378">
        <v>-132</v>
      </c>
      <c r="J1179" s="2">
        <f t="shared" si="20"/>
        <v>8</v>
      </c>
    </row>
    <row r="1180" spans="1:10" ht="15.75" customHeight="1" x14ac:dyDescent="0.25">
      <c r="A1180" s="380">
        <v>25500501</v>
      </c>
      <c r="B1180" s="381" t="s">
        <v>321</v>
      </c>
      <c r="C1180" s="381" t="s">
        <v>1261</v>
      </c>
      <c r="D1180" s="381" t="s">
        <v>1228</v>
      </c>
      <c r="E1180" s="381" t="s">
        <v>1229</v>
      </c>
      <c r="F1180" s="378">
        <v>-52</v>
      </c>
      <c r="G1180" s="378">
        <v>0</v>
      </c>
      <c r="H1180" s="378">
        <v>0</v>
      </c>
      <c r="I1180" s="378">
        <v>-52</v>
      </c>
      <c r="J1180" s="2">
        <f t="shared" si="20"/>
        <v>8</v>
      </c>
    </row>
    <row r="1181" spans="1:10" ht="15.75" customHeight="1" x14ac:dyDescent="0.25">
      <c r="A1181" s="380">
        <v>25500501</v>
      </c>
      <c r="B1181" s="381" t="s">
        <v>321</v>
      </c>
      <c r="C1181" s="381" t="s">
        <v>1261</v>
      </c>
      <c r="D1181" s="381" t="s">
        <v>1086</v>
      </c>
      <c r="E1181" s="381" t="s">
        <v>1087</v>
      </c>
      <c r="F1181" s="378">
        <v>6794</v>
      </c>
      <c r="G1181" s="378">
        <v>0</v>
      </c>
      <c r="H1181" s="378">
        <v>45</v>
      </c>
      <c r="I1181" s="378">
        <v>6749</v>
      </c>
      <c r="J1181" s="2">
        <f t="shared" si="20"/>
        <v>8</v>
      </c>
    </row>
    <row r="1182" spans="1:10" ht="15.75" customHeight="1" x14ac:dyDescent="0.25">
      <c r="A1182" s="380">
        <v>25500501</v>
      </c>
      <c r="B1182" s="381" t="s">
        <v>321</v>
      </c>
      <c r="C1182" s="381" t="s">
        <v>1261</v>
      </c>
      <c r="D1182" s="381" t="s">
        <v>404</v>
      </c>
      <c r="E1182" s="381" t="s">
        <v>1230</v>
      </c>
      <c r="F1182" s="378">
        <v>-168</v>
      </c>
      <c r="G1182" s="378">
        <v>0</v>
      </c>
      <c r="H1182" s="378">
        <v>1312</v>
      </c>
      <c r="I1182" s="378">
        <v>-1480</v>
      </c>
      <c r="J1182" s="2">
        <f t="shared" si="20"/>
        <v>8</v>
      </c>
    </row>
    <row r="1183" spans="1:10" ht="15.75" customHeight="1" x14ac:dyDescent="0.25">
      <c r="A1183" s="380">
        <v>25500501</v>
      </c>
      <c r="B1183" s="381" t="s">
        <v>321</v>
      </c>
      <c r="C1183" s="381" t="s">
        <v>1261</v>
      </c>
      <c r="D1183" s="381" t="s">
        <v>1204</v>
      </c>
      <c r="E1183" s="381" t="s">
        <v>1205</v>
      </c>
      <c r="F1183" s="378">
        <v>-57</v>
      </c>
      <c r="G1183" s="378">
        <v>0</v>
      </c>
      <c r="H1183" s="378">
        <v>77</v>
      </c>
      <c r="I1183" s="378">
        <v>-134</v>
      </c>
      <c r="J1183" s="2">
        <f t="shared" si="20"/>
        <v>8</v>
      </c>
    </row>
    <row r="1184" spans="1:10" ht="15.75" customHeight="1" x14ac:dyDescent="0.25">
      <c r="A1184" s="380">
        <v>25500501</v>
      </c>
      <c r="B1184" s="381" t="s">
        <v>321</v>
      </c>
      <c r="C1184" s="381" t="s">
        <v>1261</v>
      </c>
      <c r="D1184" s="381" t="s">
        <v>1231</v>
      </c>
      <c r="E1184" s="381" t="s">
        <v>1232</v>
      </c>
      <c r="F1184" s="378">
        <v>-98</v>
      </c>
      <c r="G1184" s="378">
        <v>0</v>
      </c>
      <c r="H1184" s="378">
        <v>0</v>
      </c>
      <c r="I1184" s="378">
        <v>-98</v>
      </c>
      <c r="J1184" s="2">
        <f t="shared" si="20"/>
        <v>8</v>
      </c>
    </row>
    <row r="1185" spans="1:10" ht="15.75" customHeight="1" x14ac:dyDescent="0.25">
      <c r="A1185" s="380">
        <v>25500501</v>
      </c>
      <c r="B1185" s="381" t="s">
        <v>321</v>
      </c>
      <c r="C1185" s="381" t="s">
        <v>1261</v>
      </c>
      <c r="D1185" s="381" t="s">
        <v>788</v>
      </c>
      <c r="E1185" s="381" t="s">
        <v>789</v>
      </c>
      <c r="F1185" s="378">
        <v>-234</v>
      </c>
      <c r="G1185" s="378">
        <v>0</v>
      </c>
      <c r="H1185" s="378">
        <v>75</v>
      </c>
      <c r="I1185" s="378">
        <v>-309</v>
      </c>
      <c r="J1185" s="2">
        <f t="shared" si="20"/>
        <v>8</v>
      </c>
    </row>
    <row r="1186" spans="1:10" ht="15.75" customHeight="1" x14ac:dyDescent="0.25">
      <c r="A1186" s="380">
        <v>25500501</v>
      </c>
      <c r="B1186" s="381" t="s">
        <v>321</v>
      </c>
      <c r="C1186" s="381" t="s">
        <v>1261</v>
      </c>
      <c r="D1186" s="381" t="s">
        <v>1206</v>
      </c>
      <c r="E1186" s="381" t="s">
        <v>1207</v>
      </c>
      <c r="F1186" s="378">
        <v>-262</v>
      </c>
      <c r="G1186" s="378">
        <v>0</v>
      </c>
      <c r="H1186" s="378">
        <v>53</v>
      </c>
      <c r="I1186" s="378">
        <v>-315</v>
      </c>
      <c r="J1186" s="2">
        <f t="shared" si="20"/>
        <v>8</v>
      </c>
    </row>
    <row r="1187" spans="1:10" ht="15.75" customHeight="1" x14ac:dyDescent="0.25">
      <c r="A1187" s="380">
        <v>25500501</v>
      </c>
      <c r="B1187" s="381" t="s">
        <v>321</v>
      </c>
      <c r="C1187" s="381" t="s">
        <v>1261</v>
      </c>
      <c r="D1187" s="381" t="s">
        <v>1088</v>
      </c>
      <c r="E1187" s="381" t="s">
        <v>1089</v>
      </c>
      <c r="F1187" s="378">
        <v>-157</v>
      </c>
      <c r="G1187" s="378">
        <v>0</v>
      </c>
      <c r="H1187" s="378">
        <v>71</v>
      </c>
      <c r="I1187" s="378">
        <v>-228</v>
      </c>
      <c r="J1187" s="2">
        <f t="shared" si="20"/>
        <v>8</v>
      </c>
    </row>
    <row r="1188" spans="1:10" ht="15.75" customHeight="1" x14ac:dyDescent="0.25">
      <c r="A1188" s="380">
        <v>25500501</v>
      </c>
      <c r="B1188" s="381" t="s">
        <v>321</v>
      </c>
      <c r="C1188" s="381" t="s">
        <v>1261</v>
      </c>
      <c r="D1188" s="381" t="s">
        <v>776</v>
      </c>
      <c r="E1188" s="381" t="s">
        <v>777</v>
      </c>
      <c r="F1188" s="378">
        <v>-231</v>
      </c>
      <c r="G1188" s="378">
        <v>0</v>
      </c>
      <c r="H1188" s="378">
        <v>70</v>
      </c>
      <c r="I1188" s="378">
        <v>-301</v>
      </c>
      <c r="J1188" s="2">
        <f t="shared" si="20"/>
        <v>8</v>
      </c>
    </row>
    <row r="1189" spans="1:10" ht="15.75" customHeight="1" x14ac:dyDescent="0.25">
      <c r="A1189" s="380">
        <v>25500501</v>
      </c>
      <c r="B1189" s="381" t="s">
        <v>321</v>
      </c>
      <c r="C1189" s="381" t="s">
        <v>1261</v>
      </c>
      <c r="D1189" s="381" t="s">
        <v>790</v>
      </c>
      <c r="E1189" s="381" t="s">
        <v>791</v>
      </c>
      <c r="F1189" s="378">
        <v>-325</v>
      </c>
      <c r="G1189" s="378">
        <v>0</v>
      </c>
      <c r="H1189" s="378">
        <v>26</v>
      </c>
      <c r="I1189" s="378">
        <v>-351</v>
      </c>
      <c r="J1189" s="2">
        <f t="shared" si="20"/>
        <v>8</v>
      </c>
    </row>
    <row r="1190" spans="1:10" ht="15.75" customHeight="1" x14ac:dyDescent="0.25">
      <c r="A1190" s="380">
        <v>25500501</v>
      </c>
      <c r="B1190" s="381" t="s">
        <v>321</v>
      </c>
      <c r="C1190" s="381" t="s">
        <v>1261</v>
      </c>
      <c r="D1190" s="381" t="s">
        <v>1233</v>
      </c>
      <c r="E1190" s="381" t="s">
        <v>1234</v>
      </c>
      <c r="F1190" s="378">
        <v>5111</v>
      </c>
      <c r="G1190" s="378">
        <v>0</v>
      </c>
      <c r="H1190" s="378">
        <v>0</v>
      </c>
      <c r="I1190" s="378">
        <v>5111</v>
      </c>
      <c r="J1190" s="2">
        <f t="shared" si="20"/>
        <v>8</v>
      </c>
    </row>
    <row r="1191" spans="1:10" ht="15.75" customHeight="1" x14ac:dyDescent="0.25">
      <c r="A1191" s="380">
        <v>25500501</v>
      </c>
      <c r="B1191" s="381" t="s">
        <v>321</v>
      </c>
      <c r="C1191" s="381" t="s">
        <v>1261</v>
      </c>
      <c r="D1191" s="381" t="s">
        <v>1235</v>
      </c>
      <c r="E1191" s="381" t="s">
        <v>1236</v>
      </c>
      <c r="F1191" s="378">
        <v>-30</v>
      </c>
      <c r="G1191" s="378">
        <v>0</v>
      </c>
      <c r="H1191" s="378">
        <v>0</v>
      </c>
      <c r="I1191" s="378">
        <v>-30</v>
      </c>
      <c r="J1191" s="2">
        <f t="shared" si="20"/>
        <v>8</v>
      </c>
    </row>
    <row r="1192" spans="1:10" ht="15.75" customHeight="1" x14ac:dyDescent="0.25">
      <c r="A1192" s="380">
        <v>25500501</v>
      </c>
      <c r="B1192" s="381" t="s">
        <v>321</v>
      </c>
      <c r="C1192" s="381" t="s">
        <v>1261</v>
      </c>
      <c r="D1192" s="381" t="s">
        <v>1208</v>
      </c>
      <c r="E1192" s="381" t="s">
        <v>1209</v>
      </c>
      <c r="F1192" s="378">
        <v>-277</v>
      </c>
      <c r="G1192" s="378">
        <v>0</v>
      </c>
      <c r="H1192" s="378">
        <v>86</v>
      </c>
      <c r="I1192" s="378">
        <v>-363</v>
      </c>
      <c r="J1192" s="2">
        <f t="shared" si="20"/>
        <v>8</v>
      </c>
    </row>
    <row r="1193" spans="1:10" ht="15.75" customHeight="1" x14ac:dyDescent="0.25">
      <c r="A1193" s="380">
        <v>25500501</v>
      </c>
      <c r="B1193" s="381" t="s">
        <v>321</v>
      </c>
      <c r="C1193" s="381" t="s">
        <v>1261</v>
      </c>
      <c r="D1193" s="381" t="s">
        <v>1237</v>
      </c>
      <c r="E1193" s="381" t="s">
        <v>1238</v>
      </c>
      <c r="F1193" s="378">
        <v>-98</v>
      </c>
      <c r="G1193" s="378">
        <v>0</v>
      </c>
      <c r="H1193" s="378">
        <v>6</v>
      </c>
      <c r="I1193" s="378">
        <v>-104</v>
      </c>
      <c r="J1193" s="2">
        <f t="shared" si="20"/>
        <v>8</v>
      </c>
    </row>
    <row r="1194" spans="1:10" ht="15.75" customHeight="1" x14ac:dyDescent="0.25">
      <c r="A1194" s="380">
        <v>25500501</v>
      </c>
      <c r="B1194" s="381" t="s">
        <v>321</v>
      </c>
      <c r="C1194" s="381" t="s">
        <v>1261</v>
      </c>
      <c r="D1194" s="381" t="s">
        <v>1239</v>
      </c>
      <c r="E1194" s="381" t="s">
        <v>1240</v>
      </c>
      <c r="F1194" s="378">
        <v>-248</v>
      </c>
      <c r="G1194" s="378">
        <v>0</v>
      </c>
      <c r="H1194" s="378">
        <v>0</v>
      </c>
      <c r="I1194" s="378">
        <v>-248</v>
      </c>
      <c r="J1194" s="2">
        <f t="shared" si="20"/>
        <v>8</v>
      </c>
    </row>
    <row r="1195" spans="1:10" ht="15.75" customHeight="1" x14ac:dyDescent="0.25">
      <c r="A1195" s="380">
        <v>25500501</v>
      </c>
      <c r="B1195" s="381" t="s">
        <v>321</v>
      </c>
      <c r="C1195" s="381" t="s">
        <v>1261</v>
      </c>
      <c r="D1195" s="381" t="s">
        <v>1248</v>
      </c>
      <c r="E1195" s="381" t="s">
        <v>1249</v>
      </c>
      <c r="F1195" s="378">
        <v>-84</v>
      </c>
      <c r="G1195" s="378">
        <v>0</v>
      </c>
      <c r="H1195" s="378">
        <v>0</v>
      </c>
      <c r="I1195" s="378">
        <v>-84</v>
      </c>
      <c r="J1195" s="2">
        <f t="shared" si="20"/>
        <v>8</v>
      </c>
    </row>
    <row r="1196" spans="1:10" ht="15.75" customHeight="1" x14ac:dyDescent="0.25">
      <c r="A1196" s="380">
        <v>25500501</v>
      </c>
      <c r="B1196" s="381" t="s">
        <v>321</v>
      </c>
      <c r="C1196" s="381" t="s">
        <v>1261</v>
      </c>
      <c r="D1196" s="381" t="s">
        <v>1210</v>
      </c>
      <c r="E1196" s="381" t="s">
        <v>1211</v>
      </c>
      <c r="F1196" s="378">
        <v>-251</v>
      </c>
      <c r="G1196" s="378">
        <v>0</v>
      </c>
      <c r="H1196" s="378">
        <v>83</v>
      </c>
      <c r="I1196" s="378">
        <v>-334</v>
      </c>
      <c r="J1196" s="2">
        <f t="shared" si="20"/>
        <v>8</v>
      </c>
    </row>
    <row r="1197" spans="1:10" ht="15.75" customHeight="1" x14ac:dyDescent="0.25">
      <c r="A1197" s="380">
        <v>25500501</v>
      </c>
      <c r="B1197" s="381" t="s">
        <v>321</v>
      </c>
      <c r="C1197" s="381" t="s">
        <v>1261</v>
      </c>
      <c r="D1197" s="381" t="s">
        <v>1090</v>
      </c>
      <c r="E1197" s="381" t="s">
        <v>1091</v>
      </c>
      <c r="F1197" s="378">
        <v>-185</v>
      </c>
      <c r="G1197" s="378">
        <v>0</v>
      </c>
      <c r="H1197" s="378">
        <v>3</v>
      </c>
      <c r="I1197" s="378">
        <v>-188</v>
      </c>
      <c r="J1197" s="2">
        <f t="shared" si="20"/>
        <v>8</v>
      </c>
    </row>
    <row r="1198" spans="1:10" ht="15.75" customHeight="1" x14ac:dyDescent="0.25">
      <c r="A1198" s="380">
        <v>25500501</v>
      </c>
      <c r="B1198" s="381" t="s">
        <v>321</v>
      </c>
      <c r="C1198" s="381" t="s">
        <v>1261</v>
      </c>
      <c r="D1198" s="381" t="s">
        <v>1241</v>
      </c>
      <c r="E1198" s="381" t="s">
        <v>1242</v>
      </c>
      <c r="F1198" s="378">
        <v>-1292</v>
      </c>
      <c r="G1198" s="378">
        <v>0</v>
      </c>
      <c r="H1198" s="378">
        <v>89</v>
      </c>
      <c r="I1198" s="378">
        <v>-1381</v>
      </c>
      <c r="J1198" s="2">
        <f t="shared" si="20"/>
        <v>8</v>
      </c>
    </row>
    <row r="1199" spans="1:10" ht="15.75" customHeight="1" x14ac:dyDescent="0.25">
      <c r="A1199" s="380">
        <v>25500501</v>
      </c>
      <c r="B1199" s="381" t="s">
        <v>321</v>
      </c>
      <c r="C1199" s="381" t="s">
        <v>1261</v>
      </c>
      <c r="D1199" s="381" t="s">
        <v>792</v>
      </c>
      <c r="E1199" s="381" t="s">
        <v>793</v>
      </c>
      <c r="F1199" s="378">
        <v>-366</v>
      </c>
      <c r="G1199" s="378">
        <v>0</v>
      </c>
      <c r="H1199" s="378">
        <v>62</v>
      </c>
      <c r="I1199" s="378">
        <v>-428</v>
      </c>
      <c r="J1199" s="2">
        <f t="shared" si="20"/>
        <v>8</v>
      </c>
    </row>
    <row r="1200" spans="1:10" ht="15.75" customHeight="1" x14ac:dyDescent="0.25">
      <c r="A1200" s="380">
        <v>25500501</v>
      </c>
      <c r="B1200" s="381" t="s">
        <v>321</v>
      </c>
      <c r="C1200" s="381" t="s">
        <v>1261</v>
      </c>
      <c r="D1200" s="381" t="s">
        <v>794</v>
      </c>
      <c r="E1200" s="381" t="s">
        <v>795</v>
      </c>
      <c r="F1200" s="378">
        <v>-281</v>
      </c>
      <c r="G1200" s="378">
        <v>0</v>
      </c>
      <c r="H1200" s="378">
        <v>83</v>
      </c>
      <c r="I1200" s="378">
        <v>-364</v>
      </c>
      <c r="J1200" s="2">
        <f t="shared" si="20"/>
        <v>8</v>
      </c>
    </row>
    <row r="1201" spans="1:10" ht="15.75" customHeight="1" x14ac:dyDescent="0.25">
      <c r="A1201" s="380">
        <v>25500501</v>
      </c>
      <c r="B1201" s="381" t="s">
        <v>321</v>
      </c>
      <c r="C1201" s="381" t="s">
        <v>1261</v>
      </c>
      <c r="D1201" s="381" t="s">
        <v>1212</v>
      </c>
      <c r="E1201" s="381" t="s">
        <v>1213</v>
      </c>
      <c r="F1201" s="378">
        <v>0</v>
      </c>
      <c r="G1201" s="378">
        <v>0</v>
      </c>
      <c r="H1201" s="378">
        <v>44</v>
      </c>
      <c r="I1201" s="378">
        <v>-44</v>
      </c>
      <c r="J1201" s="2">
        <f t="shared" si="20"/>
        <v>8</v>
      </c>
    </row>
    <row r="1202" spans="1:10" ht="15.75" customHeight="1" x14ac:dyDescent="0.25">
      <c r="A1202" s="380">
        <v>25500501</v>
      </c>
      <c r="B1202" s="381" t="s">
        <v>321</v>
      </c>
      <c r="C1202" s="381" t="s">
        <v>1261</v>
      </c>
      <c r="D1202" s="381" t="s">
        <v>1092</v>
      </c>
      <c r="E1202" s="381" t="s">
        <v>1093</v>
      </c>
      <c r="F1202" s="378">
        <v>-380</v>
      </c>
      <c r="G1202" s="378">
        <v>0</v>
      </c>
      <c r="H1202" s="378">
        <v>99</v>
      </c>
      <c r="I1202" s="378">
        <v>-479</v>
      </c>
      <c r="J1202" s="2">
        <f t="shared" si="20"/>
        <v>8</v>
      </c>
    </row>
    <row r="1203" spans="1:10" ht="15.75" customHeight="1" x14ac:dyDescent="0.25">
      <c r="A1203" s="380">
        <v>25500501</v>
      </c>
      <c r="B1203" s="381" t="s">
        <v>321</v>
      </c>
      <c r="C1203" s="381" t="s">
        <v>1261</v>
      </c>
      <c r="D1203" s="381" t="s">
        <v>1243</v>
      </c>
      <c r="E1203" s="381" t="s">
        <v>1244</v>
      </c>
      <c r="F1203" s="378">
        <v>-2127</v>
      </c>
      <c r="G1203" s="378">
        <v>0</v>
      </c>
      <c r="H1203" s="378">
        <v>0</v>
      </c>
      <c r="I1203" s="378">
        <v>-2127</v>
      </c>
      <c r="J1203" s="2">
        <f t="shared" si="20"/>
        <v>8</v>
      </c>
    </row>
    <row r="1204" spans="1:10" ht="15.75" customHeight="1" x14ac:dyDescent="0.25">
      <c r="A1204" s="380">
        <v>25500501</v>
      </c>
      <c r="B1204" s="381" t="s">
        <v>321</v>
      </c>
      <c r="C1204" s="381" t="s">
        <v>1261</v>
      </c>
      <c r="D1204" s="381" t="s">
        <v>1214</v>
      </c>
      <c r="E1204" s="381" t="s">
        <v>1489</v>
      </c>
      <c r="F1204" s="378">
        <v>-428</v>
      </c>
      <c r="G1204" s="378">
        <v>0</v>
      </c>
      <c r="H1204" s="378">
        <v>89</v>
      </c>
      <c r="I1204" s="378">
        <v>-517</v>
      </c>
      <c r="J1204" s="2">
        <f t="shared" si="20"/>
        <v>8</v>
      </c>
    </row>
    <row r="1205" spans="1:10" ht="15.75" customHeight="1" x14ac:dyDescent="0.25">
      <c r="A1205" s="380">
        <v>25500501</v>
      </c>
      <c r="B1205" s="381" t="s">
        <v>321</v>
      </c>
      <c r="C1205" s="381" t="s">
        <v>1261</v>
      </c>
      <c r="D1205" s="381" t="s">
        <v>1094</v>
      </c>
      <c r="E1205" s="381" t="s">
        <v>1095</v>
      </c>
      <c r="F1205" s="378">
        <v>-837</v>
      </c>
      <c r="G1205" s="378">
        <v>0</v>
      </c>
      <c r="H1205" s="378">
        <v>38</v>
      </c>
      <c r="I1205" s="378">
        <v>-875</v>
      </c>
      <c r="J1205" s="2">
        <f t="shared" si="20"/>
        <v>8</v>
      </c>
    </row>
    <row r="1206" spans="1:10" ht="15.75" customHeight="1" x14ac:dyDescent="0.25">
      <c r="A1206" s="380">
        <v>25500502</v>
      </c>
      <c r="B1206" s="381" t="s">
        <v>321</v>
      </c>
      <c r="C1206" s="381" t="s">
        <v>1264</v>
      </c>
      <c r="D1206" s="381" t="s">
        <v>315</v>
      </c>
      <c r="E1206" s="381" t="s">
        <v>315</v>
      </c>
      <c r="F1206" s="378">
        <v>11158800</v>
      </c>
      <c r="G1206" s="378">
        <v>2744500</v>
      </c>
      <c r="H1206" s="378">
        <v>0</v>
      </c>
      <c r="I1206" s="378">
        <v>13903300</v>
      </c>
      <c r="J1206" s="2">
        <f t="shared" si="20"/>
        <v>8</v>
      </c>
    </row>
    <row r="1207" spans="1:10" ht="15.75" customHeight="1" x14ac:dyDescent="0.25">
      <c r="A1207" s="380">
        <v>25500502</v>
      </c>
      <c r="B1207" s="381" t="s">
        <v>321</v>
      </c>
      <c r="C1207" s="381" t="s">
        <v>1264</v>
      </c>
      <c r="D1207" s="381" t="s">
        <v>452</v>
      </c>
      <c r="E1207" s="381" t="s">
        <v>453</v>
      </c>
      <c r="F1207" s="378">
        <v>6292900</v>
      </c>
      <c r="G1207" s="378">
        <v>1453100</v>
      </c>
      <c r="H1207" s="378">
        <v>0</v>
      </c>
      <c r="I1207" s="378">
        <v>7746000</v>
      </c>
      <c r="J1207" s="2">
        <f t="shared" si="20"/>
        <v>8</v>
      </c>
    </row>
    <row r="1208" spans="1:10" ht="15.75" customHeight="1" x14ac:dyDescent="0.25">
      <c r="A1208" s="380">
        <v>25500502</v>
      </c>
      <c r="B1208" s="381" t="s">
        <v>321</v>
      </c>
      <c r="C1208" s="381" t="s">
        <v>1264</v>
      </c>
      <c r="D1208" s="381" t="s">
        <v>454</v>
      </c>
      <c r="E1208" s="381" t="s">
        <v>455</v>
      </c>
      <c r="F1208" s="378">
        <v>2812100</v>
      </c>
      <c r="G1208" s="378">
        <v>678800</v>
      </c>
      <c r="H1208" s="378">
        <v>0</v>
      </c>
      <c r="I1208" s="378">
        <v>3490900</v>
      </c>
      <c r="J1208" s="2">
        <f t="shared" si="20"/>
        <v>8</v>
      </c>
    </row>
    <row r="1209" spans="1:10" ht="15.75" customHeight="1" x14ac:dyDescent="0.25">
      <c r="A1209" s="380">
        <v>25500502</v>
      </c>
      <c r="B1209" s="381" t="s">
        <v>321</v>
      </c>
      <c r="C1209" s="381" t="s">
        <v>1264</v>
      </c>
      <c r="D1209" s="381" t="s">
        <v>456</v>
      </c>
      <c r="E1209" s="381" t="s">
        <v>1262</v>
      </c>
      <c r="F1209" s="378">
        <v>839700</v>
      </c>
      <c r="G1209" s="378">
        <v>234700</v>
      </c>
      <c r="H1209" s="378">
        <v>0</v>
      </c>
      <c r="I1209" s="378">
        <v>1074400</v>
      </c>
      <c r="J1209" s="2">
        <f t="shared" si="20"/>
        <v>8</v>
      </c>
    </row>
    <row r="1210" spans="1:10" ht="15.75" customHeight="1" x14ac:dyDescent="0.25">
      <c r="A1210" s="380">
        <v>25500502</v>
      </c>
      <c r="B1210" s="381" t="s">
        <v>321</v>
      </c>
      <c r="C1210" s="381" t="s">
        <v>1264</v>
      </c>
      <c r="D1210" s="381" t="s">
        <v>676</v>
      </c>
      <c r="E1210" s="381" t="s">
        <v>1263</v>
      </c>
      <c r="F1210" s="378">
        <v>393700</v>
      </c>
      <c r="G1210" s="378">
        <v>83700</v>
      </c>
      <c r="H1210" s="378">
        <v>0</v>
      </c>
      <c r="I1210" s="378">
        <v>477400</v>
      </c>
      <c r="J1210" s="2">
        <f t="shared" si="20"/>
        <v>8</v>
      </c>
    </row>
    <row r="1211" spans="1:10" ht="15.75" customHeight="1" x14ac:dyDescent="0.25">
      <c r="A1211" s="380">
        <v>25500502</v>
      </c>
      <c r="B1211" s="381" t="s">
        <v>321</v>
      </c>
      <c r="C1211" s="381" t="s">
        <v>1264</v>
      </c>
      <c r="D1211" s="381" t="s">
        <v>652</v>
      </c>
      <c r="E1211" s="381" t="s">
        <v>653</v>
      </c>
      <c r="F1211" s="378">
        <v>820400</v>
      </c>
      <c r="G1211" s="378">
        <v>294200</v>
      </c>
      <c r="H1211" s="378">
        <v>0</v>
      </c>
      <c r="I1211" s="378">
        <v>1114600</v>
      </c>
      <c r="J1211" s="2">
        <f t="shared" si="20"/>
        <v>8</v>
      </c>
    </row>
    <row r="1212" spans="1:10" ht="15.75" customHeight="1" x14ac:dyDescent="0.25">
      <c r="A1212" s="380">
        <v>25500503</v>
      </c>
      <c r="B1212" s="381" t="s">
        <v>315</v>
      </c>
      <c r="C1212" s="381" t="s">
        <v>1265</v>
      </c>
      <c r="D1212" s="381" t="s">
        <v>315</v>
      </c>
      <c r="E1212" s="381" t="s">
        <v>315</v>
      </c>
      <c r="F1212" s="378">
        <v>-11952815</v>
      </c>
      <c r="G1212" s="378">
        <v>0</v>
      </c>
      <c r="H1212" s="378">
        <v>2541171</v>
      </c>
      <c r="I1212" s="378">
        <v>-14493986</v>
      </c>
      <c r="J1212" s="2">
        <f t="shared" si="20"/>
        <v>8</v>
      </c>
    </row>
    <row r="1213" spans="1:10" ht="15.75" customHeight="1" x14ac:dyDescent="0.25">
      <c r="A1213" s="380">
        <v>25500503</v>
      </c>
      <c r="B1213" s="381" t="s">
        <v>315</v>
      </c>
      <c r="C1213" s="381" t="s">
        <v>1265</v>
      </c>
      <c r="D1213" s="381" t="s">
        <v>1246</v>
      </c>
      <c r="E1213" s="381" t="s">
        <v>1247</v>
      </c>
      <c r="F1213" s="378">
        <v>-928</v>
      </c>
      <c r="G1213" s="378">
        <v>0</v>
      </c>
      <c r="H1213" s="378">
        <v>0</v>
      </c>
      <c r="I1213" s="378">
        <v>-928</v>
      </c>
      <c r="J1213" s="2">
        <f t="shared" si="20"/>
        <v>8</v>
      </c>
    </row>
    <row r="1214" spans="1:10" ht="15.75" customHeight="1" x14ac:dyDescent="0.25">
      <c r="A1214" s="380">
        <v>25500503</v>
      </c>
      <c r="B1214" s="381" t="s">
        <v>315</v>
      </c>
      <c r="C1214" s="381" t="s">
        <v>1265</v>
      </c>
      <c r="D1214" s="381" t="s">
        <v>1194</v>
      </c>
      <c r="E1214" s="381" t="s">
        <v>1195</v>
      </c>
      <c r="F1214" s="378">
        <v>-376397</v>
      </c>
      <c r="G1214" s="378">
        <v>0</v>
      </c>
      <c r="H1214" s="378">
        <v>77770</v>
      </c>
      <c r="I1214" s="378">
        <v>-454167</v>
      </c>
      <c r="J1214" s="2">
        <f t="shared" si="20"/>
        <v>8</v>
      </c>
    </row>
    <row r="1215" spans="1:10" ht="15.75" customHeight="1" x14ac:dyDescent="0.25">
      <c r="A1215" s="380">
        <v>25500503</v>
      </c>
      <c r="B1215" s="381" t="s">
        <v>315</v>
      </c>
      <c r="C1215" s="381" t="s">
        <v>1265</v>
      </c>
      <c r="D1215" s="381" t="s">
        <v>779</v>
      </c>
      <c r="E1215" s="381" t="s">
        <v>780</v>
      </c>
      <c r="F1215" s="378">
        <v>-89588</v>
      </c>
      <c r="G1215" s="378">
        <v>0</v>
      </c>
      <c r="H1215" s="378">
        <v>95403</v>
      </c>
      <c r="I1215" s="378">
        <v>-184991</v>
      </c>
      <c r="J1215" s="2">
        <f t="shared" si="20"/>
        <v>8</v>
      </c>
    </row>
    <row r="1216" spans="1:10" ht="15.75" customHeight="1" x14ac:dyDescent="0.25">
      <c r="A1216" s="380">
        <v>25500503</v>
      </c>
      <c r="B1216" s="381" t="s">
        <v>315</v>
      </c>
      <c r="C1216" s="381" t="s">
        <v>1265</v>
      </c>
      <c r="D1216" s="381" t="s">
        <v>1219</v>
      </c>
      <c r="E1216" s="381" t="s">
        <v>1220</v>
      </c>
      <c r="F1216" s="378">
        <v>-40233</v>
      </c>
      <c r="G1216" s="378">
        <v>0</v>
      </c>
      <c r="H1216" s="378">
        <v>0</v>
      </c>
      <c r="I1216" s="378">
        <v>-40233</v>
      </c>
      <c r="J1216" s="2">
        <f t="shared" si="20"/>
        <v>8</v>
      </c>
    </row>
    <row r="1217" spans="1:10" ht="15.75" customHeight="1" x14ac:dyDescent="0.25">
      <c r="A1217" s="380">
        <v>25500503</v>
      </c>
      <c r="B1217" s="381" t="s">
        <v>315</v>
      </c>
      <c r="C1217" s="381" t="s">
        <v>1265</v>
      </c>
      <c r="D1217" s="381" t="s">
        <v>774</v>
      </c>
      <c r="E1217" s="381" t="s">
        <v>775</v>
      </c>
      <c r="F1217" s="378">
        <v>-328215</v>
      </c>
      <c r="G1217" s="378">
        <v>0</v>
      </c>
      <c r="H1217" s="378">
        <v>57683</v>
      </c>
      <c r="I1217" s="378">
        <v>-385898</v>
      </c>
      <c r="J1217" s="2">
        <f t="shared" si="20"/>
        <v>8</v>
      </c>
    </row>
    <row r="1218" spans="1:10" ht="15.75" customHeight="1" x14ac:dyDescent="0.25">
      <c r="A1218" s="380">
        <v>25500503</v>
      </c>
      <c r="B1218" s="381" t="s">
        <v>315</v>
      </c>
      <c r="C1218" s="381" t="s">
        <v>1265</v>
      </c>
      <c r="D1218" s="381" t="s">
        <v>1196</v>
      </c>
      <c r="E1218" s="381" t="s">
        <v>1197</v>
      </c>
      <c r="F1218" s="378">
        <v>-383985</v>
      </c>
      <c r="G1218" s="378">
        <v>0</v>
      </c>
      <c r="H1218" s="378">
        <v>66754</v>
      </c>
      <c r="I1218" s="378">
        <v>-450739</v>
      </c>
      <c r="J1218" s="2">
        <f t="shared" si="20"/>
        <v>8</v>
      </c>
    </row>
    <row r="1219" spans="1:10" ht="15.75" customHeight="1" x14ac:dyDescent="0.25">
      <c r="A1219" s="380">
        <v>25500503</v>
      </c>
      <c r="B1219" s="381" t="s">
        <v>315</v>
      </c>
      <c r="C1219" s="381" t="s">
        <v>1265</v>
      </c>
      <c r="D1219" s="381" t="s">
        <v>1078</v>
      </c>
      <c r="E1219" s="381" t="s">
        <v>1079</v>
      </c>
      <c r="F1219" s="378">
        <v>-772000</v>
      </c>
      <c r="G1219" s="378">
        <v>0</v>
      </c>
      <c r="H1219" s="378">
        <v>210000</v>
      </c>
      <c r="I1219" s="378">
        <v>-982000</v>
      </c>
      <c r="J1219" s="2">
        <f t="shared" si="20"/>
        <v>8</v>
      </c>
    </row>
    <row r="1220" spans="1:10" ht="15.75" customHeight="1" x14ac:dyDescent="0.25">
      <c r="A1220" s="380">
        <v>25500503</v>
      </c>
      <c r="B1220" s="381" t="s">
        <v>315</v>
      </c>
      <c r="C1220" s="381" t="s">
        <v>1265</v>
      </c>
      <c r="D1220" s="381" t="s">
        <v>781</v>
      </c>
      <c r="E1220" s="381" t="s">
        <v>782</v>
      </c>
      <c r="F1220" s="378">
        <v>-433856</v>
      </c>
      <c r="G1220" s="378">
        <v>0</v>
      </c>
      <c r="H1220" s="378">
        <v>87511</v>
      </c>
      <c r="I1220" s="378">
        <v>-521367</v>
      </c>
      <c r="J1220" s="2">
        <f t="shared" si="20"/>
        <v>8</v>
      </c>
    </row>
    <row r="1221" spans="1:10" ht="15.75" customHeight="1" x14ac:dyDescent="0.25">
      <c r="A1221" s="380">
        <v>25500503</v>
      </c>
      <c r="B1221" s="381" t="s">
        <v>315</v>
      </c>
      <c r="C1221" s="381" t="s">
        <v>1265</v>
      </c>
      <c r="D1221" s="381" t="s">
        <v>728</v>
      </c>
      <c r="E1221" s="381" t="s">
        <v>729</v>
      </c>
      <c r="F1221" s="378">
        <v>-436049</v>
      </c>
      <c r="G1221" s="378">
        <v>0</v>
      </c>
      <c r="H1221" s="378">
        <v>88919</v>
      </c>
      <c r="I1221" s="378">
        <v>-524968</v>
      </c>
      <c r="J1221" s="2">
        <f t="shared" si="20"/>
        <v>8</v>
      </c>
    </row>
    <row r="1222" spans="1:10" ht="15.75" customHeight="1" x14ac:dyDescent="0.25">
      <c r="A1222" s="380">
        <v>25500503</v>
      </c>
      <c r="B1222" s="381" t="s">
        <v>315</v>
      </c>
      <c r="C1222" s="381" t="s">
        <v>1265</v>
      </c>
      <c r="D1222" s="381" t="s">
        <v>783</v>
      </c>
      <c r="E1222" s="381" t="s">
        <v>784</v>
      </c>
      <c r="F1222" s="378">
        <v>-335128</v>
      </c>
      <c r="G1222" s="378">
        <v>0</v>
      </c>
      <c r="H1222" s="378">
        <v>69910</v>
      </c>
      <c r="I1222" s="378">
        <v>-405038</v>
      </c>
      <c r="J1222" s="2">
        <f t="shared" si="20"/>
        <v>8</v>
      </c>
    </row>
    <row r="1223" spans="1:10" ht="15.75" customHeight="1" x14ac:dyDescent="0.25">
      <c r="A1223" s="380">
        <v>25500503</v>
      </c>
      <c r="B1223" s="381" t="s">
        <v>315</v>
      </c>
      <c r="C1223" s="381" t="s">
        <v>1265</v>
      </c>
      <c r="D1223" s="381" t="s">
        <v>797</v>
      </c>
      <c r="E1223" s="381" t="s">
        <v>798</v>
      </c>
      <c r="F1223" s="378">
        <v>-320616</v>
      </c>
      <c r="G1223" s="378">
        <v>0</v>
      </c>
      <c r="H1223" s="378">
        <v>60221</v>
      </c>
      <c r="I1223" s="378">
        <v>-380837</v>
      </c>
      <c r="J1223" s="2">
        <f t="shared" si="20"/>
        <v>8</v>
      </c>
    </row>
    <row r="1224" spans="1:10" ht="15.75" customHeight="1" x14ac:dyDescent="0.25">
      <c r="A1224" s="380">
        <v>25500503</v>
      </c>
      <c r="B1224" s="381" t="s">
        <v>315</v>
      </c>
      <c r="C1224" s="381" t="s">
        <v>1265</v>
      </c>
      <c r="D1224" s="381" t="s">
        <v>1221</v>
      </c>
      <c r="E1224" s="381" t="s">
        <v>1494</v>
      </c>
      <c r="F1224" s="378">
        <v>-377493</v>
      </c>
      <c r="G1224" s="378">
        <v>0</v>
      </c>
      <c r="H1224" s="378">
        <v>0</v>
      </c>
      <c r="I1224" s="378">
        <v>-377493</v>
      </c>
      <c r="J1224" s="2">
        <f t="shared" si="20"/>
        <v>8</v>
      </c>
    </row>
    <row r="1225" spans="1:10" ht="15.75" customHeight="1" x14ac:dyDescent="0.25">
      <c r="A1225" s="380">
        <v>25500503</v>
      </c>
      <c r="B1225" s="381" t="s">
        <v>315</v>
      </c>
      <c r="C1225" s="381" t="s">
        <v>1265</v>
      </c>
      <c r="D1225" s="381" t="s">
        <v>1222</v>
      </c>
      <c r="E1225" s="381" t="s">
        <v>1223</v>
      </c>
      <c r="F1225" s="378">
        <v>-59766</v>
      </c>
      <c r="G1225" s="378">
        <v>0</v>
      </c>
      <c r="H1225" s="378">
        <v>0</v>
      </c>
      <c r="I1225" s="378">
        <v>-59766</v>
      </c>
      <c r="J1225" s="2">
        <f t="shared" si="20"/>
        <v>8</v>
      </c>
    </row>
    <row r="1226" spans="1:10" ht="15" customHeight="1" x14ac:dyDescent="0.25">
      <c r="A1226" s="380">
        <v>25500503</v>
      </c>
      <c r="B1226" s="381" t="s">
        <v>315</v>
      </c>
      <c r="C1226" s="381" t="s">
        <v>1265</v>
      </c>
      <c r="D1226" s="381" t="s">
        <v>1198</v>
      </c>
      <c r="E1226" s="381" t="s">
        <v>1199</v>
      </c>
      <c r="F1226" s="378">
        <v>-88775</v>
      </c>
      <c r="G1226" s="378">
        <v>0</v>
      </c>
      <c r="H1226" s="378">
        <v>62604</v>
      </c>
      <c r="I1226" s="378">
        <v>-151379</v>
      </c>
      <c r="J1226">
        <f t="shared" si="20"/>
        <v>8</v>
      </c>
    </row>
    <row r="1227" spans="1:10" ht="15" customHeight="1" x14ac:dyDescent="0.25">
      <c r="A1227" s="380">
        <v>25500503</v>
      </c>
      <c r="B1227" s="381" t="s">
        <v>315</v>
      </c>
      <c r="C1227" s="381" t="s">
        <v>1265</v>
      </c>
      <c r="D1227" s="381" t="s">
        <v>753</v>
      </c>
      <c r="E1227" s="381" t="s">
        <v>754</v>
      </c>
      <c r="F1227" s="378">
        <v>-54635</v>
      </c>
      <c r="G1227" s="378">
        <v>0</v>
      </c>
      <c r="H1227" s="378">
        <v>0</v>
      </c>
      <c r="I1227" s="378">
        <v>-54635</v>
      </c>
      <c r="J1227">
        <f t="shared" si="20"/>
        <v>8</v>
      </c>
    </row>
    <row r="1228" spans="1:10" ht="15" customHeight="1" x14ac:dyDescent="0.25">
      <c r="A1228" s="380">
        <v>25500503</v>
      </c>
      <c r="B1228" s="381" t="s">
        <v>315</v>
      </c>
      <c r="C1228" s="381" t="s">
        <v>1265</v>
      </c>
      <c r="D1228" s="381" t="s">
        <v>1200</v>
      </c>
      <c r="E1228" s="381" t="s">
        <v>1201</v>
      </c>
      <c r="F1228" s="378">
        <v>-343131</v>
      </c>
      <c r="G1228" s="378">
        <v>0</v>
      </c>
      <c r="H1228" s="378">
        <v>72363</v>
      </c>
      <c r="I1228" s="378">
        <v>-415494</v>
      </c>
      <c r="J1228">
        <f t="shared" si="20"/>
        <v>8</v>
      </c>
    </row>
    <row r="1229" spans="1:10" ht="15" customHeight="1" x14ac:dyDescent="0.25">
      <c r="A1229" s="380">
        <v>25500503</v>
      </c>
      <c r="B1229" s="381" t="s">
        <v>315</v>
      </c>
      <c r="C1229" s="381" t="s">
        <v>1265</v>
      </c>
      <c r="D1229" s="381" t="s">
        <v>786</v>
      </c>
      <c r="E1229" s="381" t="s">
        <v>787</v>
      </c>
      <c r="F1229" s="378">
        <v>-490158</v>
      </c>
      <c r="G1229" s="378">
        <v>0</v>
      </c>
      <c r="H1229" s="378">
        <v>99184</v>
      </c>
      <c r="I1229" s="378">
        <v>-589342</v>
      </c>
      <c r="J1229">
        <f t="shared" ref="J1229:J1292" si="21">+LEN(A1229)</f>
        <v>8</v>
      </c>
    </row>
    <row r="1230" spans="1:10" ht="15" customHeight="1" x14ac:dyDescent="0.25">
      <c r="A1230" s="380">
        <v>25500503</v>
      </c>
      <c r="B1230" s="381" t="s">
        <v>315</v>
      </c>
      <c r="C1230" s="381" t="s">
        <v>1265</v>
      </c>
      <c r="D1230" s="381" t="s">
        <v>1224</v>
      </c>
      <c r="E1230" s="381" t="s">
        <v>1225</v>
      </c>
      <c r="F1230" s="378">
        <v>-379529</v>
      </c>
      <c r="G1230" s="378">
        <v>0</v>
      </c>
      <c r="H1230" s="378">
        <v>86507</v>
      </c>
      <c r="I1230" s="378">
        <v>-466036</v>
      </c>
      <c r="J1230">
        <f t="shared" si="21"/>
        <v>8</v>
      </c>
    </row>
    <row r="1231" spans="1:10" ht="15" customHeight="1" x14ac:dyDescent="0.25">
      <c r="A1231" s="380">
        <v>25500503</v>
      </c>
      <c r="B1231" s="381" t="s">
        <v>315</v>
      </c>
      <c r="C1231" s="381" t="s">
        <v>1265</v>
      </c>
      <c r="D1231" s="381" t="s">
        <v>1226</v>
      </c>
      <c r="E1231" s="381" t="s">
        <v>1227</v>
      </c>
      <c r="F1231" s="378">
        <v>-18281</v>
      </c>
      <c r="G1231" s="378">
        <v>0</v>
      </c>
      <c r="H1231" s="378">
        <v>0</v>
      </c>
      <c r="I1231" s="378">
        <v>-18281</v>
      </c>
      <c r="J1231">
        <f t="shared" si="21"/>
        <v>8</v>
      </c>
    </row>
    <row r="1232" spans="1:10" ht="15" customHeight="1" x14ac:dyDescent="0.25">
      <c r="A1232" s="380">
        <v>25500503</v>
      </c>
      <c r="B1232" s="381" t="s">
        <v>315</v>
      </c>
      <c r="C1232" s="381" t="s">
        <v>1265</v>
      </c>
      <c r="D1232" s="381" t="s">
        <v>1202</v>
      </c>
      <c r="E1232" s="381" t="s">
        <v>1203</v>
      </c>
      <c r="F1232" s="378">
        <v>-69815</v>
      </c>
      <c r="G1232" s="378">
        <v>0</v>
      </c>
      <c r="H1232" s="378">
        <v>67753</v>
      </c>
      <c r="I1232" s="378">
        <v>-137568</v>
      </c>
      <c r="J1232">
        <f t="shared" si="21"/>
        <v>8</v>
      </c>
    </row>
    <row r="1233" spans="1:10" ht="15" customHeight="1" x14ac:dyDescent="0.25">
      <c r="A1233" s="380">
        <v>25500503</v>
      </c>
      <c r="B1233" s="381" t="s">
        <v>315</v>
      </c>
      <c r="C1233" s="381" t="s">
        <v>1265</v>
      </c>
      <c r="D1233" s="381" t="s">
        <v>1228</v>
      </c>
      <c r="E1233" s="381" t="s">
        <v>1229</v>
      </c>
      <c r="F1233" s="378">
        <v>-72348</v>
      </c>
      <c r="G1233" s="378">
        <v>0</v>
      </c>
      <c r="H1233" s="378">
        <v>49500</v>
      </c>
      <c r="I1233" s="378">
        <v>-121848</v>
      </c>
      <c r="J1233">
        <f t="shared" si="21"/>
        <v>8</v>
      </c>
    </row>
    <row r="1234" spans="1:10" ht="15" customHeight="1" x14ac:dyDescent="0.25">
      <c r="A1234" s="380">
        <v>25500503</v>
      </c>
      <c r="B1234" s="381" t="s">
        <v>315</v>
      </c>
      <c r="C1234" s="381" t="s">
        <v>1265</v>
      </c>
      <c r="D1234" s="381" t="s">
        <v>1086</v>
      </c>
      <c r="E1234" s="381" t="s">
        <v>1087</v>
      </c>
      <c r="F1234" s="378">
        <v>-357894</v>
      </c>
      <c r="G1234" s="378">
        <v>0</v>
      </c>
      <c r="H1234" s="378">
        <v>68055</v>
      </c>
      <c r="I1234" s="378">
        <v>-425949</v>
      </c>
      <c r="J1234">
        <f t="shared" si="21"/>
        <v>8</v>
      </c>
    </row>
    <row r="1235" spans="1:10" ht="15" customHeight="1" x14ac:dyDescent="0.25">
      <c r="A1235" s="380">
        <v>25500503</v>
      </c>
      <c r="B1235" s="381" t="s">
        <v>315</v>
      </c>
      <c r="C1235" s="381" t="s">
        <v>1265</v>
      </c>
      <c r="D1235" s="381" t="s">
        <v>404</v>
      </c>
      <c r="E1235" s="381" t="s">
        <v>1230</v>
      </c>
      <c r="F1235" s="378">
        <v>-126532</v>
      </c>
      <c r="G1235" s="378">
        <v>0</v>
      </c>
      <c r="H1235" s="378">
        <v>63288</v>
      </c>
      <c r="I1235" s="378">
        <v>-189820</v>
      </c>
      <c r="J1235">
        <f t="shared" si="21"/>
        <v>8</v>
      </c>
    </row>
    <row r="1236" spans="1:10" ht="15" customHeight="1" x14ac:dyDescent="0.25">
      <c r="A1236" s="380">
        <v>25500503</v>
      </c>
      <c r="B1236" s="381" t="s">
        <v>315</v>
      </c>
      <c r="C1236" s="381" t="s">
        <v>1265</v>
      </c>
      <c r="D1236" s="381" t="s">
        <v>1204</v>
      </c>
      <c r="E1236" s="381" t="s">
        <v>1205</v>
      </c>
      <c r="F1236" s="378">
        <v>-79243</v>
      </c>
      <c r="G1236" s="378">
        <v>0</v>
      </c>
      <c r="H1236" s="378">
        <v>61923</v>
      </c>
      <c r="I1236" s="378">
        <v>-141166</v>
      </c>
      <c r="J1236">
        <f t="shared" si="21"/>
        <v>8</v>
      </c>
    </row>
    <row r="1237" spans="1:10" ht="15" customHeight="1" x14ac:dyDescent="0.25">
      <c r="A1237" s="380">
        <v>25500503</v>
      </c>
      <c r="B1237" s="381" t="s">
        <v>315</v>
      </c>
      <c r="C1237" s="381" t="s">
        <v>1265</v>
      </c>
      <c r="D1237" s="381" t="s">
        <v>1231</v>
      </c>
      <c r="E1237" s="381" t="s">
        <v>1232</v>
      </c>
      <c r="F1237" s="378">
        <v>-65702</v>
      </c>
      <c r="G1237" s="378">
        <v>0</v>
      </c>
      <c r="H1237" s="378">
        <v>0</v>
      </c>
      <c r="I1237" s="378">
        <v>-65702</v>
      </c>
      <c r="J1237">
        <f t="shared" si="21"/>
        <v>8</v>
      </c>
    </row>
    <row r="1238" spans="1:10" ht="15" customHeight="1" x14ac:dyDescent="0.25">
      <c r="A1238" s="380">
        <v>25500503</v>
      </c>
      <c r="B1238" s="381" t="s">
        <v>315</v>
      </c>
      <c r="C1238" s="381" t="s">
        <v>1265</v>
      </c>
      <c r="D1238" s="381" t="s">
        <v>788</v>
      </c>
      <c r="E1238" s="381" t="s">
        <v>789</v>
      </c>
      <c r="F1238" s="378">
        <v>-578066</v>
      </c>
      <c r="G1238" s="378">
        <v>0</v>
      </c>
      <c r="H1238" s="378">
        <v>114625</v>
      </c>
      <c r="I1238" s="378">
        <v>-692691</v>
      </c>
      <c r="J1238">
        <f t="shared" si="21"/>
        <v>8</v>
      </c>
    </row>
    <row r="1239" spans="1:10" ht="15" customHeight="1" x14ac:dyDescent="0.25">
      <c r="A1239" s="380">
        <v>25500503</v>
      </c>
      <c r="B1239" s="381" t="s">
        <v>315</v>
      </c>
      <c r="C1239" s="381" t="s">
        <v>1265</v>
      </c>
      <c r="D1239" s="381" t="s">
        <v>1206</v>
      </c>
      <c r="E1239" s="381" t="s">
        <v>1207</v>
      </c>
      <c r="F1239" s="378">
        <v>-291138</v>
      </c>
      <c r="G1239" s="378">
        <v>0</v>
      </c>
      <c r="H1239" s="378">
        <v>76747</v>
      </c>
      <c r="I1239" s="378">
        <v>-367885</v>
      </c>
      <c r="J1239">
        <f t="shared" si="21"/>
        <v>8</v>
      </c>
    </row>
    <row r="1240" spans="1:10" ht="15" customHeight="1" x14ac:dyDescent="0.25">
      <c r="A1240" s="380">
        <v>25500503</v>
      </c>
      <c r="B1240" s="381" t="s">
        <v>315</v>
      </c>
      <c r="C1240" s="381" t="s">
        <v>1265</v>
      </c>
      <c r="D1240" s="381" t="s">
        <v>1088</v>
      </c>
      <c r="E1240" s="381" t="s">
        <v>1089</v>
      </c>
      <c r="F1240" s="378">
        <v>-179043</v>
      </c>
      <c r="G1240" s="378">
        <v>0</v>
      </c>
      <c r="H1240" s="378">
        <v>15329</v>
      </c>
      <c r="I1240" s="378">
        <v>-194372</v>
      </c>
      <c r="J1240">
        <f t="shared" si="21"/>
        <v>8</v>
      </c>
    </row>
    <row r="1241" spans="1:10" ht="15" customHeight="1" x14ac:dyDescent="0.25">
      <c r="A1241" s="380">
        <v>25500503</v>
      </c>
      <c r="B1241" s="381" t="s">
        <v>315</v>
      </c>
      <c r="C1241" s="381" t="s">
        <v>1265</v>
      </c>
      <c r="D1241" s="381" t="s">
        <v>776</v>
      </c>
      <c r="E1241" s="381" t="s">
        <v>777</v>
      </c>
      <c r="F1241" s="378">
        <v>-411369</v>
      </c>
      <c r="G1241" s="378">
        <v>0</v>
      </c>
      <c r="H1241" s="378">
        <v>55130</v>
      </c>
      <c r="I1241" s="378">
        <v>-466499</v>
      </c>
      <c r="J1241">
        <f t="shared" si="21"/>
        <v>8</v>
      </c>
    </row>
    <row r="1242" spans="1:10" ht="15" customHeight="1" x14ac:dyDescent="0.25">
      <c r="A1242" s="380">
        <v>25500503</v>
      </c>
      <c r="B1242" s="381" t="s">
        <v>315</v>
      </c>
      <c r="C1242" s="381" t="s">
        <v>1265</v>
      </c>
      <c r="D1242" s="381" t="s">
        <v>790</v>
      </c>
      <c r="E1242" s="381" t="s">
        <v>791</v>
      </c>
      <c r="F1242" s="378">
        <v>-366175</v>
      </c>
      <c r="G1242" s="378">
        <v>0</v>
      </c>
      <c r="H1242" s="378">
        <v>83474</v>
      </c>
      <c r="I1242" s="378">
        <v>-449649</v>
      </c>
      <c r="J1242">
        <f t="shared" si="21"/>
        <v>8</v>
      </c>
    </row>
    <row r="1243" spans="1:10" ht="15" customHeight="1" x14ac:dyDescent="0.25">
      <c r="A1243" s="380">
        <v>25500503</v>
      </c>
      <c r="B1243" s="381" t="s">
        <v>315</v>
      </c>
      <c r="C1243" s="381" t="s">
        <v>1265</v>
      </c>
      <c r="D1243" s="381" t="s">
        <v>1233</v>
      </c>
      <c r="E1243" s="381" t="s">
        <v>1234</v>
      </c>
      <c r="F1243" s="378">
        <v>-246411</v>
      </c>
      <c r="G1243" s="378">
        <v>0</v>
      </c>
      <c r="H1243" s="378">
        <v>0</v>
      </c>
      <c r="I1243" s="378">
        <v>-246411</v>
      </c>
      <c r="J1243">
        <f t="shared" si="21"/>
        <v>8</v>
      </c>
    </row>
    <row r="1244" spans="1:10" ht="15" customHeight="1" x14ac:dyDescent="0.25">
      <c r="A1244" s="380">
        <v>25500503</v>
      </c>
      <c r="B1244" s="381" t="s">
        <v>315</v>
      </c>
      <c r="C1244" s="381" t="s">
        <v>1265</v>
      </c>
      <c r="D1244" s="381" t="s">
        <v>1235</v>
      </c>
      <c r="E1244" s="381" t="s">
        <v>1236</v>
      </c>
      <c r="F1244" s="378">
        <v>-28470</v>
      </c>
      <c r="G1244" s="378">
        <v>0</v>
      </c>
      <c r="H1244" s="378">
        <v>0</v>
      </c>
      <c r="I1244" s="378">
        <v>-28470</v>
      </c>
      <c r="J1244">
        <f t="shared" si="21"/>
        <v>8</v>
      </c>
    </row>
    <row r="1245" spans="1:10" ht="15" customHeight="1" x14ac:dyDescent="0.25">
      <c r="A1245" s="380">
        <v>25500503</v>
      </c>
      <c r="B1245" s="381" t="s">
        <v>315</v>
      </c>
      <c r="C1245" s="381" t="s">
        <v>1265</v>
      </c>
      <c r="D1245" s="381" t="s">
        <v>1208</v>
      </c>
      <c r="E1245" s="381" t="s">
        <v>1209</v>
      </c>
      <c r="F1245" s="378">
        <v>-391323</v>
      </c>
      <c r="G1245" s="378">
        <v>0</v>
      </c>
      <c r="H1245" s="378">
        <v>70414</v>
      </c>
      <c r="I1245" s="378">
        <v>-461737</v>
      </c>
      <c r="J1245">
        <f t="shared" si="21"/>
        <v>8</v>
      </c>
    </row>
    <row r="1246" spans="1:10" ht="15" customHeight="1" x14ac:dyDescent="0.25">
      <c r="A1246" s="380">
        <v>25500503</v>
      </c>
      <c r="B1246" s="381" t="s">
        <v>315</v>
      </c>
      <c r="C1246" s="381" t="s">
        <v>1265</v>
      </c>
      <c r="D1246" s="381" t="s">
        <v>1237</v>
      </c>
      <c r="E1246" s="381" t="s">
        <v>1238</v>
      </c>
      <c r="F1246" s="378">
        <v>-93602</v>
      </c>
      <c r="G1246" s="378">
        <v>0</v>
      </c>
      <c r="H1246" s="378">
        <v>78894</v>
      </c>
      <c r="I1246" s="378">
        <v>-172496</v>
      </c>
      <c r="J1246">
        <f t="shared" si="21"/>
        <v>8</v>
      </c>
    </row>
    <row r="1247" spans="1:10" ht="15" customHeight="1" x14ac:dyDescent="0.25">
      <c r="A1247" s="380">
        <v>25500503</v>
      </c>
      <c r="B1247" s="381" t="s">
        <v>315</v>
      </c>
      <c r="C1247" s="381" t="s">
        <v>1265</v>
      </c>
      <c r="D1247" s="381" t="s">
        <v>1239</v>
      </c>
      <c r="E1247" s="381" t="s">
        <v>1240</v>
      </c>
      <c r="F1247" s="378">
        <v>-347552</v>
      </c>
      <c r="G1247" s="378">
        <v>0</v>
      </c>
      <c r="H1247" s="378">
        <v>0</v>
      </c>
      <c r="I1247" s="378">
        <v>-347552</v>
      </c>
      <c r="J1247">
        <f t="shared" si="21"/>
        <v>8</v>
      </c>
    </row>
    <row r="1248" spans="1:10" ht="15" customHeight="1" x14ac:dyDescent="0.25">
      <c r="A1248" s="380">
        <v>25500503</v>
      </c>
      <c r="B1248" s="381" t="s">
        <v>315</v>
      </c>
      <c r="C1248" s="381" t="s">
        <v>1265</v>
      </c>
      <c r="D1248" s="381" t="s">
        <v>1248</v>
      </c>
      <c r="E1248" s="381" t="s">
        <v>1249</v>
      </c>
      <c r="F1248" s="378">
        <v>-2816</v>
      </c>
      <c r="G1248" s="378">
        <v>0</v>
      </c>
      <c r="H1248" s="378">
        <v>0</v>
      </c>
      <c r="I1248" s="378">
        <v>-2816</v>
      </c>
      <c r="J1248">
        <f t="shared" si="21"/>
        <v>8</v>
      </c>
    </row>
    <row r="1249" spans="1:10" ht="15" customHeight="1" x14ac:dyDescent="0.25">
      <c r="A1249" s="380">
        <v>25500503</v>
      </c>
      <c r="B1249" s="381" t="s">
        <v>315</v>
      </c>
      <c r="C1249" s="381" t="s">
        <v>1265</v>
      </c>
      <c r="D1249" s="381" t="s">
        <v>1210</v>
      </c>
      <c r="E1249" s="381" t="s">
        <v>1211</v>
      </c>
      <c r="F1249" s="378">
        <v>-327049</v>
      </c>
      <c r="G1249" s="378">
        <v>0</v>
      </c>
      <c r="H1249" s="378">
        <v>60717</v>
      </c>
      <c r="I1249" s="378">
        <v>-387766</v>
      </c>
      <c r="J1249">
        <f t="shared" si="21"/>
        <v>8</v>
      </c>
    </row>
    <row r="1250" spans="1:10" ht="15" customHeight="1" x14ac:dyDescent="0.25">
      <c r="A1250" s="380">
        <v>25500503</v>
      </c>
      <c r="B1250" s="381" t="s">
        <v>315</v>
      </c>
      <c r="C1250" s="381" t="s">
        <v>1265</v>
      </c>
      <c r="D1250" s="381" t="s">
        <v>1090</v>
      </c>
      <c r="E1250" s="381" t="s">
        <v>1091</v>
      </c>
      <c r="F1250" s="378">
        <v>-273615</v>
      </c>
      <c r="G1250" s="378">
        <v>0</v>
      </c>
      <c r="H1250" s="378">
        <v>98997</v>
      </c>
      <c r="I1250" s="378">
        <v>-372612</v>
      </c>
      <c r="J1250">
        <f t="shared" si="21"/>
        <v>8</v>
      </c>
    </row>
    <row r="1251" spans="1:10" ht="15" customHeight="1" x14ac:dyDescent="0.25">
      <c r="A1251" s="380">
        <v>25500503</v>
      </c>
      <c r="B1251" s="381" t="s">
        <v>315</v>
      </c>
      <c r="C1251" s="381" t="s">
        <v>1265</v>
      </c>
      <c r="D1251" s="381" t="s">
        <v>1241</v>
      </c>
      <c r="E1251" s="381" t="s">
        <v>1242</v>
      </c>
      <c r="F1251" s="378">
        <v>-134608</v>
      </c>
      <c r="G1251" s="378">
        <v>0</v>
      </c>
      <c r="H1251" s="378">
        <v>66111</v>
      </c>
      <c r="I1251" s="378">
        <v>-200719</v>
      </c>
      <c r="J1251">
        <f t="shared" si="21"/>
        <v>8</v>
      </c>
    </row>
    <row r="1252" spans="1:10" ht="15" customHeight="1" x14ac:dyDescent="0.25">
      <c r="A1252" s="380">
        <v>25500503</v>
      </c>
      <c r="B1252" s="381" t="s">
        <v>315</v>
      </c>
      <c r="C1252" s="381" t="s">
        <v>1265</v>
      </c>
      <c r="D1252" s="381" t="s">
        <v>792</v>
      </c>
      <c r="E1252" s="381" t="s">
        <v>793</v>
      </c>
      <c r="F1252" s="378">
        <v>-412834</v>
      </c>
      <c r="G1252" s="378">
        <v>0</v>
      </c>
      <c r="H1252" s="378">
        <v>87438</v>
      </c>
      <c r="I1252" s="378">
        <v>-500272</v>
      </c>
      <c r="J1252">
        <f t="shared" si="21"/>
        <v>8</v>
      </c>
    </row>
    <row r="1253" spans="1:10" ht="15" customHeight="1" x14ac:dyDescent="0.25">
      <c r="A1253" s="380">
        <v>25500503</v>
      </c>
      <c r="B1253" s="381" t="s">
        <v>315</v>
      </c>
      <c r="C1253" s="381" t="s">
        <v>1265</v>
      </c>
      <c r="D1253" s="381" t="s">
        <v>794</v>
      </c>
      <c r="E1253" s="381" t="s">
        <v>795</v>
      </c>
      <c r="F1253" s="378">
        <v>-408719</v>
      </c>
      <c r="G1253" s="378">
        <v>0</v>
      </c>
      <c r="H1253" s="378">
        <v>83317</v>
      </c>
      <c r="I1253" s="378">
        <v>-492036</v>
      </c>
      <c r="J1253">
        <f t="shared" si="21"/>
        <v>8</v>
      </c>
    </row>
    <row r="1254" spans="1:10" ht="15" customHeight="1" x14ac:dyDescent="0.25">
      <c r="A1254" s="380">
        <v>25500503</v>
      </c>
      <c r="B1254" s="381" t="s">
        <v>315</v>
      </c>
      <c r="C1254" s="381" t="s">
        <v>1265</v>
      </c>
      <c r="D1254" s="381" t="s">
        <v>1212</v>
      </c>
      <c r="E1254" s="381" t="s">
        <v>1213</v>
      </c>
      <c r="F1254" s="378">
        <v>0</v>
      </c>
      <c r="G1254" s="378">
        <v>0</v>
      </c>
      <c r="H1254" s="378">
        <v>41756</v>
      </c>
      <c r="I1254" s="378">
        <v>-41756</v>
      </c>
      <c r="J1254">
        <f t="shared" si="21"/>
        <v>8</v>
      </c>
    </row>
    <row r="1255" spans="1:10" ht="15" customHeight="1" x14ac:dyDescent="0.25">
      <c r="A1255" s="380">
        <v>25500503</v>
      </c>
      <c r="B1255" s="381" t="s">
        <v>315</v>
      </c>
      <c r="C1255" s="381" t="s">
        <v>1265</v>
      </c>
      <c r="D1255" s="381" t="s">
        <v>1092</v>
      </c>
      <c r="E1255" s="381" t="s">
        <v>1093</v>
      </c>
      <c r="F1255" s="378">
        <v>-411720</v>
      </c>
      <c r="G1255" s="378">
        <v>0</v>
      </c>
      <c r="H1255" s="378">
        <v>15101</v>
      </c>
      <c r="I1255" s="378">
        <v>-426821</v>
      </c>
      <c r="J1255">
        <f t="shared" si="21"/>
        <v>8</v>
      </c>
    </row>
    <row r="1256" spans="1:10" ht="15" customHeight="1" x14ac:dyDescent="0.25">
      <c r="A1256" s="380">
        <v>25500503</v>
      </c>
      <c r="B1256" s="381" t="s">
        <v>315</v>
      </c>
      <c r="C1256" s="381" t="s">
        <v>1265</v>
      </c>
      <c r="D1256" s="381" t="s">
        <v>1243</v>
      </c>
      <c r="E1256" s="381" t="s">
        <v>1244</v>
      </c>
      <c r="F1256" s="378">
        <v>-183673</v>
      </c>
      <c r="G1256" s="378">
        <v>0</v>
      </c>
      <c r="H1256" s="378">
        <v>0</v>
      </c>
      <c r="I1256" s="378">
        <v>-183673</v>
      </c>
      <c r="J1256">
        <f t="shared" si="21"/>
        <v>8</v>
      </c>
    </row>
    <row r="1257" spans="1:10" ht="15" customHeight="1" x14ac:dyDescent="0.25">
      <c r="A1257" s="380">
        <v>25500503</v>
      </c>
      <c r="B1257" s="381" t="s">
        <v>315</v>
      </c>
      <c r="C1257" s="381" t="s">
        <v>1265</v>
      </c>
      <c r="D1257" s="381" t="s">
        <v>1214</v>
      </c>
      <c r="E1257" s="381" t="s">
        <v>1489</v>
      </c>
      <c r="F1257" s="378">
        <v>-435572</v>
      </c>
      <c r="G1257" s="378">
        <v>0</v>
      </c>
      <c r="H1257" s="378">
        <v>87511</v>
      </c>
      <c r="I1257" s="378">
        <v>-523083</v>
      </c>
      <c r="J1257">
        <f t="shared" si="21"/>
        <v>8</v>
      </c>
    </row>
    <row r="1258" spans="1:10" ht="15" customHeight="1" x14ac:dyDescent="0.25">
      <c r="A1258" s="380">
        <v>25500503</v>
      </c>
      <c r="B1258" s="381" t="s">
        <v>315</v>
      </c>
      <c r="C1258" s="381" t="s">
        <v>1265</v>
      </c>
      <c r="D1258" s="381" t="s">
        <v>1094</v>
      </c>
      <c r="E1258" s="381" t="s">
        <v>1095</v>
      </c>
      <c r="F1258" s="378">
        <v>-328763</v>
      </c>
      <c r="G1258" s="378">
        <v>0</v>
      </c>
      <c r="H1258" s="378">
        <v>60262</v>
      </c>
      <c r="I1258" s="378">
        <v>-389025</v>
      </c>
      <c r="J1258">
        <f t="shared" si="21"/>
        <v>8</v>
      </c>
    </row>
    <row r="1259" spans="1:10" ht="15" customHeight="1" x14ac:dyDescent="0.25">
      <c r="A1259" s="380">
        <v>255006</v>
      </c>
      <c r="B1259" s="381" t="s">
        <v>315</v>
      </c>
      <c r="C1259" s="381" t="s">
        <v>1266</v>
      </c>
      <c r="D1259" s="381" t="s">
        <v>315</v>
      </c>
      <c r="E1259" s="381" t="s">
        <v>315</v>
      </c>
      <c r="F1259" s="378">
        <v>-1636100</v>
      </c>
      <c r="G1259" s="378">
        <v>1636100</v>
      </c>
      <c r="H1259" s="378">
        <v>1540700</v>
      </c>
      <c r="I1259" s="378">
        <v>-1540700</v>
      </c>
      <c r="J1259">
        <f t="shared" si="21"/>
        <v>6</v>
      </c>
    </row>
    <row r="1260" spans="1:10" ht="15" customHeight="1" x14ac:dyDescent="0.25">
      <c r="A1260" s="380">
        <v>25500601</v>
      </c>
      <c r="B1260" s="381" t="s">
        <v>315</v>
      </c>
      <c r="C1260" s="381" t="s">
        <v>1266</v>
      </c>
      <c r="D1260" s="381" t="s">
        <v>315</v>
      </c>
      <c r="E1260" s="381" t="s">
        <v>315</v>
      </c>
      <c r="F1260" s="378">
        <v>-7931100</v>
      </c>
      <c r="G1260" s="378">
        <v>0</v>
      </c>
      <c r="H1260" s="378">
        <v>1540700</v>
      </c>
      <c r="I1260" s="378">
        <v>-9471800</v>
      </c>
      <c r="J1260">
        <f t="shared" si="21"/>
        <v>8</v>
      </c>
    </row>
    <row r="1261" spans="1:10" ht="15" customHeight="1" x14ac:dyDescent="0.25">
      <c r="A1261" s="380">
        <v>25500601</v>
      </c>
      <c r="B1261" s="381" t="s">
        <v>315</v>
      </c>
      <c r="C1261" s="381" t="s">
        <v>1266</v>
      </c>
      <c r="D1261" s="381" t="s">
        <v>356</v>
      </c>
      <c r="E1261" s="381" t="s">
        <v>357</v>
      </c>
      <c r="F1261" s="378">
        <v>-1138900</v>
      </c>
      <c r="G1261" s="378">
        <v>0</v>
      </c>
      <c r="H1261" s="378">
        <v>0</v>
      </c>
      <c r="I1261" s="378">
        <v>-1138900</v>
      </c>
      <c r="J1261">
        <f t="shared" si="21"/>
        <v>8</v>
      </c>
    </row>
    <row r="1262" spans="1:10" ht="15" customHeight="1" x14ac:dyDescent="0.25">
      <c r="A1262" s="380">
        <v>25500601</v>
      </c>
      <c r="B1262" s="381" t="s">
        <v>315</v>
      </c>
      <c r="C1262" s="381" t="s">
        <v>1266</v>
      </c>
      <c r="D1262" s="381" t="s">
        <v>1246</v>
      </c>
      <c r="E1262" s="381" t="s">
        <v>1247</v>
      </c>
      <c r="F1262" s="378">
        <v>-1200</v>
      </c>
      <c r="G1262" s="378">
        <v>0</v>
      </c>
      <c r="H1262" s="378">
        <v>0</v>
      </c>
      <c r="I1262" s="378">
        <v>-1200</v>
      </c>
      <c r="J1262">
        <f t="shared" si="21"/>
        <v>8</v>
      </c>
    </row>
    <row r="1263" spans="1:10" ht="15" customHeight="1" x14ac:dyDescent="0.25">
      <c r="A1263" s="380">
        <v>25500601</v>
      </c>
      <c r="B1263" s="381" t="s">
        <v>315</v>
      </c>
      <c r="C1263" s="381" t="s">
        <v>1266</v>
      </c>
      <c r="D1263" s="381" t="s">
        <v>1194</v>
      </c>
      <c r="E1263" s="381" t="s">
        <v>1195</v>
      </c>
      <c r="F1263" s="378">
        <v>-229600</v>
      </c>
      <c r="G1263" s="378">
        <v>0</v>
      </c>
      <c r="H1263" s="378">
        <v>47400</v>
      </c>
      <c r="I1263" s="378">
        <v>-277000</v>
      </c>
      <c r="J1263">
        <f t="shared" si="21"/>
        <v>8</v>
      </c>
    </row>
    <row r="1264" spans="1:10" ht="15" customHeight="1" x14ac:dyDescent="0.25">
      <c r="A1264" s="380">
        <v>25500601</v>
      </c>
      <c r="B1264" s="381" t="s">
        <v>315</v>
      </c>
      <c r="C1264" s="381" t="s">
        <v>1266</v>
      </c>
      <c r="D1264" s="381" t="s">
        <v>779</v>
      </c>
      <c r="E1264" s="381" t="s">
        <v>780</v>
      </c>
      <c r="F1264" s="378">
        <v>-54600</v>
      </c>
      <c r="G1264" s="378">
        <v>0</v>
      </c>
      <c r="H1264" s="378">
        <v>58200</v>
      </c>
      <c r="I1264" s="378">
        <v>-112800</v>
      </c>
      <c r="J1264">
        <f t="shared" si="21"/>
        <v>8</v>
      </c>
    </row>
    <row r="1265" spans="1:10" ht="15" customHeight="1" x14ac:dyDescent="0.25">
      <c r="A1265" s="380">
        <v>25500601</v>
      </c>
      <c r="B1265" s="381" t="s">
        <v>315</v>
      </c>
      <c r="C1265" s="381" t="s">
        <v>1266</v>
      </c>
      <c r="D1265" s="381" t="s">
        <v>1219</v>
      </c>
      <c r="E1265" s="381" t="s">
        <v>1220</v>
      </c>
      <c r="F1265" s="378">
        <v>-24600</v>
      </c>
      <c r="G1265" s="378">
        <v>0</v>
      </c>
      <c r="H1265" s="378">
        <v>0</v>
      </c>
      <c r="I1265" s="378">
        <v>-24600</v>
      </c>
      <c r="J1265">
        <f t="shared" si="21"/>
        <v>8</v>
      </c>
    </row>
    <row r="1266" spans="1:10" ht="15" customHeight="1" x14ac:dyDescent="0.25">
      <c r="A1266" s="380">
        <v>25500601</v>
      </c>
      <c r="B1266" s="381" t="s">
        <v>315</v>
      </c>
      <c r="C1266" s="381" t="s">
        <v>1266</v>
      </c>
      <c r="D1266" s="381" t="s">
        <v>774</v>
      </c>
      <c r="E1266" s="381" t="s">
        <v>775</v>
      </c>
      <c r="F1266" s="378">
        <v>-199000</v>
      </c>
      <c r="G1266" s="378">
        <v>0</v>
      </c>
      <c r="H1266" s="378">
        <v>35200</v>
      </c>
      <c r="I1266" s="378">
        <v>-234200</v>
      </c>
      <c r="J1266">
        <f t="shared" si="21"/>
        <v>8</v>
      </c>
    </row>
    <row r="1267" spans="1:10" ht="15" customHeight="1" x14ac:dyDescent="0.25">
      <c r="A1267" s="380">
        <v>25500601</v>
      </c>
      <c r="B1267" s="381" t="s">
        <v>315</v>
      </c>
      <c r="C1267" s="381" t="s">
        <v>1266</v>
      </c>
      <c r="D1267" s="381" t="s">
        <v>1196</v>
      </c>
      <c r="E1267" s="381" t="s">
        <v>1197</v>
      </c>
      <c r="F1267" s="378">
        <v>-232300</v>
      </c>
      <c r="G1267" s="378">
        <v>0</v>
      </c>
      <c r="H1267" s="378">
        <v>40700</v>
      </c>
      <c r="I1267" s="378">
        <v>-273000</v>
      </c>
      <c r="J1267">
        <f t="shared" si="21"/>
        <v>8</v>
      </c>
    </row>
    <row r="1268" spans="1:10" ht="15" customHeight="1" x14ac:dyDescent="0.25">
      <c r="A1268" s="380">
        <v>25500601</v>
      </c>
      <c r="B1268" s="381" t="s">
        <v>315</v>
      </c>
      <c r="C1268" s="381" t="s">
        <v>1266</v>
      </c>
      <c r="D1268" s="381" t="s">
        <v>1078</v>
      </c>
      <c r="E1268" s="381" t="s">
        <v>1079</v>
      </c>
      <c r="F1268" s="378">
        <v>-470200</v>
      </c>
      <c r="G1268" s="378">
        <v>0</v>
      </c>
      <c r="H1268" s="378">
        <v>127900</v>
      </c>
      <c r="I1268" s="378">
        <v>-598100</v>
      </c>
      <c r="J1268">
        <f t="shared" si="21"/>
        <v>8</v>
      </c>
    </row>
    <row r="1269" spans="1:10" ht="15" customHeight="1" x14ac:dyDescent="0.25">
      <c r="A1269" s="380">
        <v>25500601</v>
      </c>
      <c r="B1269" s="381" t="s">
        <v>315</v>
      </c>
      <c r="C1269" s="381" t="s">
        <v>1266</v>
      </c>
      <c r="D1269" s="381" t="s">
        <v>781</v>
      </c>
      <c r="E1269" s="381" t="s">
        <v>782</v>
      </c>
      <c r="F1269" s="378">
        <v>-233500</v>
      </c>
      <c r="G1269" s="378">
        <v>0</v>
      </c>
      <c r="H1269" s="378">
        <v>53300</v>
      </c>
      <c r="I1269" s="378">
        <v>-286800</v>
      </c>
      <c r="J1269">
        <f t="shared" si="21"/>
        <v>8</v>
      </c>
    </row>
    <row r="1270" spans="1:10" ht="15" customHeight="1" x14ac:dyDescent="0.25">
      <c r="A1270" s="380">
        <v>25500601</v>
      </c>
      <c r="B1270" s="381" t="s">
        <v>315</v>
      </c>
      <c r="C1270" s="381" t="s">
        <v>1266</v>
      </c>
      <c r="D1270" s="381" t="s">
        <v>728</v>
      </c>
      <c r="E1270" s="381" t="s">
        <v>729</v>
      </c>
      <c r="F1270" s="378">
        <v>-230800</v>
      </c>
      <c r="G1270" s="378">
        <v>0</v>
      </c>
      <c r="H1270" s="378">
        <v>54200</v>
      </c>
      <c r="I1270" s="378">
        <v>-285000</v>
      </c>
      <c r="J1270">
        <f t="shared" si="21"/>
        <v>8</v>
      </c>
    </row>
    <row r="1271" spans="1:10" ht="15" customHeight="1" x14ac:dyDescent="0.25">
      <c r="A1271" s="380">
        <v>25500601</v>
      </c>
      <c r="B1271" s="381" t="s">
        <v>315</v>
      </c>
      <c r="C1271" s="381" t="s">
        <v>1266</v>
      </c>
      <c r="D1271" s="381" t="s">
        <v>783</v>
      </c>
      <c r="E1271" s="381" t="s">
        <v>784</v>
      </c>
      <c r="F1271" s="378">
        <v>-197300</v>
      </c>
      <c r="G1271" s="378">
        <v>0</v>
      </c>
      <c r="H1271" s="378">
        <v>40300</v>
      </c>
      <c r="I1271" s="378">
        <v>-237600</v>
      </c>
      <c r="J1271">
        <f t="shared" si="21"/>
        <v>8</v>
      </c>
    </row>
    <row r="1272" spans="1:10" ht="15" customHeight="1" x14ac:dyDescent="0.25">
      <c r="A1272" s="380">
        <v>25500601</v>
      </c>
      <c r="B1272" s="381" t="s">
        <v>315</v>
      </c>
      <c r="C1272" s="381" t="s">
        <v>1266</v>
      </c>
      <c r="D1272" s="381" t="s">
        <v>797</v>
      </c>
      <c r="E1272" s="381" t="s">
        <v>798</v>
      </c>
      <c r="F1272" s="378">
        <v>-195500</v>
      </c>
      <c r="G1272" s="378">
        <v>0</v>
      </c>
      <c r="H1272" s="378">
        <v>36700</v>
      </c>
      <c r="I1272" s="378">
        <v>-232200</v>
      </c>
      <c r="J1272">
        <f t="shared" si="21"/>
        <v>8</v>
      </c>
    </row>
    <row r="1273" spans="1:10" ht="15" customHeight="1" x14ac:dyDescent="0.25">
      <c r="A1273" s="380">
        <v>25500601</v>
      </c>
      <c r="B1273" s="381" t="s">
        <v>315</v>
      </c>
      <c r="C1273" s="381" t="s">
        <v>1266</v>
      </c>
      <c r="D1273" s="381" t="s">
        <v>1221</v>
      </c>
      <c r="E1273" s="381" t="s">
        <v>1494</v>
      </c>
      <c r="F1273" s="378">
        <v>-181300</v>
      </c>
      <c r="G1273" s="378">
        <v>0</v>
      </c>
      <c r="H1273" s="378">
        <v>0</v>
      </c>
      <c r="I1273" s="378">
        <v>-181300</v>
      </c>
      <c r="J1273">
        <f t="shared" si="21"/>
        <v>8</v>
      </c>
    </row>
    <row r="1274" spans="1:10" ht="15" customHeight="1" x14ac:dyDescent="0.25">
      <c r="A1274" s="380">
        <v>25500601</v>
      </c>
      <c r="B1274" s="381" t="s">
        <v>315</v>
      </c>
      <c r="C1274" s="381" t="s">
        <v>1266</v>
      </c>
      <c r="D1274" s="381" t="s">
        <v>1222</v>
      </c>
      <c r="E1274" s="381" t="s">
        <v>1223</v>
      </c>
      <c r="F1274" s="378">
        <v>-36500</v>
      </c>
      <c r="G1274" s="378">
        <v>0</v>
      </c>
      <c r="H1274" s="378">
        <v>0</v>
      </c>
      <c r="I1274" s="378">
        <v>-36500</v>
      </c>
      <c r="J1274">
        <f t="shared" si="21"/>
        <v>8</v>
      </c>
    </row>
    <row r="1275" spans="1:10" ht="15" customHeight="1" x14ac:dyDescent="0.25">
      <c r="A1275" s="380">
        <v>25500601</v>
      </c>
      <c r="B1275" s="381" t="s">
        <v>315</v>
      </c>
      <c r="C1275" s="381" t="s">
        <v>1266</v>
      </c>
      <c r="D1275" s="381" t="s">
        <v>1198</v>
      </c>
      <c r="E1275" s="381" t="s">
        <v>1199</v>
      </c>
      <c r="F1275" s="378">
        <v>-54200</v>
      </c>
      <c r="G1275" s="378">
        <v>0</v>
      </c>
      <c r="H1275" s="378">
        <v>38200</v>
      </c>
      <c r="I1275" s="378">
        <v>-92400</v>
      </c>
      <c r="J1275">
        <f t="shared" si="21"/>
        <v>8</v>
      </c>
    </row>
    <row r="1276" spans="1:10" ht="15" customHeight="1" x14ac:dyDescent="0.25">
      <c r="A1276" s="380">
        <v>25500601</v>
      </c>
      <c r="B1276" s="381" t="s">
        <v>315</v>
      </c>
      <c r="C1276" s="381" t="s">
        <v>1266</v>
      </c>
      <c r="D1276" s="381" t="s">
        <v>753</v>
      </c>
      <c r="E1276" s="381" t="s">
        <v>754</v>
      </c>
      <c r="F1276" s="378">
        <v>-18500</v>
      </c>
      <c r="G1276" s="378">
        <v>0</v>
      </c>
      <c r="H1276" s="378">
        <v>0</v>
      </c>
      <c r="I1276" s="378">
        <v>-18500</v>
      </c>
      <c r="J1276">
        <f t="shared" si="21"/>
        <v>8</v>
      </c>
    </row>
    <row r="1277" spans="1:10" ht="15" customHeight="1" x14ac:dyDescent="0.25">
      <c r="A1277" s="380">
        <v>25500601</v>
      </c>
      <c r="B1277" s="381" t="s">
        <v>315</v>
      </c>
      <c r="C1277" s="381" t="s">
        <v>1266</v>
      </c>
      <c r="D1277" s="381" t="s">
        <v>1200</v>
      </c>
      <c r="E1277" s="381" t="s">
        <v>1201</v>
      </c>
      <c r="F1277" s="378">
        <v>-162000</v>
      </c>
      <c r="G1277" s="378">
        <v>0</v>
      </c>
      <c r="H1277" s="378">
        <v>44100</v>
      </c>
      <c r="I1277" s="378">
        <v>-206100</v>
      </c>
      <c r="J1277">
        <f t="shared" si="21"/>
        <v>8</v>
      </c>
    </row>
    <row r="1278" spans="1:10" ht="15" customHeight="1" x14ac:dyDescent="0.25">
      <c r="A1278" s="380">
        <v>25500601</v>
      </c>
      <c r="B1278" s="381" t="s">
        <v>315</v>
      </c>
      <c r="C1278" s="381" t="s">
        <v>1266</v>
      </c>
      <c r="D1278" s="381" t="s">
        <v>786</v>
      </c>
      <c r="E1278" s="381" t="s">
        <v>787</v>
      </c>
      <c r="F1278" s="378">
        <v>-267300</v>
      </c>
      <c r="G1278" s="378">
        <v>0</v>
      </c>
      <c r="H1278" s="378">
        <v>60500</v>
      </c>
      <c r="I1278" s="378">
        <v>-327800</v>
      </c>
      <c r="J1278">
        <f t="shared" si="21"/>
        <v>8</v>
      </c>
    </row>
    <row r="1279" spans="1:10" ht="15" customHeight="1" x14ac:dyDescent="0.25">
      <c r="A1279" s="380">
        <v>25500601</v>
      </c>
      <c r="B1279" s="381" t="s">
        <v>315</v>
      </c>
      <c r="C1279" s="381" t="s">
        <v>1266</v>
      </c>
      <c r="D1279" s="381" t="s">
        <v>1224</v>
      </c>
      <c r="E1279" s="381" t="s">
        <v>1225</v>
      </c>
      <c r="F1279" s="378">
        <v>-202700</v>
      </c>
      <c r="G1279" s="378">
        <v>0</v>
      </c>
      <c r="H1279" s="378">
        <v>52700</v>
      </c>
      <c r="I1279" s="378">
        <v>-255400</v>
      </c>
      <c r="J1279">
        <f t="shared" si="21"/>
        <v>8</v>
      </c>
    </row>
    <row r="1280" spans="1:10" ht="15" customHeight="1" x14ac:dyDescent="0.25">
      <c r="A1280" s="380">
        <v>25500601</v>
      </c>
      <c r="B1280" s="381" t="s">
        <v>315</v>
      </c>
      <c r="C1280" s="381" t="s">
        <v>1266</v>
      </c>
      <c r="D1280" s="381" t="s">
        <v>1226</v>
      </c>
      <c r="E1280" s="381" t="s">
        <v>1227</v>
      </c>
      <c r="F1280" s="378">
        <v>-11200</v>
      </c>
      <c r="G1280" s="378">
        <v>0</v>
      </c>
      <c r="H1280" s="378">
        <v>0</v>
      </c>
      <c r="I1280" s="378">
        <v>-11200</v>
      </c>
      <c r="J1280">
        <f t="shared" si="21"/>
        <v>8</v>
      </c>
    </row>
    <row r="1281" spans="1:10" ht="15" customHeight="1" x14ac:dyDescent="0.25">
      <c r="A1281" s="380">
        <v>25500601</v>
      </c>
      <c r="B1281" s="381" t="s">
        <v>315</v>
      </c>
      <c r="C1281" s="381" t="s">
        <v>1266</v>
      </c>
      <c r="D1281" s="381" t="s">
        <v>1202</v>
      </c>
      <c r="E1281" s="381" t="s">
        <v>1203</v>
      </c>
      <c r="F1281" s="378">
        <v>-42600</v>
      </c>
      <c r="G1281" s="378">
        <v>0</v>
      </c>
      <c r="H1281" s="378">
        <v>41300</v>
      </c>
      <c r="I1281" s="378">
        <v>-83900</v>
      </c>
      <c r="J1281">
        <f t="shared" si="21"/>
        <v>8</v>
      </c>
    </row>
    <row r="1282" spans="1:10" ht="15" customHeight="1" x14ac:dyDescent="0.25">
      <c r="A1282" s="380">
        <v>25500601</v>
      </c>
      <c r="B1282" s="381" t="s">
        <v>315</v>
      </c>
      <c r="C1282" s="381" t="s">
        <v>1266</v>
      </c>
      <c r="D1282" s="381" t="s">
        <v>1228</v>
      </c>
      <c r="E1282" s="381" t="s">
        <v>1229</v>
      </c>
      <c r="F1282" s="378">
        <v>-44100</v>
      </c>
      <c r="G1282" s="378">
        <v>0</v>
      </c>
      <c r="H1282" s="378">
        <v>30200</v>
      </c>
      <c r="I1282" s="378">
        <v>-74300</v>
      </c>
      <c r="J1282">
        <f t="shared" si="21"/>
        <v>8</v>
      </c>
    </row>
    <row r="1283" spans="1:10" ht="15" customHeight="1" x14ac:dyDescent="0.25">
      <c r="A1283" s="380">
        <v>25500601</v>
      </c>
      <c r="B1283" s="381" t="s">
        <v>315</v>
      </c>
      <c r="C1283" s="381" t="s">
        <v>1266</v>
      </c>
      <c r="D1283" s="381" t="s">
        <v>1086</v>
      </c>
      <c r="E1283" s="381" t="s">
        <v>1087</v>
      </c>
      <c r="F1283" s="378">
        <v>-186000</v>
      </c>
      <c r="G1283" s="378">
        <v>0</v>
      </c>
      <c r="H1283" s="378">
        <v>41500</v>
      </c>
      <c r="I1283" s="378">
        <v>-227500</v>
      </c>
      <c r="J1283">
        <f t="shared" si="21"/>
        <v>8</v>
      </c>
    </row>
    <row r="1284" spans="1:10" ht="15" customHeight="1" x14ac:dyDescent="0.25">
      <c r="A1284" s="380">
        <v>25500601</v>
      </c>
      <c r="B1284" s="381" t="s">
        <v>315</v>
      </c>
      <c r="C1284" s="381" t="s">
        <v>1266</v>
      </c>
      <c r="D1284" s="381" t="s">
        <v>404</v>
      </c>
      <c r="E1284" s="381" t="s">
        <v>1230</v>
      </c>
      <c r="F1284" s="378">
        <v>-77200</v>
      </c>
      <c r="G1284" s="378">
        <v>0</v>
      </c>
      <c r="H1284" s="378">
        <v>37100</v>
      </c>
      <c r="I1284" s="378">
        <v>-114300</v>
      </c>
      <c r="J1284">
        <f t="shared" si="21"/>
        <v>8</v>
      </c>
    </row>
    <row r="1285" spans="1:10" ht="15" customHeight="1" x14ac:dyDescent="0.25">
      <c r="A1285" s="380">
        <v>25500601</v>
      </c>
      <c r="B1285" s="381" t="s">
        <v>315</v>
      </c>
      <c r="C1285" s="381" t="s">
        <v>1266</v>
      </c>
      <c r="D1285" s="381" t="s">
        <v>1204</v>
      </c>
      <c r="E1285" s="381" t="s">
        <v>1205</v>
      </c>
      <c r="F1285" s="378">
        <v>-48400</v>
      </c>
      <c r="G1285" s="378">
        <v>0</v>
      </c>
      <c r="H1285" s="378">
        <v>37800</v>
      </c>
      <c r="I1285" s="378">
        <v>-86200</v>
      </c>
      <c r="J1285">
        <f t="shared" si="21"/>
        <v>8</v>
      </c>
    </row>
    <row r="1286" spans="1:10" ht="15" customHeight="1" x14ac:dyDescent="0.25">
      <c r="A1286" s="380">
        <v>25500601</v>
      </c>
      <c r="B1286" s="381" t="s">
        <v>315</v>
      </c>
      <c r="C1286" s="381" t="s">
        <v>1266</v>
      </c>
      <c r="D1286" s="381" t="s">
        <v>1231</v>
      </c>
      <c r="E1286" s="381" t="s">
        <v>1232</v>
      </c>
      <c r="F1286" s="378">
        <v>-40100</v>
      </c>
      <c r="G1286" s="378">
        <v>0</v>
      </c>
      <c r="H1286" s="378">
        <v>0</v>
      </c>
      <c r="I1286" s="378">
        <v>-40100</v>
      </c>
      <c r="J1286">
        <f t="shared" si="21"/>
        <v>8</v>
      </c>
    </row>
    <row r="1287" spans="1:10" ht="15" customHeight="1" x14ac:dyDescent="0.25">
      <c r="A1287" s="380">
        <v>25500601</v>
      </c>
      <c r="B1287" s="381" t="s">
        <v>315</v>
      </c>
      <c r="C1287" s="381" t="s">
        <v>1266</v>
      </c>
      <c r="D1287" s="381" t="s">
        <v>788</v>
      </c>
      <c r="E1287" s="381" t="s">
        <v>789</v>
      </c>
      <c r="F1287" s="378">
        <v>-352200</v>
      </c>
      <c r="G1287" s="378">
        <v>0</v>
      </c>
      <c r="H1287" s="378">
        <v>69900</v>
      </c>
      <c r="I1287" s="378">
        <v>-422100</v>
      </c>
      <c r="J1287">
        <f t="shared" si="21"/>
        <v>8</v>
      </c>
    </row>
    <row r="1288" spans="1:10" ht="15" customHeight="1" x14ac:dyDescent="0.25">
      <c r="A1288" s="380">
        <v>25500601</v>
      </c>
      <c r="B1288" s="381" t="s">
        <v>315</v>
      </c>
      <c r="C1288" s="381" t="s">
        <v>1266</v>
      </c>
      <c r="D1288" s="381" t="s">
        <v>1206</v>
      </c>
      <c r="E1288" s="381" t="s">
        <v>1207</v>
      </c>
      <c r="F1288" s="378">
        <v>-177500</v>
      </c>
      <c r="G1288" s="378">
        <v>0</v>
      </c>
      <c r="H1288" s="378">
        <v>46800</v>
      </c>
      <c r="I1288" s="378">
        <v>-224300</v>
      </c>
      <c r="J1288">
        <f t="shared" si="21"/>
        <v>8</v>
      </c>
    </row>
    <row r="1289" spans="1:10" ht="15" customHeight="1" x14ac:dyDescent="0.25">
      <c r="A1289" s="380">
        <v>25500601</v>
      </c>
      <c r="B1289" s="381" t="s">
        <v>315</v>
      </c>
      <c r="C1289" s="381" t="s">
        <v>1266</v>
      </c>
      <c r="D1289" s="381" t="s">
        <v>1088</v>
      </c>
      <c r="E1289" s="381" t="s">
        <v>1089</v>
      </c>
      <c r="F1289" s="378">
        <v>-108000</v>
      </c>
      <c r="G1289" s="378">
        <v>0</v>
      </c>
      <c r="H1289" s="378">
        <v>9400</v>
      </c>
      <c r="I1289" s="378">
        <v>-117400</v>
      </c>
      <c r="J1289">
        <f t="shared" si="21"/>
        <v>8</v>
      </c>
    </row>
    <row r="1290" spans="1:10" ht="15" customHeight="1" x14ac:dyDescent="0.25">
      <c r="A1290" s="380">
        <v>25500601</v>
      </c>
      <c r="B1290" s="381" t="s">
        <v>315</v>
      </c>
      <c r="C1290" s="381" t="s">
        <v>1266</v>
      </c>
      <c r="D1290" s="381" t="s">
        <v>776</v>
      </c>
      <c r="E1290" s="381" t="s">
        <v>777</v>
      </c>
      <c r="F1290" s="378">
        <v>-243800</v>
      </c>
      <c r="G1290" s="378">
        <v>0</v>
      </c>
      <c r="H1290" s="378">
        <v>31300</v>
      </c>
      <c r="I1290" s="378">
        <v>-275100</v>
      </c>
      <c r="J1290">
        <f t="shared" si="21"/>
        <v>8</v>
      </c>
    </row>
    <row r="1291" spans="1:10" ht="15" customHeight="1" x14ac:dyDescent="0.25">
      <c r="A1291" s="380">
        <v>25500601</v>
      </c>
      <c r="B1291" s="381" t="s">
        <v>315</v>
      </c>
      <c r="C1291" s="381" t="s">
        <v>1266</v>
      </c>
      <c r="D1291" s="381" t="s">
        <v>790</v>
      </c>
      <c r="E1291" s="381" t="s">
        <v>791</v>
      </c>
      <c r="F1291" s="378">
        <v>-223300</v>
      </c>
      <c r="G1291" s="378">
        <v>0</v>
      </c>
      <c r="H1291" s="378">
        <v>50900</v>
      </c>
      <c r="I1291" s="378">
        <v>-274200</v>
      </c>
      <c r="J1291">
        <f t="shared" si="21"/>
        <v>8</v>
      </c>
    </row>
    <row r="1292" spans="1:10" ht="15" customHeight="1" x14ac:dyDescent="0.25">
      <c r="A1292" s="380">
        <v>25500601</v>
      </c>
      <c r="B1292" s="381" t="s">
        <v>315</v>
      </c>
      <c r="C1292" s="381" t="s">
        <v>1266</v>
      </c>
      <c r="D1292" s="381" t="s">
        <v>1233</v>
      </c>
      <c r="E1292" s="381" t="s">
        <v>1234</v>
      </c>
      <c r="F1292" s="378">
        <v>-141100</v>
      </c>
      <c r="G1292" s="378">
        <v>0</v>
      </c>
      <c r="H1292" s="378">
        <v>0</v>
      </c>
      <c r="I1292" s="378">
        <v>-141100</v>
      </c>
      <c r="J1292">
        <f t="shared" si="21"/>
        <v>8</v>
      </c>
    </row>
    <row r="1293" spans="1:10" ht="15" customHeight="1" x14ac:dyDescent="0.25">
      <c r="A1293" s="380">
        <v>25500601</v>
      </c>
      <c r="B1293" s="381" t="s">
        <v>315</v>
      </c>
      <c r="C1293" s="381" t="s">
        <v>1266</v>
      </c>
      <c r="D1293" s="381" t="s">
        <v>1235</v>
      </c>
      <c r="E1293" s="381" t="s">
        <v>1236</v>
      </c>
      <c r="F1293" s="378">
        <v>-17400</v>
      </c>
      <c r="G1293" s="378">
        <v>0</v>
      </c>
      <c r="H1293" s="378">
        <v>0</v>
      </c>
      <c r="I1293" s="378">
        <v>-17400</v>
      </c>
      <c r="J1293">
        <f t="shared" ref="J1293:J1356" si="22">+LEN(A1293)</f>
        <v>8</v>
      </c>
    </row>
    <row r="1294" spans="1:10" ht="15" customHeight="1" x14ac:dyDescent="0.25">
      <c r="A1294" s="380">
        <v>25500601</v>
      </c>
      <c r="B1294" s="381" t="s">
        <v>315</v>
      </c>
      <c r="C1294" s="381" t="s">
        <v>1266</v>
      </c>
      <c r="D1294" s="381" t="s">
        <v>1208</v>
      </c>
      <c r="E1294" s="381" t="s">
        <v>1209</v>
      </c>
      <c r="F1294" s="378">
        <v>-198300</v>
      </c>
      <c r="G1294" s="378">
        <v>0</v>
      </c>
      <c r="H1294" s="378">
        <v>42900</v>
      </c>
      <c r="I1294" s="378">
        <v>-241200</v>
      </c>
      <c r="J1294">
        <f t="shared" si="22"/>
        <v>8</v>
      </c>
    </row>
    <row r="1295" spans="1:10" ht="15" customHeight="1" x14ac:dyDescent="0.25">
      <c r="A1295" s="380">
        <v>25500601</v>
      </c>
      <c r="B1295" s="381" t="s">
        <v>315</v>
      </c>
      <c r="C1295" s="381" t="s">
        <v>1266</v>
      </c>
      <c r="D1295" s="381" t="s">
        <v>1237</v>
      </c>
      <c r="E1295" s="381" t="s">
        <v>1238</v>
      </c>
      <c r="F1295" s="378">
        <v>-54800</v>
      </c>
      <c r="G1295" s="378">
        <v>0</v>
      </c>
      <c r="H1295" s="378">
        <v>48100</v>
      </c>
      <c r="I1295" s="378">
        <v>-102900</v>
      </c>
      <c r="J1295">
        <f t="shared" si="22"/>
        <v>8</v>
      </c>
    </row>
    <row r="1296" spans="1:10" ht="15" customHeight="1" x14ac:dyDescent="0.25">
      <c r="A1296" s="380">
        <v>25500601</v>
      </c>
      <c r="B1296" s="381" t="s">
        <v>315</v>
      </c>
      <c r="C1296" s="381" t="s">
        <v>1266</v>
      </c>
      <c r="D1296" s="381" t="s">
        <v>1239</v>
      </c>
      <c r="E1296" s="381" t="s">
        <v>1240</v>
      </c>
      <c r="F1296" s="378">
        <v>-211800</v>
      </c>
      <c r="G1296" s="378">
        <v>0</v>
      </c>
      <c r="H1296" s="378">
        <v>0</v>
      </c>
      <c r="I1296" s="378">
        <v>-211800</v>
      </c>
      <c r="J1296">
        <f t="shared" si="22"/>
        <v>8</v>
      </c>
    </row>
    <row r="1297" spans="1:10" ht="15" customHeight="1" x14ac:dyDescent="0.25">
      <c r="A1297" s="380">
        <v>25500601</v>
      </c>
      <c r="B1297" s="381" t="s">
        <v>315</v>
      </c>
      <c r="C1297" s="381" t="s">
        <v>1266</v>
      </c>
      <c r="D1297" s="381" t="s">
        <v>1248</v>
      </c>
      <c r="E1297" s="381" t="s">
        <v>1249</v>
      </c>
      <c r="F1297" s="378">
        <v>-1800</v>
      </c>
      <c r="G1297" s="378">
        <v>0</v>
      </c>
      <c r="H1297" s="378">
        <v>0</v>
      </c>
      <c r="I1297" s="378">
        <v>-1800</v>
      </c>
      <c r="J1297">
        <f t="shared" si="22"/>
        <v>8</v>
      </c>
    </row>
    <row r="1298" spans="1:10" ht="15" customHeight="1" x14ac:dyDescent="0.25">
      <c r="A1298" s="380">
        <v>25500601</v>
      </c>
      <c r="B1298" s="381" t="s">
        <v>315</v>
      </c>
      <c r="C1298" s="381" t="s">
        <v>1266</v>
      </c>
      <c r="D1298" s="381" t="s">
        <v>1210</v>
      </c>
      <c r="E1298" s="381" t="s">
        <v>1211</v>
      </c>
      <c r="F1298" s="378">
        <v>-199400</v>
      </c>
      <c r="G1298" s="378">
        <v>0</v>
      </c>
      <c r="H1298" s="378">
        <v>37000</v>
      </c>
      <c r="I1298" s="378">
        <v>-236400</v>
      </c>
      <c r="J1298">
        <f t="shared" si="22"/>
        <v>8</v>
      </c>
    </row>
    <row r="1299" spans="1:10" ht="15" customHeight="1" x14ac:dyDescent="0.25">
      <c r="A1299" s="380">
        <v>25500601</v>
      </c>
      <c r="B1299" s="381" t="s">
        <v>315</v>
      </c>
      <c r="C1299" s="381" t="s">
        <v>1266</v>
      </c>
      <c r="D1299" s="381" t="s">
        <v>1090</v>
      </c>
      <c r="E1299" s="381" t="s">
        <v>1091</v>
      </c>
      <c r="F1299" s="378">
        <v>-131500</v>
      </c>
      <c r="G1299" s="378">
        <v>0</v>
      </c>
      <c r="H1299" s="378">
        <v>60300</v>
      </c>
      <c r="I1299" s="378">
        <v>-191800</v>
      </c>
      <c r="J1299">
        <f t="shared" si="22"/>
        <v>8</v>
      </c>
    </row>
    <row r="1300" spans="1:10" ht="15" customHeight="1" x14ac:dyDescent="0.25">
      <c r="A1300" s="380">
        <v>25500601</v>
      </c>
      <c r="B1300" s="381" t="s">
        <v>315</v>
      </c>
      <c r="C1300" s="381" t="s">
        <v>1266</v>
      </c>
      <c r="D1300" s="381" t="s">
        <v>1241</v>
      </c>
      <c r="E1300" s="381" t="s">
        <v>1242</v>
      </c>
      <c r="F1300" s="378">
        <v>-70600</v>
      </c>
      <c r="G1300" s="378">
        <v>0</v>
      </c>
      <c r="H1300" s="378">
        <v>38000</v>
      </c>
      <c r="I1300" s="378">
        <v>-108600</v>
      </c>
      <c r="J1300">
        <f t="shared" si="22"/>
        <v>8</v>
      </c>
    </row>
    <row r="1301" spans="1:10" ht="15" customHeight="1" x14ac:dyDescent="0.25">
      <c r="A1301" s="380">
        <v>25500601</v>
      </c>
      <c r="B1301" s="381" t="s">
        <v>315</v>
      </c>
      <c r="C1301" s="381" t="s">
        <v>1266</v>
      </c>
      <c r="D1301" s="381" t="s">
        <v>792</v>
      </c>
      <c r="E1301" s="381" t="s">
        <v>793</v>
      </c>
      <c r="F1301" s="378">
        <v>-219700</v>
      </c>
      <c r="G1301" s="378">
        <v>0</v>
      </c>
      <c r="H1301" s="378">
        <v>53300</v>
      </c>
      <c r="I1301" s="378">
        <v>-273000</v>
      </c>
      <c r="J1301">
        <f t="shared" si="22"/>
        <v>8</v>
      </c>
    </row>
    <row r="1302" spans="1:10" ht="15" customHeight="1" x14ac:dyDescent="0.25">
      <c r="A1302" s="380">
        <v>25500601</v>
      </c>
      <c r="B1302" s="381" t="s">
        <v>315</v>
      </c>
      <c r="C1302" s="381" t="s">
        <v>1266</v>
      </c>
      <c r="D1302" s="381" t="s">
        <v>794</v>
      </c>
      <c r="E1302" s="381" t="s">
        <v>795</v>
      </c>
      <c r="F1302" s="378">
        <v>-234000</v>
      </c>
      <c r="G1302" s="378">
        <v>0</v>
      </c>
      <c r="H1302" s="378">
        <v>50800</v>
      </c>
      <c r="I1302" s="378">
        <v>-284800</v>
      </c>
      <c r="J1302">
        <f t="shared" si="22"/>
        <v>8</v>
      </c>
    </row>
    <row r="1303" spans="1:10" ht="15" customHeight="1" x14ac:dyDescent="0.25">
      <c r="A1303" s="380">
        <v>25500601</v>
      </c>
      <c r="B1303" s="381" t="s">
        <v>315</v>
      </c>
      <c r="C1303" s="381" t="s">
        <v>1266</v>
      </c>
      <c r="D1303" s="381" t="s">
        <v>1212</v>
      </c>
      <c r="E1303" s="381" t="s">
        <v>1213</v>
      </c>
      <c r="F1303" s="378">
        <v>0</v>
      </c>
      <c r="G1303" s="378">
        <v>0</v>
      </c>
      <c r="H1303" s="378">
        <v>25500</v>
      </c>
      <c r="I1303" s="378">
        <v>-25500</v>
      </c>
      <c r="J1303">
        <f t="shared" si="22"/>
        <v>8</v>
      </c>
    </row>
    <row r="1304" spans="1:10" ht="15" customHeight="1" x14ac:dyDescent="0.25">
      <c r="A1304" s="380">
        <v>25500601</v>
      </c>
      <c r="B1304" s="381" t="s">
        <v>315</v>
      </c>
      <c r="C1304" s="381" t="s">
        <v>1266</v>
      </c>
      <c r="D1304" s="381" t="s">
        <v>1092</v>
      </c>
      <c r="E1304" s="381" t="s">
        <v>1093</v>
      </c>
      <c r="F1304" s="378">
        <v>-242600</v>
      </c>
      <c r="G1304" s="378">
        <v>0</v>
      </c>
      <c r="H1304" s="378">
        <v>9200</v>
      </c>
      <c r="I1304" s="378">
        <v>-251800</v>
      </c>
      <c r="J1304">
        <f t="shared" si="22"/>
        <v>8</v>
      </c>
    </row>
    <row r="1305" spans="1:10" ht="15" customHeight="1" x14ac:dyDescent="0.25">
      <c r="A1305" s="380">
        <v>25500601</v>
      </c>
      <c r="B1305" s="381" t="s">
        <v>315</v>
      </c>
      <c r="C1305" s="381" t="s">
        <v>1266</v>
      </c>
      <c r="D1305" s="381" t="s">
        <v>1243</v>
      </c>
      <c r="E1305" s="381" t="s">
        <v>1244</v>
      </c>
      <c r="F1305" s="378">
        <v>-110900</v>
      </c>
      <c r="G1305" s="378">
        <v>0</v>
      </c>
      <c r="H1305" s="378">
        <v>0</v>
      </c>
      <c r="I1305" s="378">
        <v>-110900</v>
      </c>
      <c r="J1305">
        <f t="shared" si="22"/>
        <v>8</v>
      </c>
    </row>
    <row r="1306" spans="1:10" ht="15" customHeight="1" x14ac:dyDescent="0.25">
      <c r="A1306" s="380">
        <v>25500601</v>
      </c>
      <c r="B1306" s="381" t="s">
        <v>315</v>
      </c>
      <c r="C1306" s="381" t="s">
        <v>1266</v>
      </c>
      <c r="D1306" s="381" t="s">
        <v>1214</v>
      </c>
      <c r="E1306" s="381" t="s">
        <v>1489</v>
      </c>
      <c r="F1306" s="378">
        <v>-235600</v>
      </c>
      <c r="G1306" s="378">
        <v>0</v>
      </c>
      <c r="H1306" s="378">
        <v>53300</v>
      </c>
      <c r="I1306" s="378">
        <v>-288900</v>
      </c>
      <c r="J1306">
        <f t="shared" si="22"/>
        <v>8</v>
      </c>
    </row>
    <row r="1307" spans="1:10" ht="15" customHeight="1" x14ac:dyDescent="0.25">
      <c r="A1307" s="380">
        <v>25500601</v>
      </c>
      <c r="B1307" s="381" t="s">
        <v>315</v>
      </c>
      <c r="C1307" s="381" t="s">
        <v>1266</v>
      </c>
      <c r="D1307" s="381" t="s">
        <v>1094</v>
      </c>
      <c r="E1307" s="381" t="s">
        <v>1095</v>
      </c>
      <c r="F1307" s="378">
        <v>-177200</v>
      </c>
      <c r="G1307" s="378">
        <v>0</v>
      </c>
      <c r="H1307" s="378">
        <v>36700</v>
      </c>
      <c r="I1307" s="378">
        <v>-213900</v>
      </c>
      <c r="J1307">
        <f t="shared" si="22"/>
        <v>8</v>
      </c>
    </row>
    <row r="1308" spans="1:10" ht="15" customHeight="1" x14ac:dyDescent="0.25">
      <c r="A1308" s="380">
        <v>25500602</v>
      </c>
      <c r="B1308" s="381" t="s">
        <v>321</v>
      </c>
      <c r="C1308" s="381" t="s">
        <v>1268</v>
      </c>
      <c r="D1308" s="381" t="s">
        <v>315</v>
      </c>
      <c r="E1308" s="381" t="s">
        <v>315</v>
      </c>
      <c r="F1308" s="378">
        <v>6295000</v>
      </c>
      <c r="G1308" s="378">
        <v>1636100</v>
      </c>
      <c r="H1308" s="378">
        <v>0</v>
      </c>
      <c r="I1308" s="378">
        <v>7931100</v>
      </c>
      <c r="J1308">
        <f t="shared" si="22"/>
        <v>8</v>
      </c>
    </row>
    <row r="1309" spans="1:10" ht="15" customHeight="1" x14ac:dyDescent="0.25">
      <c r="A1309" s="380">
        <v>25500602</v>
      </c>
      <c r="B1309" s="381" t="s">
        <v>321</v>
      </c>
      <c r="C1309" s="381" t="s">
        <v>1268</v>
      </c>
      <c r="D1309" s="381" t="s">
        <v>491</v>
      </c>
      <c r="E1309" s="381" t="s">
        <v>1267</v>
      </c>
      <c r="F1309" s="378">
        <v>6295000</v>
      </c>
      <c r="G1309" s="378">
        <v>1636100</v>
      </c>
      <c r="H1309" s="378">
        <v>0</v>
      </c>
      <c r="I1309" s="378">
        <v>7931100</v>
      </c>
      <c r="J1309">
        <f t="shared" si="22"/>
        <v>8</v>
      </c>
    </row>
    <row r="1310" spans="1:10" ht="15" customHeight="1" x14ac:dyDescent="0.25">
      <c r="A1310" s="380">
        <v>255010</v>
      </c>
      <c r="B1310" s="381" t="s">
        <v>321</v>
      </c>
      <c r="C1310" s="381" t="s">
        <v>1269</v>
      </c>
      <c r="D1310" s="381" t="s">
        <v>315</v>
      </c>
      <c r="E1310" s="381" t="s">
        <v>315</v>
      </c>
      <c r="F1310" s="378">
        <v>-2742200</v>
      </c>
      <c r="G1310" s="378">
        <v>2742200</v>
      </c>
      <c r="H1310" s="378">
        <v>2596400</v>
      </c>
      <c r="I1310" s="378">
        <v>-2596400</v>
      </c>
      <c r="J1310">
        <f t="shared" si="22"/>
        <v>6</v>
      </c>
    </row>
    <row r="1311" spans="1:10" ht="15" customHeight="1" x14ac:dyDescent="0.25">
      <c r="A1311" s="380">
        <v>25501001</v>
      </c>
      <c r="B1311" s="381" t="s">
        <v>321</v>
      </c>
      <c r="C1311" s="381" t="s">
        <v>1269</v>
      </c>
      <c r="D1311" s="381" t="s">
        <v>315</v>
      </c>
      <c r="E1311" s="381" t="s">
        <v>315</v>
      </c>
      <c r="F1311" s="378">
        <v>-13920600</v>
      </c>
      <c r="G1311" s="378">
        <v>0</v>
      </c>
      <c r="H1311" s="378">
        <v>2596400</v>
      </c>
      <c r="I1311" s="378">
        <v>-16517000</v>
      </c>
      <c r="J1311">
        <f t="shared" si="22"/>
        <v>8</v>
      </c>
    </row>
    <row r="1312" spans="1:10" ht="15" customHeight="1" x14ac:dyDescent="0.25">
      <c r="A1312" s="380">
        <v>25501001</v>
      </c>
      <c r="B1312" s="381" t="s">
        <v>321</v>
      </c>
      <c r="C1312" s="381" t="s">
        <v>1269</v>
      </c>
      <c r="D1312" s="381" t="s">
        <v>356</v>
      </c>
      <c r="E1312" s="381" t="s">
        <v>357</v>
      </c>
      <c r="F1312" s="378">
        <v>-1903400</v>
      </c>
      <c r="G1312" s="378">
        <v>0</v>
      </c>
      <c r="H1312" s="378">
        <v>0</v>
      </c>
      <c r="I1312" s="378">
        <v>-1903400</v>
      </c>
      <c r="J1312">
        <f t="shared" si="22"/>
        <v>8</v>
      </c>
    </row>
    <row r="1313" spans="1:10" ht="15" customHeight="1" x14ac:dyDescent="0.25">
      <c r="A1313" s="380">
        <v>25501001</v>
      </c>
      <c r="B1313" s="381" t="s">
        <v>321</v>
      </c>
      <c r="C1313" s="381" t="s">
        <v>1269</v>
      </c>
      <c r="D1313" s="381" t="s">
        <v>1246</v>
      </c>
      <c r="E1313" s="381" t="s">
        <v>1247</v>
      </c>
      <c r="F1313" s="378">
        <v>-12500</v>
      </c>
      <c r="G1313" s="378">
        <v>0</v>
      </c>
      <c r="H1313" s="378">
        <v>0</v>
      </c>
      <c r="I1313" s="378">
        <v>-12500</v>
      </c>
      <c r="J1313">
        <f t="shared" si="22"/>
        <v>8</v>
      </c>
    </row>
    <row r="1314" spans="1:10" ht="15" customHeight="1" x14ac:dyDescent="0.25">
      <c r="A1314" s="380">
        <v>25501001</v>
      </c>
      <c r="B1314" s="381" t="s">
        <v>321</v>
      </c>
      <c r="C1314" s="381" t="s">
        <v>1269</v>
      </c>
      <c r="D1314" s="381" t="s">
        <v>1194</v>
      </c>
      <c r="E1314" s="381" t="s">
        <v>1195</v>
      </c>
      <c r="F1314" s="378">
        <v>-376700</v>
      </c>
      <c r="G1314" s="378">
        <v>0</v>
      </c>
      <c r="H1314" s="378">
        <v>77800</v>
      </c>
      <c r="I1314" s="378">
        <v>-454500</v>
      </c>
      <c r="J1314">
        <f t="shared" si="22"/>
        <v>8</v>
      </c>
    </row>
    <row r="1315" spans="1:10" ht="15" customHeight="1" x14ac:dyDescent="0.25">
      <c r="A1315" s="380">
        <v>25501001</v>
      </c>
      <c r="B1315" s="381" t="s">
        <v>321</v>
      </c>
      <c r="C1315" s="381" t="s">
        <v>1269</v>
      </c>
      <c r="D1315" s="381" t="s">
        <v>779</v>
      </c>
      <c r="E1315" s="381" t="s">
        <v>780</v>
      </c>
      <c r="F1315" s="378">
        <v>-89600</v>
      </c>
      <c r="G1315" s="378">
        <v>0</v>
      </c>
      <c r="H1315" s="378">
        <v>95500</v>
      </c>
      <c r="I1315" s="378">
        <v>-185100</v>
      </c>
      <c r="J1315">
        <f t="shared" si="22"/>
        <v>8</v>
      </c>
    </row>
    <row r="1316" spans="1:10" ht="15" customHeight="1" x14ac:dyDescent="0.25">
      <c r="A1316" s="380">
        <v>25501001</v>
      </c>
      <c r="B1316" s="381" t="s">
        <v>321</v>
      </c>
      <c r="C1316" s="381" t="s">
        <v>1269</v>
      </c>
      <c r="D1316" s="381" t="s">
        <v>1219</v>
      </c>
      <c r="E1316" s="381" t="s">
        <v>1220</v>
      </c>
      <c r="F1316" s="378">
        <v>-63100</v>
      </c>
      <c r="G1316" s="378">
        <v>0</v>
      </c>
      <c r="H1316" s="378">
        <v>0</v>
      </c>
      <c r="I1316" s="378">
        <v>-63100</v>
      </c>
      <c r="J1316">
        <f t="shared" si="22"/>
        <v>8</v>
      </c>
    </row>
    <row r="1317" spans="1:10" ht="15" customHeight="1" x14ac:dyDescent="0.25">
      <c r="A1317" s="380">
        <v>25501001</v>
      </c>
      <c r="B1317" s="381" t="s">
        <v>321</v>
      </c>
      <c r="C1317" s="381" t="s">
        <v>1269</v>
      </c>
      <c r="D1317" s="381" t="s">
        <v>774</v>
      </c>
      <c r="E1317" s="381" t="s">
        <v>775</v>
      </c>
      <c r="F1317" s="378">
        <v>-328400</v>
      </c>
      <c r="G1317" s="378">
        <v>0</v>
      </c>
      <c r="H1317" s="378">
        <v>57700</v>
      </c>
      <c r="I1317" s="378">
        <v>-386100</v>
      </c>
      <c r="J1317">
        <f t="shared" si="22"/>
        <v>8</v>
      </c>
    </row>
    <row r="1318" spans="1:10" ht="15" customHeight="1" x14ac:dyDescent="0.25">
      <c r="A1318" s="380">
        <v>25501001</v>
      </c>
      <c r="B1318" s="381" t="s">
        <v>321</v>
      </c>
      <c r="C1318" s="381" t="s">
        <v>1269</v>
      </c>
      <c r="D1318" s="381" t="s">
        <v>1196</v>
      </c>
      <c r="E1318" s="381" t="s">
        <v>1197</v>
      </c>
      <c r="F1318" s="378">
        <v>-383200</v>
      </c>
      <c r="G1318" s="378">
        <v>0</v>
      </c>
      <c r="H1318" s="378">
        <v>66800</v>
      </c>
      <c r="I1318" s="378">
        <v>-450000</v>
      </c>
      <c r="J1318">
        <f t="shared" si="22"/>
        <v>8</v>
      </c>
    </row>
    <row r="1319" spans="1:10" ht="15" customHeight="1" x14ac:dyDescent="0.25">
      <c r="A1319" s="380">
        <v>25501001</v>
      </c>
      <c r="B1319" s="381" t="s">
        <v>321</v>
      </c>
      <c r="C1319" s="381" t="s">
        <v>1269</v>
      </c>
      <c r="D1319" s="381" t="s">
        <v>1078</v>
      </c>
      <c r="E1319" s="381" t="s">
        <v>1079</v>
      </c>
      <c r="F1319" s="378">
        <v>-772000</v>
      </c>
      <c r="G1319" s="378">
        <v>0</v>
      </c>
      <c r="H1319" s="378">
        <v>210000</v>
      </c>
      <c r="I1319" s="378">
        <v>-982000</v>
      </c>
      <c r="J1319">
        <f t="shared" si="22"/>
        <v>8</v>
      </c>
    </row>
    <row r="1320" spans="1:10" ht="15" customHeight="1" x14ac:dyDescent="0.25">
      <c r="A1320" s="380">
        <v>25501001</v>
      </c>
      <c r="B1320" s="381" t="s">
        <v>321</v>
      </c>
      <c r="C1320" s="381" t="s">
        <v>1269</v>
      </c>
      <c r="D1320" s="381" t="s">
        <v>781</v>
      </c>
      <c r="E1320" s="381" t="s">
        <v>782</v>
      </c>
      <c r="F1320" s="378">
        <v>-459600</v>
      </c>
      <c r="G1320" s="378">
        <v>0</v>
      </c>
      <c r="H1320" s="378">
        <v>87600</v>
      </c>
      <c r="I1320" s="378">
        <v>-547200</v>
      </c>
      <c r="J1320">
        <f t="shared" si="22"/>
        <v>8</v>
      </c>
    </row>
    <row r="1321" spans="1:10" ht="15" customHeight="1" x14ac:dyDescent="0.25">
      <c r="A1321" s="380">
        <v>25501001</v>
      </c>
      <c r="B1321" s="381" t="s">
        <v>321</v>
      </c>
      <c r="C1321" s="381" t="s">
        <v>1269</v>
      </c>
      <c r="D1321" s="381" t="s">
        <v>728</v>
      </c>
      <c r="E1321" s="381" t="s">
        <v>729</v>
      </c>
      <c r="F1321" s="378">
        <v>-437200</v>
      </c>
      <c r="G1321" s="378">
        <v>0</v>
      </c>
      <c r="H1321" s="378">
        <v>89000</v>
      </c>
      <c r="I1321" s="378">
        <v>-526200</v>
      </c>
      <c r="J1321">
        <f t="shared" si="22"/>
        <v>8</v>
      </c>
    </row>
    <row r="1322" spans="1:10" ht="15" customHeight="1" x14ac:dyDescent="0.25">
      <c r="A1322" s="380">
        <v>25501001</v>
      </c>
      <c r="B1322" s="381" t="s">
        <v>321</v>
      </c>
      <c r="C1322" s="381" t="s">
        <v>1269</v>
      </c>
      <c r="D1322" s="381" t="s">
        <v>783</v>
      </c>
      <c r="E1322" s="381" t="s">
        <v>784</v>
      </c>
      <c r="F1322" s="378">
        <v>-323900</v>
      </c>
      <c r="G1322" s="378">
        <v>0</v>
      </c>
      <c r="H1322" s="378">
        <v>66200</v>
      </c>
      <c r="I1322" s="378">
        <v>-390100</v>
      </c>
      <c r="J1322">
        <f t="shared" si="22"/>
        <v>8</v>
      </c>
    </row>
    <row r="1323" spans="1:10" ht="15" customHeight="1" x14ac:dyDescent="0.25">
      <c r="A1323" s="380">
        <v>25501001</v>
      </c>
      <c r="B1323" s="381" t="s">
        <v>321</v>
      </c>
      <c r="C1323" s="381" t="s">
        <v>1269</v>
      </c>
      <c r="D1323" s="381" t="s">
        <v>797</v>
      </c>
      <c r="E1323" s="381" t="s">
        <v>798</v>
      </c>
      <c r="F1323" s="378">
        <v>-320800</v>
      </c>
      <c r="G1323" s="378">
        <v>0</v>
      </c>
      <c r="H1323" s="378">
        <v>60300</v>
      </c>
      <c r="I1323" s="378">
        <v>-381100</v>
      </c>
      <c r="J1323">
        <f t="shared" si="22"/>
        <v>8</v>
      </c>
    </row>
    <row r="1324" spans="1:10" ht="15" customHeight="1" x14ac:dyDescent="0.25">
      <c r="A1324" s="380">
        <v>25501001</v>
      </c>
      <c r="B1324" s="381" t="s">
        <v>321</v>
      </c>
      <c r="C1324" s="381" t="s">
        <v>1269</v>
      </c>
      <c r="D1324" s="381" t="s">
        <v>1221</v>
      </c>
      <c r="E1324" s="381" t="s">
        <v>1494</v>
      </c>
      <c r="F1324" s="378">
        <v>-368600</v>
      </c>
      <c r="G1324" s="378">
        <v>0</v>
      </c>
      <c r="H1324" s="378">
        <v>0</v>
      </c>
      <c r="I1324" s="378">
        <v>-368600</v>
      </c>
      <c r="J1324">
        <f t="shared" si="22"/>
        <v>8</v>
      </c>
    </row>
    <row r="1325" spans="1:10" ht="15" customHeight="1" x14ac:dyDescent="0.25">
      <c r="A1325" s="380">
        <v>25501001</v>
      </c>
      <c r="B1325" s="381" t="s">
        <v>321</v>
      </c>
      <c r="C1325" s="381" t="s">
        <v>1269</v>
      </c>
      <c r="D1325" s="381" t="s">
        <v>1222</v>
      </c>
      <c r="E1325" s="381" t="s">
        <v>1223</v>
      </c>
      <c r="F1325" s="378">
        <v>-62400</v>
      </c>
      <c r="G1325" s="378">
        <v>0</v>
      </c>
      <c r="H1325" s="378">
        <v>0</v>
      </c>
      <c r="I1325" s="378">
        <v>-62400</v>
      </c>
      <c r="J1325">
        <f t="shared" si="22"/>
        <v>8</v>
      </c>
    </row>
    <row r="1326" spans="1:10" ht="15" customHeight="1" x14ac:dyDescent="0.25">
      <c r="A1326" s="380">
        <v>25501001</v>
      </c>
      <c r="B1326" s="381" t="s">
        <v>321</v>
      </c>
      <c r="C1326" s="381" t="s">
        <v>1269</v>
      </c>
      <c r="D1326" s="381" t="s">
        <v>1198</v>
      </c>
      <c r="E1326" s="381" t="s">
        <v>1199</v>
      </c>
      <c r="F1326" s="378">
        <v>-88800</v>
      </c>
      <c r="G1326" s="378">
        <v>0</v>
      </c>
      <c r="H1326" s="378">
        <v>62700</v>
      </c>
      <c r="I1326" s="378">
        <v>-151500</v>
      </c>
      <c r="J1326">
        <f t="shared" si="22"/>
        <v>8</v>
      </c>
    </row>
    <row r="1327" spans="1:10" ht="15" customHeight="1" x14ac:dyDescent="0.25">
      <c r="A1327" s="380">
        <v>25501001</v>
      </c>
      <c r="B1327" s="381" t="s">
        <v>321</v>
      </c>
      <c r="C1327" s="381" t="s">
        <v>1269</v>
      </c>
      <c r="D1327" s="381" t="s">
        <v>753</v>
      </c>
      <c r="E1327" s="381" t="s">
        <v>754</v>
      </c>
      <c r="F1327" s="378">
        <v>-104000</v>
      </c>
      <c r="G1327" s="378">
        <v>0</v>
      </c>
      <c r="H1327" s="378">
        <v>0</v>
      </c>
      <c r="I1327" s="378">
        <v>-104000</v>
      </c>
      <c r="J1327">
        <f t="shared" si="22"/>
        <v>8</v>
      </c>
    </row>
    <row r="1328" spans="1:10" ht="15" customHeight="1" x14ac:dyDescent="0.25">
      <c r="A1328" s="380">
        <v>25501001</v>
      </c>
      <c r="B1328" s="381" t="s">
        <v>321</v>
      </c>
      <c r="C1328" s="381" t="s">
        <v>1269</v>
      </c>
      <c r="D1328" s="381" t="s">
        <v>1200</v>
      </c>
      <c r="E1328" s="381" t="s">
        <v>1201</v>
      </c>
      <c r="F1328" s="378">
        <v>-300000</v>
      </c>
      <c r="G1328" s="378">
        <v>0</v>
      </c>
      <c r="H1328" s="378">
        <v>72400</v>
      </c>
      <c r="I1328" s="378">
        <v>-372400</v>
      </c>
      <c r="J1328">
        <f t="shared" si="22"/>
        <v>8</v>
      </c>
    </row>
    <row r="1329" spans="1:10" ht="15" customHeight="1" x14ac:dyDescent="0.25">
      <c r="A1329" s="380">
        <v>25501001</v>
      </c>
      <c r="B1329" s="381" t="s">
        <v>321</v>
      </c>
      <c r="C1329" s="381" t="s">
        <v>1269</v>
      </c>
      <c r="D1329" s="381" t="s">
        <v>786</v>
      </c>
      <c r="E1329" s="381" t="s">
        <v>787</v>
      </c>
      <c r="F1329" s="378">
        <v>-508900</v>
      </c>
      <c r="G1329" s="378">
        <v>0</v>
      </c>
      <c r="H1329" s="378">
        <v>99200</v>
      </c>
      <c r="I1329" s="378">
        <v>-608100</v>
      </c>
      <c r="J1329">
        <f t="shared" si="22"/>
        <v>8</v>
      </c>
    </row>
    <row r="1330" spans="1:10" ht="15" customHeight="1" x14ac:dyDescent="0.25">
      <c r="A1330" s="380">
        <v>25501001</v>
      </c>
      <c r="B1330" s="381" t="s">
        <v>321</v>
      </c>
      <c r="C1330" s="381" t="s">
        <v>1269</v>
      </c>
      <c r="D1330" s="381" t="s">
        <v>1224</v>
      </c>
      <c r="E1330" s="381" t="s">
        <v>1225</v>
      </c>
      <c r="F1330" s="378">
        <v>-370600</v>
      </c>
      <c r="G1330" s="378">
        <v>0</v>
      </c>
      <c r="H1330" s="378">
        <v>86600</v>
      </c>
      <c r="I1330" s="378">
        <v>-457200</v>
      </c>
      <c r="J1330">
        <f t="shared" si="22"/>
        <v>8</v>
      </c>
    </row>
    <row r="1331" spans="1:10" ht="15" customHeight="1" x14ac:dyDescent="0.25">
      <c r="A1331" s="380">
        <v>25501001</v>
      </c>
      <c r="B1331" s="381" t="s">
        <v>321</v>
      </c>
      <c r="C1331" s="381" t="s">
        <v>1269</v>
      </c>
      <c r="D1331" s="381" t="s">
        <v>1226</v>
      </c>
      <c r="E1331" s="381" t="s">
        <v>1227</v>
      </c>
      <c r="F1331" s="378">
        <v>-23800</v>
      </c>
      <c r="G1331" s="378">
        <v>0</v>
      </c>
      <c r="H1331" s="378">
        <v>0</v>
      </c>
      <c r="I1331" s="378">
        <v>-23800</v>
      </c>
      <c r="J1331">
        <f t="shared" si="22"/>
        <v>8</v>
      </c>
    </row>
    <row r="1332" spans="1:10" ht="15" customHeight="1" x14ac:dyDescent="0.25">
      <c r="A1332" s="380">
        <v>25501001</v>
      </c>
      <c r="B1332" s="381" t="s">
        <v>321</v>
      </c>
      <c r="C1332" s="381" t="s">
        <v>1269</v>
      </c>
      <c r="D1332" s="381" t="s">
        <v>1202</v>
      </c>
      <c r="E1332" s="381" t="s">
        <v>1203</v>
      </c>
      <c r="F1332" s="378">
        <v>-69900</v>
      </c>
      <c r="G1332" s="378">
        <v>0</v>
      </c>
      <c r="H1332" s="378">
        <v>67800</v>
      </c>
      <c r="I1332" s="378">
        <v>-137700</v>
      </c>
      <c r="J1332">
        <f t="shared" si="22"/>
        <v>8</v>
      </c>
    </row>
    <row r="1333" spans="1:10" ht="15" customHeight="1" x14ac:dyDescent="0.25">
      <c r="A1333" s="380">
        <v>25501001</v>
      </c>
      <c r="B1333" s="381" t="s">
        <v>321</v>
      </c>
      <c r="C1333" s="381" t="s">
        <v>1269</v>
      </c>
      <c r="D1333" s="381" t="s">
        <v>1228</v>
      </c>
      <c r="E1333" s="381" t="s">
        <v>1229</v>
      </c>
      <c r="F1333" s="378">
        <v>-72400</v>
      </c>
      <c r="G1333" s="378">
        <v>0</v>
      </c>
      <c r="H1333" s="378">
        <v>53400</v>
      </c>
      <c r="I1333" s="378">
        <v>-125800</v>
      </c>
      <c r="J1333">
        <f t="shared" si="22"/>
        <v>8</v>
      </c>
    </row>
    <row r="1334" spans="1:10" ht="15" customHeight="1" x14ac:dyDescent="0.25">
      <c r="A1334" s="380">
        <v>25501001</v>
      </c>
      <c r="B1334" s="381" t="s">
        <v>321</v>
      </c>
      <c r="C1334" s="381" t="s">
        <v>1269</v>
      </c>
      <c r="D1334" s="381" t="s">
        <v>1086</v>
      </c>
      <c r="E1334" s="381" t="s">
        <v>1087</v>
      </c>
      <c r="F1334" s="378">
        <v>-343200</v>
      </c>
      <c r="G1334" s="378">
        <v>0</v>
      </c>
      <c r="H1334" s="378">
        <v>68100</v>
      </c>
      <c r="I1334" s="378">
        <v>-411300</v>
      </c>
      <c r="J1334">
        <f t="shared" si="22"/>
        <v>8</v>
      </c>
    </row>
    <row r="1335" spans="1:10" ht="15" customHeight="1" x14ac:dyDescent="0.25">
      <c r="A1335" s="380">
        <v>25501001</v>
      </c>
      <c r="B1335" s="381" t="s">
        <v>321</v>
      </c>
      <c r="C1335" s="381" t="s">
        <v>1269</v>
      </c>
      <c r="D1335" s="381" t="s">
        <v>404</v>
      </c>
      <c r="E1335" s="381" t="s">
        <v>1230</v>
      </c>
      <c r="F1335" s="378">
        <v>-126700</v>
      </c>
      <c r="G1335" s="378">
        <v>0</v>
      </c>
      <c r="H1335" s="378">
        <v>60800</v>
      </c>
      <c r="I1335" s="378">
        <v>-187500</v>
      </c>
      <c r="J1335">
        <f t="shared" si="22"/>
        <v>8</v>
      </c>
    </row>
    <row r="1336" spans="1:10" ht="15" customHeight="1" x14ac:dyDescent="0.25">
      <c r="A1336" s="380">
        <v>25501001</v>
      </c>
      <c r="B1336" s="381" t="s">
        <v>321</v>
      </c>
      <c r="C1336" s="381" t="s">
        <v>1269</v>
      </c>
      <c r="D1336" s="381" t="s">
        <v>1204</v>
      </c>
      <c r="E1336" s="381" t="s">
        <v>1205</v>
      </c>
      <c r="F1336" s="378">
        <v>-79300</v>
      </c>
      <c r="G1336" s="378">
        <v>0</v>
      </c>
      <c r="H1336" s="378">
        <v>62000</v>
      </c>
      <c r="I1336" s="378">
        <v>-141300</v>
      </c>
      <c r="J1336">
        <f t="shared" si="22"/>
        <v>8</v>
      </c>
    </row>
    <row r="1337" spans="1:10" ht="15" customHeight="1" x14ac:dyDescent="0.25">
      <c r="A1337" s="380">
        <v>25501001</v>
      </c>
      <c r="B1337" s="381" t="s">
        <v>321</v>
      </c>
      <c r="C1337" s="381" t="s">
        <v>1269</v>
      </c>
      <c r="D1337" s="381" t="s">
        <v>1231</v>
      </c>
      <c r="E1337" s="381" t="s">
        <v>1232</v>
      </c>
      <c r="F1337" s="378">
        <v>-75900</v>
      </c>
      <c r="G1337" s="378">
        <v>0</v>
      </c>
      <c r="H1337" s="378">
        <v>0</v>
      </c>
      <c r="I1337" s="378">
        <v>-75900</v>
      </c>
      <c r="J1337">
        <f t="shared" si="22"/>
        <v>8</v>
      </c>
    </row>
    <row r="1338" spans="1:10" ht="15" customHeight="1" x14ac:dyDescent="0.25">
      <c r="A1338" s="380">
        <v>25501001</v>
      </c>
      <c r="B1338" s="381" t="s">
        <v>321</v>
      </c>
      <c r="C1338" s="381" t="s">
        <v>1269</v>
      </c>
      <c r="D1338" s="381" t="s">
        <v>788</v>
      </c>
      <c r="E1338" s="381" t="s">
        <v>789</v>
      </c>
      <c r="F1338" s="378">
        <v>-578300</v>
      </c>
      <c r="G1338" s="378">
        <v>0</v>
      </c>
      <c r="H1338" s="378">
        <v>114700</v>
      </c>
      <c r="I1338" s="378">
        <v>-693000</v>
      </c>
      <c r="J1338">
        <f t="shared" si="22"/>
        <v>8</v>
      </c>
    </row>
    <row r="1339" spans="1:10" ht="15" customHeight="1" x14ac:dyDescent="0.25">
      <c r="A1339" s="380">
        <v>25501001</v>
      </c>
      <c r="B1339" s="381" t="s">
        <v>321</v>
      </c>
      <c r="C1339" s="381" t="s">
        <v>1269</v>
      </c>
      <c r="D1339" s="381" t="s">
        <v>1206</v>
      </c>
      <c r="E1339" s="381" t="s">
        <v>1207</v>
      </c>
      <c r="F1339" s="378">
        <v>-291400</v>
      </c>
      <c r="G1339" s="378">
        <v>0</v>
      </c>
      <c r="H1339" s="378">
        <v>76800</v>
      </c>
      <c r="I1339" s="378">
        <v>-368200</v>
      </c>
      <c r="J1339">
        <f t="shared" si="22"/>
        <v>8</v>
      </c>
    </row>
    <row r="1340" spans="1:10" ht="15" customHeight="1" x14ac:dyDescent="0.25">
      <c r="A1340" s="380">
        <v>25501001</v>
      </c>
      <c r="B1340" s="381" t="s">
        <v>321</v>
      </c>
      <c r="C1340" s="381" t="s">
        <v>1269</v>
      </c>
      <c r="D1340" s="381" t="s">
        <v>1088</v>
      </c>
      <c r="E1340" s="381" t="s">
        <v>1089</v>
      </c>
      <c r="F1340" s="378">
        <v>-179100</v>
      </c>
      <c r="G1340" s="378">
        <v>0</v>
      </c>
      <c r="H1340" s="378">
        <v>30500</v>
      </c>
      <c r="I1340" s="378">
        <v>-209600</v>
      </c>
      <c r="J1340">
        <f t="shared" si="22"/>
        <v>8</v>
      </c>
    </row>
    <row r="1341" spans="1:10" ht="15" customHeight="1" x14ac:dyDescent="0.25">
      <c r="A1341" s="380">
        <v>25501001</v>
      </c>
      <c r="B1341" s="381" t="s">
        <v>321</v>
      </c>
      <c r="C1341" s="381" t="s">
        <v>1269</v>
      </c>
      <c r="D1341" s="381" t="s">
        <v>776</v>
      </c>
      <c r="E1341" s="381" t="s">
        <v>777</v>
      </c>
      <c r="F1341" s="378">
        <v>-400200</v>
      </c>
      <c r="G1341" s="378">
        <v>0</v>
      </c>
      <c r="H1341" s="378">
        <v>51400</v>
      </c>
      <c r="I1341" s="378">
        <v>-451600</v>
      </c>
      <c r="J1341">
        <f t="shared" si="22"/>
        <v>8</v>
      </c>
    </row>
    <row r="1342" spans="1:10" ht="15" customHeight="1" x14ac:dyDescent="0.25">
      <c r="A1342" s="380">
        <v>25501001</v>
      </c>
      <c r="B1342" s="381" t="s">
        <v>321</v>
      </c>
      <c r="C1342" s="381" t="s">
        <v>1269</v>
      </c>
      <c r="D1342" s="381" t="s">
        <v>790</v>
      </c>
      <c r="E1342" s="381" t="s">
        <v>791</v>
      </c>
      <c r="F1342" s="378">
        <v>-366500</v>
      </c>
      <c r="G1342" s="378">
        <v>0</v>
      </c>
      <c r="H1342" s="378">
        <v>83500</v>
      </c>
      <c r="I1342" s="378">
        <v>-450000</v>
      </c>
      <c r="J1342">
        <f t="shared" si="22"/>
        <v>8</v>
      </c>
    </row>
    <row r="1343" spans="1:10" ht="15" customHeight="1" x14ac:dyDescent="0.25">
      <c r="A1343" s="380">
        <v>25501001</v>
      </c>
      <c r="B1343" s="381" t="s">
        <v>321</v>
      </c>
      <c r="C1343" s="381" t="s">
        <v>1269</v>
      </c>
      <c r="D1343" s="381" t="s">
        <v>1233</v>
      </c>
      <c r="E1343" s="381" t="s">
        <v>1234</v>
      </c>
      <c r="F1343" s="378">
        <v>-245000</v>
      </c>
      <c r="G1343" s="378">
        <v>0</v>
      </c>
      <c r="H1343" s="378">
        <v>0</v>
      </c>
      <c r="I1343" s="378">
        <v>-245000</v>
      </c>
      <c r="J1343">
        <f t="shared" si="22"/>
        <v>8</v>
      </c>
    </row>
    <row r="1344" spans="1:10" ht="15" customHeight="1" x14ac:dyDescent="0.25">
      <c r="A1344" s="380">
        <v>25501001</v>
      </c>
      <c r="B1344" s="381" t="s">
        <v>321</v>
      </c>
      <c r="C1344" s="381" t="s">
        <v>1269</v>
      </c>
      <c r="D1344" s="381" t="s">
        <v>1235</v>
      </c>
      <c r="E1344" s="381" t="s">
        <v>1236</v>
      </c>
      <c r="F1344" s="378">
        <v>-36700</v>
      </c>
      <c r="G1344" s="378">
        <v>0</v>
      </c>
      <c r="H1344" s="378">
        <v>0</v>
      </c>
      <c r="I1344" s="378">
        <v>-36700</v>
      </c>
      <c r="J1344">
        <f t="shared" si="22"/>
        <v>8</v>
      </c>
    </row>
    <row r="1345" spans="1:10" ht="15" customHeight="1" x14ac:dyDescent="0.25">
      <c r="A1345" s="380">
        <v>25501001</v>
      </c>
      <c r="B1345" s="381" t="s">
        <v>321</v>
      </c>
      <c r="C1345" s="381" t="s">
        <v>1269</v>
      </c>
      <c r="D1345" s="381" t="s">
        <v>1208</v>
      </c>
      <c r="E1345" s="381" t="s">
        <v>1209</v>
      </c>
      <c r="F1345" s="378">
        <v>-372900</v>
      </c>
      <c r="G1345" s="378">
        <v>0</v>
      </c>
      <c r="H1345" s="378">
        <v>70500</v>
      </c>
      <c r="I1345" s="378">
        <v>-443400</v>
      </c>
      <c r="J1345">
        <f t="shared" si="22"/>
        <v>8</v>
      </c>
    </row>
    <row r="1346" spans="1:10" ht="15" customHeight="1" x14ac:dyDescent="0.25">
      <c r="A1346" s="380">
        <v>25501001</v>
      </c>
      <c r="B1346" s="381" t="s">
        <v>321</v>
      </c>
      <c r="C1346" s="381" t="s">
        <v>1269</v>
      </c>
      <c r="D1346" s="381" t="s">
        <v>1237</v>
      </c>
      <c r="E1346" s="381" t="s">
        <v>1238</v>
      </c>
      <c r="F1346" s="378">
        <v>-89900</v>
      </c>
      <c r="G1346" s="378">
        <v>0</v>
      </c>
      <c r="H1346" s="378">
        <v>78900</v>
      </c>
      <c r="I1346" s="378">
        <v>-168800</v>
      </c>
      <c r="J1346">
        <f t="shared" si="22"/>
        <v>8</v>
      </c>
    </row>
    <row r="1347" spans="1:10" ht="15" customHeight="1" x14ac:dyDescent="0.25">
      <c r="A1347" s="380">
        <v>25501001</v>
      </c>
      <c r="B1347" s="381" t="s">
        <v>321</v>
      </c>
      <c r="C1347" s="381" t="s">
        <v>1269</v>
      </c>
      <c r="D1347" s="381" t="s">
        <v>1239</v>
      </c>
      <c r="E1347" s="381" t="s">
        <v>1240</v>
      </c>
      <c r="F1347" s="378">
        <v>-347800</v>
      </c>
      <c r="G1347" s="378">
        <v>0</v>
      </c>
      <c r="H1347" s="378">
        <v>0</v>
      </c>
      <c r="I1347" s="378">
        <v>-347800</v>
      </c>
      <c r="J1347">
        <f t="shared" si="22"/>
        <v>8</v>
      </c>
    </row>
    <row r="1348" spans="1:10" ht="15" customHeight="1" x14ac:dyDescent="0.25">
      <c r="A1348" s="380">
        <v>25501001</v>
      </c>
      <c r="B1348" s="381" t="s">
        <v>321</v>
      </c>
      <c r="C1348" s="381" t="s">
        <v>1269</v>
      </c>
      <c r="D1348" s="381" t="s">
        <v>1248</v>
      </c>
      <c r="E1348" s="381" t="s">
        <v>1249</v>
      </c>
      <c r="F1348" s="378">
        <v>-9900</v>
      </c>
      <c r="G1348" s="378">
        <v>0</v>
      </c>
      <c r="H1348" s="378">
        <v>0</v>
      </c>
      <c r="I1348" s="378">
        <v>-9900</v>
      </c>
      <c r="J1348">
        <f t="shared" si="22"/>
        <v>8</v>
      </c>
    </row>
    <row r="1349" spans="1:10" ht="15" customHeight="1" x14ac:dyDescent="0.25">
      <c r="A1349" s="380">
        <v>25501001</v>
      </c>
      <c r="B1349" s="381" t="s">
        <v>321</v>
      </c>
      <c r="C1349" s="381" t="s">
        <v>1269</v>
      </c>
      <c r="D1349" s="381" t="s">
        <v>1210</v>
      </c>
      <c r="E1349" s="381" t="s">
        <v>1211</v>
      </c>
      <c r="F1349" s="378">
        <v>-327300</v>
      </c>
      <c r="G1349" s="378">
        <v>0</v>
      </c>
      <c r="H1349" s="378">
        <v>60800</v>
      </c>
      <c r="I1349" s="378">
        <v>-388100</v>
      </c>
      <c r="J1349">
        <f t="shared" si="22"/>
        <v>8</v>
      </c>
    </row>
    <row r="1350" spans="1:10" ht="15" customHeight="1" x14ac:dyDescent="0.25">
      <c r="A1350" s="380">
        <v>25501001</v>
      </c>
      <c r="B1350" s="381" t="s">
        <v>321</v>
      </c>
      <c r="C1350" s="381" t="s">
        <v>1269</v>
      </c>
      <c r="D1350" s="381" t="s">
        <v>1090</v>
      </c>
      <c r="E1350" s="381" t="s">
        <v>1091</v>
      </c>
      <c r="F1350" s="378">
        <v>-261200</v>
      </c>
      <c r="G1350" s="378">
        <v>0</v>
      </c>
      <c r="H1350" s="378">
        <v>99000</v>
      </c>
      <c r="I1350" s="378">
        <v>-360200</v>
      </c>
      <c r="J1350">
        <f t="shared" si="22"/>
        <v>8</v>
      </c>
    </row>
    <row r="1351" spans="1:10" ht="15" customHeight="1" x14ac:dyDescent="0.25">
      <c r="A1351" s="380">
        <v>25501001</v>
      </c>
      <c r="B1351" s="381" t="s">
        <v>321</v>
      </c>
      <c r="C1351" s="381" t="s">
        <v>1269</v>
      </c>
      <c r="D1351" s="381" t="s">
        <v>1241</v>
      </c>
      <c r="E1351" s="381" t="s">
        <v>1242</v>
      </c>
      <c r="F1351" s="378">
        <v>-133000</v>
      </c>
      <c r="G1351" s="378">
        <v>0</v>
      </c>
      <c r="H1351" s="378">
        <v>62400</v>
      </c>
      <c r="I1351" s="378">
        <v>-195400</v>
      </c>
      <c r="J1351">
        <f t="shared" si="22"/>
        <v>8</v>
      </c>
    </row>
    <row r="1352" spans="1:10" ht="15" customHeight="1" x14ac:dyDescent="0.25">
      <c r="A1352" s="380">
        <v>25501001</v>
      </c>
      <c r="B1352" s="381" t="s">
        <v>321</v>
      </c>
      <c r="C1352" s="381" t="s">
        <v>1269</v>
      </c>
      <c r="D1352" s="381" t="s">
        <v>792</v>
      </c>
      <c r="E1352" s="381" t="s">
        <v>793</v>
      </c>
      <c r="F1352" s="378">
        <v>-401700</v>
      </c>
      <c r="G1352" s="378">
        <v>0</v>
      </c>
      <c r="H1352" s="378">
        <v>87500</v>
      </c>
      <c r="I1352" s="378">
        <v>-489200</v>
      </c>
      <c r="J1352">
        <f t="shared" si="22"/>
        <v>8</v>
      </c>
    </row>
    <row r="1353" spans="1:10" ht="15" customHeight="1" x14ac:dyDescent="0.25">
      <c r="A1353" s="380">
        <v>25501001</v>
      </c>
      <c r="B1353" s="381" t="s">
        <v>321</v>
      </c>
      <c r="C1353" s="381" t="s">
        <v>1269</v>
      </c>
      <c r="D1353" s="381" t="s">
        <v>794</v>
      </c>
      <c r="E1353" s="381" t="s">
        <v>795</v>
      </c>
      <c r="F1353" s="378">
        <v>-419800</v>
      </c>
      <c r="G1353" s="378">
        <v>0</v>
      </c>
      <c r="H1353" s="378">
        <v>83400</v>
      </c>
      <c r="I1353" s="378">
        <v>-503200</v>
      </c>
      <c r="J1353">
        <f t="shared" si="22"/>
        <v>8</v>
      </c>
    </row>
    <row r="1354" spans="1:10" ht="15" customHeight="1" x14ac:dyDescent="0.25">
      <c r="A1354" s="380">
        <v>25501001</v>
      </c>
      <c r="B1354" s="381" t="s">
        <v>321</v>
      </c>
      <c r="C1354" s="381" t="s">
        <v>1269</v>
      </c>
      <c r="D1354" s="381" t="s">
        <v>1212</v>
      </c>
      <c r="E1354" s="381" t="s">
        <v>1213</v>
      </c>
      <c r="F1354" s="378">
        <v>0</v>
      </c>
      <c r="G1354" s="378">
        <v>0</v>
      </c>
      <c r="H1354" s="378">
        <v>41800</v>
      </c>
      <c r="I1354" s="378">
        <v>-41800</v>
      </c>
      <c r="J1354">
        <f t="shared" si="22"/>
        <v>8</v>
      </c>
    </row>
    <row r="1355" spans="1:10" ht="15" customHeight="1" x14ac:dyDescent="0.25">
      <c r="A1355" s="380">
        <v>25501001</v>
      </c>
      <c r="B1355" s="381" t="s">
        <v>321</v>
      </c>
      <c r="C1355" s="381" t="s">
        <v>1269</v>
      </c>
      <c r="D1355" s="381" t="s">
        <v>1092</v>
      </c>
      <c r="E1355" s="381" t="s">
        <v>1093</v>
      </c>
      <c r="F1355" s="378">
        <v>-398300</v>
      </c>
      <c r="G1355" s="378">
        <v>0</v>
      </c>
      <c r="H1355" s="378">
        <v>63400</v>
      </c>
      <c r="I1355" s="378">
        <v>-461700</v>
      </c>
      <c r="J1355">
        <f t="shared" si="22"/>
        <v>8</v>
      </c>
    </row>
    <row r="1356" spans="1:10" ht="15" customHeight="1" x14ac:dyDescent="0.25">
      <c r="A1356" s="380">
        <v>25501001</v>
      </c>
      <c r="B1356" s="381" t="s">
        <v>321</v>
      </c>
      <c r="C1356" s="381" t="s">
        <v>1269</v>
      </c>
      <c r="D1356" s="381" t="s">
        <v>1243</v>
      </c>
      <c r="E1356" s="381" t="s">
        <v>1244</v>
      </c>
      <c r="F1356" s="378">
        <v>-208600</v>
      </c>
      <c r="G1356" s="378">
        <v>0</v>
      </c>
      <c r="H1356" s="378">
        <v>0</v>
      </c>
      <c r="I1356" s="378">
        <v>-208600</v>
      </c>
      <c r="J1356">
        <f t="shared" si="22"/>
        <v>8</v>
      </c>
    </row>
    <row r="1357" spans="1:10" ht="15" customHeight="1" x14ac:dyDescent="0.25">
      <c r="A1357" s="380">
        <v>25501001</v>
      </c>
      <c r="B1357" s="381" t="s">
        <v>321</v>
      </c>
      <c r="C1357" s="381" t="s">
        <v>1269</v>
      </c>
      <c r="D1357" s="381" t="s">
        <v>1214</v>
      </c>
      <c r="E1357" s="381" t="s">
        <v>1489</v>
      </c>
      <c r="F1357" s="378">
        <v>-463000</v>
      </c>
      <c r="G1357" s="378">
        <v>0</v>
      </c>
      <c r="H1357" s="378">
        <v>87600</v>
      </c>
      <c r="I1357" s="378">
        <v>-550600</v>
      </c>
      <c r="J1357">
        <f t="shared" ref="J1357:J1420" si="23">+LEN(A1357)</f>
        <v>8</v>
      </c>
    </row>
    <row r="1358" spans="1:10" ht="15" customHeight="1" x14ac:dyDescent="0.25">
      <c r="A1358" s="380">
        <v>25501001</v>
      </c>
      <c r="B1358" s="381" t="s">
        <v>321</v>
      </c>
      <c r="C1358" s="381" t="s">
        <v>1269</v>
      </c>
      <c r="D1358" s="381" t="s">
        <v>1094</v>
      </c>
      <c r="E1358" s="381" t="s">
        <v>1095</v>
      </c>
      <c r="F1358" s="378">
        <v>-325100</v>
      </c>
      <c r="G1358" s="378">
        <v>0</v>
      </c>
      <c r="H1358" s="378">
        <v>60300</v>
      </c>
      <c r="I1358" s="378">
        <v>-385400</v>
      </c>
      <c r="J1358">
        <f t="shared" si="23"/>
        <v>8</v>
      </c>
    </row>
    <row r="1359" spans="1:10" ht="15" customHeight="1" x14ac:dyDescent="0.25">
      <c r="A1359" s="380">
        <v>25501002</v>
      </c>
      <c r="B1359" s="381" t="s">
        <v>321</v>
      </c>
      <c r="C1359" s="381" t="s">
        <v>1270</v>
      </c>
      <c r="D1359" s="381" t="s">
        <v>315</v>
      </c>
      <c r="E1359" s="381" t="s">
        <v>315</v>
      </c>
      <c r="F1359" s="378">
        <v>11178400</v>
      </c>
      <c r="G1359" s="378">
        <v>2742200</v>
      </c>
      <c r="H1359" s="378">
        <v>0</v>
      </c>
      <c r="I1359" s="378">
        <v>13920600</v>
      </c>
      <c r="J1359">
        <f t="shared" si="23"/>
        <v>8</v>
      </c>
    </row>
    <row r="1360" spans="1:10" ht="15" customHeight="1" x14ac:dyDescent="0.25">
      <c r="A1360" s="380">
        <v>25501002</v>
      </c>
      <c r="B1360" s="381" t="s">
        <v>321</v>
      </c>
      <c r="C1360" s="381" t="s">
        <v>1270</v>
      </c>
      <c r="D1360" s="381" t="s">
        <v>427</v>
      </c>
      <c r="E1360" s="381" t="s">
        <v>428</v>
      </c>
      <c r="F1360" s="378">
        <v>11178400</v>
      </c>
      <c r="G1360" s="378">
        <v>2742200</v>
      </c>
      <c r="H1360" s="378">
        <v>0</v>
      </c>
      <c r="I1360" s="378">
        <v>13920600</v>
      </c>
      <c r="J1360">
        <f t="shared" si="23"/>
        <v>8</v>
      </c>
    </row>
    <row r="1361" spans="1:10" ht="15" customHeight="1" x14ac:dyDescent="0.25">
      <c r="A1361" s="380">
        <v>255030</v>
      </c>
      <c r="B1361" s="381" t="s">
        <v>315</v>
      </c>
      <c r="C1361" s="381" t="s">
        <v>1271</v>
      </c>
      <c r="D1361" s="381" t="s">
        <v>315</v>
      </c>
      <c r="E1361" s="381" t="s">
        <v>315</v>
      </c>
      <c r="F1361" s="378">
        <v>-10972300</v>
      </c>
      <c r="G1361" s="378">
        <v>10972300</v>
      </c>
      <c r="H1361" s="378">
        <v>10313900</v>
      </c>
      <c r="I1361" s="378">
        <v>-10313900</v>
      </c>
      <c r="J1361">
        <f t="shared" si="23"/>
        <v>6</v>
      </c>
    </row>
    <row r="1362" spans="1:10" ht="15" customHeight="1" x14ac:dyDescent="0.25">
      <c r="A1362" s="380">
        <v>25503001</v>
      </c>
      <c r="B1362" s="381" t="s">
        <v>321</v>
      </c>
      <c r="C1362" s="381" t="s">
        <v>1272</v>
      </c>
      <c r="D1362" s="381" t="s">
        <v>315</v>
      </c>
      <c r="E1362" s="381" t="s">
        <v>315</v>
      </c>
      <c r="F1362" s="378">
        <v>-43700585</v>
      </c>
      <c r="G1362" s="378">
        <v>0</v>
      </c>
      <c r="H1362" s="378">
        <v>7772729</v>
      </c>
      <c r="I1362" s="378">
        <v>-51473314</v>
      </c>
      <c r="J1362">
        <f t="shared" si="23"/>
        <v>8</v>
      </c>
    </row>
    <row r="1363" spans="1:10" ht="15" customHeight="1" x14ac:dyDescent="0.25">
      <c r="A1363" s="380">
        <v>25503001</v>
      </c>
      <c r="B1363" s="381" t="s">
        <v>321</v>
      </c>
      <c r="C1363" s="381" t="s">
        <v>1272</v>
      </c>
      <c r="D1363" s="381" t="s">
        <v>356</v>
      </c>
      <c r="E1363" s="381" t="s">
        <v>357</v>
      </c>
      <c r="F1363" s="378">
        <v>-7862100</v>
      </c>
      <c r="G1363" s="378">
        <v>0</v>
      </c>
      <c r="H1363" s="378">
        <v>0</v>
      </c>
      <c r="I1363" s="378">
        <v>-7862100</v>
      </c>
      <c r="J1363">
        <f t="shared" si="23"/>
        <v>8</v>
      </c>
    </row>
    <row r="1364" spans="1:10" ht="15" customHeight="1" x14ac:dyDescent="0.25">
      <c r="A1364" s="380">
        <v>25503001</v>
      </c>
      <c r="B1364" s="381" t="s">
        <v>321</v>
      </c>
      <c r="C1364" s="381" t="s">
        <v>1272</v>
      </c>
      <c r="D1364" s="381" t="s">
        <v>1246</v>
      </c>
      <c r="E1364" s="381" t="s">
        <v>1247</v>
      </c>
      <c r="F1364" s="378">
        <v>-6672</v>
      </c>
      <c r="G1364" s="378">
        <v>0</v>
      </c>
      <c r="H1364" s="378">
        <v>0</v>
      </c>
      <c r="I1364" s="378">
        <v>-6672</v>
      </c>
      <c r="J1364">
        <f t="shared" si="23"/>
        <v>8</v>
      </c>
    </row>
    <row r="1365" spans="1:10" ht="15" customHeight="1" x14ac:dyDescent="0.25">
      <c r="A1365" s="380">
        <v>25503001</v>
      </c>
      <c r="B1365" s="381" t="s">
        <v>321</v>
      </c>
      <c r="C1365" s="381" t="s">
        <v>1272</v>
      </c>
      <c r="D1365" s="381" t="s">
        <v>1194</v>
      </c>
      <c r="E1365" s="381" t="s">
        <v>1195</v>
      </c>
      <c r="F1365" s="378">
        <v>-1129503</v>
      </c>
      <c r="G1365" s="378">
        <v>0</v>
      </c>
      <c r="H1365" s="378">
        <v>233330</v>
      </c>
      <c r="I1365" s="378">
        <v>-1362833</v>
      </c>
      <c r="J1365">
        <f t="shared" si="23"/>
        <v>8</v>
      </c>
    </row>
    <row r="1366" spans="1:10" ht="15" customHeight="1" x14ac:dyDescent="0.25">
      <c r="A1366" s="380">
        <v>25503001</v>
      </c>
      <c r="B1366" s="381" t="s">
        <v>321</v>
      </c>
      <c r="C1366" s="381" t="s">
        <v>1272</v>
      </c>
      <c r="D1366" s="381" t="s">
        <v>779</v>
      </c>
      <c r="E1366" s="381" t="s">
        <v>780</v>
      </c>
      <c r="F1366" s="378">
        <v>-268812</v>
      </c>
      <c r="G1366" s="378">
        <v>0</v>
      </c>
      <c r="H1366" s="378">
        <v>286297</v>
      </c>
      <c r="I1366" s="378">
        <v>-555109</v>
      </c>
      <c r="J1366">
        <f t="shared" si="23"/>
        <v>8</v>
      </c>
    </row>
    <row r="1367" spans="1:10" ht="15" customHeight="1" x14ac:dyDescent="0.25">
      <c r="A1367" s="380">
        <v>25503001</v>
      </c>
      <c r="B1367" s="381" t="s">
        <v>321</v>
      </c>
      <c r="C1367" s="381" t="s">
        <v>1272</v>
      </c>
      <c r="D1367" s="381" t="s">
        <v>1219</v>
      </c>
      <c r="E1367" s="381" t="s">
        <v>1220</v>
      </c>
      <c r="F1367" s="378">
        <v>-120767</v>
      </c>
      <c r="G1367" s="378">
        <v>0</v>
      </c>
      <c r="H1367" s="378">
        <v>0</v>
      </c>
      <c r="I1367" s="378">
        <v>-120767</v>
      </c>
      <c r="J1367">
        <f t="shared" si="23"/>
        <v>8</v>
      </c>
    </row>
    <row r="1368" spans="1:10" ht="15" customHeight="1" x14ac:dyDescent="0.25">
      <c r="A1368" s="380">
        <v>25503001</v>
      </c>
      <c r="B1368" s="381" t="s">
        <v>321</v>
      </c>
      <c r="C1368" s="381" t="s">
        <v>1272</v>
      </c>
      <c r="D1368" s="381" t="s">
        <v>774</v>
      </c>
      <c r="E1368" s="381" t="s">
        <v>775</v>
      </c>
      <c r="F1368" s="378">
        <v>-984985</v>
      </c>
      <c r="G1368" s="378">
        <v>0</v>
      </c>
      <c r="H1368" s="378">
        <v>173117</v>
      </c>
      <c r="I1368" s="378">
        <v>-1158102</v>
      </c>
      <c r="J1368">
        <f t="shared" si="23"/>
        <v>8</v>
      </c>
    </row>
    <row r="1369" spans="1:10" ht="15" customHeight="1" x14ac:dyDescent="0.25">
      <c r="A1369" s="380">
        <v>25503001</v>
      </c>
      <c r="B1369" s="381" t="s">
        <v>321</v>
      </c>
      <c r="C1369" s="381" t="s">
        <v>1272</v>
      </c>
      <c r="D1369" s="381" t="s">
        <v>1196</v>
      </c>
      <c r="E1369" s="381" t="s">
        <v>1197</v>
      </c>
      <c r="F1369" s="378">
        <v>-1152215</v>
      </c>
      <c r="G1369" s="378">
        <v>0</v>
      </c>
      <c r="H1369" s="378">
        <v>221046</v>
      </c>
      <c r="I1369" s="378">
        <v>-1373261</v>
      </c>
      <c r="J1369">
        <f t="shared" si="23"/>
        <v>8</v>
      </c>
    </row>
    <row r="1370" spans="1:10" ht="15" customHeight="1" x14ac:dyDescent="0.25">
      <c r="A1370" s="380">
        <v>25503001</v>
      </c>
      <c r="B1370" s="381" t="s">
        <v>321</v>
      </c>
      <c r="C1370" s="381" t="s">
        <v>1272</v>
      </c>
      <c r="D1370" s="381" t="s">
        <v>1078</v>
      </c>
      <c r="E1370" s="381" t="s">
        <v>1079</v>
      </c>
      <c r="F1370" s="378">
        <v>-2316000</v>
      </c>
      <c r="G1370" s="378">
        <v>0</v>
      </c>
      <c r="H1370" s="378">
        <v>630000</v>
      </c>
      <c r="I1370" s="378">
        <v>-2946000</v>
      </c>
      <c r="J1370">
        <f t="shared" si="23"/>
        <v>8</v>
      </c>
    </row>
    <row r="1371" spans="1:10" ht="15" customHeight="1" x14ac:dyDescent="0.25">
      <c r="A1371" s="380">
        <v>25503001</v>
      </c>
      <c r="B1371" s="381" t="s">
        <v>321</v>
      </c>
      <c r="C1371" s="381" t="s">
        <v>1272</v>
      </c>
      <c r="D1371" s="381" t="s">
        <v>781</v>
      </c>
      <c r="E1371" s="381" t="s">
        <v>782</v>
      </c>
      <c r="F1371" s="378">
        <v>-1301844</v>
      </c>
      <c r="G1371" s="378">
        <v>0</v>
      </c>
      <c r="H1371" s="378">
        <v>262589</v>
      </c>
      <c r="I1371" s="378">
        <v>-1564433</v>
      </c>
      <c r="J1371">
        <f t="shared" si="23"/>
        <v>8</v>
      </c>
    </row>
    <row r="1372" spans="1:10" ht="15" customHeight="1" x14ac:dyDescent="0.25">
      <c r="A1372" s="380">
        <v>25503001</v>
      </c>
      <c r="B1372" s="381" t="s">
        <v>321</v>
      </c>
      <c r="C1372" s="381" t="s">
        <v>1272</v>
      </c>
      <c r="D1372" s="381" t="s">
        <v>728</v>
      </c>
      <c r="E1372" s="381" t="s">
        <v>729</v>
      </c>
      <c r="F1372" s="378">
        <v>-1291651</v>
      </c>
      <c r="G1372" s="378">
        <v>0</v>
      </c>
      <c r="H1372" s="378">
        <v>266781</v>
      </c>
      <c r="I1372" s="378">
        <v>-1558432</v>
      </c>
      <c r="J1372">
        <f t="shared" si="23"/>
        <v>8</v>
      </c>
    </row>
    <row r="1373" spans="1:10" ht="15" customHeight="1" x14ac:dyDescent="0.25">
      <c r="A1373" s="380">
        <v>25503001</v>
      </c>
      <c r="B1373" s="381" t="s">
        <v>321</v>
      </c>
      <c r="C1373" s="381" t="s">
        <v>1272</v>
      </c>
      <c r="D1373" s="381" t="s">
        <v>783</v>
      </c>
      <c r="E1373" s="381" t="s">
        <v>784</v>
      </c>
      <c r="F1373" s="378">
        <v>-1005572</v>
      </c>
      <c r="G1373" s="378">
        <v>0</v>
      </c>
      <c r="H1373" s="378">
        <v>209790</v>
      </c>
      <c r="I1373" s="378">
        <v>-1215362</v>
      </c>
      <c r="J1373">
        <f t="shared" si="23"/>
        <v>8</v>
      </c>
    </row>
    <row r="1374" spans="1:10" ht="15" customHeight="1" x14ac:dyDescent="0.25">
      <c r="A1374" s="380">
        <v>25503001</v>
      </c>
      <c r="B1374" s="381" t="s">
        <v>321</v>
      </c>
      <c r="C1374" s="381" t="s">
        <v>1272</v>
      </c>
      <c r="D1374" s="381" t="s">
        <v>797</v>
      </c>
      <c r="E1374" s="381" t="s">
        <v>798</v>
      </c>
      <c r="F1374" s="378">
        <v>-962084</v>
      </c>
      <c r="G1374" s="378">
        <v>0</v>
      </c>
      <c r="H1374" s="378">
        <v>180679</v>
      </c>
      <c r="I1374" s="378">
        <v>-1142763</v>
      </c>
      <c r="J1374">
        <f t="shared" si="23"/>
        <v>8</v>
      </c>
    </row>
    <row r="1375" spans="1:10" ht="15" customHeight="1" x14ac:dyDescent="0.25">
      <c r="A1375" s="380">
        <v>25503001</v>
      </c>
      <c r="B1375" s="381" t="s">
        <v>321</v>
      </c>
      <c r="C1375" s="381" t="s">
        <v>1272</v>
      </c>
      <c r="D1375" s="381" t="s">
        <v>1221</v>
      </c>
      <c r="E1375" s="381" t="s">
        <v>1494</v>
      </c>
      <c r="F1375" s="378">
        <v>-1068407</v>
      </c>
      <c r="G1375" s="378">
        <v>0</v>
      </c>
      <c r="H1375" s="378">
        <v>0</v>
      </c>
      <c r="I1375" s="378">
        <v>-1068407</v>
      </c>
      <c r="J1375">
        <f t="shared" si="23"/>
        <v>8</v>
      </c>
    </row>
    <row r="1376" spans="1:10" ht="15" customHeight="1" x14ac:dyDescent="0.25">
      <c r="A1376" s="380">
        <v>25503001</v>
      </c>
      <c r="B1376" s="381" t="s">
        <v>321</v>
      </c>
      <c r="C1376" s="381" t="s">
        <v>1272</v>
      </c>
      <c r="D1376" s="381" t="s">
        <v>1222</v>
      </c>
      <c r="E1376" s="381" t="s">
        <v>1223</v>
      </c>
      <c r="F1376" s="378">
        <v>-194534</v>
      </c>
      <c r="G1376" s="378">
        <v>0</v>
      </c>
      <c r="H1376" s="378">
        <v>0</v>
      </c>
      <c r="I1376" s="378">
        <v>-194534</v>
      </c>
      <c r="J1376">
        <f t="shared" si="23"/>
        <v>8</v>
      </c>
    </row>
    <row r="1377" spans="1:10" ht="15" customHeight="1" x14ac:dyDescent="0.25">
      <c r="A1377" s="380">
        <v>25503001</v>
      </c>
      <c r="B1377" s="381" t="s">
        <v>321</v>
      </c>
      <c r="C1377" s="381" t="s">
        <v>1272</v>
      </c>
      <c r="D1377" s="381" t="s">
        <v>1198</v>
      </c>
      <c r="E1377" s="381" t="s">
        <v>1199</v>
      </c>
      <c r="F1377" s="378">
        <v>-266425</v>
      </c>
      <c r="G1377" s="378">
        <v>0</v>
      </c>
      <c r="H1377" s="378">
        <v>187896</v>
      </c>
      <c r="I1377" s="378">
        <v>-454321</v>
      </c>
      <c r="J1377">
        <f t="shared" si="23"/>
        <v>8</v>
      </c>
    </row>
    <row r="1378" spans="1:10" ht="15" customHeight="1" x14ac:dyDescent="0.25">
      <c r="A1378" s="380">
        <v>25503001</v>
      </c>
      <c r="B1378" s="381" t="s">
        <v>321</v>
      </c>
      <c r="C1378" s="381" t="s">
        <v>1272</v>
      </c>
      <c r="D1378" s="381" t="s">
        <v>753</v>
      </c>
      <c r="E1378" s="381" t="s">
        <v>754</v>
      </c>
      <c r="F1378" s="378">
        <v>-173165</v>
      </c>
      <c r="G1378" s="378">
        <v>0</v>
      </c>
      <c r="H1378" s="378">
        <v>0</v>
      </c>
      <c r="I1378" s="378">
        <v>-173165</v>
      </c>
      <c r="J1378">
        <f t="shared" si="23"/>
        <v>8</v>
      </c>
    </row>
    <row r="1379" spans="1:10" ht="15" customHeight="1" x14ac:dyDescent="0.25">
      <c r="A1379" s="380">
        <v>25503001</v>
      </c>
      <c r="B1379" s="381" t="s">
        <v>321</v>
      </c>
      <c r="C1379" s="381" t="s">
        <v>1272</v>
      </c>
      <c r="D1379" s="381" t="s">
        <v>1200</v>
      </c>
      <c r="E1379" s="381" t="s">
        <v>1201</v>
      </c>
      <c r="F1379" s="378">
        <v>-1029769</v>
      </c>
      <c r="G1379" s="378">
        <v>0</v>
      </c>
      <c r="H1379" s="378">
        <v>217137</v>
      </c>
      <c r="I1379" s="378">
        <v>-1246906</v>
      </c>
      <c r="J1379">
        <f t="shared" si="23"/>
        <v>8</v>
      </c>
    </row>
    <row r="1380" spans="1:10" ht="15" customHeight="1" x14ac:dyDescent="0.25">
      <c r="A1380" s="380">
        <v>25503001</v>
      </c>
      <c r="B1380" s="381" t="s">
        <v>321</v>
      </c>
      <c r="C1380" s="381" t="s">
        <v>1272</v>
      </c>
      <c r="D1380" s="381" t="s">
        <v>786</v>
      </c>
      <c r="E1380" s="381" t="s">
        <v>787</v>
      </c>
      <c r="F1380" s="378">
        <v>-1470842</v>
      </c>
      <c r="G1380" s="378">
        <v>0</v>
      </c>
      <c r="H1380" s="378">
        <v>297616</v>
      </c>
      <c r="I1380" s="378">
        <v>-1768458</v>
      </c>
      <c r="J1380">
        <f t="shared" si="23"/>
        <v>8</v>
      </c>
    </row>
    <row r="1381" spans="1:10" ht="15" customHeight="1" x14ac:dyDescent="0.25">
      <c r="A1381" s="380">
        <v>25503001</v>
      </c>
      <c r="B1381" s="381" t="s">
        <v>321</v>
      </c>
      <c r="C1381" s="381" t="s">
        <v>1272</v>
      </c>
      <c r="D1381" s="381" t="s">
        <v>1224</v>
      </c>
      <c r="E1381" s="381" t="s">
        <v>1225</v>
      </c>
      <c r="F1381" s="378">
        <v>-1139071</v>
      </c>
      <c r="G1381" s="378">
        <v>0</v>
      </c>
      <c r="H1381" s="378">
        <v>259593</v>
      </c>
      <c r="I1381" s="378">
        <v>-1398664</v>
      </c>
      <c r="J1381">
        <f t="shared" si="23"/>
        <v>8</v>
      </c>
    </row>
    <row r="1382" spans="1:10" ht="15" customHeight="1" x14ac:dyDescent="0.25">
      <c r="A1382" s="380">
        <v>25503001</v>
      </c>
      <c r="B1382" s="381" t="s">
        <v>321</v>
      </c>
      <c r="C1382" s="381" t="s">
        <v>1272</v>
      </c>
      <c r="D1382" s="381" t="s">
        <v>1226</v>
      </c>
      <c r="E1382" s="381" t="s">
        <v>1227</v>
      </c>
      <c r="F1382" s="378">
        <v>-54919</v>
      </c>
      <c r="G1382" s="378">
        <v>0</v>
      </c>
      <c r="H1382" s="378">
        <v>0</v>
      </c>
      <c r="I1382" s="378">
        <v>-54919</v>
      </c>
      <c r="J1382">
        <f t="shared" si="23"/>
        <v>8</v>
      </c>
    </row>
    <row r="1383" spans="1:10" ht="15" customHeight="1" x14ac:dyDescent="0.25">
      <c r="A1383" s="380">
        <v>25503001</v>
      </c>
      <c r="B1383" s="381" t="s">
        <v>321</v>
      </c>
      <c r="C1383" s="381" t="s">
        <v>1272</v>
      </c>
      <c r="D1383" s="381" t="s">
        <v>1202</v>
      </c>
      <c r="E1383" s="381" t="s">
        <v>1203</v>
      </c>
      <c r="F1383" s="378">
        <v>-209485</v>
      </c>
      <c r="G1383" s="378">
        <v>0</v>
      </c>
      <c r="H1383" s="378">
        <v>203347</v>
      </c>
      <c r="I1383" s="378">
        <v>-412832</v>
      </c>
      <c r="J1383">
        <f t="shared" si="23"/>
        <v>8</v>
      </c>
    </row>
    <row r="1384" spans="1:10" ht="15" customHeight="1" x14ac:dyDescent="0.25">
      <c r="A1384" s="380">
        <v>25503001</v>
      </c>
      <c r="B1384" s="381" t="s">
        <v>321</v>
      </c>
      <c r="C1384" s="381" t="s">
        <v>1272</v>
      </c>
      <c r="D1384" s="381" t="s">
        <v>1228</v>
      </c>
      <c r="E1384" s="381" t="s">
        <v>1229</v>
      </c>
      <c r="F1384" s="378">
        <v>-217052</v>
      </c>
      <c r="G1384" s="378">
        <v>0</v>
      </c>
      <c r="H1384" s="378">
        <v>148500</v>
      </c>
      <c r="I1384" s="378">
        <v>-365552</v>
      </c>
      <c r="J1384">
        <f t="shared" si="23"/>
        <v>8</v>
      </c>
    </row>
    <row r="1385" spans="1:10" ht="15" customHeight="1" x14ac:dyDescent="0.25">
      <c r="A1385" s="380">
        <v>25503001</v>
      </c>
      <c r="B1385" s="381" t="s">
        <v>321</v>
      </c>
      <c r="C1385" s="381" t="s">
        <v>1272</v>
      </c>
      <c r="D1385" s="381" t="s">
        <v>1086</v>
      </c>
      <c r="E1385" s="381" t="s">
        <v>1087</v>
      </c>
      <c r="F1385" s="378">
        <v>-1045206</v>
      </c>
      <c r="G1385" s="378">
        <v>0</v>
      </c>
      <c r="H1385" s="378">
        <v>204245</v>
      </c>
      <c r="I1385" s="378">
        <v>-1249451</v>
      </c>
      <c r="J1385">
        <f t="shared" si="23"/>
        <v>8</v>
      </c>
    </row>
    <row r="1386" spans="1:10" ht="15" customHeight="1" x14ac:dyDescent="0.25">
      <c r="A1386" s="380">
        <v>25503001</v>
      </c>
      <c r="B1386" s="381" t="s">
        <v>321</v>
      </c>
      <c r="C1386" s="381" t="s">
        <v>1272</v>
      </c>
      <c r="D1386" s="381" t="s">
        <v>404</v>
      </c>
      <c r="E1386" s="381" t="s">
        <v>1230</v>
      </c>
      <c r="F1386" s="378">
        <v>-379768</v>
      </c>
      <c r="G1386" s="378">
        <v>0</v>
      </c>
      <c r="H1386" s="378">
        <v>195012</v>
      </c>
      <c r="I1386" s="378">
        <v>-574780</v>
      </c>
      <c r="J1386">
        <f t="shared" si="23"/>
        <v>8</v>
      </c>
    </row>
    <row r="1387" spans="1:10" ht="15" customHeight="1" x14ac:dyDescent="0.25">
      <c r="A1387" s="380">
        <v>25503001</v>
      </c>
      <c r="B1387" s="381" t="s">
        <v>321</v>
      </c>
      <c r="C1387" s="381" t="s">
        <v>1272</v>
      </c>
      <c r="D1387" s="381" t="s">
        <v>1204</v>
      </c>
      <c r="E1387" s="381" t="s">
        <v>1205</v>
      </c>
      <c r="F1387" s="378">
        <v>-237857</v>
      </c>
      <c r="G1387" s="378">
        <v>0</v>
      </c>
      <c r="H1387" s="378">
        <v>185777</v>
      </c>
      <c r="I1387" s="378">
        <v>-423634</v>
      </c>
      <c r="J1387">
        <f t="shared" si="23"/>
        <v>8</v>
      </c>
    </row>
    <row r="1388" spans="1:10" ht="15" customHeight="1" x14ac:dyDescent="0.25">
      <c r="A1388" s="380">
        <v>25503001</v>
      </c>
      <c r="B1388" s="381" t="s">
        <v>321</v>
      </c>
      <c r="C1388" s="381" t="s">
        <v>1272</v>
      </c>
      <c r="D1388" s="381" t="s">
        <v>1231</v>
      </c>
      <c r="E1388" s="381" t="s">
        <v>1232</v>
      </c>
      <c r="F1388" s="378">
        <v>-197198</v>
      </c>
      <c r="G1388" s="378">
        <v>0</v>
      </c>
      <c r="H1388" s="378">
        <v>0</v>
      </c>
      <c r="I1388" s="378">
        <v>-197198</v>
      </c>
      <c r="J1388">
        <f t="shared" si="23"/>
        <v>8</v>
      </c>
    </row>
    <row r="1389" spans="1:10" ht="15" customHeight="1" x14ac:dyDescent="0.25">
      <c r="A1389" s="380">
        <v>25503001</v>
      </c>
      <c r="B1389" s="381" t="s">
        <v>321</v>
      </c>
      <c r="C1389" s="381" t="s">
        <v>1272</v>
      </c>
      <c r="D1389" s="381" t="s">
        <v>788</v>
      </c>
      <c r="E1389" s="381" t="s">
        <v>789</v>
      </c>
      <c r="F1389" s="378">
        <v>-1734434</v>
      </c>
      <c r="G1389" s="378">
        <v>0</v>
      </c>
      <c r="H1389" s="378">
        <v>343975</v>
      </c>
      <c r="I1389" s="378">
        <v>-2078409</v>
      </c>
      <c r="J1389">
        <f t="shared" si="23"/>
        <v>8</v>
      </c>
    </row>
    <row r="1390" spans="1:10" ht="15" customHeight="1" x14ac:dyDescent="0.25">
      <c r="A1390" s="380">
        <v>25503001</v>
      </c>
      <c r="B1390" s="381" t="s">
        <v>321</v>
      </c>
      <c r="C1390" s="381" t="s">
        <v>1272</v>
      </c>
      <c r="D1390" s="381" t="s">
        <v>1206</v>
      </c>
      <c r="E1390" s="381" t="s">
        <v>1207</v>
      </c>
      <c r="F1390" s="378">
        <v>-873662</v>
      </c>
      <c r="G1390" s="378">
        <v>0</v>
      </c>
      <c r="H1390" s="378">
        <v>230253</v>
      </c>
      <c r="I1390" s="378">
        <v>-1103915</v>
      </c>
      <c r="J1390">
        <f t="shared" si="23"/>
        <v>8</v>
      </c>
    </row>
    <row r="1391" spans="1:10" ht="15" customHeight="1" x14ac:dyDescent="0.25">
      <c r="A1391" s="380">
        <v>25503001</v>
      </c>
      <c r="B1391" s="381" t="s">
        <v>321</v>
      </c>
      <c r="C1391" s="381" t="s">
        <v>1272</v>
      </c>
      <c r="D1391" s="381" t="s">
        <v>1088</v>
      </c>
      <c r="E1391" s="381" t="s">
        <v>1089</v>
      </c>
      <c r="F1391" s="378">
        <v>-537257</v>
      </c>
      <c r="G1391" s="378">
        <v>0</v>
      </c>
      <c r="H1391" s="378">
        <v>46071</v>
      </c>
      <c r="I1391" s="378">
        <v>-583328</v>
      </c>
      <c r="J1391">
        <f t="shared" si="23"/>
        <v>8</v>
      </c>
    </row>
    <row r="1392" spans="1:10" ht="15" customHeight="1" x14ac:dyDescent="0.25">
      <c r="A1392" s="380">
        <v>25503001</v>
      </c>
      <c r="B1392" s="381" t="s">
        <v>321</v>
      </c>
      <c r="C1392" s="381" t="s">
        <v>1272</v>
      </c>
      <c r="D1392" s="381" t="s">
        <v>776</v>
      </c>
      <c r="E1392" s="381" t="s">
        <v>777</v>
      </c>
      <c r="F1392" s="378">
        <v>-1234331</v>
      </c>
      <c r="G1392" s="378">
        <v>0</v>
      </c>
      <c r="H1392" s="378">
        <v>269170</v>
      </c>
      <c r="I1392" s="378">
        <v>-1503501</v>
      </c>
      <c r="J1392">
        <f t="shared" si="23"/>
        <v>8</v>
      </c>
    </row>
    <row r="1393" spans="1:10" ht="15" customHeight="1" x14ac:dyDescent="0.25">
      <c r="A1393" s="380">
        <v>25503001</v>
      </c>
      <c r="B1393" s="381" t="s">
        <v>321</v>
      </c>
      <c r="C1393" s="381" t="s">
        <v>1272</v>
      </c>
      <c r="D1393" s="381" t="s">
        <v>790</v>
      </c>
      <c r="E1393" s="381" t="s">
        <v>791</v>
      </c>
      <c r="F1393" s="378">
        <v>-1098825</v>
      </c>
      <c r="G1393" s="378">
        <v>0</v>
      </c>
      <c r="H1393" s="378">
        <v>250426</v>
      </c>
      <c r="I1393" s="378">
        <v>-1349251</v>
      </c>
      <c r="J1393">
        <f t="shared" si="23"/>
        <v>8</v>
      </c>
    </row>
    <row r="1394" spans="1:10" ht="15" customHeight="1" x14ac:dyDescent="0.25">
      <c r="A1394" s="380">
        <v>25503001</v>
      </c>
      <c r="B1394" s="381" t="s">
        <v>321</v>
      </c>
      <c r="C1394" s="381" t="s">
        <v>1272</v>
      </c>
      <c r="D1394" s="381" t="s">
        <v>1233</v>
      </c>
      <c r="E1394" s="381" t="s">
        <v>1234</v>
      </c>
      <c r="F1394" s="378">
        <v>-734589</v>
      </c>
      <c r="G1394" s="378">
        <v>0</v>
      </c>
      <c r="H1394" s="378">
        <v>0</v>
      </c>
      <c r="I1394" s="378">
        <v>-734589</v>
      </c>
      <c r="J1394">
        <f t="shared" si="23"/>
        <v>8</v>
      </c>
    </row>
    <row r="1395" spans="1:10" ht="15" customHeight="1" x14ac:dyDescent="0.25">
      <c r="A1395" s="380">
        <v>25503001</v>
      </c>
      <c r="B1395" s="381" t="s">
        <v>321</v>
      </c>
      <c r="C1395" s="381" t="s">
        <v>1272</v>
      </c>
      <c r="D1395" s="381" t="s">
        <v>1235</v>
      </c>
      <c r="E1395" s="381" t="s">
        <v>1236</v>
      </c>
      <c r="F1395" s="378">
        <v>-85430</v>
      </c>
      <c r="G1395" s="378">
        <v>0</v>
      </c>
      <c r="H1395" s="378">
        <v>0</v>
      </c>
      <c r="I1395" s="378">
        <v>-85430</v>
      </c>
      <c r="J1395">
        <f t="shared" si="23"/>
        <v>8</v>
      </c>
    </row>
    <row r="1396" spans="1:10" ht="15" customHeight="1" x14ac:dyDescent="0.25">
      <c r="A1396" s="380">
        <v>25503001</v>
      </c>
      <c r="B1396" s="381" t="s">
        <v>321</v>
      </c>
      <c r="C1396" s="381" t="s">
        <v>1272</v>
      </c>
      <c r="D1396" s="381" t="s">
        <v>1208</v>
      </c>
      <c r="E1396" s="381" t="s">
        <v>1209</v>
      </c>
      <c r="F1396" s="378">
        <v>-1174277</v>
      </c>
      <c r="G1396" s="378">
        <v>0</v>
      </c>
      <c r="H1396" s="378">
        <v>211286</v>
      </c>
      <c r="I1396" s="378">
        <v>-1385563</v>
      </c>
      <c r="J1396">
        <f t="shared" si="23"/>
        <v>8</v>
      </c>
    </row>
    <row r="1397" spans="1:10" ht="15" customHeight="1" x14ac:dyDescent="0.25">
      <c r="A1397" s="380">
        <v>25503001</v>
      </c>
      <c r="B1397" s="381" t="s">
        <v>321</v>
      </c>
      <c r="C1397" s="381" t="s">
        <v>1272</v>
      </c>
      <c r="D1397" s="381" t="s">
        <v>1237</v>
      </c>
      <c r="E1397" s="381" t="s">
        <v>1238</v>
      </c>
      <c r="F1397" s="378">
        <v>-280998</v>
      </c>
      <c r="G1397" s="378">
        <v>0</v>
      </c>
      <c r="H1397" s="378">
        <v>236706</v>
      </c>
      <c r="I1397" s="378">
        <v>-517704</v>
      </c>
      <c r="J1397">
        <f t="shared" si="23"/>
        <v>8</v>
      </c>
    </row>
    <row r="1398" spans="1:10" ht="15" customHeight="1" x14ac:dyDescent="0.25">
      <c r="A1398" s="380">
        <v>25503001</v>
      </c>
      <c r="B1398" s="381" t="s">
        <v>321</v>
      </c>
      <c r="C1398" s="381" t="s">
        <v>1272</v>
      </c>
      <c r="D1398" s="381" t="s">
        <v>1239</v>
      </c>
      <c r="E1398" s="381" t="s">
        <v>1240</v>
      </c>
      <c r="F1398" s="378">
        <v>-1042848</v>
      </c>
      <c r="G1398" s="378">
        <v>0</v>
      </c>
      <c r="H1398" s="378">
        <v>0</v>
      </c>
      <c r="I1398" s="378">
        <v>-1042848</v>
      </c>
      <c r="J1398">
        <f t="shared" si="23"/>
        <v>8</v>
      </c>
    </row>
    <row r="1399" spans="1:10" ht="15" customHeight="1" x14ac:dyDescent="0.25">
      <c r="A1399" s="380">
        <v>25503001</v>
      </c>
      <c r="B1399" s="381" t="s">
        <v>321</v>
      </c>
      <c r="C1399" s="381" t="s">
        <v>1272</v>
      </c>
      <c r="D1399" s="381" t="s">
        <v>1248</v>
      </c>
      <c r="E1399" s="381" t="s">
        <v>1249</v>
      </c>
      <c r="F1399" s="378">
        <v>-8484</v>
      </c>
      <c r="G1399" s="378">
        <v>0</v>
      </c>
      <c r="H1399" s="378">
        <v>0</v>
      </c>
      <c r="I1399" s="378">
        <v>-8484</v>
      </c>
      <c r="J1399">
        <f t="shared" si="23"/>
        <v>8</v>
      </c>
    </row>
    <row r="1400" spans="1:10" ht="15" customHeight="1" x14ac:dyDescent="0.25">
      <c r="A1400" s="380">
        <v>25503001</v>
      </c>
      <c r="B1400" s="381" t="s">
        <v>321</v>
      </c>
      <c r="C1400" s="381" t="s">
        <v>1272</v>
      </c>
      <c r="D1400" s="381" t="s">
        <v>1210</v>
      </c>
      <c r="E1400" s="381" t="s">
        <v>1211</v>
      </c>
      <c r="F1400" s="378">
        <v>-981451</v>
      </c>
      <c r="G1400" s="378">
        <v>0</v>
      </c>
      <c r="H1400" s="378">
        <v>182183</v>
      </c>
      <c r="I1400" s="378">
        <v>-1163634</v>
      </c>
      <c r="J1400">
        <f t="shared" si="23"/>
        <v>8</v>
      </c>
    </row>
    <row r="1401" spans="1:10" ht="15" customHeight="1" x14ac:dyDescent="0.25">
      <c r="A1401" s="380">
        <v>25503001</v>
      </c>
      <c r="B1401" s="381" t="s">
        <v>321</v>
      </c>
      <c r="C1401" s="381" t="s">
        <v>1272</v>
      </c>
      <c r="D1401" s="381" t="s">
        <v>1090</v>
      </c>
      <c r="E1401" s="381" t="s">
        <v>1091</v>
      </c>
      <c r="F1401" s="378">
        <v>-821185</v>
      </c>
      <c r="G1401" s="378">
        <v>0</v>
      </c>
      <c r="H1401" s="378">
        <v>297003</v>
      </c>
      <c r="I1401" s="378">
        <v>-1118188</v>
      </c>
      <c r="J1401">
        <f t="shared" si="23"/>
        <v>8</v>
      </c>
    </row>
    <row r="1402" spans="1:10" ht="15" customHeight="1" x14ac:dyDescent="0.25">
      <c r="A1402" s="380">
        <v>25503001</v>
      </c>
      <c r="B1402" s="381" t="s">
        <v>321</v>
      </c>
      <c r="C1402" s="381" t="s">
        <v>1272</v>
      </c>
      <c r="D1402" s="381" t="s">
        <v>1241</v>
      </c>
      <c r="E1402" s="381" t="s">
        <v>1242</v>
      </c>
      <c r="F1402" s="378">
        <v>-416792</v>
      </c>
      <c r="G1402" s="378">
        <v>0</v>
      </c>
      <c r="H1402" s="378">
        <v>198389</v>
      </c>
      <c r="I1402" s="378">
        <v>-615181</v>
      </c>
      <c r="J1402">
        <f t="shared" si="23"/>
        <v>8</v>
      </c>
    </row>
    <row r="1403" spans="1:10" ht="15" customHeight="1" x14ac:dyDescent="0.25">
      <c r="A1403" s="380">
        <v>25503001</v>
      </c>
      <c r="B1403" s="381" t="s">
        <v>321</v>
      </c>
      <c r="C1403" s="381" t="s">
        <v>1272</v>
      </c>
      <c r="D1403" s="381" t="s">
        <v>792</v>
      </c>
      <c r="E1403" s="381" t="s">
        <v>793</v>
      </c>
      <c r="F1403" s="378">
        <v>-1238966</v>
      </c>
      <c r="G1403" s="378">
        <v>0</v>
      </c>
      <c r="H1403" s="378">
        <v>262362</v>
      </c>
      <c r="I1403" s="378">
        <v>-1501328</v>
      </c>
      <c r="J1403">
        <f t="shared" si="23"/>
        <v>8</v>
      </c>
    </row>
    <row r="1404" spans="1:10" ht="15" customHeight="1" x14ac:dyDescent="0.25">
      <c r="A1404" s="380">
        <v>25503001</v>
      </c>
      <c r="B1404" s="381" t="s">
        <v>321</v>
      </c>
      <c r="C1404" s="381" t="s">
        <v>1272</v>
      </c>
      <c r="D1404" s="381" t="s">
        <v>794</v>
      </c>
      <c r="E1404" s="381" t="s">
        <v>795</v>
      </c>
      <c r="F1404" s="378">
        <v>-1226381</v>
      </c>
      <c r="G1404" s="378">
        <v>0</v>
      </c>
      <c r="H1404" s="378">
        <v>249983</v>
      </c>
      <c r="I1404" s="378">
        <v>-1476364</v>
      </c>
      <c r="J1404">
        <f t="shared" si="23"/>
        <v>8</v>
      </c>
    </row>
    <row r="1405" spans="1:10" ht="15" customHeight="1" x14ac:dyDescent="0.25">
      <c r="A1405" s="380">
        <v>25503001</v>
      </c>
      <c r="B1405" s="381" t="s">
        <v>321</v>
      </c>
      <c r="C1405" s="381" t="s">
        <v>1272</v>
      </c>
      <c r="D1405" s="381" t="s">
        <v>1212</v>
      </c>
      <c r="E1405" s="381" t="s">
        <v>1213</v>
      </c>
      <c r="F1405" s="378">
        <v>0</v>
      </c>
      <c r="G1405" s="378">
        <v>0</v>
      </c>
      <c r="H1405" s="378">
        <v>125344</v>
      </c>
      <c r="I1405" s="378">
        <v>-125344</v>
      </c>
      <c r="J1405">
        <f t="shared" si="23"/>
        <v>8</v>
      </c>
    </row>
    <row r="1406" spans="1:10" ht="15" customHeight="1" x14ac:dyDescent="0.25">
      <c r="A1406" s="380">
        <v>25503001</v>
      </c>
      <c r="B1406" s="381" t="s">
        <v>321</v>
      </c>
      <c r="C1406" s="381" t="s">
        <v>1272</v>
      </c>
      <c r="D1406" s="381" t="s">
        <v>1092</v>
      </c>
      <c r="E1406" s="381" t="s">
        <v>1093</v>
      </c>
      <c r="F1406" s="378">
        <v>-1235380</v>
      </c>
      <c r="G1406" s="378">
        <v>0</v>
      </c>
      <c r="H1406" s="378">
        <v>45399</v>
      </c>
      <c r="I1406" s="378">
        <v>-1280779</v>
      </c>
      <c r="J1406">
        <f t="shared" si="23"/>
        <v>8</v>
      </c>
    </row>
    <row r="1407" spans="1:10" ht="15" customHeight="1" x14ac:dyDescent="0.25">
      <c r="A1407" s="380">
        <v>25503001</v>
      </c>
      <c r="B1407" s="381" t="s">
        <v>321</v>
      </c>
      <c r="C1407" s="381" t="s">
        <v>1272</v>
      </c>
      <c r="D1407" s="381" t="s">
        <v>1243</v>
      </c>
      <c r="E1407" s="381" t="s">
        <v>1244</v>
      </c>
      <c r="F1407" s="378">
        <v>-593327</v>
      </c>
      <c r="G1407" s="378">
        <v>0</v>
      </c>
      <c r="H1407" s="378">
        <v>0</v>
      </c>
      <c r="I1407" s="378">
        <v>-593327</v>
      </c>
      <c r="J1407">
        <f t="shared" si="23"/>
        <v>8</v>
      </c>
    </row>
    <row r="1408" spans="1:10" ht="15" customHeight="1" x14ac:dyDescent="0.25">
      <c r="A1408" s="380">
        <v>25503001</v>
      </c>
      <c r="B1408" s="381" t="s">
        <v>321</v>
      </c>
      <c r="C1408" s="381" t="s">
        <v>1272</v>
      </c>
      <c r="D1408" s="381" t="s">
        <v>1214</v>
      </c>
      <c r="E1408" s="381" t="s">
        <v>1489</v>
      </c>
      <c r="F1408" s="378">
        <v>-1307128</v>
      </c>
      <c r="G1408" s="378">
        <v>0</v>
      </c>
      <c r="H1408" s="378">
        <v>262589</v>
      </c>
      <c r="I1408" s="378">
        <v>-1569717</v>
      </c>
      <c r="J1408">
        <f t="shared" si="23"/>
        <v>8</v>
      </c>
    </row>
    <row r="1409" spans="1:10" ht="15" customHeight="1" x14ac:dyDescent="0.25">
      <c r="A1409" s="380">
        <v>25503001</v>
      </c>
      <c r="B1409" s="381" t="s">
        <v>321</v>
      </c>
      <c r="C1409" s="381" t="s">
        <v>1272</v>
      </c>
      <c r="D1409" s="381" t="s">
        <v>1094</v>
      </c>
      <c r="E1409" s="381" t="s">
        <v>1095</v>
      </c>
      <c r="F1409" s="378">
        <v>-988937</v>
      </c>
      <c r="G1409" s="378">
        <v>0</v>
      </c>
      <c r="H1409" s="378">
        <v>198838</v>
      </c>
      <c r="I1409" s="378">
        <v>-1187775</v>
      </c>
      <c r="J1409">
        <f t="shared" si="23"/>
        <v>8</v>
      </c>
    </row>
    <row r="1410" spans="1:10" ht="15" customHeight="1" x14ac:dyDescent="0.25">
      <c r="A1410" s="380">
        <v>25503002</v>
      </c>
      <c r="B1410" s="381" t="s">
        <v>315</v>
      </c>
      <c r="C1410" s="381" t="s">
        <v>1273</v>
      </c>
      <c r="D1410" s="381" t="s">
        <v>315</v>
      </c>
      <c r="E1410" s="381" t="s">
        <v>315</v>
      </c>
      <c r="F1410" s="378">
        <v>44681100</v>
      </c>
      <c r="G1410" s="378">
        <v>10972300</v>
      </c>
      <c r="H1410" s="378">
        <v>0</v>
      </c>
      <c r="I1410" s="378">
        <v>55653400</v>
      </c>
      <c r="J1410">
        <f t="shared" si="23"/>
        <v>8</v>
      </c>
    </row>
    <row r="1411" spans="1:10" ht="15" customHeight="1" x14ac:dyDescent="0.25">
      <c r="A1411" s="380">
        <v>25503002</v>
      </c>
      <c r="B1411" s="381" t="s">
        <v>315</v>
      </c>
      <c r="C1411" s="381" t="s">
        <v>1273</v>
      </c>
      <c r="D1411" s="381" t="s">
        <v>457</v>
      </c>
      <c r="E1411" s="381" t="s">
        <v>1274</v>
      </c>
      <c r="F1411" s="378">
        <v>13604300</v>
      </c>
      <c r="G1411" s="378">
        <v>2686500</v>
      </c>
      <c r="H1411" s="378">
        <v>0</v>
      </c>
      <c r="I1411" s="378">
        <v>16290800</v>
      </c>
      <c r="J1411">
        <f t="shared" si="23"/>
        <v>8</v>
      </c>
    </row>
    <row r="1412" spans="1:10" ht="15" customHeight="1" x14ac:dyDescent="0.25">
      <c r="A1412" s="380">
        <v>25503002</v>
      </c>
      <c r="B1412" s="381" t="s">
        <v>315</v>
      </c>
      <c r="C1412" s="381" t="s">
        <v>1273</v>
      </c>
      <c r="D1412" s="381" t="s">
        <v>460</v>
      </c>
      <c r="E1412" s="381" t="s">
        <v>1275</v>
      </c>
      <c r="F1412" s="378">
        <v>1697300</v>
      </c>
      <c r="G1412" s="378">
        <v>608600</v>
      </c>
      <c r="H1412" s="378">
        <v>0</v>
      </c>
      <c r="I1412" s="378">
        <v>2305900</v>
      </c>
      <c r="J1412">
        <f t="shared" si="23"/>
        <v>8</v>
      </c>
    </row>
    <row r="1413" spans="1:10" ht="15" customHeight="1" x14ac:dyDescent="0.25">
      <c r="A1413" s="380">
        <v>25503002</v>
      </c>
      <c r="B1413" s="381" t="s">
        <v>315</v>
      </c>
      <c r="C1413" s="381" t="s">
        <v>1273</v>
      </c>
      <c r="D1413" s="381" t="s">
        <v>450</v>
      </c>
      <c r="E1413" s="381" t="s">
        <v>1275</v>
      </c>
      <c r="F1413" s="378">
        <v>20514200</v>
      </c>
      <c r="G1413" s="378">
        <v>5280000</v>
      </c>
      <c r="H1413" s="378">
        <v>0</v>
      </c>
      <c r="I1413" s="378">
        <v>25794200</v>
      </c>
      <c r="J1413">
        <f t="shared" si="23"/>
        <v>8</v>
      </c>
    </row>
    <row r="1414" spans="1:10" ht="15" customHeight="1" x14ac:dyDescent="0.25">
      <c r="A1414" s="380">
        <v>25503002</v>
      </c>
      <c r="B1414" s="381" t="s">
        <v>315</v>
      </c>
      <c r="C1414" s="381" t="s">
        <v>1273</v>
      </c>
      <c r="D1414" s="381" t="s">
        <v>353</v>
      </c>
      <c r="E1414" s="381" t="s">
        <v>1276</v>
      </c>
      <c r="F1414" s="378">
        <v>8865300</v>
      </c>
      <c r="G1414" s="378">
        <v>2397200</v>
      </c>
      <c r="H1414" s="378">
        <v>0</v>
      </c>
      <c r="I1414" s="378">
        <v>11262500</v>
      </c>
      <c r="J1414">
        <f t="shared" si="23"/>
        <v>8</v>
      </c>
    </row>
    <row r="1415" spans="1:10" ht="15" customHeight="1" x14ac:dyDescent="0.25">
      <c r="A1415" s="380">
        <v>25503003</v>
      </c>
      <c r="B1415" s="381" t="s">
        <v>315</v>
      </c>
      <c r="C1415" s="381" t="s">
        <v>1277</v>
      </c>
      <c r="D1415" s="381" t="s">
        <v>315</v>
      </c>
      <c r="E1415" s="381" t="s">
        <v>315</v>
      </c>
      <c r="F1415" s="378">
        <v>-957466</v>
      </c>
      <c r="G1415" s="378">
        <v>0</v>
      </c>
      <c r="H1415" s="378">
        <v>228769</v>
      </c>
      <c r="I1415" s="378">
        <v>-1186235</v>
      </c>
      <c r="J1415">
        <f t="shared" si="23"/>
        <v>8</v>
      </c>
    </row>
    <row r="1416" spans="1:10" ht="15" customHeight="1" x14ac:dyDescent="0.25">
      <c r="A1416" s="380">
        <v>25503003</v>
      </c>
      <c r="B1416" s="381" t="s">
        <v>315</v>
      </c>
      <c r="C1416" s="381" t="s">
        <v>1277</v>
      </c>
      <c r="D1416" s="381" t="s">
        <v>1246</v>
      </c>
      <c r="E1416" s="381" t="s">
        <v>1247</v>
      </c>
      <c r="F1416" s="378">
        <v>-928</v>
      </c>
      <c r="G1416" s="378">
        <v>0</v>
      </c>
      <c r="H1416" s="378">
        <v>0</v>
      </c>
      <c r="I1416" s="378">
        <v>-928</v>
      </c>
      <c r="J1416">
        <f t="shared" si="23"/>
        <v>8</v>
      </c>
    </row>
    <row r="1417" spans="1:10" ht="15" customHeight="1" x14ac:dyDescent="0.25">
      <c r="A1417" s="380">
        <v>25503003</v>
      </c>
      <c r="B1417" s="381" t="s">
        <v>315</v>
      </c>
      <c r="C1417" s="381" t="s">
        <v>1277</v>
      </c>
      <c r="D1417" s="381" t="s">
        <v>1194</v>
      </c>
      <c r="E1417" s="381" t="s">
        <v>1195</v>
      </c>
      <c r="F1417" s="378">
        <v>-40130</v>
      </c>
      <c r="G1417" s="378">
        <v>0</v>
      </c>
      <c r="H1417" s="378">
        <v>0</v>
      </c>
      <c r="I1417" s="378">
        <v>-40130</v>
      </c>
      <c r="J1417">
        <f t="shared" si="23"/>
        <v>8</v>
      </c>
    </row>
    <row r="1418" spans="1:10" ht="15" customHeight="1" x14ac:dyDescent="0.25">
      <c r="A1418" s="380">
        <v>25503003</v>
      </c>
      <c r="B1418" s="381" t="s">
        <v>315</v>
      </c>
      <c r="C1418" s="381" t="s">
        <v>1277</v>
      </c>
      <c r="D1418" s="381" t="s">
        <v>1219</v>
      </c>
      <c r="E1418" s="381" t="s">
        <v>1220</v>
      </c>
      <c r="F1418" s="378">
        <v>-40233</v>
      </c>
      <c r="G1418" s="378">
        <v>0</v>
      </c>
      <c r="H1418" s="378">
        <v>0</v>
      </c>
      <c r="I1418" s="378">
        <v>-40233</v>
      </c>
      <c r="J1418">
        <f t="shared" si="23"/>
        <v>8</v>
      </c>
    </row>
    <row r="1419" spans="1:10" ht="15" customHeight="1" x14ac:dyDescent="0.25">
      <c r="A1419" s="380">
        <v>25503003</v>
      </c>
      <c r="B1419" s="381" t="s">
        <v>315</v>
      </c>
      <c r="C1419" s="381" t="s">
        <v>1277</v>
      </c>
      <c r="D1419" s="381" t="s">
        <v>781</v>
      </c>
      <c r="E1419" s="381" t="s">
        <v>782</v>
      </c>
      <c r="F1419" s="378">
        <v>-433856</v>
      </c>
      <c r="G1419" s="378">
        <v>0</v>
      </c>
      <c r="H1419" s="378">
        <v>87511</v>
      </c>
      <c r="I1419" s="378">
        <v>-521367</v>
      </c>
      <c r="J1419">
        <f t="shared" si="23"/>
        <v>8</v>
      </c>
    </row>
    <row r="1420" spans="1:10" ht="15" customHeight="1" x14ac:dyDescent="0.25">
      <c r="A1420" s="380">
        <v>25503003</v>
      </c>
      <c r="B1420" s="381" t="s">
        <v>315</v>
      </c>
      <c r="C1420" s="381" t="s">
        <v>1277</v>
      </c>
      <c r="D1420" s="381" t="s">
        <v>1222</v>
      </c>
      <c r="E1420" s="381" t="s">
        <v>1223</v>
      </c>
      <c r="F1420" s="378">
        <v>-59766</v>
      </c>
      <c r="G1420" s="378">
        <v>0</v>
      </c>
      <c r="H1420" s="378">
        <v>0</v>
      </c>
      <c r="I1420" s="378">
        <v>-59766</v>
      </c>
      <c r="J1420">
        <f t="shared" si="23"/>
        <v>8</v>
      </c>
    </row>
    <row r="1421" spans="1:10" ht="15" customHeight="1" x14ac:dyDescent="0.25">
      <c r="A1421" s="380">
        <v>25503003</v>
      </c>
      <c r="B1421" s="381" t="s">
        <v>315</v>
      </c>
      <c r="C1421" s="381" t="s">
        <v>1277</v>
      </c>
      <c r="D1421" s="381" t="s">
        <v>1228</v>
      </c>
      <c r="E1421" s="381" t="s">
        <v>1229</v>
      </c>
      <c r="F1421" s="378">
        <v>-72348</v>
      </c>
      <c r="G1421" s="378">
        <v>0</v>
      </c>
      <c r="H1421" s="378">
        <v>49500</v>
      </c>
      <c r="I1421" s="378">
        <v>-121848</v>
      </c>
      <c r="J1421">
        <f t="shared" ref="J1421:J1484" si="24">+LEN(A1421)</f>
        <v>8</v>
      </c>
    </row>
    <row r="1422" spans="1:10" ht="15" customHeight="1" x14ac:dyDescent="0.25">
      <c r="A1422" s="380">
        <v>25503003</v>
      </c>
      <c r="B1422" s="381" t="s">
        <v>315</v>
      </c>
      <c r="C1422" s="381" t="s">
        <v>1277</v>
      </c>
      <c r="D1422" s="381" t="s">
        <v>404</v>
      </c>
      <c r="E1422" s="381" t="s">
        <v>1230</v>
      </c>
      <c r="F1422" s="378">
        <v>-126532</v>
      </c>
      <c r="G1422" s="378">
        <v>0</v>
      </c>
      <c r="H1422" s="378">
        <v>63288</v>
      </c>
      <c r="I1422" s="378">
        <v>-189820</v>
      </c>
      <c r="J1422">
        <f t="shared" si="24"/>
        <v>8</v>
      </c>
    </row>
    <row r="1423" spans="1:10" ht="15" customHeight="1" x14ac:dyDescent="0.25">
      <c r="A1423" s="380">
        <v>25503003</v>
      </c>
      <c r="B1423" s="381" t="s">
        <v>315</v>
      </c>
      <c r="C1423" s="381" t="s">
        <v>1277</v>
      </c>
      <c r="D1423" s="381" t="s">
        <v>1212</v>
      </c>
      <c r="E1423" s="381" t="s">
        <v>1213</v>
      </c>
      <c r="F1423" s="378">
        <v>0</v>
      </c>
      <c r="G1423" s="378">
        <v>0</v>
      </c>
      <c r="H1423" s="378">
        <v>28470</v>
      </c>
      <c r="I1423" s="378">
        <v>-28470</v>
      </c>
      <c r="J1423">
        <f t="shared" si="24"/>
        <v>8</v>
      </c>
    </row>
    <row r="1424" spans="1:10" ht="15" customHeight="1" x14ac:dyDescent="0.25">
      <c r="A1424" s="380">
        <v>25503003</v>
      </c>
      <c r="B1424" s="381" t="s">
        <v>315</v>
      </c>
      <c r="C1424" s="381" t="s">
        <v>1277</v>
      </c>
      <c r="D1424" s="381" t="s">
        <v>1243</v>
      </c>
      <c r="E1424" s="381" t="s">
        <v>1244</v>
      </c>
      <c r="F1424" s="378">
        <v>-183673</v>
      </c>
      <c r="G1424" s="378">
        <v>0</v>
      </c>
      <c r="H1424" s="378">
        <v>0</v>
      </c>
      <c r="I1424" s="378">
        <v>-183673</v>
      </c>
      <c r="J1424">
        <f t="shared" si="24"/>
        <v>8</v>
      </c>
    </row>
    <row r="1425" spans="1:10" ht="15" customHeight="1" x14ac:dyDescent="0.25">
      <c r="A1425" s="380">
        <v>25503004</v>
      </c>
      <c r="B1425" s="381" t="s">
        <v>315</v>
      </c>
      <c r="C1425" s="381" t="s">
        <v>1278</v>
      </c>
      <c r="D1425" s="381" t="s">
        <v>315</v>
      </c>
      <c r="E1425" s="381" t="s">
        <v>315</v>
      </c>
      <c r="F1425" s="378">
        <v>-10995349</v>
      </c>
      <c r="G1425" s="378">
        <v>0</v>
      </c>
      <c r="H1425" s="378">
        <v>2312402</v>
      </c>
      <c r="I1425" s="378">
        <v>-13307751</v>
      </c>
      <c r="J1425">
        <f t="shared" si="24"/>
        <v>8</v>
      </c>
    </row>
    <row r="1426" spans="1:10" ht="15" customHeight="1" x14ac:dyDescent="0.25">
      <c r="A1426" s="380">
        <v>25503004</v>
      </c>
      <c r="B1426" s="381" t="s">
        <v>315</v>
      </c>
      <c r="C1426" s="381" t="s">
        <v>1278</v>
      </c>
      <c r="D1426" s="381" t="s">
        <v>1194</v>
      </c>
      <c r="E1426" s="381" t="s">
        <v>1195</v>
      </c>
      <c r="F1426" s="378">
        <v>-336267</v>
      </c>
      <c r="G1426" s="378">
        <v>0</v>
      </c>
      <c r="H1426" s="378">
        <v>77770</v>
      </c>
      <c r="I1426" s="378">
        <v>-414037</v>
      </c>
      <c r="J1426">
        <f t="shared" si="24"/>
        <v>8</v>
      </c>
    </row>
    <row r="1427" spans="1:10" ht="15" customHeight="1" x14ac:dyDescent="0.25">
      <c r="A1427" s="380">
        <v>25503004</v>
      </c>
      <c r="B1427" s="381" t="s">
        <v>315</v>
      </c>
      <c r="C1427" s="381" t="s">
        <v>1278</v>
      </c>
      <c r="D1427" s="381" t="s">
        <v>779</v>
      </c>
      <c r="E1427" s="381" t="s">
        <v>780</v>
      </c>
      <c r="F1427" s="378">
        <v>-89588</v>
      </c>
      <c r="G1427" s="378">
        <v>0</v>
      </c>
      <c r="H1427" s="378">
        <v>95403</v>
      </c>
      <c r="I1427" s="378">
        <v>-184991</v>
      </c>
      <c r="J1427">
        <f t="shared" si="24"/>
        <v>8</v>
      </c>
    </row>
    <row r="1428" spans="1:10" ht="15" customHeight="1" x14ac:dyDescent="0.25">
      <c r="A1428" s="380">
        <v>25503004</v>
      </c>
      <c r="B1428" s="381" t="s">
        <v>315</v>
      </c>
      <c r="C1428" s="381" t="s">
        <v>1278</v>
      </c>
      <c r="D1428" s="381" t="s">
        <v>774</v>
      </c>
      <c r="E1428" s="381" t="s">
        <v>775</v>
      </c>
      <c r="F1428" s="378">
        <v>-328215</v>
      </c>
      <c r="G1428" s="378">
        <v>0</v>
      </c>
      <c r="H1428" s="378">
        <v>57683</v>
      </c>
      <c r="I1428" s="378">
        <v>-385898</v>
      </c>
      <c r="J1428">
        <f t="shared" si="24"/>
        <v>8</v>
      </c>
    </row>
    <row r="1429" spans="1:10" ht="15" customHeight="1" x14ac:dyDescent="0.25">
      <c r="A1429" s="380">
        <v>25503004</v>
      </c>
      <c r="B1429" s="381" t="s">
        <v>315</v>
      </c>
      <c r="C1429" s="381" t="s">
        <v>1278</v>
      </c>
      <c r="D1429" s="381" t="s">
        <v>1196</v>
      </c>
      <c r="E1429" s="381" t="s">
        <v>1197</v>
      </c>
      <c r="F1429" s="378">
        <v>-383985</v>
      </c>
      <c r="G1429" s="378">
        <v>0</v>
      </c>
      <c r="H1429" s="378">
        <v>66754</v>
      </c>
      <c r="I1429" s="378">
        <v>-450739</v>
      </c>
      <c r="J1429">
        <f t="shared" si="24"/>
        <v>8</v>
      </c>
    </row>
    <row r="1430" spans="1:10" ht="15" customHeight="1" x14ac:dyDescent="0.25">
      <c r="A1430" s="380">
        <v>25503004</v>
      </c>
      <c r="B1430" s="381" t="s">
        <v>315</v>
      </c>
      <c r="C1430" s="381" t="s">
        <v>1278</v>
      </c>
      <c r="D1430" s="381" t="s">
        <v>1078</v>
      </c>
      <c r="E1430" s="381" t="s">
        <v>1079</v>
      </c>
      <c r="F1430" s="378">
        <v>-772000</v>
      </c>
      <c r="G1430" s="378">
        <v>0</v>
      </c>
      <c r="H1430" s="378">
        <v>210000</v>
      </c>
      <c r="I1430" s="378">
        <v>-982000</v>
      </c>
      <c r="J1430">
        <f t="shared" si="24"/>
        <v>8</v>
      </c>
    </row>
    <row r="1431" spans="1:10" ht="15" customHeight="1" x14ac:dyDescent="0.25">
      <c r="A1431" s="380">
        <v>25503004</v>
      </c>
      <c r="B1431" s="381" t="s">
        <v>315</v>
      </c>
      <c r="C1431" s="381" t="s">
        <v>1278</v>
      </c>
      <c r="D1431" s="381" t="s">
        <v>728</v>
      </c>
      <c r="E1431" s="381" t="s">
        <v>729</v>
      </c>
      <c r="F1431" s="378">
        <v>-436049</v>
      </c>
      <c r="G1431" s="378">
        <v>0</v>
      </c>
      <c r="H1431" s="378">
        <v>88919</v>
      </c>
      <c r="I1431" s="378">
        <v>-524968</v>
      </c>
      <c r="J1431">
        <f t="shared" si="24"/>
        <v>8</v>
      </c>
    </row>
    <row r="1432" spans="1:10" ht="15" customHeight="1" x14ac:dyDescent="0.25">
      <c r="A1432" s="380">
        <v>25503004</v>
      </c>
      <c r="B1432" s="381" t="s">
        <v>315</v>
      </c>
      <c r="C1432" s="381" t="s">
        <v>1278</v>
      </c>
      <c r="D1432" s="381" t="s">
        <v>783</v>
      </c>
      <c r="E1432" s="381" t="s">
        <v>784</v>
      </c>
      <c r="F1432" s="378">
        <v>-335128</v>
      </c>
      <c r="G1432" s="378">
        <v>0</v>
      </c>
      <c r="H1432" s="378">
        <v>69910</v>
      </c>
      <c r="I1432" s="378">
        <v>-405038</v>
      </c>
      <c r="J1432">
        <f t="shared" si="24"/>
        <v>8</v>
      </c>
    </row>
    <row r="1433" spans="1:10" ht="15" customHeight="1" x14ac:dyDescent="0.25">
      <c r="A1433" s="380">
        <v>25503004</v>
      </c>
      <c r="B1433" s="381" t="s">
        <v>315</v>
      </c>
      <c r="C1433" s="381" t="s">
        <v>1278</v>
      </c>
      <c r="D1433" s="381" t="s">
        <v>797</v>
      </c>
      <c r="E1433" s="381" t="s">
        <v>798</v>
      </c>
      <c r="F1433" s="378">
        <v>-320616</v>
      </c>
      <c r="G1433" s="378">
        <v>0</v>
      </c>
      <c r="H1433" s="378">
        <v>60221</v>
      </c>
      <c r="I1433" s="378">
        <v>-380837</v>
      </c>
      <c r="J1433">
        <f t="shared" si="24"/>
        <v>8</v>
      </c>
    </row>
    <row r="1434" spans="1:10" ht="15" customHeight="1" x14ac:dyDescent="0.25">
      <c r="A1434" s="380">
        <v>25503004</v>
      </c>
      <c r="B1434" s="381" t="s">
        <v>315</v>
      </c>
      <c r="C1434" s="381" t="s">
        <v>1278</v>
      </c>
      <c r="D1434" s="381" t="s">
        <v>1221</v>
      </c>
      <c r="E1434" s="381" t="s">
        <v>1494</v>
      </c>
      <c r="F1434" s="378">
        <v>-377493</v>
      </c>
      <c r="G1434" s="378">
        <v>0</v>
      </c>
      <c r="H1434" s="378">
        <v>0</v>
      </c>
      <c r="I1434" s="378">
        <v>-377493</v>
      </c>
      <c r="J1434">
        <f t="shared" si="24"/>
        <v>8</v>
      </c>
    </row>
    <row r="1435" spans="1:10" ht="15" customHeight="1" x14ac:dyDescent="0.25">
      <c r="A1435" s="380">
        <v>25503004</v>
      </c>
      <c r="B1435" s="381" t="s">
        <v>315</v>
      </c>
      <c r="C1435" s="381" t="s">
        <v>1278</v>
      </c>
      <c r="D1435" s="381" t="s">
        <v>1198</v>
      </c>
      <c r="E1435" s="381" t="s">
        <v>1199</v>
      </c>
      <c r="F1435" s="378">
        <v>-88775</v>
      </c>
      <c r="G1435" s="378">
        <v>0</v>
      </c>
      <c r="H1435" s="378">
        <v>62604</v>
      </c>
      <c r="I1435" s="378">
        <v>-151379</v>
      </c>
      <c r="J1435">
        <f t="shared" si="24"/>
        <v>8</v>
      </c>
    </row>
    <row r="1436" spans="1:10" ht="15" customHeight="1" x14ac:dyDescent="0.25">
      <c r="A1436" s="380">
        <v>25503004</v>
      </c>
      <c r="B1436" s="381" t="s">
        <v>315</v>
      </c>
      <c r="C1436" s="381" t="s">
        <v>1278</v>
      </c>
      <c r="D1436" s="381" t="s">
        <v>753</v>
      </c>
      <c r="E1436" s="381" t="s">
        <v>754</v>
      </c>
      <c r="F1436" s="378">
        <v>-54635</v>
      </c>
      <c r="G1436" s="378">
        <v>0</v>
      </c>
      <c r="H1436" s="378">
        <v>0</v>
      </c>
      <c r="I1436" s="378">
        <v>-54635</v>
      </c>
      <c r="J1436">
        <f t="shared" si="24"/>
        <v>8</v>
      </c>
    </row>
    <row r="1437" spans="1:10" ht="15" customHeight="1" x14ac:dyDescent="0.25">
      <c r="A1437" s="380">
        <v>25503004</v>
      </c>
      <c r="B1437" s="381" t="s">
        <v>315</v>
      </c>
      <c r="C1437" s="381" t="s">
        <v>1278</v>
      </c>
      <c r="D1437" s="381" t="s">
        <v>1200</v>
      </c>
      <c r="E1437" s="381" t="s">
        <v>1201</v>
      </c>
      <c r="F1437" s="378">
        <v>-343131</v>
      </c>
      <c r="G1437" s="378">
        <v>0</v>
      </c>
      <c r="H1437" s="378">
        <v>72363</v>
      </c>
      <c r="I1437" s="378">
        <v>-415494</v>
      </c>
      <c r="J1437">
        <f t="shared" si="24"/>
        <v>8</v>
      </c>
    </row>
    <row r="1438" spans="1:10" ht="15" customHeight="1" x14ac:dyDescent="0.25">
      <c r="A1438" s="380">
        <v>25503004</v>
      </c>
      <c r="B1438" s="381" t="s">
        <v>315</v>
      </c>
      <c r="C1438" s="381" t="s">
        <v>1278</v>
      </c>
      <c r="D1438" s="381" t="s">
        <v>786</v>
      </c>
      <c r="E1438" s="381" t="s">
        <v>787</v>
      </c>
      <c r="F1438" s="378">
        <v>-490158</v>
      </c>
      <c r="G1438" s="378">
        <v>0</v>
      </c>
      <c r="H1438" s="378">
        <v>99184</v>
      </c>
      <c r="I1438" s="378">
        <v>-589342</v>
      </c>
      <c r="J1438">
        <f t="shared" si="24"/>
        <v>8</v>
      </c>
    </row>
    <row r="1439" spans="1:10" ht="15" customHeight="1" x14ac:dyDescent="0.25">
      <c r="A1439" s="380">
        <v>25503004</v>
      </c>
      <c r="B1439" s="381" t="s">
        <v>315</v>
      </c>
      <c r="C1439" s="381" t="s">
        <v>1278</v>
      </c>
      <c r="D1439" s="381" t="s">
        <v>1224</v>
      </c>
      <c r="E1439" s="381" t="s">
        <v>1225</v>
      </c>
      <c r="F1439" s="378">
        <v>-379529</v>
      </c>
      <c r="G1439" s="378">
        <v>0</v>
      </c>
      <c r="H1439" s="378">
        <v>86507</v>
      </c>
      <c r="I1439" s="378">
        <v>-466036</v>
      </c>
      <c r="J1439">
        <f t="shared" si="24"/>
        <v>8</v>
      </c>
    </row>
    <row r="1440" spans="1:10" ht="15" customHeight="1" x14ac:dyDescent="0.25">
      <c r="A1440" s="380">
        <v>25503004</v>
      </c>
      <c r="B1440" s="381" t="s">
        <v>315</v>
      </c>
      <c r="C1440" s="381" t="s">
        <v>1278</v>
      </c>
      <c r="D1440" s="381" t="s">
        <v>1226</v>
      </c>
      <c r="E1440" s="381" t="s">
        <v>1227</v>
      </c>
      <c r="F1440" s="378">
        <v>-18281</v>
      </c>
      <c r="G1440" s="378">
        <v>0</v>
      </c>
      <c r="H1440" s="378">
        <v>0</v>
      </c>
      <c r="I1440" s="378">
        <v>-18281</v>
      </c>
      <c r="J1440">
        <f t="shared" si="24"/>
        <v>8</v>
      </c>
    </row>
    <row r="1441" spans="1:10" ht="15" customHeight="1" x14ac:dyDescent="0.25">
      <c r="A1441" s="380">
        <v>25503004</v>
      </c>
      <c r="B1441" s="381" t="s">
        <v>315</v>
      </c>
      <c r="C1441" s="381" t="s">
        <v>1278</v>
      </c>
      <c r="D1441" s="381" t="s">
        <v>1202</v>
      </c>
      <c r="E1441" s="381" t="s">
        <v>1203</v>
      </c>
      <c r="F1441" s="378">
        <v>-69815</v>
      </c>
      <c r="G1441" s="378">
        <v>0</v>
      </c>
      <c r="H1441" s="378">
        <v>67753</v>
      </c>
      <c r="I1441" s="378">
        <v>-137568</v>
      </c>
      <c r="J1441">
        <f t="shared" si="24"/>
        <v>8</v>
      </c>
    </row>
    <row r="1442" spans="1:10" ht="15" customHeight="1" x14ac:dyDescent="0.25">
      <c r="A1442" s="380">
        <v>25503004</v>
      </c>
      <c r="B1442" s="381" t="s">
        <v>315</v>
      </c>
      <c r="C1442" s="381" t="s">
        <v>1278</v>
      </c>
      <c r="D1442" s="381" t="s">
        <v>1086</v>
      </c>
      <c r="E1442" s="381" t="s">
        <v>1087</v>
      </c>
      <c r="F1442" s="378">
        <v>-357894</v>
      </c>
      <c r="G1442" s="378">
        <v>0</v>
      </c>
      <c r="H1442" s="378">
        <v>68055</v>
      </c>
      <c r="I1442" s="378">
        <v>-425949</v>
      </c>
      <c r="J1442">
        <f t="shared" si="24"/>
        <v>8</v>
      </c>
    </row>
    <row r="1443" spans="1:10" ht="15" customHeight="1" x14ac:dyDescent="0.25">
      <c r="A1443" s="380">
        <v>25503004</v>
      </c>
      <c r="B1443" s="381" t="s">
        <v>315</v>
      </c>
      <c r="C1443" s="381" t="s">
        <v>1278</v>
      </c>
      <c r="D1443" s="381" t="s">
        <v>1204</v>
      </c>
      <c r="E1443" s="381" t="s">
        <v>1205</v>
      </c>
      <c r="F1443" s="378">
        <v>-79243</v>
      </c>
      <c r="G1443" s="378">
        <v>0</v>
      </c>
      <c r="H1443" s="378">
        <v>61923</v>
      </c>
      <c r="I1443" s="378">
        <v>-141166</v>
      </c>
      <c r="J1443">
        <f t="shared" si="24"/>
        <v>8</v>
      </c>
    </row>
    <row r="1444" spans="1:10" ht="15" customHeight="1" x14ac:dyDescent="0.25">
      <c r="A1444" s="380">
        <v>25503004</v>
      </c>
      <c r="B1444" s="381" t="s">
        <v>315</v>
      </c>
      <c r="C1444" s="381" t="s">
        <v>1278</v>
      </c>
      <c r="D1444" s="381" t="s">
        <v>1231</v>
      </c>
      <c r="E1444" s="381" t="s">
        <v>1232</v>
      </c>
      <c r="F1444" s="378">
        <v>-65702</v>
      </c>
      <c r="G1444" s="378">
        <v>0</v>
      </c>
      <c r="H1444" s="378">
        <v>0</v>
      </c>
      <c r="I1444" s="378">
        <v>-65702</v>
      </c>
      <c r="J1444">
        <f t="shared" si="24"/>
        <v>8</v>
      </c>
    </row>
    <row r="1445" spans="1:10" ht="15" customHeight="1" x14ac:dyDescent="0.25">
      <c r="A1445" s="380">
        <v>25503004</v>
      </c>
      <c r="B1445" s="381" t="s">
        <v>315</v>
      </c>
      <c r="C1445" s="381" t="s">
        <v>1278</v>
      </c>
      <c r="D1445" s="381" t="s">
        <v>788</v>
      </c>
      <c r="E1445" s="381" t="s">
        <v>789</v>
      </c>
      <c r="F1445" s="378">
        <v>-578066</v>
      </c>
      <c r="G1445" s="378">
        <v>0</v>
      </c>
      <c r="H1445" s="378">
        <v>114625</v>
      </c>
      <c r="I1445" s="378">
        <v>-692691</v>
      </c>
      <c r="J1445">
        <f t="shared" si="24"/>
        <v>8</v>
      </c>
    </row>
    <row r="1446" spans="1:10" ht="15" customHeight="1" x14ac:dyDescent="0.25">
      <c r="A1446" s="380">
        <v>25503004</v>
      </c>
      <c r="B1446" s="381" t="s">
        <v>315</v>
      </c>
      <c r="C1446" s="381" t="s">
        <v>1278</v>
      </c>
      <c r="D1446" s="381" t="s">
        <v>1206</v>
      </c>
      <c r="E1446" s="381" t="s">
        <v>1207</v>
      </c>
      <c r="F1446" s="378">
        <v>-291138</v>
      </c>
      <c r="G1446" s="378">
        <v>0</v>
      </c>
      <c r="H1446" s="378">
        <v>76747</v>
      </c>
      <c r="I1446" s="378">
        <v>-367885</v>
      </c>
      <c r="J1446">
        <f t="shared" si="24"/>
        <v>8</v>
      </c>
    </row>
    <row r="1447" spans="1:10" ht="15" customHeight="1" x14ac:dyDescent="0.25">
      <c r="A1447" s="380">
        <v>25503004</v>
      </c>
      <c r="B1447" s="381" t="s">
        <v>315</v>
      </c>
      <c r="C1447" s="381" t="s">
        <v>1278</v>
      </c>
      <c r="D1447" s="381" t="s">
        <v>1088</v>
      </c>
      <c r="E1447" s="381" t="s">
        <v>1089</v>
      </c>
      <c r="F1447" s="378">
        <v>-179043</v>
      </c>
      <c r="G1447" s="378">
        <v>0</v>
      </c>
      <c r="H1447" s="378">
        <v>15329</v>
      </c>
      <c r="I1447" s="378">
        <v>-194372</v>
      </c>
      <c r="J1447">
        <f t="shared" si="24"/>
        <v>8</v>
      </c>
    </row>
    <row r="1448" spans="1:10" ht="15" customHeight="1" x14ac:dyDescent="0.25">
      <c r="A1448" s="380">
        <v>25503004</v>
      </c>
      <c r="B1448" s="381" t="s">
        <v>315</v>
      </c>
      <c r="C1448" s="381" t="s">
        <v>1278</v>
      </c>
      <c r="D1448" s="381" t="s">
        <v>776</v>
      </c>
      <c r="E1448" s="381" t="s">
        <v>777</v>
      </c>
      <c r="F1448" s="378">
        <v>-411369</v>
      </c>
      <c r="G1448" s="378">
        <v>0</v>
      </c>
      <c r="H1448" s="378">
        <v>55130</v>
      </c>
      <c r="I1448" s="378">
        <v>-466499</v>
      </c>
      <c r="J1448">
        <f t="shared" si="24"/>
        <v>8</v>
      </c>
    </row>
    <row r="1449" spans="1:10" ht="15" customHeight="1" x14ac:dyDescent="0.25">
      <c r="A1449" s="380">
        <v>25503004</v>
      </c>
      <c r="B1449" s="381" t="s">
        <v>315</v>
      </c>
      <c r="C1449" s="381" t="s">
        <v>1278</v>
      </c>
      <c r="D1449" s="381" t="s">
        <v>790</v>
      </c>
      <c r="E1449" s="381" t="s">
        <v>791</v>
      </c>
      <c r="F1449" s="378">
        <v>-366175</v>
      </c>
      <c r="G1449" s="378">
        <v>0</v>
      </c>
      <c r="H1449" s="378">
        <v>83474</v>
      </c>
      <c r="I1449" s="378">
        <v>-449649</v>
      </c>
      <c r="J1449">
        <f t="shared" si="24"/>
        <v>8</v>
      </c>
    </row>
    <row r="1450" spans="1:10" ht="15" customHeight="1" x14ac:dyDescent="0.25">
      <c r="A1450" s="380">
        <v>25503004</v>
      </c>
      <c r="B1450" s="381" t="s">
        <v>315</v>
      </c>
      <c r="C1450" s="381" t="s">
        <v>1278</v>
      </c>
      <c r="D1450" s="381" t="s">
        <v>1233</v>
      </c>
      <c r="E1450" s="381" t="s">
        <v>1234</v>
      </c>
      <c r="F1450" s="378">
        <v>-246411</v>
      </c>
      <c r="G1450" s="378">
        <v>0</v>
      </c>
      <c r="H1450" s="378">
        <v>0</v>
      </c>
      <c r="I1450" s="378">
        <v>-246411</v>
      </c>
      <c r="J1450">
        <f t="shared" si="24"/>
        <v>8</v>
      </c>
    </row>
    <row r="1451" spans="1:10" ht="15" customHeight="1" x14ac:dyDescent="0.25">
      <c r="A1451" s="380">
        <v>25503004</v>
      </c>
      <c r="B1451" s="381" t="s">
        <v>315</v>
      </c>
      <c r="C1451" s="381" t="s">
        <v>1278</v>
      </c>
      <c r="D1451" s="381" t="s">
        <v>1235</v>
      </c>
      <c r="E1451" s="381" t="s">
        <v>1236</v>
      </c>
      <c r="F1451" s="378">
        <v>-28470</v>
      </c>
      <c r="G1451" s="378">
        <v>0</v>
      </c>
      <c r="H1451" s="378">
        <v>0</v>
      </c>
      <c r="I1451" s="378">
        <v>-28470</v>
      </c>
      <c r="J1451">
        <f t="shared" si="24"/>
        <v>8</v>
      </c>
    </row>
    <row r="1452" spans="1:10" ht="15" customHeight="1" x14ac:dyDescent="0.25">
      <c r="A1452" s="380">
        <v>25503004</v>
      </c>
      <c r="B1452" s="381" t="s">
        <v>315</v>
      </c>
      <c r="C1452" s="381" t="s">
        <v>1278</v>
      </c>
      <c r="D1452" s="381" t="s">
        <v>1208</v>
      </c>
      <c r="E1452" s="381" t="s">
        <v>1209</v>
      </c>
      <c r="F1452" s="378">
        <v>-391323</v>
      </c>
      <c r="G1452" s="378">
        <v>0</v>
      </c>
      <c r="H1452" s="378">
        <v>70414</v>
      </c>
      <c r="I1452" s="378">
        <v>-461737</v>
      </c>
      <c r="J1452">
        <f t="shared" si="24"/>
        <v>8</v>
      </c>
    </row>
    <row r="1453" spans="1:10" ht="15" customHeight="1" x14ac:dyDescent="0.25">
      <c r="A1453" s="380">
        <v>25503004</v>
      </c>
      <c r="B1453" s="381" t="s">
        <v>315</v>
      </c>
      <c r="C1453" s="381" t="s">
        <v>1278</v>
      </c>
      <c r="D1453" s="381" t="s">
        <v>1237</v>
      </c>
      <c r="E1453" s="381" t="s">
        <v>1238</v>
      </c>
      <c r="F1453" s="378">
        <v>-93602</v>
      </c>
      <c r="G1453" s="378">
        <v>0</v>
      </c>
      <c r="H1453" s="378">
        <v>78894</v>
      </c>
      <c r="I1453" s="378">
        <v>-172496</v>
      </c>
      <c r="J1453">
        <f t="shared" si="24"/>
        <v>8</v>
      </c>
    </row>
    <row r="1454" spans="1:10" ht="15" customHeight="1" x14ac:dyDescent="0.25">
      <c r="A1454" s="380">
        <v>25503004</v>
      </c>
      <c r="B1454" s="381" t="s">
        <v>315</v>
      </c>
      <c r="C1454" s="381" t="s">
        <v>1278</v>
      </c>
      <c r="D1454" s="381" t="s">
        <v>1239</v>
      </c>
      <c r="E1454" s="381" t="s">
        <v>1240</v>
      </c>
      <c r="F1454" s="378">
        <v>-347552</v>
      </c>
      <c r="G1454" s="378">
        <v>0</v>
      </c>
      <c r="H1454" s="378">
        <v>0</v>
      </c>
      <c r="I1454" s="378">
        <v>-347552</v>
      </c>
      <c r="J1454">
        <f t="shared" si="24"/>
        <v>8</v>
      </c>
    </row>
    <row r="1455" spans="1:10" ht="15" customHeight="1" x14ac:dyDescent="0.25">
      <c r="A1455" s="380">
        <v>25503004</v>
      </c>
      <c r="B1455" s="381" t="s">
        <v>315</v>
      </c>
      <c r="C1455" s="381" t="s">
        <v>1278</v>
      </c>
      <c r="D1455" s="381" t="s">
        <v>1248</v>
      </c>
      <c r="E1455" s="381" t="s">
        <v>1249</v>
      </c>
      <c r="F1455" s="378">
        <v>-2816</v>
      </c>
      <c r="G1455" s="378">
        <v>0</v>
      </c>
      <c r="H1455" s="378">
        <v>0</v>
      </c>
      <c r="I1455" s="378">
        <v>-2816</v>
      </c>
      <c r="J1455">
        <f t="shared" si="24"/>
        <v>8</v>
      </c>
    </row>
    <row r="1456" spans="1:10" ht="15" customHeight="1" x14ac:dyDescent="0.25">
      <c r="A1456" s="380">
        <v>25503004</v>
      </c>
      <c r="B1456" s="381" t="s">
        <v>315</v>
      </c>
      <c r="C1456" s="381" t="s">
        <v>1278</v>
      </c>
      <c r="D1456" s="381" t="s">
        <v>1210</v>
      </c>
      <c r="E1456" s="381" t="s">
        <v>1211</v>
      </c>
      <c r="F1456" s="378">
        <v>-327049</v>
      </c>
      <c r="G1456" s="378">
        <v>0</v>
      </c>
      <c r="H1456" s="378">
        <v>60717</v>
      </c>
      <c r="I1456" s="378">
        <v>-387766</v>
      </c>
      <c r="J1456">
        <f t="shared" si="24"/>
        <v>8</v>
      </c>
    </row>
    <row r="1457" spans="1:10" ht="15" customHeight="1" x14ac:dyDescent="0.25">
      <c r="A1457" s="380">
        <v>25503004</v>
      </c>
      <c r="B1457" s="381" t="s">
        <v>315</v>
      </c>
      <c r="C1457" s="381" t="s">
        <v>1278</v>
      </c>
      <c r="D1457" s="381" t="s">
        <v>1090</v>
      </c>
      <c r="E1457" s="381" t="s">
        <v>1091</v>
      </c>
      <c r="F1457" s="378">
        <v>-273615</v>
      </c>
      <c r="G1457" s="378">
        <v>0</v>
      </c>
      <c r="H1457" s="378">
        <v>98997</v>
      </c>
      <c r="I1457" s="378">
        <v>-372612</v>
      </c>
      <c r="J1457">
        <f t="shared" si="24"/>
        <v>8</v>
      </c>
    </row>
    <row r="1458" spans="1:10" ht="15" customHeight="1" x14ac:dyDescent="0.25">
      <c r="A1458" s="380">
        <v>25503004</v>
      </c>
      <c r="B1458" s="381" t="s">
        <v>315</v>
      </c>
      <c r="C1458" s="381" t="s">
        <v>1278</v>
      </c>
      <c r="D1458" s="381" t="s">
        <v>1241</v>
      </c>
      <c r="E1458" s="381" t="s">
        <v>1242</v>
      </c>
      <c r="F1458" s="378">
        <v>-134608</v>
      </c>
      <c r="G1458" s="378">
        <v>0</v>
      </c>
      <c r="H1458" s="378">
        <v>66111</v>
      </c>
      <c r="I1458" s="378">
        <v>-200719</v>
      </c>
      <c r="J1458">
        <f t="shared" si="24"/>
        <v>8</v>
      </c>
    </row>
    <row r="1459" spans="1:10" ht="15" customHeight="1" x14ac:dyDescent="0.25">
      <c r="A1459" s="380">
        <v>25503004</v>
      </c>
      <c r="B1459" s="381" t="s">
        <v>315</v>
      </c>
      <c r="C1459" s="381" t="s">
        <v>1278</v>
      </c>
      <c r="D1459" s="381" t="s">
        <v>792</v>
      </c>
      <c r="E1459" s="381" t="s">
        <v>793</v>
      </c>
      <c r="F1459" s="378">
        <v>-412834</v>
      </c>
      <c r="G1459" s="378">
        <v>0</v>
      </c>
      <c r="H1459" s="378">
        <v>87438</v>
      </c>
      <c r="I1459" s="378">
        <v>-500272</v>
      </c>
      <c r="J1459">
        <f t="shared" si="24"/>
        <v>8</v>
      </c>
    </row>
    <row r="1460" spans="1:10" ht="15" customHeight="1" x14ac:dyDescent="0.25">
      <c r="A1460" s="380">
        <v>25503004</v>
      </c>
      <c r="B1460" s="381" t="s">
        <v>315</v>
      </c>
      <c r="C1460" s="381" t="s">
        <v>1278</v>
      </c>
      <c r="D1460" s="381" t="s">
        <v>794</v>
      </c>
      <c r="E1460" s="381" t="s">
        <v>795</v>
      </c>
      <c r="F1460" s="378">
        <v>-408719</v>
      </c>
      <c r="G1460" s="378">
        <v>0</v>
      </c>
      <c r="H1460" s="378">
        <v>83317</v>
      </c>
      <c r="I1460" s="378">
        <v>-492036</v>
      </c>
      <c r="J1460">
        <f t="shared" si="24"/>
        <v>8</v>
      </c>
    </row>
    <row r="1461" spans="1:10" ht="15" customHeight="1" x14ac:dyDescent="0.25">
      <c r="A1461" s="380">
        <v>25503004</v>
      </c>
      <c r="B1461" s="381" t="s">
        <v>315</v>
      </c>
      <c r="C1461" s="381" t="s">
        <v>1278</v>
      </c>
      <c r="D1461" s="381" t="s">
        <v>1212</v>
      </c>
      <c r="E1461" s="381" t="s">
        <v>1213</v>
      </c>
      <c r="F1461" s="378">
        <v>0</v>
      </c>
      <c r="G1461" s="378">
        <v>0</v>
      </c>
      <c r="H1461" s="378">
        <v>13286</v>
      </c>
      <c r="I1461" s="378">
        <v>-13286</v>
      </c>
      <c r="J1461">
        <f t="shared" si="24"/>
        <v>8</v>
      </c>
    </row>
    <row r="1462" spans="1:10" ht="15" customHeight="1" x14ac:dyDescent="0.25">
      <c r="A1462" s="380">
        <v>25503004</v>
      </c>
      <c r="B1462" s="381" t="s">
        <v>315</v>
      </c>
      <c r="C1462" s="381" t="s">
        <v>1278</v>
      </c>
      <c r="D1462" s="381" t="s">
        <v>1092</v>
      </c>
      <c r="E1462" s="381" t="s">
        <v>1093</v>
      </c>
      <c r="F1462" s="378">
        <v>-411720</v>
      </c>
      <c r="G1462" s="378">
        <v>0</v>
      </c>
      <c r="H1462" s="378">
        <v>15101</v>
      </c>
      <c r="I1462" s="378">
        <v>-426821</v>
      </c>
      <c r="J1462">
        <f t="shared" si="24"/>
        <v>8</v>
      </c>
    </row>
    <row r="1463" spans="1:10" ht="15" customHeight="1" x14ac:dyDescent="0.25">
      <c r="A1463" s="380">
        <v>25503004</v>
      </c>
      <c r="B1463" s="381" t="s">
        <v>315</v>
      </c>
      <c r="C1463" s="381" t="s">
        <v>1278</v>
      </c>
      <c r="D1463" s="381" t="s">
        <v>1214</v>
      </c>
      <c r="E1463" s="381" t="s">
        <v>1489</v>
      </c>
      <c r="F1463" s="378">
        <v>-435572</v>
      </c>
      <c r="G1463" s="378">
        <v>0</v>
      </c>
      <c r="H1463" s="378">
        <v>87511</v>
      </c>
      <c r="I1463" s="378">
        <v>-523083</v>
      </c>
      <c r="J1463">
        <f t="shared" si="24"/>
        <v>8</v>
      </c>
    </row>
    <row r="1464" spans="1:10" ht="15" customHeight="1" x14ac:dyDescent="0.25">
      <c r="A1464" s="380">
        <v>25503004</v>
      </c>
      <c r="B1464" s="381" t="s">
        <v>315</v>
      </c>
      <c r="C1464" s="381" t="s">
        <v>1278</v>
      </c>
      <c r="D1464" s="381" t="s">
        <v>1094</v>
      </c>
      <c r="E1464" s="381" t="s">
        <v>1095</v>
      </c>
      <c r="F1464" s="378">
        <v>-328763</v>
      </c>
      <c r="G1464" s="378">
        <v>0</v>
      </c>
      <c r="H1464" s="378">
        <v>60262</v>
      </c>
      <c r="I1464" s="378">
        <v>-389025</v>
      </c>
      <c r="J1464">
        <f t="shared" si="24"/>
        <v>8</v>
      </c>
    </row>
    <row r="1465" spans="1:10" ht="15" customHeight="1" x14ac:dyDescent="0.25">
      <c r="A1465" s="380">
        <v>255040</v>
      </c>
      <c r="B1465" s="381" t="s">
        <v>315</v>
      </c>
      <c r="C1465" s="381" t="s">
        <v>1279</v>
      </c>
      <c r="D1465" s="381" t="s">
        <v>315</v>
      </c>
      <c r="E1465" s="381" t="s">
        <v>315</v>
      </c>
      <c r="F1465" s="378">
        <v>-2392000</v>
      </c>
      <c r="G1465" s="378">
        <v>0</v>
      </c>
      <c r="H1465" s="378">
        <v>0</v>
      </c>
      <c r="I1465" s="378">
        <v>-2392000</v>
      </c>
      <c r="J1465">
        <f t="shared" si="24"/>
        <v>6</v>
      </c>
    </row>
    <row r="1466" spans="1:10" ht="15" customHeight="1" x14ac:dyDescent="0.25">
      <c r="A1466" s="380">
        <v>25504001</v>
      </c>
      <c r="B1466" s="381" t="s">
        <v>315</v>
      </c>
      <c r="C1466" s="381" t="s">
        <v>1279</v>
      </c>
      <c r="D1466" s="381" t="s">
        <v>315</v>
      </c>
      <c r="E1466" s="381" t="s">
        <v>315</v>
      </c>
      <c r="F1466" s="378">
        <v>0</v>
      </c>
      <c r="G1466" s="378">
        <v>0</v>
      </c>
      <c r="H1466" s="378">
        <v>0</v>
      </c>
      <c r="I1466" s="378">
        <v>0</v>
      </c>
      <c r="J1466">
        <f t="shared" si="24"/>
        <v>8</v>
      </c>
    </row>
    <row r="1467" spans="1:10" ht="15" customHeight="1" x14ac:dyDescent="0.25">
      <c r="A1467" s="380">
        <v>25504004</v>
      </c>
      <c r="B1467" s="381" t="s">
        <v>321</v>
      </c>
      <c r="C1467" s="381" t="s">
        <v>1280</v>
      </c>
      <c r="D1467" s="381" t="s">
        <v>315</v>
      </c>
      <c r="E1467" s="381" t="s">
        <v>315</v>
      </c>
      <c r="F1467" s="378">
        <v>-2392000</v>
      </c>
      <c r="G1467" s="378">
        <v>0</v>
      </c>
      <c r="H1467" s="378">
        <v>0</v>
      </c>
      <c r="I1467" s="378">
        <v>-2392000</v>
      </c>
      <c r="J1467">
        <f t="shared" si="24"/>
        <v>8</v>
      </c>
    </row>
    <row r="1468" spans="1:10" ht="15" customHeight="1" x14ac:dyDescent="0.25">
      <c r="A1468" s="380">
        <v>25504004</v>
      </c>
      <c r="B1468" s="381" t="s">
        <v>321</v>
      </c>
      <c r="C1468" s="381" t="s">
        <v>1280</v>
      </c>
      <c r="D1468" s="381" t="s">
        <v>1221</v>
      </c>
      <c r="E1468" s="381" t="s">
        <v>1494</v>
      </c>
      <c r="F1468" s="378">
        <v>-2392000</v>
      </c>
      <c r="G1468" s="378">
        <v>0</v>
      </c>
      <c r="H1468" s="378">
        <v>0</v>
      </c>
      <c r="I1468" s="378">
        <v>-2392000</v>
      </c>
      <c r="J1468">
        <f t="shared" si="24"/>
        <v>8</v>
      </c>
    </row>
    <row r="1469" spans="1:10" ht="15" customHeight="1" x14ac:dyDescent="0.25">
      <c r="A1469" s="380">
        <v>255095</v>
      </c>
      <c r="B1469" s="381" t="s">
        <v>315</v>
      </c>
      <c r="C1469" s="381" t="s">
        <v>238</v>
      </c>
      <c r="D1469" s="381" t="s">
        <v>315</v>
      </c>
      <c r="E1469" s="381" t="s">
        <v>315</v>
      </c>
      <c r="F1469" s="378">
        <v>-3023233</v>
      </c>
      <c r="G1469" s="378">
        <v>1607208</v>
      </c>
      <c r="H1469" s="378">
        <v>592708</v>
      </c>
      <c r="I1469" s="378">
        <v>-2008733</v>
      </c>
      <c r="J1469">
        <f t="shared" si="24"/>
        <v>6</v>
      </c>
    </row>
    <row r="1470" spans="1:10" ht="15" customHeight="1" x14ac:dyDescent="0.25">
      <c r="A1470" s="380">
        <v>25509501</v>
      </c>
      <c r="B1470" s="381" t="s">
        <v>315</v>
      </c>
      <c r="C1470" s="381" t="s">
        <v>1281</v>
      </c>
      <c r="D1470" s="381" t="s">
        <v>315</v>
      </c>
      <c r="E1470" s="381" t="s">
        <v>315</v>
      </c>
      <c r="F1470" s="378">
        <v>-562299</v>
      </c>
      <c r="G1470" s="378">
        <v>202884</v>
      </c>
      <c r="H1470" s="378">
        <v>202884</v>
      </c>
      <c r="I1470" s="378">
        <v>-562299</v>
      </c>
      <c r="J1470">
        <f t="shared" si="24"/>
        <v>8</v>
      </c>
    </row>
    <row r="1471" spans="1:10" ht="15" customHeight="1" x14ac:dyDescent="0.25">
      <c r="A1471" s="380">
        <v>25509501</v>
      </c>
      <c r="B1471" s="381" t="s">
        <v>315</v>
      </c>
      <c r="C1471" s="381" t="s">
        <v>1281</v>
      </c>
      <c r="D1471" s="381" t="s">
        <v>779</v>
      </c>
      <c r="E1471" s="381" t="s">
        <v>780</v>
      </c>
      <c r="F1471" s="378">
        <v>-202884</v>
      </c>
      <c r="G1471" s="378">
        <v>202884</v>
      </c>
      <c r="H1471" s="378">
        <v>202884</v>
      </c>
      <c r="I1471" s="378">
        <v>-202884</v>
      </c>
      <c r="J1471">
        <f t="shared" si="24"/>
        <v>8</v>
      </c>
    </row>
    <row r="1472" spans="1:10" ht="15" customHeight="1" x14ac:dyDescent="0.25">
      <c r="A1472" s="380">
        <v>25509501</v>
      </c>
      <c r="B1472" s="381" t="s">
        <v>315</v>
      </c>
      <c r="C1472" s="381" t="s">
        <v>1281</v>
      </c>
      <c r="D1472" s="381" t="s">
        <v>790</v>
      </c>
      <c r="E1472" s="381" t="s">
        <v>791</v>
      </c>
      <c r="F1472" s="378">
        <v>-49266</v>
      </c>
      <c r="G1472" s="378">
        <v>0</v>
      </c>
      <c r="H1472" s="378">
        <v>0</v>
      </c>
      <c r="I1472" s="378">
        <v>-49266</v>
      </c>
      <c r="J1472">
        <f t="shared" si="24"/>
        <v>8</v>
      </c>
    </row>
    <row r="1473" spans="1:10" ht="15" customHeight="1" x14ac:dyDescent="0.25">
      <c r="A1473" s="380">
        <v>25509501</v>
      </c>
      <c r="B1473" s="381" t="s">
        <v>315</v>
      </c>
      <c r="C1473" s="381" t="s">
        <v>1281</v>
      </c>
      <c r="D1473" s="381" t="s">
        <v>792</v>
      </c>
      <c r="E1473" s="381" t="s">
        <v>793</v>
      </c>
      <c r="F1473" s="378">
        <v>-21133</v>
      </c>
      <c r="G1473" s="378">
        <v>0</v>
      </c>
      <c r="H1473" s="378">
        <v>0</v>
      </c>
      <c r="I1473" s="378">
        <v>-21133</v>
      </c>
      <c r="J1473">
        <f t="shared" si="24"/>
        <v>8</v>
      </c>
    </row>
    <row r="1474" spans="1:10" ht="15" customHeight="1" x14ac:dyDescent="0.25">
      <c r="A1474" s="380">
        <v>25509501</v>
      </c>
      <c r="B1474" s="381" t="s">
        <v>315</v>
      </c>
      <c r="C1474" s="381" t="s">
        <v>1281</v>
      </c>
      <c r="D1474" s="381" t="s">
        <v>794</v>
      </c>
      <c r="E1474" s="381" t="s">
        <v>795</v>
      </c>
      <c r="F1474" s="378">
        <v>-289016</v>
      </c>
      <c r="G1474" s="378">
        <v>0</v>
      </c>
      <c r="H1474" s="378">
        <v>0</v>
      </c>
      <c r="I1474" s="378">
        <v>-289016</v>
      </c>
      <c r="J1474">
        <f t="shared" si="24"/>
        <v>8</v>
      </c>
    </row>
    <row r="1475" spans="1:10" ht="15" customHeight="1" x14ac:dyDescent="0.25">
      <c r="A1475" s="380">
        <v>25509502</v>
      </c>
      <c r="B1475" s="381" t="s">
        <v>315</v>
      </c>
      <c r="C1475" s="381" t="s">
        <v>1282</v>
      </c>
      <c r="D1475" s="381" t="s">
        <v>315</v>
      </c>
      <c r="E1475" s="381" t="s">
        <v>315</v>
      </c>
      <c r="F1475" s="378">
        <v>-2375006</v>
      </c>
      <c r="G1475" s="378">
        <v>1095002</v>
      </c>
      <c r="H1475" s="378">
        <v>0</v>
      </c>
      <c r="I1475" s="378">
        <v>-1280004</v>
      </c>
      <c r="J1475">
        <f t="shared" si="24"/>
        <v>8</v>
      </c>
    </row>
    <row r="1476" spans="1:10" ht="15" customHeight="1" x14ac:dyDescent="0.25">
      <c r="A1476" s="380">
        <v>25509502</v>
      </c>
      <c r="B1476" s="381" t="s">
        <v>315</v>
      </c>
      <c r="C1476" s="381" t="s">
        <v>1282</v>
      </c>
      <c r="D1476" s="381" t="s">
        <v>728</v>
      </c>
      <c r="E1476" s="381" t="s">
        <v>729</v>
      </c>
      <c r="F1476" s="378">
        <v>-513336</v>
      </c>
      <c r="G1476" s="378">
        <v>128334</v>
      </c>
      <c r="H1476" s="378">
        <v>0</v>
      </c>
      <c r="I1476" s="378">
        <v>-385002</v>
      </c>
      <c r="J1476">
        <f t="shared" si="24"/>
        <v>8</v>
      </c>
    </row>
    <row r="1477" spans="1:10" ht="15" customHeight="1" x14ac:dyDescent="0.25">
      <c r="A1477" s="380">
        <v>25509502</v>
      </c>
      <c r="B1477" s="381" t="s">
        <v>315</v>
      </c>
      <c r="C1477" s="381" t="s">
        <v>1282</v>
      </c>
      <c r="D1477" s="381" t="s">
        <v>797</v>
      </c>
      <c r="E1477" s="381" t="s">
        <v>798</v>
      </c>
      <c r="F1477" s="378">
        <v>-1691669</v>
      </c>
      <c r="G1477" s="378">
        <v>966668</v>
      </c>
      <c r="H1477" s="378">
        <v>0</v>
      </c>
      <c r="I1477" s="378">
        <v>-725001</v>
      </c>
      <c r="J1477">
        <f t="shared" si="24"/>
        <v>8</v>
      </c>
    </row>
    <row r="1478" spans="1:10" ht="15" customHeight="1" x14ac:dyDescent="0.25">
      <c r="A1478" s="380">
        <v>25509502</v>
      </c>
      <c r="B1478" s="381" t="s">
        <v>315</v>
      </c>
      <c r="C1478" s="381" t="s">
        <v>1282</v>
      </c>
      <c r="D1478" s="381" t="s">
        <v>1210</v>
      </c>
      <c r="E1478" s="381" t="s">
        <v>1211</v>
      </c>
      <c r="F1478" s="378">
        <v>-170001</v>
      </c>
      <c r="G1478" s="378">
        <v>0</v>
      </c>
      <c r="H1478" s="378">
        <v>0</v>
      </c>
      <c r="I1478" s="378">
        <v>-170001</v>
      </c>
      <c r="J1478">
        <f t="shared" si="24"/>
        <v>8</v>
      </c>
    </row>
    <row r="1479" spans="1:10" ht="15" customHeight="1" x14ac:dyDescent="0.25">
      <c r="A1479" s="380">
        <v>25509503</v>
      </c>
      <c r="B1479" s="381" t="s">
        <v>321</v>
      </c>
      <c r="C1479" s="381" t="s">
        <v>1283</v>
      </c>
      <c r="D1479" s="381" t="s">
        <v>315</v>
      </c>
      <c r="E1479" s="381" t="s">
        <v>315</v>
      </c>
      <c r="F1479" s="378">
        <v>-514190</v>
      </c>
      <c r="G1479" s="378">
        <v>67655</v>
      </c>
      <c r="H1479" s="378">
        <v>27062</v>
      </c>
      <c r="I1479" s="378">
        <v>-473597</v>
      </c>
      <c r="J1479">
        <f t="shared" si="24"/>
        <v>8</v>
      </c>
    </row>
    <row r="1480" spans="1:10" ht="15" customHeight="1" x14ac:dyDescent="0.25">
      <c r="A1480" s="380">
        <v>25509503</v>
      </c>
      <c r="B1480" s="381" t="s">
        <v>321</v>
      </c>
      <c r="C1480" s="381" t="s">
        <v>1283</v>
      </c>
      <c r="D1480" s="381" t="s">
        <v>728</v>
      </c>
      <c r="E1480" s="381" t="s">
        <v>729</v>
      </c>
      <c r="F1480" s="378">
        <v>-189435</v>
      </c>
      <c r="G1480" s="378">
        <v>67655</v>
      </c>
      <c r="H1480" s="378">
        <v>13531</v>
      </c>
      <c r="I1480" s="378">
        <v>-135311</v>
      </c>
      <c r="J1480">
        <f t="shared" si="24"/>
        <v>8</v>
      </c>
    </row>
    <row r="1481" spans="1:10" ht="15" customHeight="1" x14ac:dyDescent="0.25">
      <c r="A1481" s="380">
        <v>25509503</v>
      </c>
      <c r="B1481" s="381" t="s">
        <v>321</v>
      </c>
      <c r="C1481" s="381" t="s">
        <v>1283</v>
      </c>
      <c r="D1481" s="381" t="s">
        <v>1221</v>
      </c>
      <c r="E1481" s="381" t="s">
        <v>1494</v>
      </c>
      <c r="F1481" s="378">
        <v>-162379</v>
      </c>
      <c r="G1481" s="378">
        <v>0</v>
      </c>
      <c r="H1481" s="378">
        <v>0</v>
      </c>
      <c r="I1481" s="378">
        <v>-162379</v>
      </c>
      <c r="J1481">
        <f t="shared" si="24"/>
        <v>8</v>
      </c>
    </row>
    <row r="1482" spans="1:10" ht="15" customHeight="1" x14ac:dyDescent="0.25">
      <c r="A1482" s="380">
        <v>25509503</v>
      </c>
      <c r="B1482" s="381" t="s">
        <v>321</v>
      </c>
      <c r="C1482" s="381" t="s">
        <v>1283</v>
      </c>
      <c r="D1482" s="381" t="s">
        <v>786</v>
      </c>
      <c r="E1482" s="381" t="s">
        <v>787</v>
      </c>
      <c r="F1482" s="378">
        <v>-162376</v>
      </c>
      <c r="G1482" s="378">
        <v>0</v>
      </c>
      <c r="H1482" s="378">
        <v>13531</v>
      </c>
      <c r="I1482" s="378">
        <v>-175907</v>
      </c>
      <c r="J1482">
        <f t="shared" si="24"/>
        <v>8</v>
      </c>
    </row>
    <row r="1483" spans="1:10" ht="15" customHeight="1" x14ac:dyDescent="0.25">
      <c r="A1483" s="380">
        <v>25509504</v>
      </c>
      <c r="B1483" s="381" t="s">
        <v>321</v>
      </c>
      <c r="C1483" s="381" t="s">
        <v>1071</v>
      </c>
      <c r="D1483" s="381" t="s">
        <v>315</v>
      </c>
      <c r="E1483" s="381" t="s">
        <v>315</v>
      </c>
      <c r="F1483" s="378">
        <v>428262</v>
      </c>
      <c r="G1483" s="378">
        <v>0</v>
      </c>
      <c r="H1483" s="378">
        <v>0</v>
      </c>
      <c r="I1483" s="378">
        <v>428262</v>
      </c>
      <c r="J1483">
        <f t="shared" si="24"/>
        <v>8</v>
      </c>
    </row>
    <row r="1484" spans="1:10" ht="15" customHeight="1" x14ac:dyDescent="0.25">
      <c r="A1484" s="380">
        <v>25509504</v>
      </c>
      <c r="B1484" s="381" t="s">
        <v>321</v>
      </c>
      <c r="C1484" s="381" t="s">
        <v>1071</v>
      </c>
      <c r="D1484" s="381" t="s">
        <v>1221</v>
      </c>
      <c r="E1484" s="381" t="s">
        <v>1494</v>
      </c>
      <c r="F1484" s="378">
        <v>113032</v>
      </c>
      <c r="G1484" s="378">
        <v>0</v>
      </c>
      <c r="H1484" s="378">
        <v>0</v>
      </c>
      <c r="I1484" s="378">
        <v>113032</v>
      </c>
      <c r="J1484">
        <f t="shared" si="24"/>
        <v>8</v>
      </c>
    </row>
    <row r="1485" spans="1:10" ht="15" customHeight="1" x14ac:dyDescent="0.25">
      <c r="A1485" s="380">
        <v>25509504</v>
      </c>
      <c r="B1485" s="381" t="s">
        <v>321</v>
      </c>
      <c r="C1485" s="381" t="s">
        <v>1071</v>
      </c>
      <c r="D1485" s="381" t="s">
        <v>1284</v>
      </c>
      <c r="E1485" s="381" t="s">
        <v>1285</v>
      </c>
      <c r="F1485" s="378">
        <v>172230</v>
      </c>
      <c r="G1485" s="378">
        <v>0</v>
      </c>
      <c r="H1485" s="378">
        <v>0</v>
      </c>
      <c r="I1485" s="378">
        <v>172230</v>
      </c>
      <c r="J1485">
        <f t="shared" ref="J1485:J1548" si="25">+LEN(A1485)</f>
        <v>8</v>
      </c>
    </row>
    <row r="1486" spans="1:10" ht="15" customHeight="1" x14ac:dyDescent="0.25">
      <c r="A1486" s="380">
        <v>25509504</v>
      </c>
      <c r="B1486" s="381" t="s">
        <v>321</v>
      </c>
      <c r="C1486" s="381" t="s">
        <v>1071</v>
      </c>
      <c r="D1486" s="381" t="s">
        <v>1286</v>
      </c>
      <c r="E1486" s="381" t="s">
        <v>1287</v>
      </c>
      <c r="F1486" s="378">
        <v>143000</v>
      </c>
      <c r="G1486" s="378">
        <v>0</v>
      </c>
      <c r="H1486" s="378">
        <v>0</v>
      </c>
      <c r="I1486" s="378">
        <v>143000</v>
      </c>
      <c r="J1486">
        <f t="shared" si="25"/>
        <v>8</v>
      </c>
    </row>
    <row r="1487" spans="1:10" ht="15" customHeight="1" x14ac:dyDescent="0.25">
      <c r="A1487" s="380">
        <v>25509507</v>
      </c>
      <c r="B1487" s="381" t="s">
        <v>321</v>
      </c>
      <c r="C1487" s="381" t="s">
        <v>1504</v>
      </c>
      <c r="D1487" s="381" t="s">
        <v>315</v>
      </c>
      <c r="E1487" s="381" t="s">
        <v>315</v>
      </c>
      <c r="F1487" s="378">
        <v>0</v>
      </c>
      <c r="G1487" s="378">
        <v>241667</v>
      </c>
      <c r="H1487" s="378">
        <v>362762</v>
      </c>
      <c r="I1487" s="378">
        <v>-121095</v>
      </c>
      <c r="J1487">
        <f t="shared" si="25"/>
        <v>8</v>
      </c>
    </row>
    <row r="1488" spans="1:10" ht="15" customHeight="1" x14ac:dyDescent="0.25">
      <c r="A1488" s="380">
        <v>25509507</v>
      </c>
      <c r="B1488" s="381" t="s">
        <v>321</v>
      </c>
      <c r="C1488" s="381" t="s">
        <v>1504</v>
      </c>
      <c r="D1488" s="381" t="s">
        <v>797</v>
      </c>
      <c r="E1488" s="381" t="s">
        <v>798</v>
      </c>
      <c r="F1488" s="378">
        <v>0</v>
      </c>
      <c r="G1488" s="378">
        <v>241667</v>
      </c>
      <c r="H1488" s="378">
        <v>241667</v>
      </c>
      <c r="I1488" s="378">
        <v>0</v>
      </c>
      <c r="J1488">
        <f t="shared" si="25"/>
        <v>8</v>
      </c>
    </row>
    <row r="1489" spans="1:10" ht="15" customHeight="1" x14ac:dyDescent="0.25">
      <c r="A1489" s="380">
        <v>25509507</v>
      </c>
      <c r="B1489" s="381" t="s">
        <v>321</v>
      </c>
      <c r="C1489" s="381" t="s">
        <v>1504</v>
      </c>
      <c r="D1489" s="381" t="s">
        <v>786</v>
      </c>
      <c r="E1489" s="381" t="s">
        <v>787</v>
      </c>
      <c r="F1489" s="378">
        <v>0</v>
      </c>
      <c r="G1489" s="378">
        <v>0</v>
      </c>
      <c r="H1489" s="378">
        <v>1095</v>
      </c>
      <c r="I1489" s="378">
        <v>-1095</v>
      </c>
      <c r="J1489">
        <f t="shared" si="25"/>
        <v>8</v>
      </c>
    </row>
    <row r="1490" spans="1:10" ht="15" customHeight="1" x14ac:dyDescent="0.25">
      <c r="A1490" s="380">
        <v>25509507</v>
      </c>
      <c r="B1490" s="381" t="s">
        <v>321</v>
      </c>
      <c r="C1490" s="381" t="s">
        <v>1504</v>
      </c>
      <c r="D1490" s="381" t="s">
        <v>1086</v>
      </c>
      <c r="E1490" s="381" t="s">
        <v>1087</v>
      </c>
      <c r="F1490" s="378">
        <v>0</v>
      </c>
      <c r="G1490" s="378">
        <v>0</v>
      </c>
      <c r="H1490" s="378">
        <v>120000</v>
      </c>
      <c r="I1490" s="378">
        <v>-120000</v>
      </c>
      <c r="J1490">
        <f t="shared" si="25"/>
        <v>8</v>
      </c>
    </row>
    <row r="1491" spans="1:10" ht="15" customHeight="1" x14ac:dyDescent="0.25">
      <c r="A1491" s="380">
        <v>26</v>
      </c>
      <c r="B1491" s="381" t="s">
        <v>315</v>
      </c>
      <c r="C1491" s="381" t="s">
        <v>1288</v>
      </c>
      <c r="D1491" s="381" t="s">
        <v>315</v>
      </c>
      <c r="E1491" s="381" t="s">
        <v>315</v>
      </c>
      <c r="F1491" s="378">
        <v>-29406000</v>
      </c>
      <c r="G1491" s="378">
        <v>0</v>
      </c>
      <c r="H1491" s="378">
        <v>3242240.9</v>
      </c>
      <c r="I1491" s="378">
        <v>-32648240.899999999</v>
      </c>
      <c r="J1491">
        <f t="shared" si="25"/>
        <v>2</v>
      </c>
    </row>
    <row r="1492" spans="1:10" ht="15" customHeight="1" x14ac:dyDescent="0.25">
      <c r="A1492" s="380">
        <v>2615</v>
      </c>
      <c r="B1492" s="381" t="s">
        <v>321</v>
      </c>
      <c r="C1492" s="381" t="s">
        <v>1289</v>
      </c>
      <c r="D1492" s="381" t="s">
        <v>315</v>
      </c>
      <c r="E1492" s="381" t="s">
        <v>315</v>
      </c>
      <c r="F1492" s="378">
        <v>-29406000</v>
      </c>
      <c r="G1492" s="378">
        <v>0</v>
      </c>
      <c r="H1492" s="378">
        <v>3242240.9</v>
      </c>
      <c r="I1492" s="378">
        <v>-32648240.899999999</v>
      </c>
      <c r="J1492">
        <f t="shared" si="25"/>
        <v>4</v>
      </c>
    </row>
    <row r="1493" spans="1:10" ht="15" customHeight="1" x14ac:dyDescent="0.25">
      <c r="A1493" s="380">
        <v>261510</v>
      </c>
      <c r="B1493" s="381" t="s">
        <v>321</v>
      </c>
      <c r="C1493" s="381" t="s">
        <v>1290</v>
      </c>
      <c r="D1493" s="381" t="s">
        <v>315</v>
      </c>
      <c r="E1493" s="381" t="s">
        <v>315</v>
      </c>
      <c r="F1493" s="378">
        <v>-29406000</v>
      </c>
      <c r="G1493" s="378">
        <v>0</v>
      </c>
      <c r="H1493" s="378">
        <v>3242240.9</v>
      </c>
      <c r="I1493" s="378">
        <v>-32648240.899999999</v>
      </c>
      <c r="J1493">
        <f t="shared" si="25"/>
        <v>6</v>
      </c>
    </row>
    <row r="1494" spans="1:10" ht="15" customHeight="1" x14ac:dyDescent="0.25">
      <c r="A1494" s="380">
        <v>26151001</v>
      </c>
      <c r="B1494" s="381" t="s">
        <v>321</v>
      </c>
      <c r="C1494" s="381" t="s">
        <v>1291</v>
      </c>
      <c r="D1494" s="381" t="s">
        <v>315</v>
      </c>
      <c r="E1494" s="381" t="s">
        <v>315</v>
      </c>
      <c r="F1494" s="378">
        <v>-14473000</v>
      </c>
      <c r="G1494" s="378">
        <v>0</v>
      </c>
      <c r="H1494" s="378">
        <v>0</v>
      </c>
      <c r="I1494" s="378">
        <v>-14473000</v>
      </c>
      <c r="J1494">
        <f t="shared" si="25"/>
        <v>8</v>
      </c>
    </row>
    <row r="1495" spans="1:10" ht="15" customHeight="1" x14ac:dyDescent="0.25">
      <c r="A1495" s="380">
        <v>26151001</v>
      </c>
      <c r="B1495" s="381" t="s">
        <v>321</v>
      </c>
      <c r="C1495" s="381" t="s">
        <v>1291</v>
      </c>
      <c r="D1495" s="381" t="s">
        <v>678</v>
      </c>
      <c r="E1495" s="381" t="s">
        <v>679</v>
      </c>
      <c r="F1495" s="378">
        <v>-14473000</v>
      </c>
      <c r="G1495" s="378">
        <v>0</v>
      </c>
      <c r="H1495" s="378">
        <v>0</v>
      </c>
      <c r="I1495" s="378">
        <v>-14473000</v>
      </c>
      <c r="J1495">
        <f t="shared" si="25"/>
        <v>8</v>
      </c>
    </row>
    <row r="1496" spans="1:10" ht="15" customHeight="1" x14ac:dyDescent="0.25">
      <c r="A1496" s="380">
        <v>26151002</v>
      </c>
      <c r="B1496" s="381" t="s">
        <v>321</v>
      </c>
      <c r="C1496" s="381" t="s">
        <v>1292</v>
      </c>
      <c r="D1496" s="381" t="s">
        <v>315</v>
      </c>
      <c r="E1496" s="381" t="s">
        <v>315</v>
      </c>
      <c r="F1496" s="378">
        <v>-14933000</v>
      </c>
      <c r="G1496" s="378">
        <v>0</v>
      </c>
      <c r="H1496" s="378">
        <v>3242240.9</v>
      </c>
      <c r="I1496" s="378">
        <v>-18175240.899999999</v>
      </c>
      <c r="J1496">
        <f t="shared" si="25"/>
        <v>8</v>
      </c>
    </row>
    <row r="1497" spans="1:10" ht="15" customHeight="1" x14ac:dyDescent="0.25">
      <c r="A1497" s="380">
        <v>26151002</v>
      </c>
      <c r="B1497" s="381" t="s">
        <v>321</v>
      </c>
      <c r="C1497" s="381" t="s">
        <v>1292</v>
      </c>
      <c r="D1497" s="381" t="s">
        <v>678</v>
      </c>
      <c r="E1497" s="381" t="s">
        <v>679</v>
      </c>
      <c r="F1497" s="378">
        <v>-14933000</v>
      </c>
      <c r="G1497" s="378">
        <v>0</v>
      </c>
      <c r="H1497" s="378">
        <v>3242240.9</v>
      </c>
      <c r="I1497" s="378">
        <v>-18175240.899999999</v>
      </c>
      <c r="J1497">
        <f t="shared" si="25"/>
        <v>8</v>
      </c>
    </row>
    <row r="1498" spans="1:10" ht="15" customHeight="1" x14ac:dyDescent="0.25">
      <c r="A1498" s="380">
        <v>28</v>
      </c>
      <c r="B1498" s="381" t="s">
        <v>315</v>
      </c>
      <c r="C1498" s="381" t="s">
        <v>499</v>
      </c>
      <c r="D1498" s="381" t="s">
        <v>315</v>
      </c>
      <c r="E1498" s="381" t="s">
        <v>315</v>
      </c>
      <c r="F1498" s="378">
        <v>-3570803.06</v>
      </c>
      <c r="G1498" s="378">
        <v>1576922</v>
      </c>
      <c r="H1498" s="378">
        <v>1718052</v>
      </c>
      <c r="I1498" s="378">
        <v>-3711933.06</v>
      </c>
      <c r="J1498">
        <f t="shared" si="25"/>
        <v>2</v>
      </c>
    </row>
    <row r="1499" spans="1:10" ht="15" customHeight="1" x14ac:dyDescent="0.25">
      <c r="A1499" s="380">
        <v>2805</v>
      </c>
      <c r="B1499" s="381" t="s">
        <v>315</v>
      </c>
      <c r="C1499" s="381" t="s">
        <v>112</v>
      </c>
      <c r="D1499" s="381" t="s">
        <v>315</v>
      </c>
      <c r="E1499" s="381" t="s">
        <v>315</v>
      </c>
      <c r="F1499" s="378">
        <v>-3570803.06</v>
      </c>
      <c r="G1499" s="378">
        <v>1576922</v>
      </c>
      <c r="H1499" s="378">
        <v>1718052</v>
      </c>
      <c r="I1499" s="378">
        <v>-3711933.06</v>
      </c>
      <c r="J1499">
        <f t="shared" si="25"/>
        <v>4</v>
      </c>
    </row>
    <row r="1500" spans="1:10" ht="15" customHeight="1" x14ac:dyDescent="0.25">
      <c r="A1500" s="380">
        <v>280505</v>
      </c>
      <c r="B1500" s="381" t="s">
        <v>315</v>
      </c>
      <c r="C1500" s="381" t="s">
        <v>500</v>
      </c>
      <c r="D1500" s="381" t="s">
        <v>315</v>
      </c>
      <c r="E1500" s="381" t="s">
        <v>315</v>
      </c>
      <c r="F1500" s="378">
        <v>-3570803.06</v>
      </c>
      <c r="G1500" s="378">
        <v>1576922</v>
      </c>
      <c r="H1500" s="378">
        <v>1718052</v>
      </c>
      <c r="I1500" s="378">
        <v>-3711933.06</v>
      </c>
      <c r="J1500">
        <f t="shared" si="25"/>
        <v>6</v>
      </c>
    </row>
    <row r="1501" spans="1:10" ht="15" customHeight="1" x14ac:dyDescent="0.25">
      <c r="A1501" s="380">
        <v>28050501</v>
      </c>
      <c r="B1501" s="381" t="s">
        <v>315</v>
      </c>
      <c r="C1501" s="381" t="s">
        <v>500</v>
      </c>
      <c r="D1501" s="381" t="s">
        <v>315</v>
      </c>
      <c r="E1501" s="381" t="s">
        <v>315</v>
      </c>
      <c r="F1501" s="378">
        <v>-3238163</v>
      </c>
      <c r="G1501" s="378">
        <v>164000</v>
      </c>
      <c r="H1501" s="378">
        <v>0</v>
      </c>
      <c r="I1501" s="378">
        <v>-3074163</v>
      </c>
      <c r="J1501">
        <f t="shared" si="25"/>
        <v>8</v>
      </c>
    </row>
    <row r="1502" spans="1:10" ht="15" customHeight="1" x14ac:dyDescent="0.25">
      <c r="A1502" s="380">
        <v>28050501</v>
      </c>
      <c r="B1502" s="381" t="s">
        <v>315</v>
      </c>
      <c r="C1502" s="381" t="s">
        <v>500</v>
      </c>
      <c r="D1502" s="381" t="s">
        <v>347</v>
      </c>
      <c r="E1502" s="381" t="s">
        <v>348</v>
      </c>
      <c r="F1502" s="378">
        <v>-3074163</v>
      </c>
      <c r="G1502" s="378">
        <v>0</v>
      </c>
      <c r="H1502" s="378">
        <v>0</v>
      </c>
      <c r="I1502" s="378">
        <v>-3074163</v>
      </c>
      <c r="J1502">
        <f t="shared" si="25"/>
        <v>8</v>
      </c>
    </row>
    <row r="1503" spans="1:10" ht="15" customHeight="1" x14ac:dyDescent="0.25">
      <c r="A1503" s="380">
        <v>28050501</v>
      </c>
      <c r="B1503" s="381" t="s">
        <v>315</v>
      </c>
      <c r="C1503" s="381" t="s">
        <v>500</v>
      </c>
      <c r="D1503" s="381" t="s">
        <v>717</v>
      </c>
      <c r="E1503" s="381" t="s">
        <v>718</v>
      </c>
      <c r="F1503" s="378">
        <v>4.65661287307739E-10</v>
      </c>
      <c r="G1503" s="378">
        <v>0</v>
      </c>
      <c r="H1503" s="378">
        <v>0</v>
      </c>
      <c r="I1503" s="378">
        <v>4.65661287307739E-10</v>
      </c>
      <c r="J1503">
        <f t="shared" si="25"/>
        <v>8</v>
      </c>
    </row>
    <row r="1504" spans="1:10" ht="15" customHeight="1" x14ac:dyDescent="0.25">
      <c r="A1504" s="380">
        <v>28050501</v>
      </c>
      <c r="B1504" s="381" t="s">
        <v>315</v>
      </c>
      <c r="C1504" s="381" t="s">
        <v>500</v>
      </c>
      <c r="D1504" s="381" t="s">
        <v>1445</v>
      </c>
      <c r="E1504" s="381" t="s">
        <v>1446</v>
      </c>
      <c r="F1504" s="378">
        <v>-164000</v>
      </c>
      <c r="G1504" s="378">
        <v>164000</v>
      </c>
      <c r="H1504" s="378">
        <v>0</v>
      </c>
      <c r="I1504" s="378">
        <v>0</v>
      </c>
      <c r="J1504">
        <f t="shared" si="25"/>
        <v>8</v>
      </c>
    </row>
    <row r="1505" spans="1:10" ht="15" customHeight="1" x14ac:dyDescent="0.25">
      <c r="A1505" s="380">
        <v>28050502</v>
      </c>
      <c r="B1505" s="381" t="s">
        <v>321</v>
      </c>
      <c r="C1505" s="381" t="s">
        <v>1293</v>
      </c>
      <c r="D1505" s="381" t="s">
        <v>315</v>
      </c>
      <c r="E1505" s="381" t="s">
        <v>315</v>
      </c>
      <c r="F1505" s="378">
        <v>-326492.06</v>
      </c>
      <c r="G1505" s="378">
        <v>1412922</v>
      </c>
      <c r="H1505" s="378">
        <v>1718052</v>
      </c>
      <c r="I1505" s="378">
        <v>-631622.06000000006</v>
      </c>
      <c r="J1505">
        <f t="shared" si="25"/>
        <v>8</v>
      </c>
    </row>
    <row r="1506" spans="1:10" ht="15" customHeight="1" x14ac:dyDescent="0.25">
      <c r="A1506" s="380">
        <v>28050502</v>
      </c>
      <c r="B1506" s="381" t="s">
        <v>321</v>
      </c>
      <c r="C1506" s="381" t="s">
        <v>1293</v>
      </c>
      <c r="D1506" s="381" t="s">
        <v>717</v>
      </c>
      <c r="E1506" s="381" t="s">
        <v>718</v>
      </c>
      <c r="F1506" s="378">
        <v>-326492.06</v>
      </c>
      <c r="G1506" s="378">
        <v>1412922</v>
      </c>
      <c r="H1506" s="378">
        <v>1718052</v>
      </c>
      <c r="I1506" s="378">
        <v>-631622.06000000006</v>
      </c>
      <c r="J1506">
        <f t="shared" si="25"/>
        <v>8</v>
      </c>
    </row>
    <row r="1507" spans="1:10" ht="15" customHeight="1" x14ac:dyDescent="0.25">
      <c r="A1507" s="380">
        <v>28050503</v>
      </c>
      <c r="B1507" s="381" t="s">
        <v>321</v>
      </c>
      <c r="C1507" s="381" t="s">
        <v>1294</v>
      </c>
      <c r="D1507" s="381" t="s">
        <v>315</v>
      </c>
      <c r="E1507" s="381" t="s">
        <v>315</v>
      </c>
      <c r="F1507" s="378">
        <v>-6148</v>
      </c>
      <c r="G1507" s="378">
        <v>0</v>
      </c>
      <c r="H1507" s="378">
        <v>0</v>
      </c>
      <c r="I1507" s="378">
        <v>-6148</v>
      </c>
      <c r="J1507">
        <f t="shared" si="25"/>
        <v>8</v>
      </c>
    </row>
    <row r="1508" spans="1:10" ht="15" customHeight="1" x14ac:dyDescent="0.25">
      <c r="A1508" s="380">
        <v>28050503</v>
      </c>
      <c r="B1508" s="381" t="s">
        <v>321</v>
      </c>
      <c r="C1508" s="381" t="s">
        <v>1294</v>
      </c>
      <c r="D1508" s="381" t="s">
        <v>721</v>
      </c>
      <c r="E1508" s="381" t="s">
        <v>722</v>
      </c>
      <c r="F1508" s="378">
        <v>-6148</v>
      </c>
      <c r="G1508" s="378">
        <v>0</v>
      </c>
      <c r="H1508" s="378">
        <v>0</v>
      </c>
      <c r="I1508" s="378">
        <v>-6148</v>
      </c>
      <c r="J1508">
        <f t="shared" si="25"/>
        <v>8</v>
      </c>
    </row>
    <row r="1509" spans="1:10" ht="15" customHeight="1" x14ac:dyDescent="0.25">
      <c r="A1509" s="380">
        <v>3</v>
      </c>
      <c r="B1509" s="381" t="s">
        <v>315</v>
      </c>
      <c r="C1509" s="381" t="s">
        <v>117</v>
      </c>
      <c r="D1509" s="381" t="s">
        <v>315</v>
      </c>
      <c r="E1509" s="381" t="s">
        <v>315</v>
      </c>
      <c r="F1509" s="378">
        <v>-2133408175.6900001</v>
      </c>
      <c r="G1509" s="378">
        <v>0</v>
      </c>
      <c r="H1509" s="378">
        <v>0</v>
      </c>
      <c r="I1509" s="378">
        <v>-2133408175.6900001</v>
      </c>
      <c r="J1509">
        <f t="shared" si="25"/>
        <v>1</v>
      </c>
    </row>
    <row r="1510" spans="1:10" ht="15" customHeight="1" x14ac:dyDescent="0.25">
      <c r="A1510" s="380">
        <v>31</v>
      </c>
      <c r="B1510" s="381" t="s">
        <v>315</v>
      </c>
      <c r="C1510" s="381" t="s">
        <v>119</v>
      </c>
      <c r="D1510" s="381" t="s">
        <v>315</v>
      </c>
      <c r="E1510" s="381" t="s">
        <v>315</v>
      </c>
      <c r="F1510" s="378">
        <v>-1737000000</v>
      </c>
      <c r="G1510" s="378">
        <v>0</v>
      </c>
      <c r="H1510" s="378">
        <v>0</v>
      </c>
      <c r="I1510" s="378">
        <v>-1737000000</v>
      </c>
      <c r="J1510">
        <f t="shared" si="25"/>
        <v>2</v>
      </c>
    </row>
    <row r="1511" spans="1:10" ht="15" customHeight="1" x14ac:dyDescent="0.25">
      <c r="A1511" s="380">
        <v>3105</v>
      </c>
      <c r="B1511" s="381" t="s">
        <v>315</v>
      </c>
      <c r="C1511" s="381" t="s">
        <v>461</v>
      </c>
      <c r="D1511" s="381" t="s">
        <v>315</v>
      </c>
      <c r="E1511" s="381" t="s">
        <v>315</v>
      </c>
      <c r="F1511" s="378">
        <v>-1737000000</v>
      </c>
      <c r="G1511" s="378">
        <v>0</v>
      </c>
      <c r="H1511" s="378">
        <v>0</v>
      </c>
      <c r="I1511" s="378">
        <v>-1737000000</v>
      </c>
      <c r="J1511">
        <f t="shared" si="25"/>
        <v>4</v>
      </c>
    </row>
    <row r="1512" spans="1:10" ht="15" customHeight="1" x14ac:dyDescent="0.25">
      <c r="A1512" s="380">
        <v>310505</v>
      </c>
      <c r="B1512" s="381" t="s">
        <v>315</v>
      </c>
      <c r="C1512" s="381" t="s">
        <v>462</v>
      </c>
      <c r="D1512" s="381" t="s">
        <v>315</v>
      </c>
      <c r="E1512" s="381" t="s">
        <v>315</v>
      </c>
      <c r="F1512" s="378">
        <v>-1737000000</v>
      </c>
      <c r="G1512" s="378">
        <v>0</v>
      </c>
      <c r="H1512" s="378">
        <v>0</v>
      </c>
      <c r="I1512" s="378">
        <v>-1737000000</v>
      </c>
      <c r="J1512">
        <f t="shared" si="25"/>
        <v>6</v>
      </c>
    </row>
    <row r="1513" spans="1:10" ht="15" customHeight="1" x14ac:dyDescent="0.25">
      <c r="A1513" s="380">
        <v>31050501</v>
      </c>
      <c r="B1513" s="381" t="s">
        <v>315</v>
      </c>
      <c r="C1513" s="381" t="s">
        <v>462</v>
      </c>
      <c r="D1513" s="381" t="s">
        <v>315</v>
      </c>
      <c r="E1513" s="381" t="s">
        <v>315</v>
      </c>
      <c r="F1513" s="378">
        <v>-1737000000</v>
      </c>
      <c r="G1513" s="378">
        <v>0</v>
      </c>
      <c r="H1513" s="378">
        <v>0</v>
      </c>
      <c r="I1513" s="378">
        <v>-1737000000</v>
      </c>
      <c r="J1513">
        <f t="shared" si="25"/>
        <v>8</v>
      </c>
    </row>
    <row r="1514" spans="1:10" ht="15" customHeight="1" x14ac:dyDescent="0.25">
      <c r="A1514" s="380">
        <v>33</v>
      </c>
      <c r="B1514" s="381" t="s">
        <v>315</v>
      </c>
      <c r="C1514" s="381" t="s">
        <v>125</v>
      </c>
      <c r="D1514" s="381" t="s">
        <v>315</v>
      </c>
      <c r="E1514" s="381" t="s">
        <v>315</v>
      </c>
      <c r="F1514" s="378">
        <v>-73934518</v>
      </c>
      <c r="G1514" s="378">
        <v>0</v>
      </c>
      <c r="H1514" s="378">
        <v>0</v>
      </c>
      <c r="I1514" s="378">
        <v>-73934518</v>
      </c>
      <c r="J1514">
        <f t="shared" si="25"/>
        <v>2</v>
      </c>
    </row>
    <row r="1515" spans="1:10" ht="15" customHeight="1" x14ac:dyDescent="0.25">
      <c r="A1515" s="380">
        <v>3305</v>
      </c>
      <c r="B1515" s="381" t="s">
        <v>315</v>
      </c>
      <c r="C1515" s="381" t="s">
        <v>463</v>
      </c>
      <c r="D1515" s="381" t="s">
        <v>315</v>
      </c>
      <c r="E1515" s="381" t="s">
        <v>315</v>
      </c>
      <c r="F1515" s="378">
        <v>-73934518</v>
      </c>
      <c r="G1515" s="378">
        <v>0</v>
      </c>
      <c r="H1515" s="378">
        <v>0</v>
      </c>
      <c r="I1515" s="378">
        <v>-73934518</v>
      </c>
      <c r="J1515">
        <f t="shared" si="25"/>
        <v>4</v>
      </c>
    </row>
    <row r="1516" spans="1:10" ht="15" customHeight="1" x14ac:dyDescent="0.25">
      <c r="A1516" s="380">
        <v>330505</v>
      </c>
      <c r="B1516" s="381" t="s">
        <v>315</v>
      </c>
      <c r="C1516" s="381" t="s">
        <v>464</v>
      </c>
      <c r="D1516" s="381" t="s">
        <v>315</v>
      </c>
      <c r="E1516" s="381" t="s">
        <v>315</v>
      </c>
      <c r="F1516" s="378">
        <v>-73934518</v>
      </c>
      <c r="G1516" s="378">
        <v>0</v>
      </c>
      <c r="H1516" s="378">
        <v>0</v>
      </c>
      <c r="I1516" s="378">
        <v>-73934518</v>
      </c>
      <c r="J1516">
        <f t="shared" si="25"/>
        <v>6</v>
      </c>
    </row>
    <row r="1517" spans="1:10" ht="15" customHeight="1" x14ac:dyDescent="0.25">
      <c r="A1517" s="380">
        <v>33050501</v>
      </c>
      <c r="B1517" s="381" t="s">
        <v>315</v>
      </c>
      <c r="C1517" s="381" t="s">
        <v>464</v>
      </c>
      <c r="D1517" s="381" t="s">
        <v>315</v>
      </c>
      <c r="E1517" s="381" t="s">
        <v>315</v>
      </c>
      <c r="F1517" s="378">
        <v>-73934518</v>
      </c>
      <c r="G1517" s="378">
        <v>0</v>
      </c>
      <c r="H1517" s="378">
        <v>0</v>
      </c>
      <c r="I1517" s="378">
        <v>-73934518</v>
      </c>
      <c r="J1517">
        <f t="shared" si="25"/>
        <v>8</v>
      </c>
    </row>
    <row r="1518" spans="1:10" ht="15" customHeight="1" x14ac:dyDescent="0.25">
      <c r="A1518" s="380">
        <v>36</v>
      </c>
      <c r="B1518" s="381" t="s">
        <v>315</v>
      </c>
      <c r="C1518" s="381" t="s">
        <v>1295</v>
      </c>
      <c r="D1518" s="381" t="s">
        <v>315</v>
      </c>
      <c r="E1518" s="381" t="s">
        <v>315</v>
      </c>
      <c r="F1518" s="378">
        <v>4.4703483581543002E-8</v>
      </c>
      <c r="G1518" s="378">
        <v>0</v>
      </c>
      <c r="H1518" s="378">
        <v>0</v>
      </c>
      <c r="I1518" s="378">
        <v>4.4703483581543002E-8</v>
      </c>
      <c r="J1518">
        <f t="shared" si="25"/>
        <v>2</v>
      </c>
    </row>
    <row r="1519" spans="1:10" ht="15" customHeight="1" x14ac:dyDescent="0.25">
      <c r="A1519" s="380">
        <v>3605</v>
      </c>
      <c r="B1519" s="381" t="s">
        <v>315</v>
      </c>
      <c r="C1519" s="381" t="s">
        <v>1296</v>
      </c>
      <c r="D1519" s="381" t="s">
        <v>315</v>
      </c>
      <c r="E1519" s="381" t="s">
        <v>315</v>
      </c>
      <c r="F1519" s="378">
        <v>4.4703483581543002E-8</v>
      </c>
      <c r="G1519" s="378">
        <v>0</v>
      </c>
      <c r="H1519" s="378">
        <v>0</v>
      </c>
      <c r="I1519" s="378">
        <v>4.4703483581543002E-8</v>
      </c>
      <c r="J1519">
        <f t="shared" si="25"/>
        <v>4</v>
      </c>
    </row>
    <row r="1520" spans="1:10" ht="15" customHeight="1" x14ac:dyDescent="0.25">
      <c r="A1520" s="380">
        <v>360501</v>
      </c>
      <c r="B1520" s="381" t="s">
        <v>315</v>
      </c>
      <c r="C1520" s="381" t="s">
        <v>1296</v>
      </c>
      <c r="D1520" s="381" t="s">
        <v>315</v>
      </c>
      <c r="E1520" s="381" t="s">
        <v>315</v>
      </c>
      <c r="F1520" s="378">
        <v>4.4703483581543002E-8</v>
      </c>
      <c r="G1520" s="378">
        <v>0</v>
      </c>
      <c r="H1520" s="378">
        <v>0</v>
      </c>
      <c r="I1520" s="378">
        <v>4.4703483581543002E-8</v>
      </c>
      <c r="J1520">
        <f t="shared" si="25"/>
        <v>6</v>
      </c>
    </row>
    <row r="1521" spans="1:10" ht="15" customHeight="1" x14ac:dyDescent="0.25">
      <c r="A1521" s="380">
        <v>36050101</v>
      </c>
      <c r="B1521" s="381" t="s">
        <v>315</v>
      </c>
      <c r="C1521" s="381" t="s">
        <v>1296</v>
      </c>
      <c r="D1521" s="381" t="s">
        <v>315</v>
      </c>
      <c r="E1521" s="381" t="s">
        <v>315</v>
      </c>
      <c r="F1521" s="378">
        <v>4.4703483581543002E-8</v>
      </c>
      <c r="G1521" s="378">
        <v>0</v>
      </c>
      <c r="H1521" s="378">
        <v>0</v>
      </c>
      <c r="I1521" s="378">
        <v>4.4703483581543002E-8</v>
      </c>
      <c r="J1521">
        <f t="shared" si="25"/>
        <v>8</v>
      </c>
    </row>
    <row r="1522" spans="1:10" ht="15" customHeight="1" x14ac:dyDescent="0.25">
      <c r="A1522" s="380">
        <v>37</v>
      </c>
      <c r="B1522" s="381" t="s">
        <v>315</v>
      </c>
      <c r="C1522" s="381" t="s">
        <v>465</v>
      </c>
      <c r="D1522" s="381" t="s">
        <v>315</v>
      </c>
      <c r="E1522" s="381" t="s">
        <v>315</v>
      </c>
      <c r="F1522" s="378">
        <v>-322473657.69</v>
      </c>
      <c r="G1522" s="378">
        <v>0</v>
      </c>
      <c r="H1522" s="378">
        <v>0</v>
      </c>
      <c r="I1522" s="378">
        <v>-322473657.69</v>
      </c>
      <c r="J1522">
        <f t="shared" si="25"/>
        <v>2</v>
      </c>
    </row>
    <row r="1523" spans="1:10" ht="15" customHeight="1" x14ac:dyDescent="0.25">
      <c r="A1523" s="380">
        <v>3705</v>
      </c>
      <c r="B1523" s="381" t="s">
        <v>315</v>
      </c>
      <c r="C1523" s="381" t="s">
        <v>466</v>
      </c>
      <c r="D1523" s="381" t="s">
        <v>315</v>
      </c>
      <c r="E1523" s="381" t="s">
        <v>315</v>
      </c>
      <c r="F1523" s="378">
        <v>-379652214.77999997</v>
      </c>
      <c r="G1523" s="378">
        <v>0</v>
      </c>
      <c r="H1523" s="378">
        <v>0</v>
      </c>
      <c r="I1523" s="378">
        <v>-379652214.77999997</v>
      </c>
      <c r="J1523">
        <f t="shared" si="25"/>
        <v>4</v>
      </c>
    </row>
    <row r="1524" spans="1:10" ht="15" customHeight="1" x14ac:dyDescent="0.25">
      <c r="A1524" s="380">
        <v>370501</v>
      </c>
      <c r="B1524" s="381" t="s">
        <v>315</v>
      </c>
      <c r="C1524" s="381" t="s">
        <v>466</v>
      </c>
      <c r="D1524" s="381" t="s">
        <v>315</v>
      </c>
      <c r="E1524" s="381" t="s">
        <v>315</v>
      </c>
      <c r="F1524" s="378">
        <v>-379652214.77999997</v>
      </c>
      <c r="G1524" s="378">
        <v>0</v>
      </c>
      <c r="H1524" s="378">
        <v>0</v>
      </c>
      <c r="I1524" s="378">
        <v>-379652214.77999997</v>
      </c>
      <c r="J1524">
        <f t="shared" si="25"/>
        <v>6</v>
      </c>
    </row>
    <row r="1525" spans="1:10" ht="15" customHeight="1" x14ac:dyDescent="0.25">
      <c r="A1525" s="380">
        <v>37050101</v>
      </c>
      <c r="B1525" s="381" t="s">
        <v>321</v>
      </c>
      <c r="C1525" s="381" t="s">
        <v>1297</v>
      </c>
      <c r="D1525" s="381" t="s">
        <v>315</v>
      </c>
      <c r="E1525" s="381" t="s">
        <v>315</v>
      </c>
      <c r="F1525" s="378">
        <v>180000000</v>
      </c>
      <c r="G1525" s="378">
        <v>0</v>
      </c>
      <c r="H1525" s="378">
        <v>0</v>
      </c>
      <c r="I1525" s="378">
        <v>180000000</v>
      </c>
      <c r="J1525">
        <f t="shared" si="25"/>
        <v>8</v>
      </c>
    </row>
    <row r="1526" spans="1:10" ht="15" customHeight="1" x14ac:dyDescent="0.25">
      <c r="A1526" s="380">
        <v>37050103</v>
      </c>
      <c r="B1526" s="381" t="s">
        <v>321</v>
      </c>
      <c r="C1526" s="381" t="s">
        <v>1298</v>
      </c>
      <c r="D1526" s="381" t="s">
        <v>315</v>
      </c>
      <c r="E1526" s="381" t="s">
        <v>315</v>
      </c>
      <c r="F1526" s="378">
        <v>-93497335.969999999</v>
      </c>
      <c r="G1526" s="378">
        <v>0</v>
      </c>
      <c r="H1526" s="378">
        <v>0</v>
      </c>
      <c r="I1526" s="378">
        <v>-93497335.969999999</v>
      </c>
      <c r="J1526">
        <f t="shared" si="25"/>
        <v>8</v>
      </c>
    </row>
    <row r="1527" spans="1:10" ht="15" customHeight="1" x14ac:dyDescent="0.25">
      <c r="A1527" s="380">
        <v>37050104</v>
      </c>
      <c r="B1527" s="381" t="s">
        <v>321</v>
      </c>
      <c r="C1527" s="381" t="s">
        <v>1299</v>
      </c>
      <c r="D1527" s="381" t="s">
        <v>315</v>
      </c>
      <c r="E1527" s="381" t="s">
        <v>315</v>
      </c>
      <c r="F1527" s="378">
        <v>-92746464.689999998</v>
      </c>
      <c r="G1527" s="378">
        <v>0</v>
      </c>
      <c r="H1527" s="378">
        <v>0</v>
      </c>
      <c r="I1527" s="378">
        <v>-92746464.689999998</v>
      </c>
      <c r="J1527">
        <f t="shared" si="25"/>
        <v>8</v>
      </c>
    </row>
    <row r="1528" spans="1:10" ht="15" customHeight="1" x14ac:dyDescent="0.25">
      <c r="A1528" s="380">
        <v>37050105</v>
      </c>
      <c r="B1528" s="381" t="s">
        <v>321</v>
      </c>
      <c r="C1528" s="381" t="s">
        <v>1300</v>
      </c>
      <c r="D1528" s="381" t="s">
        <v>315</v>
      </c>
      <c r="E1528" s="381" t="s">
        <v>315</v>
      </c>
      <c r="F1528" s="378">
        <v>-128638985.84999999</v>
      </c>
      <c r="G1528" s="378">
        <v>0</v>
      </c>
      <c r="H1528" s="378">
        <v>0</v>
      </c>
      <c r="I1528" s="378">
        <v>-128638985.84999999</v>
      </c>
      <c r="J1528">
        <f t="shared" si="25"/>
        <v>8</v>
      </c>
    </row>
    <row r="1529" spans="1:10" ht="15" customHeight="1" x14ac:dyDescent="0.25">
      <c r="A1529" s="380">
        <v>37050107</v>
      </c>
      <c r="B1529" s="381" t="s">
        <v>321</v>
      </c>
      <c r="C1529" s="381" t="s">
        <v>1301</v>
      </c>
      <c r="D1529" s="381" t="s">
        <v>315</v>
      </c>
      <c r="E1529" s="381" t="s">
        <v>315</v>
      </c>
      <c r="F1529" s="378">
        <v>-107285050.8</v>
      </c>
      <c r="G1529" s="378">
        <v>0</v>
      </c>
      <c r="H1529" s="378">
        <v>0</v>
      </c>
      <c r="I1529" s="378">
        <v>-107285050.8</v>
      </c>
      <c r="J1529">
        <f t="shared" si="25"/>
        <v>8</v>
      </c>
    </row>
    <row r="1530" spans="1:10" ht="15" customHeight="1" x14ac:dyDescent="0.25">
      <c r="A1530" s="380">
        <v>37050108</v>
      </c>
      <c r="B1530" s="381" t="s">
        <v>321</v>
      </c>
      <c r="C1530" s="381" t="s">
        <v>1302</v>
      </c>
      <c r="D1530" s="381" t="s">
        <v>315</v>
      </c>
      <c r="E1530" s="381" t="s">
        <v>315</v>
      </c>
      <c r="F1530" s="378">
        <v>-137484377.47</v>
      </c>
      <c r="G1530" s="378">
        <v>0</v>
      </c>
      <c r="H1530" s="378">
        <v>0</v>
      </c>
      <c r="I1530" s="378">
        <v>-137484377.47</v>
      </c>
      <c r="J1530">
        <f t="shared" si="25"/>
        <v>8</v>
      </c>
    </row>
    <row r="1531" spans="1:10" ht="15" customHeight="1" x14ac:dyDescent="0.25">
      <c r="A1531" s="380">
        <v>3710</v>
      </c>
      <c r="B1531" s="381" t="s">
        <v>315</v>
      </c>
      <c r="C1531" s="381" t="s">
        <v>1303</v>
      </c>
      <c r="D1531" s="381" t="s">
        <v>315</v>
      </c>
      <c r="E1531" s="381" t="s">
        <v>315</v>
      </c>
      <c r="F1531" s="378">
        <v>40142464.090000004</v>
      </c>
      <c r="G1531" s="378">
        <v>0</v>
      </c>
      <c r="H1531" s="378">
        <v>0</v>
      </c>
      <c r="I1531" s="378">
        <v>40142464.090000004</v>
      </c>
      <c r="J1531">
        <f t="shared" si="25"/>
        <v>4</v>
      </c>
    </row>
    <row r="1532" spans="1:10" ht="15" customHeight="1" x14ac:dyDescent="0.25">
      <c r="A1532" s="380">
        <v>371001</v>
      </c>
      <c r="B1532" s="381" t="s">
        <v>315</v>
      </c>
      <c r="C1532" s="381" t="s">
        <v>1303</v>
      </c>
      <c r="D1532" s="381" t="s">
        <v>315</v>
      </c>
      <c r="E1532" s="381" t="s">
        <v>315</v>
      </c>
      <c r="F1532" s="378">
        <v>40142464.090000004</v>
      </c>
      <c r="G1532" s="378">
        <v>0</v>
      </c>
      <c r="H1532" s="378">
        <v>0</v>
      </c>
      <c r="I1532" s="378">
        <v>40142464.090000004</v>
      </c>
      <c r="J1532">
        <f t="shared" si="25"/>
        <v>6</v>
      </c>
    </row>
    <row r="1533" spans="1:10" ht="15" customHeight="1" x14ac:dyDescent="0.25">
      <c r="A1533" s="380">
        <v>37100102</v>
      </c>
      <c r="B1533" s="381" t="s">
        <v>321</v>
      </c>
      <c r="C1533" s="381" t="s">
        <v>1304</v>
      </c>
      <c r="D1533" s="381" t="s">
        <v>315</v>
      </c>
      <c r="E1533" s="381" t="s">
        <v>315</v>
      </c>
      <c r="F1533" s="378">
        <v>40142464.090000004</v>
      </c>
      <c r="G1533" s="378">
        <v>0</v>
      </c>
      <c r="H1533" s="378">
        <v>0</v>
      </c>
      <c r="I1533" s="378">
        <v>40142464.090000004</v>
      </c>
      <c r="J1533">
        <f t="shared" si="25"/>
        <v>8</v>
      </c>
    </row>
    <row r="1534" spans="1:10" ht="15" customHeight="1" x14ac:dyDescent="0.25">
      <c r="A1534" s="380">
        <v>3715</v>
      </c>
      <c r="B1534" s="381" t="s">
        <v>321</v>
      </c>
      <c r="C1534" s="381" t="s">
        <v>129</v>
      </c>
      <c r="D1534" s="381" t="s">
        <v>315</v>
      </c>
      <c r="E1534" s="381" t="s">
        <v>315</v>
      </c>
      <c r="F1534" s="378">
        <v>17036093</v>
      </c>
      <c r="G1534" s="378">
        <v>0</v>
      </c>
      <c r="H1534" s="378">
        <v>0</v>
      </c>
      <c r="I1534" s="378">
        <v>17036093</v>
      </c>
      <c r="J1534">
        <f t="shared" si="25"/>
        <v>4</v>
      </c>
    </row>
    <row r="1535" spans="1:10" ht="15" customHeight="1" x14ac:dyDescent="0.25">
      <c r="A1535" s="380">
        <v>371505</v>
      </c>
      <c r="B1535" s="381" t="s">
        <v>321</v>
      </c>
      <c r="C1535" s="381" t="s">
        <v>1305</v>
      </c>
      <c r="D1535" s="381" t="s">
        <v>315</v>
      </c>
      <c r="E1535" s="381" t="s">
        <v>315</v>
      </c>
      <c r="F1535" s="378">
        <v>-24077372</v>
      </c>
      <c r="G1535" s="378">
        <v>0</v>
      </c>
      <c r="H1535" s="378">
        <v>0</v>
      </c>
      <c r="I1535" s="378">
        <v>-24077372</v>
      </c>
      <c r="J1535">
        <f t="shared" si="25"/>
        <v>6</v>
      </c>
    </row>
    <row r="1536" spans="1:10" ht="15" customHeight="1" x14ac:dyDescent="0.25">
      <c r="A1536" s="380">
        <v>371507</v>
      </c>
      <c r="B1536" s="381" t="s">
        <v>321</v>
      </c>
      <c r="C1536" s="381" t="s">
        <v>1306</v>
      </c>
      <c r="D1536" s="381" t="s">
        <v>315</v>
      </c>
      <c r="E1536" s="381" t="s">
        <v>315</v>
      </c>
      <c r="F1536" s="378">
        <v>49889634</v>
      </c>
      <c r="G1536" s="378">
        <v>0</v>
      </c>
      <c r="H1536" s="378">
        <v>0</v>
      </c>
      <c r="I1536" s="378">
        <v>49889634</v>
      </c>
      <c r="J1536">
        <f t="shared" si="25"/>
        <v>6</v>
      </c>
    </row>
    <row r="1537" spans="1:10" ht="15" customHeight="1" x14ac:dyDescent="0.25">
      <c r="A1537" s="380">
        <v>371507</v>
      </c>
      <c r="B1537" s="381" t="s">
        <v>321</v>
      </c>
      <c r="C1537" s="381" t="s">
        <v>1306</v>
      </c>
      <c r="D1537" s="381" t="s">
        <v>356</v>
      </c>
      <c r="E1537" s="381" t="s">
        <v>357</v>
      </c>
      <c r="F1537" s="378">
        <v>49889634</v>
      </c>
      <c r="G1537" s="378">
        <v>0</v>
      </c>
      <c r="H1537" s="378">
        <v>0</v>
      </c>
      <c r="I1537" s="378">
        <v>49889634</v>
      </c>
      <c r="J1537">
        <f t="shared" si="25"/>
        <v>6</v>
      </c>
    </row>
    <row r="1538" spans="1:10" ht="15" customHeight="1" x14ac:dyDescent="0.25">
      <c r="A1538" s="380">
        <v>371516</v>
      </c>
      <c r="B1538" s="381" t="s">
        <v>321</v>
      </c>
      <c r="C1538" s="381" t="s">
        <v>565</v>
      </c>
      <c r="D1538" s="381" t="s">
        <v>315</v>
      </c>
      <c r="E1538" s="381" t="s">
        <v>315</v>
      </c>
      <c r="F1538" s="378">
        <v>-8776169</v>
      </c>
      <c r="G1538" s="378">
        <v>0</v>
      </c>
      <c r="H1538" s="378">
        <v>0</v>
      </c>
      <c r="I1538" s="378">
        <v>-8776169</v>
      </c>
      <c r="J1538">
        <f t="shared" si="25"/>
        <v>6</v>
      </c>
    </row>
    <row r="1539" spans="1:10" ht="15" customHeight="1" x14ac:dyDescent="0.25">
      <c r="A1539" s="380">
        <v>371516</v>
      </c>
      <c r="B1539" s="381" t="s">
        <v>321</v>
      </c>
      <c r="C1539" s="381" t="s">
        <v>565</v>
      </c>
      <c r="D1539" s="381" t="s">
        <v>356</v>
      </c>
      <c r="E1539" s="381" t="s">
        <v>357</v>
      </c>
      <c r="F1539" s="378">
        <v>-8776169</v>
      </c>
      <c r="G1539" s="378">
        <v>0</v>
      </c>
      <c r="H1539" s="378">
        <v>0</v>
      </c>
      <c r="I1539" s="378">
        <v>-8776169</v>
      </c>
      <c r="J1539">
        <f t="shared" si="25"/>
        <v>6</v>
      </c>
    </row>
    <row r="1540" spans="1:10" ht="15" customHeight="1" x14ac:dyDescent="0.25">
      <c r="A1540" s="380">
        <v>4</v>
      </c>
      <c r="B1540" s="381" t="s">
        <v>315</v>
      </c>
      <c r="C1540" s="381" t="s">
        <v>137</v>
      </c>
      <c r="D1540" s="381" t="s">
        <v>315</v>
      </c>
      <c r="E1540" s="381" t="s">
        <v>315</v>
      </c>
      <c r="F1540" s="378">
        <v>-2433087747.6999998</v>
      </c>
      <c r="G1540" s="378">
        <v>3156102</v>
      </c>
      <c r="H1540" s="378">
        <v>520620542.94</v>
      </c>
      <c r="I1540" s="378">
        <v>-2950552188.6399999</v>
      </c>
      <c r="J1540">
        <f t="shared" si="25"/>
        <v>1</v>
      </c>
    </row>
    <row r="1541" spans="1:10" ht="15" customHeight="1" x14ac:dyDescent="0.25">
      <c r="A1541" s="380">
        <v>41</v>
      </c>
      <c r="B1541" s="381" t="s">
        <v>315</v>
      </c>
      <c r="C1541" s="381" t="s">
        <v>467</v>
      </c>
      <c r="D1541" s="381" t="s">
        <v>315</v>
      </c>
      <c r="E1541" s="381" t="s">
        <v>315</v>
      </c>
      <c r="F1541" s="378">
        <v>-2423737279.3099999</v>
      </c>
      <c r="G1541" s="378">
        <v>3156102</v>
      </c>
      <c r="H1541" s="378">
        <v>518351930.76999998</v>
      </c>
      <c r="I1541" s="378">
        <v>-2938933108.0799999</v>
      </c>
      <c r="J1541">
        <f t="shared" si="25"/>
        <v>2</v>
      </c>
    </row>
    <row r="1542" spans="1:10" ht="15" customHeight="1" x14ac:dyDescent="0.25">
      <c r="A1542" s="380">
        <v>4135</v>
      </c>
      <c r="B1542" s="381" t="s">
        <v>315</v>
      </c>
      <c r="C1542" s="381" t="s">
        <v>468</v>
      </c>
      <c r="D1542" s="381" t="s">
        <v>315</v>
      </c>
      <c r="E1542" s="381" t="s">
        <v>315</v>
      </c>
      <c r="F1542" s="378">
        <v>-2427472677.0300002</v>
      </c>
      <c r="G1542" s="378">
        <v>2452941</v>
      </c>
      <c r="H1542" s="378">
        <v>518351930.76999998</v>
      </c>
      <c r="I1542" s="378">
        <v>-2943371666.8000002</v>
      </c>
      <c r="J1542">
        <f t="shared" si="25"/>
        <v>4</v>
      </c>
    </row>
    <row r="1543" spans="1:10" ht="15" customHeight="1" x14ac:dyDescent="0.25">
      <c r="A1543" s="380">
        <v>413595</v>
      </c>
      <c r="B1543" s="381" t="s">
        <v>315</v>
      </c>
      <c r="C1543" s="381" t="s">
        <v>469</v>
      </c>
      <c r="D1543" s="381" t="s">
        <v>315</v>
      </c>
      <c r="E1543" s="381" t="s">
        <v>315</v>
      </c>
      <c r="F1543" s="378">
        <v>-2427472677.0300002</v>
      </c>
      <c r="G1543" s="378">
        <v>2452941</v>
      </c>
      <c r="H1543" s="378">
        <v>518351930.76999998</v>
      </c>
      <c r="I1543" s="378">
        <v>-2943371666.8000002</v>
      </c>
      <c r="J1543">
        <f t="shared" si="25"/>
        <v>6</v>
      </c>
    </row>
    <row r="1544" spans="1:10" ht="15" customHeight="1" x14ac:dyDescent="0.25">
      <c r="A1544" s="380">
        <v>41359503</v>
      </c>
      <c r="B1544" s="381" t="s">
        <v>321</v>
      </c>
      <c r="C1544" s="381" t="s">
        <v>1307</v>
      </c>
      <c r="D1544" s="381" t="s">
        <v>315</v>
      </c>
      <c r="E1544" s="381" t="s">
        <v>315</v>
      </c>
      <c r="F1544" s="378">
        <v>-2419222811.2199998</v>
      </c>
      <c r="G1544" s="378">
        <v>0</v>
      </c>
      <c r="H1544" s="378">
        <v>518219998</v>
      </c>
      <c r="I1544" s="378">
        <v>-2937442809.2199998</v>
      </c>
      <c r="J1544">
        <f t="shared" si="25"/>
        <v>8</v>
      </c>
    </row>
    <row r="1545" spans="1:10" ht="15" customHeight="1" x14ac:dyDescent="0.25">
      <c r="A1545" s="380">
        <v>41359503</v>
      </c>
      <c r="B1545" s="381" t="s">
        <v>321</v>
      </c>
      <c r="C1545" s="381" t="s">
        <v>1307</v>
      </c>
      <c r="D1545" s="381" t="s">
        <v>403</v>
      </c>
      <c r="E1545" s="381" t="s">
        <v>1080</v>
      </c>
      <c r="F1545" s="378">
        <v>-2419085668.3600001</v>
      </c>
      <c r="G1545" s="378">
        <v>0</v>
      </c>
      <c r="H1545" s="378">
        <v>518219998</v>
      </c>
      <c r="I1545" s="378">
        <v>-2937305666.3600001</v>
      </c>
      <c r="J1545">
        <f t="shared" si="25"/>
        <v>8</v>
      </c>
    </row>
    <row r="1546" spans="1:10" ht="15" customHeight="1" x14ac:dyDescent="0.25">
      <c r="A1546" s="380">
        <v>41359503</v>
      </c>
      <c r="B1546" s="381" t="s">
        <v>321</v>
      </c>
      <c r="C1546" s="381" t="s">
        <v>1307</v>
      </c>
      <c r="D1546" s="381" t="s">
        <v>562</v>
      </c>
      <c r="E1546" s="381" t="s">
        <v>1081</v>
      </c>
      <c r="F1546" s="378">
        <v>-63109.24</v>
      </c>
      <c r="G1546" s="378">
        <v>0</v>
      </c>
      <c r="H1546" s="378">
        <v>0</v>
      </c>
      <c r="I1546" s="378">
        <v>-63109.24</v>
      </c>
      <c r="J1546">
        <f t="shared" si="25"/>
        <v>8</v>
      </c>
    </row>
    <row r="1547" spans="1:10" ht="15" customHeight="1" x14ac:dyDescent="0.25">
      <c r="A1547" s="380">
        <v>41359503</v>
      </c>
      <c r="B1547" s="381" t="s">
        <v>321</v>
      </c>
      <c r="C1547" s="381" t="s">
        <v>1307</v>
      </c>
      <c r="D1547" s="381" t="s">
        <v>559</v>
      </c>
      <c r="E1547" s="381" t="s">
        <v>560</v>
      </c>
      <c r="F1547" s="378">
        <v>-32773.120000000003</v>
      </c>
      <c r="G1547" s="378">
        <v>0</v>
      </c>
      <c r="H1547" s="378">
        <v>0</v>
      </c>
      <c r="I1547" s="378">
        <v>-32773.120000000003</v>
      </c>
      <c r="J1547">
        <f t="shared" si="25"/>
        <v>8</v>
      </c>
    </row>
    <row r="1548" spans="1:10" ht="15" customHeight="1" x14ac:dyDescent="0.25">
      <c r="A1548" s="380">
        <v>41359503</v>
      </c>
      <c r="B1548" s="381" t="s">
        <v>321</v>
      </c>
      <c r="C1548" s="381" t="s">
        <v>1307</v>
      </c>
      <c r="D1548" s="381" t="s">
        <v>1084</v>
      </c>
      <c r="E1548" s="381" t="s">
        <v>1085</v>
      </c>
      <c r="F1548" s="378">
        <v>-41260.5</v>
      </c>
      <c r="G1548" s="378">
        <v>0</v>
      </c>
      <c r="H1548" s="378">
        <v>0</v>
      </c>
      <c r="I1548" s="378">
        <v>-41260.5</v>
      </c>
      <c r="J1548">
        <f t="shared" si="25"/>
        <v>8</v>
      </c>
    </row>
    <row r="1549" spans="1:10" ht="15" customHeight="1" x14ac:dyDescent="0.25">
      <c r="A1549" s="380">
        <v>41359511</v>
      </c>
      <c r="B1549" s="381" t="s">
        <v>321</v>
      </c>
      <c r="C1549" s="381" t="s">
        <v>1308</v>
      </c>
      <c r="D1549" s="381" t="s">
        <v>315</v>
      </c>
      <c r="E1549" s="381" t="s">
        <v>315</v>
      </c>
      <c r="F1549" s="378">
        <v>-1351130.81</v>
      </c>
      <c r="G1549" s="378">
        <v>0</v>
      </c>
      <c r="H1549" s="378">
        <v>131932.76999999999</v>
      </c>
      <c r="I1549" s="378">
        <v>-1483063.58</v>
      </c>
      <c r="J1549">
        <f t="shared" ref="J1549:J1612" si="26">+LEN(A1549)</f>
        <v>8</v>
      </c>
    </row>
    <row r="1550" spans="1:10" ht="15" customHeight="1" x14ac:dyDescent="0.25">
      <c r="A1550" s="380">
        <v>41359511</v>
      </c>
      <c r="B1550" s="381" t="s">
        <v>321</v>
      </c>
      <c r="C1550" s="381" t="s">
        <v>1308</v>
      </c>
      <c r="D1550" s="381" t="s">
        <v>779</v>
      </c>
      <c r="E1550" s="381" t="s">
        <v>780</v>
      </c>
      <c r="F1550" s="378">
        <v>-30252.1</v>
      </c>
      <c r="G1550" s="378">
        <v>0</v>
      </c>
      <c r="H1550" s="378">
        <v>0</v>
      </c>
      <c r="I1550" s="378">
        <v>-30252.1</v>
      </c>
      <c r="J1550">
        <f t="shared" si="26"/>
        <v>8</v>
      </c>
    </row>
    <row r="1551" spans="1:10" ht="15" customHeight="1" x14ac:dyDescent="0.25">
      <c r="A1551" s="380">
        <v>41359511</v>
      </c>
      <c r="B1551" s="381" t="s">
        <v>321</v>
      </c>
      <c r="C1551" s="381" t="s">
        <v>1308</v>
      </c>
      <c r="D1551" s="381" t="s">
        <v>1078</v>
      </c>
      <c r="E1551" s="381" t="s">
        <v>1079</v>
      </c>
      <c r="F1551" s="378">
        <v>-100840.34</v>
      </c>
      <c r="G1551" s="378">
        <v>0</v>
      </c>
      <c r="H1551" s="378">
        <v>23529.41</v>
      </c>
      <c r="I1551" s="378">
        <v>-124369.75</v>
      </c>
      <c r="J1551">
        <f t="shared" si="26"/>
        <v>8</v>
      </c>
    </row>
    <row r="1552" spans="1:10" ht="15" customHeight="1" x14ac:dyDescent="0.25">
      <c r="A1552" s="380">
        <v>41359511</v>
      </c>
      <c r="B1552" s="381" t="s">
        <v>321</v>
      </c>
      <c r="C1552" s="381" t="s">
        <v>1308</v>
      </c>
      <c r="D1552" s="381" t="s">
        <v>728</v>
      </c>
      <c r="E1552" s="381" t="s">
        <v>729</v>
      </c>
      <c r="F1552" s="378">
        <v>-173109.25</v>
      </c>
      <c r="G1552" s="378">
        <v>0</v>
      </c>
      <c r="H1552" s="378">
        <v>37815.120000000003</v>
      </c>
      <c r="I1552" s="378">
        <v>-210924.37</v>
      </c>
      <c r="J1552">
        <f t="shared" si="26"/>
        <v>8</v>
      </c>
    </row>
    <row r="1553" spans="1:10" ht="15" customHeight="1" x14ac:dyDescent="0.25">
      <c r="A1553" s="380">
        <v>41359511</v>
      </c>
      <c r="B1553" s="381" t="s">
        <v>321</v>
      </c>
      <c r="C1553" s="381" t="s">
        <v>1308</v>
      </c>
      <c r="D1553" s="381" t="s">
        <v>786</v>
      </c>
      <c r="E1553" s="381" t="s">
        <v>787</v>
      </c>
      <c r="F1553" s="378">
        <v>-25210.080000000002</v>
      </c>
      <c r="G1553" s="378">
        <v>0</v>
      </c>
      <c r="H1553" s="378">
        <v>0</v>
      </c>
      <c r="I1553" s="378">
        <v>-25210.080000000002</v>
      </c>
      <c r="J1553">
        <f t="shared" si="26"/>
        <v>8</v>
      </c>
    </row>
    <row r="1554" spans="1:10" ht="15" customHeight="1" x14ac:dyDescent="0.25">
      <c r="A1554" s="380">
        <v>41359511</v>
      </c>
      <c r="B1554" s="381" t="s">
        <v>321</v>
      </c>
      <c r="C1554" s="381" t="s">
        <v>1308</v>
      </c>
      <c r="D1554" s="381" t="s">
        <v>715</v>
      </c>
      <c r="E1554" s="381" t="s">
        <v>716</v>
      </c>
      <c r="F1554" s="378">
        <v>-903433.03</v>
      </c>
      <c r="G1554" s="378">
        <v>0</v>
      </c>
      <c r="H1554" s="378">
        <v>0</v>
      </c>
      <c r="I1554" s="378">
        <v>-903433.03</v>
      </c>
      <c r="J1554">
        <f t="shared" si="26"/>
        <v>8</v>
      </c>
    </row>
    <row r="1555" spans="1:10" ht="15" customHeight="1" x14ac:dyDescent="0.25">
      <c r="A1555" s="380">
        <v>41359511</v>
      </c>
      <c r="B1555" s="381" t="s">
        <v>321</v>
      </c>
      <c r="C1555" s="381" t="s">
        <v>1308</v>
      </c>
      <c r="D1555" s="381" t="s">
        <v>347</v>
      </c>
      <c r="E1555" s="381" t="s">
        <v>348</v>
      </c>
      <c r="F1555" s="378">
        <v>-15765</v>
      </c>
      <c r="G1555" s="378">
        <v>0</v>
      </c>
      <c r="H1555" s="378">
        <v>0</v>
      </c>
      <c r="I1555" s="378">
        <v>-15765</v>
      </c>
      <c r="J1555">
        <f t="shared" si="26"/>
        <v>8</v>
      </c>
    </row>
    <row r="1556" spans="1:10" ht="15" customHeight="1" x14ac:dyDescent="0.25">
      <c r="A1556" s="380">
        <v>41359511</v>
      </c>
      <c r="B1556" s="381" t="s">
        <v>321</v>
      </c>
      <c r="C1556" s="381" t="s">
        <v>1308</v>
      </c>
      <c r="D1556" s="381" t="s">
        <v>1088</v>
      </c>
      <c r="E1556" s="381" t="s">
        <v>1089</v>
      </c>
      <c r="F1556" s="378">
        <v>-36974.79</v>
      </c>
      <c r="G1556" s="378">
        <v>0</v>
      </c>
      <c r="H1556" s="378">
        <v>0</v>
      </c>
      <c r="I1556" s="378">
        <v>-36974.79</v>
      </c>
      <c r="J1556">
        <f t="shared" si="26"/>
        <v>8</v>
      </c>
    </row>
    <row r="1557" spans="1:10" ht="15" customHeight="1" x14ac:dyDescent="0.25">
      <c r="A1557" s="380">
        <v>41359511</v>
      </c>
      <c r="B1557" s="381" t="s">
        <v>321</v>
      </c>
      <c r="C1557" s="381" t="s">
        <v>1308</v>
      </c>
      <c r="D1557" s="381" t="s">
        <v>1090</v>
      </c>
      <c r="E1557" s="381" t="s">
        <v>1091</v>
      </c>
      <c r="F1557" s="378">
        <v>-20168.07</v>
      </c>
      <c r="G1557" s="378">
        <v>0</v>
      </c>
      <c r="H1557" s="378">
        <v>70588.240000000005</v>
      </c>
      <c r="I1557" s="378">
        <v>-90756.31</v>
      </c>
      <c r="J1557">
        <f t="shared" si="26"/>
        <v>8</v>
      </c>
    </row>
    <row r="1558" spans="1:10" ht="15" customHeight="1" x14ac:dyDescent="0.25">
      <c r="A1558" s="380">
        <v>41359511</v>
      </c>
      <c r="B1558" s="381" t="s">
        <v>321</v>
      </c>
      <c r="C1558" s="381" t="s">
        <v>1308</v>
      </c>
      <c r="D1558" s="381" t="s">
        <v>792</v>
      </c>
      <c r="E1558" s="381" t="s">
        <v>793</v>
      </c>
      <c r="F1558" s="378">
        <v>-5042.0200000000004</v>
      </c>
      <c r="G1558" s="378">
        <v>0</v>
      </c>
      <c r="H1558" s="378">
        <v>0</v>
      </c>
      <c r="I1558" s="378">
        <v>-5042.0200000000004</v>
      </c>
      <c r="J1558">
        <f t="shared" si="26"/>
        <v>8</v>
      </c>
    </row>
    <row r="1559" spans="1:10" ht="15" customHeight="1" x14ac:dyDescent="0.25">
      <c r="A1559" s="380">
        <v>41359511</v>
      </c>
      <c r="B1559" s="381" t="s">
        <v>321</v>
      </c>
      <c r="C1559" s="381" t="s">
        <v>1308</v>
      </c>
      <c r="D1559" s="381" t="s">
        <v>1092</v>
      </c>
      <c r="E1559" s="381" t="s">
        <v>1093</v>
      </c>
      <c r="F1559" s="378">
        <v>-40336.129999999997</v>
      </c>
      <c r="G1559" s="378">
        <v>0</v>
      </c>
      <c r="H1559" s="378">
        <v>0</v>
      </c>
      <c r="I1559" s="378">
        <v>-40336.129999999997</v>
      </c>
      <c r="J1559">
        <f t="shared" si="26"/>
        <v>8</v>
      </c>
    </row>
    <row r="1560" spans="1:10" ht="15" customHeight="1" x14ac:dyDescent="0.25">
      <c r="A1560" s="380">
        <v>41359599</v>
      </c>
      <c r="B1560" s="381" t="s">
        <v>321</v>
      </c>
      <c r="C1560" s="381" t="s">
        <v>1309</v>
      </c>
      <c r="D1560" s="381" t="s">
        <v>315</v>
      </c>
      <c r="E1560" s="381" t="s">
        <v>315</v>
      </c>
      <c r="F1560" s="378">
        <v>-6898735</v>
      </c>
      <c r="G1560" s="378">
        <v>2452941</v>
      </c>
      <c r="H1560" s="378">
        <v>0</v>
      </c>
      <c r="I1560" s="378">
        <v>-4445794</v>
      </c>
      <c r="J1560">
        <f t="shared" si="26"/>
        <v>8</v>
      </c>
    </row>
    <row r="1561" spans="1:10" ht="15" customHeight="1" x14ac:dyDescent="0.25">
      <c r="A1561" s="380">
        <v>41359599</v>
      </c>
      <c r="B1561" s="381" t="s">
        <v>321</v>
      </c>
      <c r="C1561" s="381" t="s">
        <v>1309</v>
      </c>
      <c r="D1561" s="381" t="s">
        <v>403</v>
      </c>
      <c r="E1561" s="381" t="s">
        <v>1080</v>
      </c>
      <c r="F1561" s="378">
        <v>-7725203</v>
      </c>
      <c r="G1561" s="378">
        <v>2452941</v>
      </c>
      <c r="H1561" s="378">
        <v>0</v>
      </c>
      <c r="I1561" s="378">
        <v>-5272262</v>
      </c>
      <c r="J1561">
        <f t="shared" si="26"/>
        <v>8</v>
      </c>
    </row>
    <row r="1562" spans="1:10" ht="15" customHeight="1" x14ac:dyDescent="0.25">
      <c r="A1562" s="380">
        <v>41359599</v>
      </c>
      <c r="B1562" s="381" t="s">
        <v>321</v>
      </c>
      <c r="C1562" s="381" t="s">
        <v>1309</v>
      </c>
      <c r="D1562" s="381" t="s">
        <v>837</v>
      </c>
      <c r="E1562" s="381" t="s">
        <v>838</v>
      </c>
      <c r="F1562" s="378">
        <v>826468</v>
      </c>
      <c r="G1562" s="378">
        <v>0</v>
      </c>
      <c r="H1562" s="378">
        <v>0</v>
      </c>
      <c r="I1562" s="378">
        <v>826468</v>
      </c>
      <c r="J1562">
        <f t="shared" si="26"/>
        <v>8</v>
      </c>
    </row>
    <row r="1563" spans="1:10" ht="15" customHeight="1" x14ac:dyDescent="0.25">
      <c r="A1563" s="380">
        <v>4175</v>
      </c>
      <c r="B1563" s="381" t="s">
        <v>315</v>
      </c>
      <c r="C1563" s="381" t="s">
        <v>475</v>
      </c>
      <c r="D1563" s="381" t="s">
        <v>315</v>
      </c>
      <c r="E1563" s="381" t="s">
        <v>315</v>
      </c>
      <c r="F1563" s="378">
        <v>3735397.72</v>
      </c>
      <c r="G1563" s="378">
        <v>703161</v>
      </c>
      <c r="H1563" s="378">
        <v>0</v>
      </c>
      <c r="I1563" s="378">
        <v>4438558.7199999997</v>
      </c>
      <c r="J1563">
        <f t="shared" si="26"/>
        <v>4</v>
      </c>
    </row>
    <row r="1564" spans="1:10" ht="15" customHeight="1" x14ac:dyDescent="0.25">
      <c r="A1564" s="380">
        <v>417505</v>
      </c>
      <c r="B1564" s="381" t="s">
        <v>315</v>
      </c>
      <c r="C1564" s="381" t="s">
        <v>390</v>
      </c>
      <c r="D1564" s="381" t="s">
        <v>315</v>
      </c>
      <c r="E1564" s="381" t="s">
        <v>315</v>
      </c>
      <c r="F1564" s="378">
        <v>3735397.72</v>
      </c>
      <c r="G1564" s="378">
        <v>703161</v>
      </c>
      <c r="H1564" s="378">
        <v>0</v>
      </c>
      <c r="I1564" s="378">
        <v>4438558.7199999997</v>
      </c>
      <c r="J1564">
        <f t="shared" si="26"/>
        <v>6</v>
      </c>
    </row>
    <row r="1565" spans="1:10" ht="15" customHeight="1" x14ac:dyDescent="0.25">
      <c r="A1565" s="380">
        <v>41750599</v>
      </c>
      <c r="B1565" s="381" t="s">
        <v>321</v>
      </c>
      <c r="C1565" s="381" t="s">
        <v>1310</v>
      </c>
      <c r="D1565" s="381" t="s">
        <v>315</v>
      </c>
      <c r="E1565" s="381" t="s">
        <v>315</v>
      </c>
      <c r="F1565" s="378">
        <v>3735397.72</v>
      </c>
      <c r="G1565" s="378">
        <v>703161</v>
      </c>
      <c r="H1565" s="378">
        <v>0</v>
      </c>
      <c r="I1565" s="378">
        <v>4438558.7199999997</v>
      </c>
      <c r="J1565">
        <f t="shared" si="26"/>
        <v>8</v>
      </c>
    </row>
    <row r="1566" spans="1:10" ht="15" customHeight="1" x14ac:dyDescent="0.25">
      <c r="A1566" s="380">
        <v>41750599</v>
      </c>
      <c r="B1566" s="381" t="s">
        <v>321</v>
      </c>
      <c r="C1566" s="381" t="s">
        <v>1310</v>
      </c>
      <c r="D1566" s="381" t="s">
        <v>403</v>
      </c>
      <c r="E1566" s="381" t="s">
        <v>1080</v>
      </c>
      <c r="F1566" s="378">
        <v>750619</v>
      </c>
      <c r="G1566" s="378">
        <v>703161</v>
      </c>
      <c r="H1566" s="378">
        <v>0</v>
      </c>
      <c r="I1566" s="378">
        <v>1453780</v>
      </c>
      <c r="J1566">
        <f t="shared" si="26"/>
        <v>8</v>
      </c>
    </row>
    <row r="1567" spans="1:10" ht="15" customHeight="1" x14ac:dyDescent="0.25">
      <c r="A1567" s="380">
        <v>41750599</v>
      </c>
      <c r="B1567" s="381" t="s">
        <v>321</v>
      </c>
      <c r="C1567" s="381" t="s">
        <v>1310</v>
      </c>
      <c r="D1567" s="381" t="s">
        <v>837</v>
      </c>
      <c r="E1567" s="381" t="s">
        <v>838</v>
      </c>
      <c r="F1567" s="378">
        <v>2984778.72</v>
      </c>
      <c r="G1567" s="378">
        <v>0</v>
      </c>
      <c r="H1567" s="378">
        <v>0</v>
      </c>
      <c r="I1567" s="378">
        <v>2984778.72</v>
      </c>
      <c r="J1567">
        <f t="shared" si="26"/>
        <v>8</v>
      </c>
    </row>
    <row r="1568" spans="1:10" ht="15" customHeight="1" x14ac:dyDescent="0.25">
      <c r="A1568" s="380">
        <v>42</v>
      </c>
      <c r="B1568" s="381" t="s">
        <v>315</v>
      </c>
      <c r="C1568" s="381" t="s">
        <v>470</v>
      </c>
      <c r="D1568" s="381" t="s">
        <v>315</v>
      </c>
      <c r="E1568" s="381" t="s">
        <v>315</v>
      </c>
      <c r="F1568" s="378">
        <v>-8013950.7300000004</v>
      </c>
      <c r="G1568" s="378">
        <v>0</v>
      </c>
      <c r="H1568" s="378">
        <v>1944129.65</v>
      </c>
      <c r="I1568" s="378">
        <v>-9958080.3800000008</v>
      </c>
      <c r="J1568">
        <f t="shared" si="26"/>
        <v>2</v>
      </c>
    </row>
    <row r="1569" spans="1:10" ht="15" customHeight="1" x14ac:dyDescent="0.25">
      <c r="A1569" s="380">
        <v>4210</v>
      </c>
      <c r="B1569" s="381" t="s">
        <v>315</v>
      </c>
      <c r="C1569" s="381" t="s">
        <v>490</v>
      </c>
      <c r="D1569" s="381" t="s">
        <v>315</v>
      </c>
      <c r="E1569" s="381" t="s">
        <v>315</v>
      </c>
      <c r="F1569" s="378">
        <v>-0.31</v>
      </c>
      <c r="G1569" s="378">
        <v>0</v>
      </c>
      <c r="H1569" s="378">
        <v>0</v>
      </c>
      <c r="I1569" s="378">
        <v>-0.31</v>
      </c>
      <c r="J1569">
        <f t="shared" si="26"/>
        <v>4</v>
      </c>
    </row>
    <row r="1570" spans="1:10" ht="15" customHeight="1" x14ac:dyDescent="0.25">
      <c r="A1570" s="380">
        <v>421005</v>
      </c>
      <c r="B1570" s="381" t="s">
        <v>315</v>
      </c>
      <c r="C1570" s="381" t="s">
        <v>176</v>
      </c>
      <c r="D1570" s="381" t="s">
        <v>315</v>
      </c>
      <c r="E1570" s="381" t="s">
        <v>315</v>
      </c>
      <c r="F1570" s="378">
        <v>-0.31</v>
      </c>
      <c r="G1570" s="378">
        <v>0</v>
      </c>
      <c r="H1570" s="378">
        <v>0</v>
      </c>
      <c r="I1570" s="378">
        <v>-0.31</v>
      </c>
      <c r="J1570">
        <f t="shared" si="26"/>
        <v>6</v>
      </c>
    </row>
    <row r="1571" spans="1:10" ht="15" customHeight="1" x14ac:dyDescent="0.25">
      <c r="A1571" s="380">
        <v>42100501</v>
      </c>
      <c r="B1571" s="381" t="s">
        <v>315</v>
      </c>
      <c r="C1571" s="381" t="s">
        <v>176</v>
      </c>
      <c r="D1571" s="381" t="s">
        <v>315</v>
      </c>
      <c r="E1571" s="381" t="s">
        <v>315</v>
      </c>
      <c r="F1571" s="378">
        <v>-0.31</v>
      </c>
      <c r="G1571" s="378">
        <v>0</v>
      </c>
      <c r="H1571" s="378">
        <v>0</v>
      </c>
      <c r="I1571" s="378">
        <v>-0.31</v>
      </c>
      <c r="J1571">
        <f t="shared" si="26"/>
        <v>8</v>
      </c>
    </row>
    <row r="1572" spans="1:10" ht="15" customHeight="1" x14ac:dyDescent="0.25">
      <c r="A1572" s="380">
        <v>42100501</v>
      </c>
      <c r="B1572" s="381" t="s">
        <v>315</v>
      </c>
      <c r="C1572" s="381" t="s">
        <v>176</v>
      </c>
      <c r="D1572" s="381" t="s">
        <v>329</v>
      </c>
      <c r="E1572" s="381" t="s">
        <v>330</v>
      </c>
      <c r="F1572" s="378">
        <v>-0.31</v>
      </c>
      <c r="G1572" s="378">
        <v>0</v>
      </c>
      <c r="H1572" s="378">
        <v>0</v>
      </c>
      <c r="I1572" s="378">
        <v>-0.31</v>
      </c>
      <c r="J1572">
        <f t="shared" si="26"/>
        <v>8</v>
      </c>
    </row>
    <row r="1573" spans="1:10" ht="15" customHeight="1" x14ac:dyDescent="0.25">
      <c r="A1573" s="380">
        <v>4235</v>
      </c>
      <c r="B1573" s="381" t="s">
        <v>321</v>
      </c>
      <c r="C1573" s="381" t="s">
        <v>1311</v>
      </c>
      <c r="D1573" s="381" t="s">
        <v>315</v>
      </c>
      <c r="E1573" s="381" t="s">
        <v>315</v>
      </c>
      <c r="F1573" s="378">
        <v>-2739188.17</v>
      </c>
      <c r="G1573" s="378">
        <v>0</v>
      </c>
      <c r="H1573" s="378">
        <v>1421314.65</v>
      </c>
      <c r="I1573" s="378">
        <v>-4160502.82</v>
      </c>
      <c r="J1573">
        <f t="shared" si="26"/>
        <v>4</v>
      </c>
    </row>
    <row r="1574" spans="1:10" ht="15" customHeight="1" x14ac:dyDescent="0.25">
      <c r="A1574" s="380">
        <v>423596</v>
      </c>
      <c r="B1574" s="381" t="s">
        <v>321</v>
      </c>
      <c r="C1574" s="381" t="s">
        <v>1312</v>
      </c>
      <c r="D1574" s="381" t="s">
        <v>315</v>
      </c>
      <c r="E1574" s="381" t="s">
        <v>315</v>
      </c>
      <c r="F1574" s="378">
        <v>-2739188.17</v>
      </c>
      <c r="G1574" s="378">
        <v>0</v>
      </c>
      <c r="H1574" s="378">
        <v>1421314.65</v>
      </c>
      <c r="I1574" s="378">
        <v>-4160502.82</v>
      </c>
      <c r="J1574">
        <f t="shared" si="26"/>
        <v>6</v>
      </c>
    </row>
    <row r="1575" spans="1:10" ht="15" customHeight="1" x14ac:dyDescent="0.25">
      <c r="A1575" s="380">
        <v>42359604</v>
      </c>
      <c r="B1575" s="381" t="s">
        <v>321</v>
      </c>
      <c r="C1575" s="381" t="s">
        <v>1313</v>
      </c>
      <c r="D1575" s="381" t="s">
        <v>315</v>
      </c>
      <c r="E1575" s="381" t="s">
        <v>315</v>
      </c>
      <c r="F1575" s="378">
        <v>-2739188.17</v>
      </c>
      <c r="G1575" s="378">
        <v>0</v>
      </c>
      <c r="H1575" s="378">
        <v>0</v>
      </c>
      <c r="I1575" s="378">
        <v>-2739188.17</v>
      </c>
      <c r="J1575">
        <f t="shared" si="26"/>
        <v>8</v>
      </c>
    </row>
    <row r="1576" spans="1:10" ht="15" customHeight="1" x14ac:dyDescent="0.25">
      <c r="A1576" s="380">
        <v>42359604</v>
      </c>
      <c r="B1576" s="381" t="s">
        <v>321</v>
      </c>
      <c r="C1576" s="381" t="s">
        <v>1313</v>
      </c>
      <c r="D1576" s="381" t="s">
        <v>347</v>
      </c>
      <c r="E1576" s="381" t="s">
        <v>348</v>
      </c>
      <c r="F1576" s="378">
        <v>-2470307.17</v>
      </c>
      <c r="G1576" s="378">
        <v>0</v>
      </c>
      <c r="H1576" s="378">
        <v>0</v>
      </c>
      <c r="I1576" s="378">
        <v>-2470307.17</v>
      </c>
      <c r="J1576">
        <f t="shared" si="26"/>
        <v>8</v>
      </c>
    </row>
    <row r="1577" spans="1:10" ht="15" customHeight="1" x14ac:dyDescent="0.25">
      <c r="A1577" s="380">
        <v>42359604</v>
      </c>
      <c r="B1577" s="381" t="s">
        <v>321</v>
      </c>
      <c r="C1577" s="381" t="s">
        <v>1313</v>
      </c>
      <c r="D1577" s="381" t="s">
        <v>927</v>
      </c>
      <c r="E1577" s="381" t="s">
        <v>928</v>
      </c>
      <c r="F1577" s="378">
        <v>-120016</v>
      </c>
      <c r="G1577" s="378">
        <v>0</v>
      </c>
      <c r="H1577" s="378">
        <v>0</v>
      </c>
      <c r="I1577" s="378">
        <v>-120016</v>
      </c>
      <c r="J1577">
        <f t="shared" si="26"/>
        <v>8</v>
      </c>
    </row>
    <row r="1578" spans="1:10" ht="15" customHeight="1" x14ac:dyDescent="0.25">
      <c r="A1578" s="380">
        <v>42359604</v>
      </c>
      <c r="B1578" s="381" t="s">
        <v>321</v>
      </c>
      <c r="C1578" s="381" t="s">
        <v>1313</v>
      </c>
      <c r="D1578" s="381" t="s">
        <v>723</v>
      </c>
      <c r="E1578" s="381" t="s">
        <v>724</v>
      </c>
      <c r="F1578" s="378">
        <v>-148865</v>
      </c>
      <c r="G1578" s="378">
        <v>0</v>
      </c>
      <c r="H1578" s="378">
        <v>0</v>
      </c>
      <c r="I1578" s="378">
        <v>-148865</v>
      </c>
      <c r="J1578">
        <f t="shared" si="26"/>
        <v>8</v>
      </c>
    </row>
    <row r="1579" spans="1:10" ht="15" customHeight="1" x14ac:dyDescent="0.25">
      <c r="A1579" s="380">
        <v>42359605</v>
      </c>
      <c r="B1579" s="381" t="s">
        <v>321</v>
      </c>
      <c r="C1579" s="381" t="s">
        <v>1312</v>
      </c>
      <c r="D1579" s="381" t="s">
        <v>315</v>
      </c>
      <c r="E1579" s="381" t="s">
        <v>315</v>
      </c>
      <c r="F1579" s="378">
        <v>0</v>
      </c>
      <c r="G1579" s="378">
        <v>0</v>
      </c>
      <c r="H1579" s="378">
        <v>1421314.65</v>
      </c>
      <c r="I1579" s="378">
        <v>-1421314.65</v>
      </c>
      <c r="J1579">
        <f t="shared" si="26"/>
        <v>8</v>
      </c>
    </row>
    <row r="1580" spans="1:10" ht="15" customHeight="1" x14ac:dyDescent="0.25">
      <c r="A1580" s="380">
        <v>42359605</v>
      </c>
      <c r="B1580" s="381" t="s">
        <v>321</v>
      </c>
      <c r="C1580" s="381" t="s">
        <v>1312</v>
      </c>
      <c r="D1580" s="381" t="s">
        <v>347</v>
      </c>
      <c r="E1580" s="381" t="s">
        <v>348</v>
      </c>
      <c r="F1580" s="378">
        <v>0</v>
      </c>
      <c r="G1580" s="378">
        <v>0</v>
      </c>
      <c r="H1580" s="378">
        <v>1421314.65</v>
      </c>
      <c r="I1580" s="378">
        <v>-1421314.65</v>
      </c>
      <c r="J1580">
        <f t="shared" si="26"/>
        <v>8</v>
      </c>
    </row>
    <row r="1581" spans="1:10" ht="15" customHeight="1" x14ac:dyDescent="0.25">
      <c r="A1581" s="380">
        <v>4250</v>
      </c>
      <c r="B1581" s="381" t="s">
        <v>315</v>
      </c>
      <c r="C1581" s="381" t="s">
        <v>1314</v>
      </c>
      <c r="D1581" s="381" t="s">
        <v>315</v>
      </c>
      <c r="E1581" s="381" t="s">
        <v>315</v>
      </c>
      <c r="F1581" s="378">
        <v>-15963</v>
      </c>
      <c r="G1581" s="378">
        <v>0</v>
      </c>
      <c r="H1581" s="378">
        <v>3600</v>
      </c>
      <c r="I1581" s="378">
        <v>-19563</v>
      </c>
      <c r="J1581">
        <f t="shared" si="26"/>
        <v>4</v>
      </c>
    </row>
    <row r="1582" spans="1:10" ht="15" customHeight="1" x14ac:dyDescent="0.25">
      <c r="A1582" s="380">
        <v>425050</v>
      </c>
      <c r="B1582" s="381" t="s">
        <v>315</v>
      </c>
      <c r="C1582" s="381" t="s">
        <v>1315</v>
      </c>
      <c r="D1582" s="381" t="s">
        <v>315</v>
      </c>
      <c r="E1582" s="381" t="s">
        <v>315</v>
      </c>
      <c r="F1582" s="378">
        <v>-15963</v>
      </c>
      <c r="G1582" s="378">
        <v>0</v>
      </c>
      <c r="H1582" s="378">
        <v>3600</v>
      </c>
      <c r="I1582" s="378">
        <v>-19563</v>
      </c>
      <c r="J1582">
        <f t="shared" si="26"/>
        <v>6</v>
      </c>
    </row>
    <row r="1583" spans="1:10" ht="15" customHeight="1" x14ac:dyDescent="0.25">
      <c r="A1583" s="380">
        <v>42505001</v>
      </c>
      <c r="B1583" s="381" t="s">
        <v>315</v>
      </c>
      <c r="C1583" s="381" t="s">
        <v>1315</v>
      </c>
      <c r="D1583" s="381" t="s">
        <v>315</v>
      </c>
      <c r="E1583" s="381" t="s">
        <v>315</v>
      </c>
      <c r="F1583" s="378">
        <v>-613</v>
      </c>
      <c r="G1583" s="378">
        <v>0</v>
      </c>
      <c r="H1583" s="378">
        <v>400</v>
      </c>
      <c r="I1583" s="378">
        <v>-1013</v>
      </c>
      <c r="J1583">
        <f t="shared" si="26"/>
        <v>8</v>
      </c>
    </row>
    <row r="1584" spans="1:10" ht="15" customHeight="1" x14ac:dyDescent="0.25">
      <c r="A1584" s="380">
        <v>42505001</v>
      </c>
      <c r="B1584" s="381" t="s">
        <v>315</v>
      </c>
      <c r="C1584" s="381" t="s">
        <v>1315</v>
      </c>
      <c r="D1584" s="381" t="s">
        <v>774</v>
      </c>
      <c r="E1584" s="381" t="s">
        <v>775</v>
      </c>
      <c r="F1584" s="378">
        <v>-50</v>
      </c>
      <c r="G1584" s="378">
        <v>0</v>
      </c>
      <c r="H1584" s="378">
        <v>0</v>
      </c>
      <c r="I1584" s="378">
        <v>-50</v>
      </c>
      <c r="J1584">
        <f t="shared" si="26"/>
        <v>8</v>
      </c>
    </row>
    <row r="1585" spans="1:10" ht="15" customHeight="1" x14ac:dyDescent="0.25">
      <c r="A1585" s="380">
        <v>42505001</v>
      </c>
      <c r="B1585" s="381" t="s">
        <v>315</v>
      </c>
      <c r="C1585" s="381" t="s">
        <v>1315</v>
      </c>
      <c r="D1585" s="381" t="s">
        <v>987</v>
      </c>
      <c r="E1585" s="381" t="s">
        <v>988</v>
      </c>
      <c r="F1585" s="378">
        <v>-563</v>
      </c>
      <c r="G1585" s="378">
        <v>0</v>
      </c>
      <c r="H1585" s="378">
        <v>400</v>
      </c>
      <c r="I1585" s="378">
        <v>-963</v>
      </c>
      <c r="J1585">
        <f t="shared" si="26"/>
        <v>8</v>
      </c>
    </row>
    <row r="1586" spans="1:10" ht="15" customHeight="1" x14ac:dyDescent="0.25">
      <c r="A1586" s="380">
        <v>42505003</v>
      </c>
      <c r="B1586" s="381" t="s">
        <v>321</v>
      </c>
      <c r="C1586" s="381" t="s">
        <v>1316</v>
      </c>
      <c r="D1586" s="381" t="s">
        <v>315</v>
      </c>
      <c r="E1586" s="381" t="s">
        <v>315</v>
      </c>
      <c r="F1586" s="378">
        <v>-15350</v>
      </c>
      <c r="G1586" s="378">
        <v>0</v>
      </c>
      <c r="H1586" s="378">
        <v>3200</v>
      </c>
      <c r="I1586" s="378">
        <v>-18550</v>
      </c>
      <c r="J1586">
        <f t="shared" si="26"/>
        <v>8</v>
      </c>
    </row>
    <row r="1587" spans="1:10" ht="15" customHeight="1" x14ac:dyDescent="0.25">
      <c r="A1587" s="380">
        <v>42505003</v>
      </c>
      <c r="B1587" s="381" t="s">
        <v>321</v>
      </c>
      <c r="C1587" s="381" t="s">
        <v>1316</v>
      </c>
      <c r="D1587" s="381" t="s">
        <v>1194</v>
      </c>
      <c r="E1587" s="381" t="s">
        <v>1195</v>
      </c>
      <c r="F1587" s="378">
        <v>-500</v>
      </c>
      <c r="G1587" s="378">
        <v>0</v>
      </c>
      <c r="H1587" s="378">
        <v>100</v>
      </c>
      <c r="I1587" s="378">
        <v>-600</v>
      </c>
      <c r="J1587">
        <f t="shared" si="26"/>
        <v>8</v>
      </c>
    </row>
    <row r="1588" spans="1:10" ht="15" customHeight="1" x14ac:dyDescent="0.25">
      <c r="A1588" s="380">
        <v>42505003</v>
      </c>
      <c r="B1588" s="381" t="s">
        <v>321</v>
      </c>
      <c r="C1588" s="381" t="s">
        <v>1316</v>
      </c>
      <c r="D1588" s="381" t="s">
        <v>779</v>
      </c>
      <c r="E1588" s="381" t="s">
        <v>780</v>
      </c>
      <c r="F1588" s="378">
        <v>-100</v>
      </c>
      <c r="G1588" s="378">
        <v>0</v>
      </c>
      <c r="H1588" s="378">
        <v>100</v>
      </c>
      <c r="I1588" s="378">
        <v>-200</v>
      </c>
      <c r="J1588">
        <f t="shared" si="26"/>
        <v>8</v>
      </c>
    </row>
    <row r="1589" spans="1:10" ht="15" customHeight="1" x14ac:dyDescent="0.25">
      <c r="A1589" s="380">
        <v>42505003</v>
      </c>
      <c r="B1589" s="381" t="s">
        <v>321</v>
      </c>
      <c r="C1589" s="381" t="s">
        <v>1316</v>
      </c>
      <c r="D1589" s="381" t="s">
        <v>1219</v>
      </c>
      <c r="E1589" s="381" t="s">
        <v>1220</v>
      </c>
      <c r="F1589" s="378">
        <v>-100</v>
      </c>
      <c r="G1589" s="378">
        <v>0</v>
      </c>
      <c r="H1589" s="378">
        <v>0</v>
      </c>
      <c r="I1589" s="378">
        <v>-100</v>
      </c>
      <c r="J1589">
        <f t="shared" si="26"/>
        <v>8</v>
      </c>
    </row>
    <row r="1590" spans="1:10" ht="15" customHeight="1" x14ac:dyDescent="0.25">
      <c r="A1590" s="380">
        <v>42505003</v>
      </c>
      <c r="B1590" s="381" t="s">
        <v>321</v>
      </c>
      <c r="C1590" s="381" t="s">
        <v>1316</v>
      </c>
      <c r="D1590" s="381" t="s">
        <v>774</v>
      </c>
      <c r="E1590" s="381" t="s">
        <v>775</v>
      </c>
      <c r="F1590" s="378">
        <v>-450</v>
      </c>
      <c r="G1590" s="378">
        <v>0</v>
      </c>
      <c r="H1590" s="378">
        <v>100</v>
      </c>
      <c r="I1590" s="378">
        <v>-550</v>
      </c>
      <c r="J1590">
        <f t="shared" si="26"/>
        <v>8</v>
      </c>
    </row>
    <row r="1591" spans="1:10" ht="15" customHeight="1" x14ac:dyDescent="0.25">
      <c r="A1591" s="380">
        <v>42505003</v>
      </c>
      <c r="B1591" s="381" t="s">
        <v>321</v>
      </c>
      <c r="C1591" s="381" t="s">
        <v>1316</v>
      </c>
      <c r="D1591" s="381" t="s">
        <v>1196</v>
      </c>
      <c r="E1591" s="381" t="s">
        <v>1197</v>
      </c>
      <c r="F1591" s="378">
        <v>-500</v>
      </c>
      <c r="G1591" s="378">
        <v>0</v>
      </c>
      <c r="H1591" s="378">
        <v>100</v>
      </c>
      <c r="I1591" s="378">
        <v>-600</v>
      </c>
      <c r="J1591">
        <f t="shared" si="26"/>
        <v>8</v>
      </c>
    </row>
    <row r="1592" spans="1:10" ht="15" customHeight="1" x14ac:dyDescent="0.25">
      <c r="A1592" s="380">
        <v>42505003</v>
      </c>
      <c r="B1592" s="381" t="s">
        <v>321</v>
      </c>
      <c r="C1592" s="381" t="s">
        <v>1316</v>
      </c>
      <c r="D1592" s="381" t="s">
        <v>1078</v>
      </c>
      <c r="E1592" s="381" t="s">
        <v>1079</v>
      </c>
      <c r="F1592" s="378">
        <v>-400</v>
      </c>
      <c r="G1592" s="378">
        <v>0</v>
      </c>
      <c r="H1592" s="378">
        <v>100</v>
      </c>
      <c r="I1592" s="378">
        <v>-500</v>
      </c>
      <c r="J1592">
        <f t="shared" si="26"/>
        <v>8</v>
      </c>
    </row>
    <row r="1593" spans="1:10" ht="15" customHeight="1" x14ac:dyDescent="0.25">
      <c r="A1593" s="380">
        <v>42505003</v>
      </c>
      <c r="B1593" s="381" t="s">
        <v>321</v>
      </c>
      <c r="C1593" s="381" t="s">
        <v>1316</v>
      </c>
      <c r="D1593" s="381" t="s">
        <v>781</v>
      </c>
      <c r="E1593" s="381" t="s">
        <v>782</v>
      </c>
      <c r="F1593" s="378">
        <v>-500</v>
      </c>
      <c r="G1593" s="378">
        <v>0</v>
      </c>
      <c r="H1593" s="378">
        <v>100</v>
      </c>
      <c r="I1593" s="378">
        <v>-600</v>
      </c>
      <c r="J1593">
        <f t="shared" si="26"/>
        <v>8</v>
      </c>
    </row>
    <row r="1594" spans="1:10" ht="15" customHeight="1" x14ac:dyDescent="0.25">
      <c r="A1594" s="380">
        <v>42505003</v>
      </c>
      <c r="B1594" s="381" t="s">
        <v>321</v>
      </c>
      <c r="C1594" s="381" t="s">
        <v>1316</v>
      </c>
      <c r="D1594" s="381" t="s">
        <v>728</v>
      </c>
      <c r="E1594" s="381" t="s">
        <v>729</v>
      </c>
      <c r="F1594" s="378">
        <v>-500</v>
      </c>
      <c r="G1594" s="378">
        <v>0</v>
      </c>
      <c r="H1594" s="378">
        <v>100</v>
      </c>
      <c r="I1594" s="378">
        <v>-600</v>
      </c>
      <c r="J1594">
        <f t="shared" si="26"/>
        <v>8</v>
      </c>
    </row>
    <row r="1595" spans="1:10" ht="15" customHeight="1" x14ac:dyDescent="0.25">
      <c r="A1595" s="380">
        <v>42505003</v>
      </c>
      <c r="B1595" s="381" t="s">
        <v>321</v>
      </c>
      <c r="C1595" s="381" t="s">
        <v>1316</v>
      </c>
      <c r="D1595" s="381" t="s">
        <v>783</v>
      </c>
      <c r="E1595" s="381" t="s">
        <v>784</v>
      </c>
      <c r="F1595" s="378">
        <v>-500</v>
      </c>
      <c r="G1595" s="378">
        <v>0</v>
      </c>
      <c r="H1595" s="378">
        <v>100</v>
      </c>
      <c r="I1595" s="378">
        <v>-600</v>
      </c>
      <c r="J1595">
        <f t="shared" si="26"/>
        <v>8</v>
      </c>
    </row>
    <row r="1596" spans="1:10" ht="15" customHeight="1" x14ac:dyDescent="0.25">
      <c r="A1596" s="380">
        <v>42505003</v>
      </c>
      <c r="B1596" s="381" t="s">
        <v>321</v>
      </c>
      <c r="C1596" s="381" t="s">
        <v>1316</v>
      </c>
      <c r="D1596" s="381" t="s">
        <v>797</v>
      </c>
      <c r="E1596" s="381" t="s">
        <v>798</v>
      </c>
      <c r="F1596" s="378">
        <v>-500</v>
      </c>
      <c r="G1596" s="378">
        <v>0</v>
      </c>
      <c r="H1596" s="378">
        <v>100</v>
      </c>
      <c r="I1596" s="378">
        <v>-600</v>
      </c>
      <c r="J1596">
        <f t="shared" si="26"/>
        <v>8</v>
      </c>
    </row>
    <row r="1597" spans="1:10" ht="15" customHeight="1" x14ac:dyDescent="0.25">
      <c r="A1597" s="380">
        <v>42505003</v>
      </c>
      <c r="B1597" s="381" t="s">
        <v>321</v>
      </c>
      <c r="C1597" s="381" t="s">
        <v>1316</v>
      </c>
      <c r="D1597" s="381" t="s">
        <v>1221</v>
      </c>
      <c r="E1597" s="381" t="s">
        <v>1494</v>
      </c>
      <c r="F1597" s="378">
        <v>-500</v>
      </c>
      <c r="G1597" s="378">
        <v>0</v>
      </c>
      <c r="H1597" s="378">
        <v>0</v>
      </c>
      <c r="I1597" s="378">
        <v>-500</v>
      </c>
      <c r="J1597">
        <f t="shared" si="26"/>
        <v>8</v>
      </c>
    </row>
    <row r="1598" spans="1:10" ht="15" customHeight="1" x14ac:dyDescent="0.25">
      <c r="A1598" s="380">
        <v>42505003</v>
      </c>
      <c r="B1598" s="381" t="s">
        <v>321</v>
      </c>
      <c r="C1598" s="381" t="s">
        <v>1316</v>
      </c>
      <c r="D1598" s="381" t="s">
        <v>1222</v>
      </c>
      <c r="E1598" s="381" t="s">
        <v>1223</v>
      </c>
      <c r="F1598" s="378">
        <v>-150</v>
      </c>
      <c r="G1598" s="378">
        <v>0</v>
      </c>
      <c r="H1598" s="378">
        <v>0</v>
      </c>
      <c r="I1598" s="378">
        <v>-150</v>
      </c>
      <c r="J1598">
        <f t="shared" si="26"/>
        <v>8</v>
      </c>
    </row>
    <row r="1599" spans="1:10" ht="15" customHeight="1" x14ac:dyDescent="0.25">
      <c r="A1599" s="380">
        <v>42505003</v>
      </c>
      <c r="B1599" s="381" t="s">
        <v>321</v>
      </c>
      <c r="C1599" s="381" t="s">
        <v>1316</v>
      </c>
      <c r="D1599" s="381" t="s">
        <v>1198</v>
      </c>
      <c r="E1599" s="381" t="s">
        <v>1199</v>
      </c>
      <c r="F1599" s="378">
        <v>-150</v>
      </c>
      <c r="G1599" s="378">
        <v>0</v>
      </c>
      <c r="H1599" s="378">
        <v>100</v>
      </c>
      <c r="I1599" s="378">
        <v>-250</v>
      </c>
      <c r="J1599">
        <f t="shared" si="26"/>
        <v>8</v>
      </c>
    </row>
    <row r="1600" spans="1:10" ht="15" customHeight="1" x14ac:dyDescent="0.25">
      <c r="A1600" s="380">
        <v>42505003</v>
      </c>
      <c r="B1600" s="381" t="s">
        <v>321</v>
      </c>
      <c r="C1600" s="381" t="s">
        <v>1316</v>
      </c>
      <c r="D1600" s="381" t="s">
        <v>753</v>
      </c>
      <c r="E1600" s="381" t="s">
        <v>754</v>
      </c>
      <c r="F1600" s="378">
        <v>-100</v>
      </c>
      <c r="G1600" s="378">
        <v>0</v>
      </c>
      <c r="H1600" s="378">
        <v>0</v>
      </c>
      <c r="I1600" s="378">
        <v>-100</v>
      </c>
      <c r="J1600">
        <f t="shared" si="26"/>
        <v>8</v>
      </c>
    </row>
    <row r="1601" spans="1:10" ht="15" customHeight="1" x14ac:dyDescent="0.25">
      <c r="A1601" s="380">
        <v>42505003</v>
      </c>
      <c r="B1601" s="381" t="s">
        <v>321</v>
      </c>
      <c r="C1601" s="381" t="s">
        <v>1316</v>
      </c>
      <c r="D1601" s="381" t="s">
        <v>1200</v>
      </c>
      <c r="E1601" s="381" t="s">
        <v>1201</v>
      </c>
      <c r="F1601" s="378">
        <v>-500</v>
      </c>
      <c r="G1601" s="378">
        <v>0</v>
      </c>
      <c r="H1601" s="378">
        <v>100</v>
      </c>
      <c r="I1601" s="378">
        <v>-600</v>
      </c>
      <c r="J1601">
        <f t="shared" si="26"/>
        <v>8</v>
      </c>
    </row>
    <row r="1602" spans="1:10" ht="15" customHeight="1" x14ac:dyDescent="0.25">
      <c r="A1602" s="380">
        <v>42505003</v>
      </c>
      <c r="B1602" s="381" t="s">
        <v>321</v>
      </c>
      <c r="C1602" s="381" t="s">
        <v>1316</v>
      </c>
      <c r="D1602" s="381" t="s">
        <v>786</v>
      </c>
      <c r="E1602" s="381" t="s">
        <v>787</v>
      </c>
      <c r="F1602" s="378">
        <v>-500</v>
      </c>
      <c r="G1602" s="378">
        <v>0</v>
      </c>
      <c r="H1602" s="378">
        <v>100</v>
      </c>
      <c r="I1602" s="378">
        <v>-600</v>
      </c>
      <c r="J1602">
        <f t="shared" si="26"/>
        <v>8</v>
      </c>
    </row>
    <row r="1603" spans="1:10" ht="15" customHeight="1" x14ac:dyDescent="0.25">
      <c r="A1603" s="380">
        <v>42505003</v>
      </c>
      <c r="B1603" s="381" t="s">
        <v>321</v>
      </c>
      <c r="C1603" s="381" t="s">
        <v>1316</v>
      </c>
      <c r="D1603" s="381" t="s">
        <v>1224</v>
      </c>
      <c r="E1603" s="381" t="s">
        <v>1225</v>
      </c>
      <c r="F1603" s="378">
        <v>-500</v>
      </c>
      <c r="G1603" s="378">
        <v>0</v>
      </c>
      <c r="H1603" s="378">
        <v>100</v>
      </c>
      <c r="I1603" s="378">
        <v>-600</v>
      </c>
      <c r="J1603">
        <f t="shared" si="26"/>
        <v>8</v>
      </c>
    </row>
    <row r="1604" spans="1:10" ht="15" customHeight="1" x14ac:dyDescent="0.25">
      <c r="A1604" s="380">
        <v>42505003</v>
      </c>
      <c r="B1604" s="381" t="s">
        <v>321</v>
      </c>
      <c r="C1604" s="381" t="s">
        <v>1316</v>
      </c>
      <c r="D1604" s="381" t="s">
        <v>1226</v>
      </c>
      <c r="E1604" s="381" t="s">
        <v>1227</v>
      </c>
      <c r="F1604" s="378">
        <v>-50</v>
      </c>
      <c r="G1604" s="378">
        <v>0</v>
      </c>
      <c r="H1604" s="378">
        <v>0</v>
      </c>
      <c r="I1604" s="378">
        <v>-50</v>
      </c>
      <c r="J1604">
        <f t="shared" si="26"/>
        <v>8</v>
      </c>
    </row>
    <row r="1605" spans="1:10" ht="15" customHeight="1" x14ac:dyDescent="0.25">
      <c r="A1605" s="380">
        <v>42505003</v>
      </c>
      <c r="B1605" s="381" t="s">
        <v>321</v>
      </c>
      <c r="C1605" s="381" t="s">
        <v>1316</v>
      </c>
      <c r="D1605" s="381" t="s">
        <v>1202</v>
      </c>
      <c r="E1605" s="381" t="s">
        <v>1203</v>
      </c>
      <c r="F1605" s="378">
        <v>-100</v>
      </c>
      <c r="G1605" s="378">
        <v>0</v>
      </c>
      <c r="H1605" s="378">
        <v>100</v>
      </c>
      <c r="I1605" s="378">
        <v>-200</v>
      </c>
      <c r="J1605">
        <f t="shared" si="26"/>
        <v>8</v>
      </c>
    </row>
    <row r="1606" spans="1:10" ht="15" customHeight="1" x14ac:dyDescent="0.25">
      <c r="A1606" s="380">
        <v>42505003</v>
      </c>
      <c r="B1606" s="381" t="s">
        <v>321</v>
      </c>
      <c r="C1606" s="381" t="s">
        <v>1316</v>
      </c>
      <c r="D1606" s="381" t="s">
        <v>1228</v>
      </c>
      <c r="E1606" s="381" t="s">
        <v>1229</v>
      </c>
      <c r="F1606" s="378">
        <v>-100</v>
      </c>
      <c r="G1606" s="378">
        <v>0</v>
      </c>
      <c r="H1606" s="378">
        <v>50</v>
      </c>
      <c r="I1606" s="378">
        <v>-150</v>
      </c>
      <c r="J1606">
        <f t="shared" si="26"/>
        <v>8</v>
      </c>
    </row>
    <row r="1607" spans="1:10" ht="15" customHeight="1" x14ac:dyDescent="0.25">
      <c r="A1607" s="380">
        <v>42505003</v>
      </c>
      <c r="B1607" s="381" t="s">
        <v>321</v>
      </c>
      <c r="C1607" s="381" t="s">
        <v>1316</v>
      </c>
      <c r="D1607" s="381" t="s">
        <v>1086</v>
      </c>
      <c r="E1607" s="381" t="s">
        <v>1087</v>
      </c>
      <c r="F1607" s="378">
        <v>-500</v>
      </c>
      <c r="G1607" s="378">
        <v>0</v>
      </c>
      <c r="H1607" s="378">
        <v>100</v>
      </c>
      <c r="I1607" s="378">
        <v>-600</v>
      </c>
      <c r="J1607">
        <f t="shared" si="26"/>
        <v>8</v>
      </c>
    </row>
    <row r="1608" spans="1:10" ht="15" customHeight="1" x14ac:dyDescent="0.25">
      <c r="A1608" s="380">
        <v>42505003</v>
      </c>
      <c r="B1608" s="381" t="s">
        <v>321</v>
      </c>
      <c r="C1608" s="381" t="s">
        <v>1316</v>
      </c>
      <c r="D1608" s="381" t="s">
        <v>404</v>
      </c>
      <c r="E1608" s="381" t="s">
        <v>1230</v>
      </c>
      <c r="F1608" s="378">
        <v>-200</v>
      </c>
      <c r="G1608" s="378">
        <v>0</v>
      </c>
      <c r="H1608" s="378">
        <v>100</v>
      </c>
      <c r="I1608" s="378">
        <v>-300</v>
      </c>
      <c r="J1608">
        <f t="shared" si="26"/>
        <v>8</v>
      </c>
    </row>
    <row r="1609" spans="1:10" ht="15" customHeight="1" x14ac:dyDescent="0.25">
      <c r="A1609" s="380">
        <v>42505003</v>
      </c>
      <c r="B1609" s="381" t="s">
        <v>321</v>
      </c>
      <c r="C1609" s="381" t="s">
        <v>1316</v>
      </c>
      <c r="D1609" s="381" t="s">
        <v>1204</v>
      </c>
      <c r="E1609" s="381" t="s">
        <v>1205</v>
      </c>
      <c r="F1609" s="378">
        <v>-150</v>
      </c>
      <c r="G1609" s="378">
        <v>0</v>
      </c>
      <c r="H1609" s="378">
        <v>100</v>
      </c>
      <c r="I1609" s="378">
        <v>-250</v>
      </c>
      <c r="J1609">
        <f t="shared" si="26"/>
        <v>8</v>
      </c>
    </row>
    <row r="1610" spans="1:10" ht="15" customHeight="1" x14ac:dyDescent="0.25">
      <c r="A1610" s="380">
        <v>42505003</v>
      </c>
      <c r="B1610" s="381" t="s">
        <v>321</v>
      </c>
      <c r="C1610" s="381" t="s">
        <v>1316</v>
      </c>
      <c r="D1610" s="381" t="s">
        <v>1231</v>
      </c>
      <c r="E1610" s="381" t="s">
        <v>1232</v>
      </c>
      <c r="F1610" s="378">
        <v>-100</v>
      </c>
      <c r="G1610" s="378">
        <v>0</v>
      </c>
      <c r="H1610" s="378">
        <v>0</v>
      </c>
      <c r="I1610" s="378">
        <v>-100</v>
      </c>
      <c r="J1610">
        <f t="shared" si="26"/>
        <v>8</v>
      </c>
    </row>
    <row r="1611" spans="1:10" ht="15" customHeight="1" x14ac:dyDescent="0.25">
      <c r="A1611" s="380">
        <v>42505003</v>
      </c>
      <c r="B1611" s="381" t="s">
        <v>321</v>
      </c>
      <c r="C1611" s="381" t="s">
        <v>1316</v>
      </c>
      <c r="D1611" s="381" t="s">
        <v>788</v>
      </c>
      <c r="E1611" s="381" t="s">
        <v>789</v>
      </c>
      <c r="F1611" s="378">
        <v>-500</v>
      </c>
      <c r="G1611" s="378">
        <v>0</v>
      </c>
      <c r="H1611" s="378">
        <v>100</v>
      </c>
      <c r="I1611" s="378">
        <v>-600</v>
      </c>
      <c r="J1611">
        <f t="shared" si="26"/>
        <v>8</v>
      </c>
    </row>
    <row r="1612" spans="1:10" ht="15" customHeight="1" x14ac:dyDescent="0.25">
      <c r="A1612" s="380">
        <v>42505003</v>
      </c>
      <c r="B1612" s="381" t="s">
        <v>321</v>
      </c>
      <c r="C1612" s="381" t="s">
        <v>1316</v>
      </c>
      <c r="D1612" s="381" t="s">
        <v>1206</v>
      </c>
      <c r="E1612" s="381" t="s">
        <v>1207</v>
      </c>
      <c r="F1612" s="378">
        <v>-400</v>
      </c>
      <c r="G1612" s="378">
        <v>0</v>
      </c>
      <c r="H1612" s="378">
        <v>100</v>
      </c>
      <c r="I1612" s="378">
        <v>-500</v>
      </c>
      <c r="J1612">
        <f t="shared" si="26"/>
        <v>8</v>
      </c>
    </row>
    <row r="1613" spans="1:10" ht="15" customHeight="1" x14ac:dyDescent="0.25">
      <c r="A1613" s="380">
        <v>42505003</v>
      </c>
      <c r="B1613" s="381" t="s">
        <v>321</v>
      </c>
      <c r="C1613" s="381" t="s">
        <v>1316</v>
      </c>
      <c r="D1613" s="381" t="s">
        <v>1088</v>
      </c>
      <c r="E1613" s="381" t="s">
        <v>1089</v>
      </c>
      <c r="F1613" s="378">
        <v>-300</v>
      </c>
      <c r="G1613" s="378">
        <v>0</v>
      </c>
      <c r="H1613" s="378">
        <v>0</v>
      </c>
      <c r="I1613" s="378">
        <v>-300</v>
      </c>
      <c r="J1613">
        <f t="shared" ref="J1613:J1633" si="27">+LEN(A1613)</f>
        <v>8</v>
      </c>
    </row>
    <row r="1614" spans="1:10" ht="15" customHeight="1" x14ac:dyDescent="0.25">
      <c r="A1614" s="380">
        <v>42505003</v>
      </c>
      <c r="B1614" s="381" t="s">
        <v>321</v>
      </c>
      <c r="C1614" s="381" t="s">
        <v>1316</v>
      </c>
      <c r="D1614" s="381" t="s">
        <v>776</v>
      </c>
      <c r="E1614" s="381" t="s">
        <v>777</v>
      </c>
      <c r="F1614" s="378">
        <v>-500</v>
      </c>
      <c r="G1614" s="378">
        <v>0</v>
      </c>
      <c r="H1614" s="378">
        <v>100</v>
      </c>
      <c r="I1614" s="378">
        <v>-600</v>
      </c>
      <c r="J1614">
        <f t="shared" si="27"/>
        <v>8</v>
      </c>
    </row>
    <row r="1615" spans="1:10" ht="15" customHeight="1" x14ac:dyDescent="0.25">
      <c r="A1615" s="380">
        <v>42505003</v>
      </c>
      <c r="B1615" s="381" t="s">
        <v>321</v>
      </c>
      <c r="C1615" s="381" t="s">
        <v>1316</v>
      </c>
      <c r="D1615" s="381" t="s">
        <v>790</v>
      </c>
      <c r="E1615" s="381" t="s">
        <v>791</v>
      </c>
      <c r="F1615" s="378">
        <v>-500</v>
      </c>
      <c r="G1615" s="378">
        <v>0</v>
      </c>
      <c r="H1615" s="378">
        <v>100</v>
      </c>
      <c r="I1615" s="378">
        <v>-600</v>
      </c>
      <c r="J1615">
        <f t="shared" si="27"/>
        <v>8</v>
      </c>
    </row>
    <row r="1616" spans="1:10" ht="15" customHeight="1" x14ac:dyDescent="0.25">
      <c r="A1616" s="380">
        <v>42505003</v>
      </c>
      <c r="B1616" s="381" t="s">
        <v>321</v>
      </c>
      <c r="C1616" s="381" t="s">
        <v>1316</v>
      </c>
      <c r="D1616" s="381" t="s">
        <v>1233</v>
      </c>
      <c r="E1616" s="381" t="s">
        <v>1234</v>
      </c>
      <c r="F1616" s="378">
        <v>-450</v>
      </c>
      <c r="G1616" s="378">
        <v>0</v>
      </c>
      <c r="H1616" s="378">
        <v>0</v>
      </c>
      <c r="I1616" s="378">
        <v>-450</v>
      </c>
      <c r="J1616">
        <f t="shared" si="27"/>
        <v>8</v>
      </c>
    </row>
    <row r="1617" spans="1:10" ht="15" customHeight="1" x14ac:dyDescent="0.25">
      <c r="A1617" s="380">
        <v>42505003</v>
      </c>
      <c r="B1617" s="381" t="s">
        <v>321</v>
      </c>
      <c r="C1617" s="381" t="s">
        <v>1316</v>
      </c>
      <c r="D1617" s="381" t="s">
        <v>1235</v>
      </c>
      <c r="E1617" s="381" t="s">
        <v>1236</v>
      </c>
      <c r="F1617" s="378">
        <v>-50</v>
      </c>
      <c r="G1617" s="378">
        <v>0</v>
      </c>
      <c r="H1617" s="378">
        <v>0</v>
      </c>
      <c r="I1617" s="378">
        <v>-50</v>
      </c>
      <c r="J1617">
        <f t="shared" si="27"/>
        <v>8</v>
      </c>
    </row>
    <row r="1618" spans="1:10" ht="15" customHeight="1" x14ac:dyDescent="0.25">
      <c r="A1618" s="380">
        <v>42505003</v>
      </c>
      <c r="B1618" s="381" t="s">
        <v>321</v>
      </c>
      <c r="C1618" s="381" t="s">
        <v>1316</v>
      </c>
      <c r="D1618" s="381" t="s">
        <v>1208</v>
      </c>
      <c r="E1618" s="381" t="s">
        <v>1209</v>
      </c>
      <c r="F1618" s="378">
        <v>-500</v>
      </c>
      <c r="G1618" s="378">
        <v>0</v>
      </c>
      <c r="H1618" s="378">
        <v>100</v>
      </c>
      <c r="I1618" s="378">
        <v>-600</v>
      </c>
      <c r="J1618">
        <f t="shared" si="27"/>
        <v>8</v>
      </c>
    </row>
    <row r="1619" spans="1:10" ht="15" customHeight="1" x14ac:dyDescent="0.25">
      <c r="A1619" s="380">
        <v>42505003</v>
      </c>
      <c r="B1619" s="381" t="s">
        <v>321</v>
      </c>
      <c r="C1619" s="381" t="s">
        <v>1316</v>
      </c>
      <c r="D1619" s="381" t="s">
        <v>1237</v>
      </c>
      <c r="E1619" s="381" t="s">
        <v>1238</v>
      </c>
      <c r="F1619" s="378">
        <v>-150</v>
      </c>
      <c r="G1619" s="378">
        <v>0</v>
      </c>
      <c r="H1619" s="378">
        <v>100</v>
      </c>
      <c r="I1619" s="378">
        <v>-250</v>
      </c>
      <c r="J1619">
        <f t="shared" si="27"/>
        <v>8</v>
      </c>
    </row>
    <row r="1620" spans="1:10" ht="15" customHeight="1" x14ac:dyDescent="0.25">
      <c r="A1620" s="380">
        <v>42505003</v>
      </c>
      <c r="B1620" s="381" t="s">
        <v>321</v>
      </c>
      <c r="C1620" s="381" t="s">
        <v>1316</v>
      </c>
      <c r="D1620" s="381" t="s">
        <v>1239</v>
      </c>
      <c r="E1620" s="381" t="s">
        <v>1240</v>
      </c>
      <c r="F1620" s="378">
        <v>-500</v>
      </c>
      <c r="G1620" s="378">
        <v>0</v>
      </c>
      <c r="H1620" s="378">
        <v>0</v>
      </c>
      <c r="I1620" s="378">
        <v>-500</v>
      </c>
      <c r="J1620">
        <f t="shared" si="27"/>
        <v>8</v>
      </c>
    </row>
    <row r="1621" spans="1:10" ht="15" customHeight="1" x14ac:dyDescent="0.25">
      <c r="A1621" s="380">
        <v>42505003</v>
      </c>
      <c r="B1621" s="381" t="s">
        <v>321</v>
      </c>
      <c r="C1621" s="381" t="s">
        <v>1316</v>
      </c>
      <c r="D1621" s="381" t="s">
        <v>1210</v>
      </c>
      <c r="E1621" s="381" t="s">
        <v>1211</v>
      </c>
      <c r="F1621" s="378">
        <v>-500</v>
      </c>
      <c r="G1621" s="378">
        <v>0</v>
      </c>
      <c r="H1621" s="378">
        <v>100</v>
      </c>
      <c r="I1621" s="378">
        <v>-600</v>
      </c>
      <c r="J1621">
        <f t="shared" si="27"/>
        <v>8</v>
      </c>
    </row>
    <row r="1622" spans="1:10" ht="15" customHeight="1" x14ac:dyDescent="0.25">
      <c r="A1622" s="380">
        <v>42505003</v>
      </c>
      <c r="B1622" s="381" t="s">
        <v>321</v>
      </c>
      <c r="C1622" s="381" t="s">
        <v>1316</v>
      </c>
      <c r="D1622" s="381" t="s">
        <v>1090</v>
      </c>
      <c r="E1622" s="381" t="s">
        <v>1091</v>
      </c>
      <c r="F1622" s="378">
        <v>-300</v>
      </c>
      <c r="G1622" s="378">
        <v>0</v>
      </c>
      <c r="H1622" s="378">
        <v>100</v>
      </c>
      <c r="I1622" s="378">
        <v>-400</v>
      </c>
      <c r="J1622">
        <f t="shared" si="27"/>
        <v>8</v>
      </c>
    </row>
    <row r="1623" spans="1:10" ht="15" customHeight="1" x14ac:dyDescent="0.25">
      <c r="A1623" s="380">
        <v>42505003</v>
      </c>
      <c r="B1623" s="381" t="s">
        <v>321</v>
      </c>
      <c r="C1623" s="381" t="s">
        <v>1316</v>
      </c>
      <c r="D1623" s="381" t="s">
        <v>1241</v>
      </c>
      <c r="E1623" s="381" t="s">
        <v>1242</v>
      </c>
      <c r="F1623" s="378">
        <v>-200</v>
      </c>
      <c r="G1623" s="378">
        <v>0</v>
      </c>
      <c r="H1623" s="378">
        <v>100</v>
      </c>
      <c r="I1623" s="378">
        <v>-300</v>
      </c>
      <c r="J1623">
        <f t="shared" si="27"/>
        <v>8</v>
      </c>
    </row>
    <row r="1624" spans="1:10" ht="15" customHeight="1" x14ac:dyDescent="0.25">
      <c r="A1624" s="380">
        <v>42505003</v>
      </c>
      <c r="B1624" s="381" t="s">
        <v>321</v>
      </c>
      <c r="C1624" s="381" t="s">
        <v>1316</v>
      </c>
      <c r="D1624" s="381" t="s">
        <v>792</v>
      </c>
      <c r="E1624" s="381" t="s">
        <v>793</v>
      </c>
      <c r="F1624" s="378">
        <v>-500</v>
      </c>
      <c r="G1624" s="378">
        <v>0</v>
      </c>
      <c r="H1624" s="378">
        <v>100</v>
      </c>
      <c r="I1624" s="378">
        <v>-600</v>
      </c>
      <c r="J1624">
        <f t="shared" si="27"/>
        <v>8</v>
      </c>
    </row>
    <row r="1625" spans="1:10" ht="15" customHeight="1" x14ac:dyDescent="0.25">
      <c r="A1625" s="380">
        <v>42505003</v>
      </c>
      <c r="B1625" s="381" t="s">
        <v>321</v>
      </c>
      <c r="C1625" s="381" t="s">
        <v>1316</v>
      </c>
      <c r="D1625" s="381" t="s">
        <v>794</v>
      </c>
      <c r="E1625" s="381" t="s">
        <v>795</v>
      </c>
      <c r="F1625" s="378">
        <v>-500</v>
      </c>
      <c r="G1625" s="378">
        <v>0</v>
      </c>
      <c r="H1625" s="378">
        <v>100</v>
      </c>
      <c r="I1625" s="378">
        <v>-600</v>
      </c>
      <c r="J1625">
        <f t="shared" si="27"/>
        <v>8</v>
      </c>
    </row>
    <row r="1626" spans="1:10" ht="15" customHeight="1" x14ac:dyDescent="0.25">
      <c r="A1626" s="380">
        <v>42505003</v>
      </c>
      <c r="B1626" s="381" t="s">
        <v>321</v>
      </c>
      <c r="C1626" s="381" t="s">
        <v>1316</v>
      </c>
      <c r="D1626" s="381" t="s">
        <v>1212</v>
      </c>
      <c r="E1626" s="381" t="s">
        <v>1213</v>
      </c>
      <c r="F1626" s="378">
        <v>0</v>
      </c>
      <c r="G1626" s="378">
        <v>0</v>
      </c>
      <c r="H1626" s="378">
        <v>100</v>
      </c>
      <c r="I1626" s="378">
        <v>-100</v>
      </c>
      <c r="J1626">
        <f t="shared" si="27"/>
        <v>8</v>
      </c>
    </row>
    <row r="1627" spans="1:10" ht="15" customHeight="1" x14ac:dyDescent="0.25">
      <c r="A1627" s="380">
        <v>42505003</v>
      </c>
      <c r="B1627" s="381" t="s">
        <v>321</v>
      </c>
      <c r="C1627" s="381" t="s">
        <v>1316</v>
      </c>
      <c r="D1627" s="381" t="s">
        <v>1092</v>
      </c>
      <c r="E1627" s="381" t="s">
        <v>1093</v>
      </c>
      <c r="F1627" s="378">
        <v>-500</v>
      </c>
      <c r="G1627" s="378">
        <v>0</v>
      </c>
      <c r="H1627" s="378">
        <v>50</v>
      </c>
      <c r="I1627" s="378">
        <v>-550</v>
      </c>
      <c r="J1627">
        <f t="shared" si="27"/>
        <v>8</v>
      </c>
    </row>
    <row r="1628" spans="1:10" ht="15" customHeight="1" x14ac:dyDescent="0.25">
      <c r="A1628" s="380">
        <v>42505003</v>
      </c>
      <c r="B1628" s="381" t="s">
        <v>321</v>
      </c>
      <c r="C1628" s="381" t="s">
        <v>1316</v>
      </c>
      <c r="D1628" s="381" t="s">
        <v>1243</v>
      </c>
      <c r="E1628" s="381" t="s">
        <v>1244</v>
      </c>
      <c r="F1628" s="378">
        <v>-350</v>
      </c>
      <c r="G1628" s="378">
        <v>0</v>
      </c>
      <c r="H1628" s="378">
        <v>0</v>
      </c>
      <c r="I1628" s="378">
        <v>-350</v>
      </c>
      <c r="J1628">
        <f t="shared" si="27"/>
        <v>8</v>
      </c>
    </row>
    <row r="1629" spans="1:10" ht="15" customHeight="1" x14ac:dyDescent="0.25">
      <c r="A1629" s="380">
        <v>42505003</v>
      </c>
      <c r="B1629" s="381" t="s">
        <v>321</v>
      </c>
      <c r="C1629" s="381" t="s">
        <v>1316</v>
      </c>
      <c r="D1629" s="381" t="s">
        <v>1214</v>
      </c>
      <c r="E1629" s="381" t="s">
        <v>1489</v>
      </c>
      <c r="F1629" s="378">
        <v>-500</v>
      </c>
      <c r="G1629" s="378">
        <v>0</v>
      </c>
      <c r="H1629" s="378">
        <v>100</v>
      </c>
      <c r="I1629" s="378">
        <v>-600</v>
      </c>
      <c r="J1629">
        <f t="shared" si="27"/>
        <v>8</v>
      </c>
    </row>
    <row r="1630" spans="1:10" ht="15" customHeight="1" x14ac:dyDescent="0.25">
      <c r="A1630" s="380">
        <v>42505003</v>
      </c>
      <c r="B1630" s="381" t="s">
        <v>321</v>
      </c>
      <c r="C1630" s="381" t="s">
        <v>1316</v>
      </c>
      <c r="D1630" s="381" t="s">
        <v>1094</v>
      </c>
      <c r="E1630" s="381" t="s">
        <v>1095</v>
      </c>
      <c r="F1630" s="378">
        <v>-500</v>
      </c>
      <c r="G1630" s="378">
        <v>0</v>
      </c>
      <c r="H1630" s="378">
        <v>100</v>
      </c>
      <c r="I1630" s="378">
        <v>-600</v>
      </c>
      <c r="J1630">
        <f t="shared" si="27"/>
        <v>8</v>
      </c>
    </row>
    <row r="1631" spans="1:10" ht="15" customHeight="1" x14ac:dyDescent="0.25">
      <c r="A1631" s="380">
        <v>4255</v>
      </c>
      <c r="B1631" s="381" t="s">
        <v>321</v>
      </c>
      <c r="C1631" s="381" t="s">
        <v>168</v>
      </c>
      <c r="D1631" s="381" t="s">
        <v>315</v>
      </c>
      <c r="E1631" s="381" t="s">
        <v>315</v>
      </c>
      <c r="F1631" s="378">
        <v>-1051249</v>
      </c>
      <c r="G1631" s="378">
        <v>0</v>
      </c>
      <c r="H1631" s="378">
        <v>0</v>
      </c>
      <c r="I1631" s="378">
        <v>-1051249</v>
      </c>
      <c r="J1631">
        <f t="shared" si="27"/>
        <v>4</v>
      </c>
    </row>
    <row r="1632" spans="1:10" ht="15" customHeight="1" x14ac:dyDescent="0.25">
      <c r="A1632" s="380">
        <v>425540</v>
      </c>
      <c r="B1632" s="381" t="s">
        <v>315</v>
      </c>
      <c r="C1632" s="381" t="s">
        <v>479</v>
      </c>
      <c r="D1632" s="381" t="s">
        <v>315</v>
      </c>
      <c r="E1632" s="381" t="s">
        <v>315</v>
      </c>
      <c r="F1632" s="378">
        <v>-1051249</v>
      </c>
      <c r="G1632" s="378">
        <v>0</v>
      </c>
      <c r="H1632" s="378">
        <v>0</v>
      </c>
      <c r="I1632" s="378">
        <v>-1051249</v>
      </c>
      <c r="J1632">
        <f t="shared" si="27"/>
        <v>6</v>
      </c>
    </row>
    <row r="1633" spans="1:10" ht="15" customHeight="1" x14ac:dyDescent="0.25">
      <c r="A1633" s="380">
        <v>42554001</v>
      </c>
      <c r="B1633" s="381" t="s">
        <v>315</v>
      </c>
      <c r="C1633" s="381" t="s">
        <v>479</v>
      </c>
      <c r="D1633" s="381" t="s">
        <v>315</v>
      </c>
      <c r="E1633" s="381" t="s">
        <v>315</v>
      </c>
      <c r="F1633" s="378">
        <v>-1051249</v>
      </c>
      <c r="G1633" s="378">
        <v>0</v>
      </c>
      <c r="H1633" s="378">
        <v>0</v>
      </c>
      <c r="I1633" s="378">
        <v>-1051249</v>
      </c>
      <c r="J1633">
        <f t="shared" si="27"/>
        <v>8</v>
      </c>
    </row>
    <row r="1634" spans="1:10" ht="15" customHeight="1" x14ac:dyDescent="0.25">
      <c r="A1634" s="380">
        <v>42554001</v>
      </c>
      <c r="B1634" s="381" t="s">
        <v>315</v>
      </c>
      <c r="C1634" s="381" t="s">
        <v>479</v>
      </c>
      <c r="D1634" s="381" t="s">
        <v>1200</v>
      </c>
      <c r="E1634" s="381" t="s">
        <v>1201</v>
      </c>
      <c r="F1634" s="378">
        <v>-616850</v>
      </c>
      <c r="G1634" s="378">
        <v>0</v>
      </c>
      <c r="H1634" s="378">
        <v>0</v>
      </c>
      <c r="I1634" s="378">
        <v>-616850</v>
      </c>
      <c r="J1634">
        <f t="shared" ref="J1634:J1645" si="28">+LEN(A1634)</f>
        <v>8</v>
      </c>
    </row>
    <row r="1635" spans="1:10" ht="15" customHeight="1" x14ac:dyDescent="0.25">
      <c r="A1635" s="380">
        <v>42554001</v>
      </c>
      <c r="B1635" s="381" t="s">
        <v>315</v>
      </c>
      <c r="C1635" s="381" t="s">
        <v>479</v>
      </c>
      <c r="D1635" s="381" t="s">
        <v>452</v>
      </c>
      <c r="E1635" s="381" t="s">
        <v>453</v>
      </c>
      <c r="F1635" s="378">
        <v>-217732</v>
      </c>
      <c r="G1635" s="378">
        <v>0</v>
      </c>
      <c r="H1635" s="378">
        <v>0</v>
      </c>
      <c r="I1635" s="378">
        <v>-217732</v>
      </c>
      <c r="J1635">
        <f t="shared" si="28"/>
        <v>8</v>
      </c>
    </row>
    <row r="1636" spans="1:10" ht="15" customHeight="1" x14ac:dyDescent="0.25">
      <c r="A1636" s="380">
        <v>42554001</v>
      </c>
      <c r="B1636" s="381" t="s">
        <v>315</v>
      </c>
      <c r="C1636" s="381" t="s">
        <v>479</v>
      </c>
      <c r="D1636" s="381" t="s">
        <v>1092</v>
      </c>
      <c r="E1636" s="381" t="s">
        <v>1093</v>
      </c>
      <c r="F1636" s="378">
        <v>-216667</v>
      </c>
      <c r="G1636" s="378">
        <v>0</v>
      </c>
      <c r="H1636" s="378">
        <v>0</v>
      </c>
      <c r="I1636" s="378">
        <v>-216667</v>
      </c>
      <c r="J1636">
        <f t="shared" si="28"/>
        <v>8</v>
      </c>
    </row>
    <row r="1637" spans="1:10" ht="15" customHeight="1" x14ac:dyDescent="0.25">
      <c r="A1637" s="380">
        <v>4295</v>
      </c>
      <c r="B1637" s="381" t="s">
        <v>315</v>
      </c>
      <c r="C1637" s="381" t="s">
        <v>172</v>
      </c>
      <c r="D1637" s="381" t="s">
        <v>315</v>
      </c>
      <c r="E1637" s="381" t="s">
        <v>315</v>
      </c>
      <c r="F1637" s="378">
        <v>-4207550.25</v>
      </c>
      <c r="G1637" s="378">
        <v>0</v>
      </c>
      <c r="H1637" s="378">
        <v>519215</v>
      </c>
      <c r="I1637" s="378">
        <v>-4726765.25</v>
      </c>
      <c r="J1637">
        <f t="shared" si="28"/>
        <v>4</v>
      </c>
    </row>
    <row r="1638" spans="1:10" ht="15" customHeight="1" x14ac:dyDescent="0.25">
      <c r="A1638" s="380">
        <v>429505</v>
      </c>
      <c r="B1638" s="381" t="s">
        <v>315</v>
      </c>
      <c r="C1638" s="381" t="s">
        <v>477</v>
      </c>
      <c r="D1638" s="381" t="s">
        <v>315</v>
      </c>
      <c r="E1638" s="381" t="s">
        <v>315</v>
      </c>
      <c r="F1638" s="378">
        <v>-343928</v>
      </c>
      <c r="G1638" s="378">
        <v>0</v>
      </c>
      <c r="H1638" s="378">
        <v>53411</v>
      </c>
      <c r="I1638" s="378">
        <v>-397339</v>
      </c>
      <c r="J1638">
        <f t="shared" si="28"/>
        <v>6</v>
      </c>
    </row>
    <row r="1639" spans="1:10" ht="15" customHeight="1" x14ac:dyDescent="0.25">
      <c r="A1639" s="380">
        <v>42950501</v>
      </c>
      <c r="B1639" s="381" t="s">
        <v>315</v>
      </c>
      <c r="C1639" s="381" t="s">
        <v>477</v>
      </c>
      <c r="D1639" s="381" t="s">
        <v>315</v>
      </c>
      <c r="E1639" s="381" t="s">
        <v>315</v>
      </c>
      <c r="F1639" s="378">
        <v>-343928</v>
      </c>
      <c r="G1639" s="378">
        <v>0</v>
      </c>
      <c r="H1639" s="378">
        <v>53411</v>
      </c>
      <c r="I1639" s="378">
        <v>-397339</v>
      </c>
      <c r="J1639">
        <f t="shared" si="28"/>
        <v>8</v>
      </c>
    </row>
    <row r="1640" spans="1:10" ht="15" customHeight="1" x14ac:dyDescent="0.25">
      <c r="A1640" s="380">
        <v>42950501</v>
      </c>
      <c r="B1640" s="381" t="s">
        <v>315</v>
      </c>
      <c r="C1640" s="381" t="s">
        <v>477</v>
      </c>
      <c r="D1640" s="381" t="s">
        <v>1246</v>
      </c>
      <c r="E1640" s="381" t="s">
        <v>1247</v>
      </c>
      <c r="F1640" s="378">
        <v>-1138</v>
      </c>
      <c r="G1640" s="378">
        <v>0</v>
      </c>
      <c r="H1640" s="378">
        <v>0</v>
      </c>
      <c r="I1640" s="378">
        <v>-1138</v>
      </c>
      <c r="J1640">
        <f t="shared" si="28"/>
        <v>8</v>
      </c>
    </row>
    <row r="1641" spans="1:10" ht="15" customHeight="1" x14ac:dyDescent="0.25">
      <c r="A1641" s="380">
        <v>42950501</v>
      </c>
      <c r="B1641" s="381" t="s">
        <v>315</v>
      </c>
      <c r="C1641" s="381" t="s">
        <v>477</v>
      </c>
      <c r="D1641" s="381" t="s">
        <v>955</v>
      </c>
      <c r="E1641" s="381" t="s">
        <v>956</v>
      </c>
      <c r="F1641" s="378">
        <v>-2</v>
      </c>
      <c r="G1641" s="378">
        <v>0</v>
      </c>
      <c r="H1641" s="378">
        <v>0</v>
      </c>
      <c r="I1641" s="378">
        <v>-2</v>
      </c>
      <c r="J1641">
        <f t="shared" si="28"/>
        <v>8</v>
      </c>
    </row>
    <row r="1642" spans="1:10" ht="15" customHeight="1" x14ac:dyDescent="0.25">
      <c r="A1642" s="380">
        <v>42950501</v>
      </c>
      <c r="B1642" s="381" t="s">
        <v>315</v>
      </c>
      <c r="C1642" s="381" t="s">
        <v>477</v>
      </c>
      <c r="D1642" s="381" t="s">
        <v>1221</v>
      </c>
      <c r="E1642" s="381" t="s">
        <v>1494</v>
      </c>
      <c r="F1642" s="378">
        <v>0</v>
      </c>
      <c r="G1642" s="378">
        <v>0</v>
      </c>
      <c r="H1642" s="378">
        <v>15984</v>
      </c>
      <c r="I1642" s="378">
        <v>-15984</v>
      </c>
      <c r="J1642">
        <f t="shared" si="28"/>
        <v>8</v>
      </c>
    </row>
    <row r="1643" spans="1:10" ht="15" customHeight="1" x14ac:dyDescent="0.25">
      <c r="A1643" s="380">
        <v>42950501</v>
      </c>
      <c r="B1643" s="381" t="s">
        <v>315</v>
      </c>
      <c r="C1643" s="381" t="s">
        <v>477</v>
      </c>
      <c r="D1643" s="381" t="s">
        <v>1200</v>
      </c>
      <c r="E1643" s="381" t="s">
        <v>1201</v>
      </c>
      <c r="F1643" s="378">
        <v>0</v>
      </c>
      <c r="G1643" s="378">
        <v>0</v>
      </c>
      <c r="H1643" s="378">
        <v>365</v>
      </c>
      <c r="I1643" s="378">
        <v>-365</v>
      </c>
      <c r="J1643">
        <f t="shared" si="28"/>
        <v>8</v>
      </c>
    </row>
    <row r="1644" spans="1:10" ht="15" customHeight="1" x14ac:dyDescent="0.25">
      <c r="A1644" s="380">
        <v>42950501</v>
      </c>
      <c r="B1644" s="381" t="s">
        <v>315</v>
      </c>
      <c r="C1644" s="381" t="s">
        <v>477</v>
      </c>
      <c r="D1644" s="381" t="s">
        <v>717</v>
      </c>
      <c r="E1644" s="381" t="s">
        <v>718</v>
      </c>
      <c r="F1644" s="378">
        <v>0</v>
      </c>
      <c r="G1644" s="378">
        <v>0</v>
      </c>
      <c r="H1644" s="378">
        <v>10147</v>
      </c>
      <c r="I1644" s="378">
        <v>-10147</v>
      </c>
      <c r="J1644">
        <f t="shared" si="28"/>
        <v>8</v>
      </c>
    </row>
    <row r="1645" spans="1:10" ht="15" customHeight="1" x14ac:dyDescent="0.25">
      <c r="A1645" s="380">
        <v>42950501</v>
      </c>
      <c r="B1645" s="381" t="s">
        <v>315</v>
      </c>
      <c r="C1645" s="381" t="s">
        <v>477</v>
      </c>
      <c r="D1645" s="381" t="s">
        <v>1233</v>
      </c>
      <c r="E1645" s="381" t="s">
        <v>1234</v>
      </c>
      <c r="F1645" s="378">
        <v>0</v>
      </c>
      <c r="G1645" s="378">
        <v>0</v>
      </c>
      <c r="H1645" s="378">
        <v>3815</v>
      </c>
      <c r="I1645" s="378">
        <v>-3815</v>
      </c>
      <c r="J1645">
        <f t="shared" si="28"/>
        <v>8</v>
      </c>
    </row>
    <row r="1646" spans="1:10" ht="15" customHeight="1" x14ac:dyDescent="0.25">
      <c r="A1646" s="380">
        <v>42950501</v>
      </c>
      <c r="B1646" s="381" t="s">
        <v>315</v>
      </c>
      <c r="C1646" s="381" t="s">
        <v>477</v>
      </c>
      <c r="D1646" s="381" t="s">
        <v>638</v>
      </c>
      <c r="E1646" s="381" t="s">
        <v>1317</v>
      </c>
      <c r="F1646" s="378">
        <v>-342788</v>
      </c>
      <c r="G1646" s="378">
        <v>0</v>
      </c>
      <c r="H1646" s="378">
        <v>23100</v>
      </c>
      <c r="I1646" s="378">
        <v>-365888</v>
      </c>
      <c r="J1646">
        <f t="shared" ref="J1646:J1677" si="29">+LEN(A1646)</f>
        <v>8</v>
      </c>
    </row>
    <row r="1647" spans="1:10" ht="15" customHeight="1" x14ac:dyDescent="0.25">
      <c r="A1647" s="380">
        <v>429516</v>
      </c>
      <c r="B1647" s="381" t="s">
        <v>321</v>
      </c>
      <c r="C1647" s="381" t="s">
        <v>1318</v>
      </c>
      <c r="D1647" s="381" t="s">
        <v>315</v>
      </c>
      <c r="E1647" s="381" t="s">
        <v>315</v>
      </c>
      <c r="F1647" s="378">
        <v>-3855707</v>
      </c>
      <c r="G1647" s="378">
        <v>0</v>
      </c>
      <c r="H1647" s="378">
        <v>462789</v>
      </c>
      <c r="I1647" s="378">
        <v>-4318496</v>
      </c>
      <c r="J1647">
        <f t="shared" si="29"/>
        <v>6</v>
      </c>
    </row>
    <row r="1648" spans="1:10" ht="15" customHeight="1" x14ac:dyDescent="0.25">
      <c r="A1648" s="380">
        <v>42951601</v>
      </c>
      <c r="B1648" s="381" t="s">
        <v>321</v>
      </c>
      <c r="C1648" s="381" t="s">
        <v>1318</v>
      </c>
      <c r="D1648" s="381" t="s">
        <v>315</v>
      </c>
      <c r="E1648" s="381" t="s">
        <v>315</v>
      </c>
      <c r="F1648" s="378">
        <v>-3855707</v>
      </c>
      <c r="G1648" s="378">
        <v>0</v>
      </c>
      <c r="H1648" s="378">
        <v>462789</v>
      </c>
      <c r="I1648" s="378">
        <v>-4318496</v>
      </c>
      <c r="J1648">
        <f t="shared" si="29"/>
        <v>8</v>
      </c>
    </row>
    <row r="1649" spans="1:10" ht="15" customHeight="1" x14ac:dyDescent="0.25">
      <c r="A1649" s="380">
        <v>42951601</v>
      </c>
      <c r="B1649" s="381" t="s">
        <v>321</v>
      </c>
      <c r="C1649" s="381" t="s">
        <v>1318</v>
      </c>
      <c r="D1649" s="381" t="s">
        <v>779</v>
      </c>
      <c r="E1649" s="381" t="s">
        <v>780</v>
      </c>
      <c r="F1649" s="378">
        <v>-126938</v>
      </c>
      <c r="G1649" s="378">
        <v>0</v>
      </c>
      <c r="H1649" s="378">
        <v>34379</v>
      </c>
      <c r="I1649" s="378">
        <v>-161317</v>
      </c>
      <c r="J1649">
        <f t="shared" si="29"/>
        <v>8</v>
      </c>
    </row>
    <row r="1650" spans="1:10" ht="15" customHeight="1" x14ac:dyDescent="0.25">
      <c r="A1650" s="380">
        <v>42951601</v>
      </c>
      <c r="B1650" s="381" t="s">
        <v>321</v>
      </c>
      <c r="C1650" s="381" t="s">
        <v>1318</v>
      </c>
      <c r="D1650" s="381" t="s">
        <v>781</v>
      </c>
      <c r="E1650" s="381" t="s">
        <v>782</v>
      </c>
      <c r="F1650" s="378">
        <v>-455621</v>
      </c>
      <c r="G1650" s="378">
        <v>0</v>
      </c>
      <c r="H1650" s="378">
        <v>66905</v>
      </c>
      <c r="I1650" s="378">
        <v>-522526</v>
      </c>
      <c r="J1650">
        <f t="shared" si="29"/>
        <v>8</v>
      </c>
    </row>
    <row r="1651" spans="1:10" ht="15" customHeight="1" x14ac:dyDescent="0.25">
      <c r="A1651" s="380">
        <v>42951601</v>
      </c>
      <c r="B1651" s="381" t="s">
        <v>321</v>
      </c>
      <c r="C1651" s="381" t="s">
        <v>1318</v>
      </c>
      <c r="D1651" s="381" t="s">
        <v>785</v>
      </c>
      <c r="E1651" s="381" t="s">
        <v>1469</v>
      </c>
      <c r="F1651" s="378">
        <v>-649987</v>
      </c>
      <c r="G1651" s="378">
        <v>0</v>
      </c>
      <c r="H1651" s="378">
        <v>72778</v>
      </c>
      <c r="I1651" s="378">
        <v>-722765</v>
      </c>
      <c r="J1651">
        <f t="shared" si="29"/>
        <v>8</v>
      </c>
    </row>
    <row r="1652" spans="1:10" ht="15" customHeight="1" x14ac:dyDescent="0.25">
      <c r="A1652" s="380">
        <v>42951601</v>
      </c>
      <c r="B1652" s="381" t="s">
        <v>321</v>
      </c>
      <c r="C1652" s="381" t="s">
        <v>1318</v>
      </c>
      <c r="D1652" s="381" t="s">
        <v>1200</v>
      </c>
      <c r="E1652" s="381" t="s">
        <v>1201</v>
      </c>
      <c r="F1652" s="378">
        <v>-300055</v>
      </c>
      <c r="G1652" s="378">
        <v>0</v>
      </c>
      <c r="H1652" s="378">
        <v>0</v>
      </c>
      <c r="I1652" s="378">
        <v>-300055</v>
      </c>
      <c r="J1652">
        <f t="shared" si="29"/>
        <v>8</v>
      </c>
    </row>
    <row r="1653" spans="1:10" ht="15" customHeight="1" x14ac:dyDescent="0.25">
      <c r="A1653" s="380">
        <v>42951601</v>
      </c>
      <c r="B1653" s="381" t="s">
        <v>321</v>
      </c>
      <c r="C1653" s="381" t="s">
        <v>1318</v>
      </c>
      <c r="D1653" s="381" t="s">
        <v>786</v>
      </c>
      <c r="E1653" s="381" t="s">
        <v>787</v>
      </c>
      <c r="F1653" s="378">
        <v>-336911</v>
      </c>
      <c r="G1653" s="378">
        <v>0</v>
      </c>
      <c r="H1653" s="378">
        <v>93770</v>
      </c>
      <c r="I1653" s="378">
        <v>-430681</v>
      </c>
      <c r="J1653">
        <f t="shared" si="29"/>
        <v>8</v>
      </c>
    </row>
    <row r="1654" spans="1:10" ht="15" customHeight="1" x14ac:dyDescent="0.25">
      <c r="A1654" s="380">
        <v>42951601</v>
      </c>
      <c r="B1654" s="381" t="s">
        <v>321</v>
      </c>
      <c r="C1654" s="381" t="s">
        <v>1318</v>
      </c>
      <c r="D1654" s="381" t="s">
        <v>788</v>
      </c>
      <c r="E1654" s="381" t="s">
        <v>789</v>
      </c>
      <c r="F1654" s="378">
        <v>-777359</v>
      </c>
      <c r="G1654" s="378">
        <v>0</v>
      </c>
      <c r="H1654" s="378">
        <v>28237</v>
      </c>
      <c r="I1654" s="378">
        <v>-805596</v>
      </c>
      <c r="J1654">
        <f t="shared" si="29"/>
        <v>8</v>
      </c>
    </row>
    <row r="1655" spans="1:10" ht="15" customHeight="1" x14ac:dyDescent="0.25">
      <c r="A1655" s="380">
        <v>42951601</v>
      </c>
      <c r="B1655" s="381" t="s">
        <v>321</v>
      </c>
      <c r="C1655" s="381" t="s">
        <v>1318</v>
      </c>
      <c r="D1655" s="381" t="s">
        <v>776</v>
      </c>
      <c r="E1655" s="381" t="s">
        <v>777</v>
      </c>
      <c r="F1655" s="378">
        <v>-327130</v>
      </c>
      <c r="G1655" s="378">
        <v>0</v>
      </c>
      <c r="H1655" s="378">
        <v>3400</v>
      </c>
      <c r="I1655" s="378">
        <v>-330530</v>
      </c>
      <c r="J1655">
        <f t="shared" si="29"/>
        <v>8</v>
      </c>
    </row>
    <row r="1656" spans="1:10" ht="15" customHeight="1" x14ac:dyDescent="0.25">
      <c r="A1656" s="380">
        <v>42951601</v>
      </c>
      <c r="B1656" s="381" t="s">
        <v>321</v>
      </c>
      <c r="C1656" s="381" t="s">
        <v>1318</v>
      </c>
      <c r="D1656" s="381" t="s">
        <v>1090</v>
      </c>
      <c r="E1656" s="381" t="s">
        <v>1091</v>
      </c>
      <c r="F1656" s="378">
        <v>-322757</v>
      </c>
      <c r="G1656" s="378">
        <v>0</v>
      </c>
      <c r="H1656" s="378">
        <v>110130</v>
      </c>
      <c r="I1656" s="378">
        <v>-432887</v>
      </c>
      <c r="J1656">
        <f t="shared" si="29"/>
        <v>8</v>
      </c>
    </row>
    <row r="1657" spans="1:10" ht="15" customHeight="1" x14ac:dyDescent="0.25">
      <c r="A1657" s="380">
        <v>42951601</v>
      </c>
      <c r="B1657" s="381" t="s">
        <v>321</v>
      </c>
      <c r="C1657" s="381" t="s">
        <v>1318</v>
      </c>
      <c r="D1657" s="381" t="s">
        <v>792</v>
      </c>
      <c r="E1657" s="381" t="s">
        <v>793</v>
      </c>
      <c r="F1657" s="378">
        <v>-180748</v>
      </c>
      <c r="G1657" s="378">
        <v>0</v>
      </c>
      <c r="H1657" s="378">
        <v>34605</v>
      </c>
      <c r="I1657" s="378">
        <v>-215353</v>
      </c>
      <c r="J1657">
        <f t="shared" si="29"/>
        <v>8</v>
      </c>
    </row>
    <row r="1658" spans="1:10" ht="15" customHeight="1" x14ac:dyDescent="0.25">
      <c r="A1658" s="380">
        <v>42951601</v>
      </c>
      <c r="B1658" s="381" t="s">
        <v>321</v>
      </c>
      <c r="C1658" s="381" t="s">
        <v>1318</v>
      </c>
      <c r="D1658" s="381" t="s">
        <v>794</v>
      </c>
      <c r="E1658" s="381" t="s">
        <v>795</v>
      </c>
      <c r="F1658" s="378">
        <v>-210301</v>
      </c>
      <c r="G1658" s="378">
        <v>0</v>
      </c>
      <c r="H1658" s="378">
        <v>18585</v>
      </c>
      <c r="I1658" s="378">
        <v>-228886</v>
      </c>
      <c r="J1658">
        <f t="shared" si="29"/>
        <v>8</v>
      </c>
    </row>
    <row r="1659" spans="1:10" ht="15" customHeight="1" x14ac:dyDescent="0.25">
      <c r="A1659" s="380">
        <v>42951601</v>
      </c>
      <c r="B1659" s="381" t="s">
        <v>321</v>
      </c>
      <c r="C1659" s="381" t="s">
        <v>1318</v>
      </c>
      <c r="D1659" s="381" t="s">
        <v>638</v>
      </c>
      <c r="E1659" s="381" t="s">
        <v>1317</v>
      </c>
      <c r="F1659" s="378">
        <v>-167900</v>
      </c>
      <c r="G1659" s="378">
        <v>0</v>
      </c>
      <c r="H1659" s="378">
        <v>0</v>
      </c>
      <c r="I1659" s="378">
        <v>-167900</v>
      </c>
      <c r="J1659">
        <f t="shared" si="29"/>
        <v>8</v>
      </c>
    </row>
    <row r="1660" spans="1:10" ht="15" customHeight="1" x14ac:dyDescent="0.25">
      <c r="A1660" s="380">
        <v>429581</v>
      </c>
      <c r="B1660" s="381" t="s">
        <v>315</v>
      </c>
      <c r="C1660" s="381" t="s">
        <v>644</v>
      </c>
      <c r="D1660" s="381" t="s">
        <v>315</v>
      </c>
      <c r="E1660" s="381" t="s">
        <v>315</v>
      </c>
      <c r="F1660" s="378">
        <v>-7915.25</v>
      </c>
      <c r="G1660" s="378">
        <v>0</v>
      </c>
      <c r="H1660" s="378">
        <v>3015</v>
      </c>
      <c r="I1660" s="378">
        <v>-10930.25</v>
      </c>
      <c r="J1660">
        <f t="shared" si="29"/>
        <v>6</v>
      </c>
    </row>
    <row r="1661" spans="1:10" ht="15" customHeight="1" x14ac:dyDescent="0.25">
      <c r="A1661" s="380">
        <v>42958101</v>
      </c>
      <c r="B1661" s="381" t="s">
        <v>315</v>
      </c>
      <c r="C1661" s="381" t="s">
        <v>644</v>
      </c>
      <c r="D1661" s="381" t="s">
        <v>315</v>
      </c>
      <c r="E1661" s="381" t="s">
        <v>315</v>
      </c>
      <c r="F1661" s="378">
        <v>-7915.25</v>
      </c>
      <c r="G1661" s="378">
        <v>0</v>
      </c>
      <c r="H1661" s="378">
        <v>3015</v>
      </c>
      <c r="I1661" s="378">
        <v>-10930.25</v>
      </c>
      <c r="J1661">
        <f t="shared" si="29"/>
        <v>8</v>
      </c>
    </row>
    <row r="1662" spans="1:10" ht="15" customHeight="1" x14ac:dyDescent="0.25">
      <c r="A1662" s="380">
        <v>42958101</v>
      </c>
      <c r="B1662" s="381" t="s">
        <v>315</v>
      </c>
      <c r="C1662" s="381" t="s">
        <v>644</v>
      </c>
      <c r="D1662" s="381" t="s">
        <v>779</v>
      </c>
      <c r="E1662" s="381" t="s">
        <v>780</v>
      </c>
      <c r="F1662" s="378">
        <v>-28</v>
      </c>
      <c r="G1662" s="378">
        <v>0</v>
      </c>
      <c r="H1662" s="378">
        <v>0</v>
      </c>
      <c r="I1662" s="378">
        <v>-28</v>
      </c>
      <c r="J1662">
        <f t="shared" si="29"/>
        <v>8</v>
      </c>
    </row>
    <row r="1663" spans="1:10" ht="15" customHeight="1" x14ac:dyDescent="0.25">
      <c r="A1663" s="380">
        <v>42958101</v>
      </c>
      <c r="B1663" s="381" t="s">
        <v>315</v>
      </c>
      <c r="C1663" s="381" t="s">
        <v>644</v>
      </c>
      <c r="D1663" s="381" t="s">
        <v>781</v>
      </c>
      <c r="E1663" s="381" t="s">
        <v>782</v>
      </c>
      <c r="F1663" s="378">
        <v>-50</v>
      </c>
      <c r="G1663" s="378">
        <v>0</v>
      </c>
      <c r="H1663" s="378">
        <v>0</v>
      </c>
      <c r="I1663" s="378">
        <v>-50</v>
      </c>
      <c r="J1663">
        <f t="shared" si="29"/>
        <v>8</v>
      </c>
    </row>
    <row r="1664" spans="1:10" ht="15" customHeight="1" x14ac:dyDescent="0.25">
      <c r="A1664" s="380">
        <v>42958101</v>
      </c>
      <c r="B1664" s="381" t="s">
        <v>315</v>
      </c>
      <c r="C1664" s="381" t="s">
        <v>644</v>
      </c>
      <c r="D1664" s="381" t="s">
        <v>687</v>
      </c>
      <c r="E1664" s="381" t="s">
        <v>1115</v>
      </c>
      <c r="F1664" s="378">
        <v>-1532</v>
      </c>
      <c r="G1664" s="378">
        <v>0</v>
      </c>
      <c r="H1664" s="378">
        <v>0</v>
      </c>
      <c r="I1664" s="378">
        <v>-1532</v>
      </c>
      <c r="J1664">
        <f t="shared" si="29"/>
        <v>8</v>
      </c>
    </row>
    <row r="1665" spans="1:10" ht="15" customHeight="1" x14ac:dyDescent="0.25">
      <c r="A1665" s="380">
        <v>42958101</v>
      </c>
      <c r="B1665" s="381" t="s">
        <v>315</v>
      </c>
      <c r="C1665" s="381" t="s">
        <v>644</v>
      </c>
      <c r="D1665" s="381" t="s">
        <v>786</v>
      </c>
      <c r="E1665" s="381" t="s">
        <v>787</v>
      </c>
      <c r="F1665" s="378">
        <v>-22</v>
      </c>
      <c r="G1665" s="378">
        <v>0</v>
      </c>
      <c r="H1665" s="378">
        <v>0</v>
      </c>
      <c r="I1665" s="378">
        <v>-22</v>
      </c>
      <c r="J1665">
        <f t="shared" si="29"/>
        <v>8</v>
      </c>
    </row>
    <row r="1666" spans="1:10" ht="15" customHeight="1" x14ac:dyDescent="0.25">
      <c r="A1666" s="380">
        <v>42958101</v>
      </c>
      <c r="B1666" s="381" t="s">
        <v>315</v>
      </c>
      <c r="C1666" s="381" t="s">
        <v>644</v>
      </c>
      <c r="D1666" s="381" t="s">
        <v>1224</v>
      </c>
      <c r="E1666" s="381" t="s">
        <v>1225</v>
      </c>
      <c r="F1666" s="378">
        <v>-1288</v>
      </c>
      <c r="G1666" s="378">
        <v>0</v>
      </c>
      <c r="H1666" s="378">
        <v>0</v>
      </c>
      <c r="I1666" s="378">
        <v>-1288</v>
      </c>
      <c r="J1666">
        <f t="shared" si="29"/>
        <v>8</v>
      </c>
    </row>
    <row r="1667" spans="1:10" ht="15" customHeight="1" x14ac:dyDescent="0.25">
      <c r="A1667" s="380">
        <v>42958101</v>
      </c>
      <c r="B1667" s="381" t="s">
        <v>315</v>
      </c>
      <c r="C1667" s="381" t="s">
        <v>644</v>
      </c>
      <c r="D1667" s="381" t="s">
        <v>422</v>
      </c>
      <c r="E1667" s="381" t="s">
        <v>1073</v>
      </c>
      <c r="F1667" s="378">
        <v>-1468.35</v>
      </c>
      <c r="G1667" s="378">
        <v>0</v>
      </c>
      <c r="H1667" s="378">
        <v>892</v>
      </c>
      <c r="I1667" s="378">
        <v>-2360.35</v>
      </c>
      <c r="J1667">
        <f t="shared" si="29"/>
        <v>8</v>
      </c>
    </row>
    <row r="1668" spans="1:10" ht="15" customHeight="1" x14ac:dyDescent="0.25">
      <c r="A1668" s="380">
        <v>42958101</v>
      </c>
      <c r="B1668" s="381" t="s">
        <v>315</v>
      </c>
      <c r="C1668" s="381" t="s">
        <v>644</v>
      </c>
      <c r="D1668" s="381" t="s">
        <v>419</v>
      </c>
      <c r="E1668" s="381" t="s">
        <v>420</v>
      </c>
      <c r="F1668" s="378">
        <v>-0.9</v>
      </c>
      <c r="G1668" s="378">
        <v>0</v>
      </c>
      <c r="H1668" s="378">
        <v>0</v>
      </c>
      <c r="I1668" s="378">
        <v>-0.9</v>
      </c>
      <c r="J1668">
        <f t="shared" si="29"/>
        <v>8</v>
      </c>
    </row>
    <row r="1669" spans="1:10" ht="15" customHeight="1" x14ac:dyDescent="0.25">
      <c r="A1669" s="380">
        <v>42958101</v>
      </c>
      <c r="B1669" s="381" t="s">
        <v>315</v>
      </c>
      <c r="C1669" s="381" t="s">
        <v>644</v>
      </c>
      <c r="D1669" s="381" t="s">
        <v>340</v>
      </c>
      <c r="E1669" s="381" t="s">
        <v>341</v>
      </c>
      <c r="F1669" s="378">
        <v>-1</v>
      </c>
      <c r="G1669" s="378">
        <v>0</v>
      </c>
      <c r="H1669" s="378">
        <v>0</v>
      </c>
      <c r="I1669" s="378">
        <v>-1</v>
      </c>
      <c r="J1669">
        <f t="shared" si="29"/>
        <v>8</v>
      </c>
    </row>
    <row r="1670" spans="1:10" ht="15" customHeight="1" x14ac:dyDescent="0.25">
      <c r="A1670" s="380">
        <v>42958101</v>
      </c>
      <c r="B1670" s="381" t="s">
        <v>315</v>
      </c>
      <c r="C1670" s="381" t="s">
        <v>644</v>
      </c>
      <c r="D1670" s="381" t="s">
        <v>347</v>
      </c>
      <c r="E1670" s="381" t="s">
        <v>348</v>
      </c>
      <c r="F1670" s="378">
        <v>0</v>
      </c>
      <c r="G1670" s="378">
        <v>0</v>
      </c>
      <c r="H1670" s="378">
        <v>1</v>
      </c>
      <c r="I1670" s="378">
        <v>-1</v>
      </c>
      <c r="J1670">
        <f t="shared" si="29"/>
        <v>8</v>
      </c>
    </row>
    <row r="1671" spans="1:10" ht="15" customHeight="1" x14ac:dyDescent="0.25">
      <c r="A1671" s="380">
        <v>42958101</v>
      </c>
      <c r="B1671" s="381" t="s">
        <v>315</v>
      </c>
      <c r="C1671" s="381" t="s">
        <v>644</v>
      </c>
      <c r="D1671" s="381" t="s">
        <v>377</v>
      </c>
      <c r="E1671" s="381" t="s">
        <v>378</v>
      </c>
      <c r="F1671" s="378">
        <v>-1</v>
      </c>
      <c r="G1671" s="378">
        <v>0</v>
      </c>
      <c r="H1671" s="378">
        <v>0</v>
      </c>
      <c r="I1671" s="378">
        <v>-1</v>
      </c>
      <c r="J1671">
        <f t="shared" si="29"/>
        <v>8</v>
      </c>
    </row>
    <row r="1672" spans="1:10" ht="15" customHeight="1" x14ac:dyDescent="0.25">
      <c r="A1672" s="380">
        <v>42958101</v>
      </c>
      <c r="B1672" s="381" t="s">
        <v>315</v>
      </c>
      <c r="C1672" s="381" t="s">
        <v>644</v>
      </c>
      <c r="D1672" s="381" t="s">
        <v>1156</v>
      </c>
      <c r="E1672" s="381" t="s">
        <v>1157</v>
      </c>
      <c r="F1672" s="378">
        <v>-99</v>
      </c>
      <c r="G1672" s="378">
        <v>0</v>
      </c>
      <c r="H1672" s="378">
        <v>0</v>
      </c>
      <c r="I1672" s="378">
        <v>-99</v>
      </c>
      <c r="J1672">
        <f t="shared" si="29"/>
        <v>8</v>
      </c>
    </row>
    <row r="1673" spans="1:10" ht="15" customHeight="1" x14ac:dyDescent="0.25">
      <c r="A1673" s="380">
        <v>42958101</v>
      </c>
      <c r="B1673" s="381" t="s">
        <v>315</v>
      </c>
      <c r="C1673" s="381" t="s">
        <v>644</v>
      </c>
      <c r="D1673" s="381" t="s">
        <v>717</v>
      </c>
      <c r="E1673" s="381" t="s">
        <v>718</v>
      </c>
      <c r="F1673" s="378">
        <v>-1762</v>
      </c>
      <c r="G1673" s="378">
        <v>0</v>
      </c>
      <c r="H1673" s="378">
        <v>2122</v>
      </c>
      <c r="I1673" s="378">
        <v>-3884</v>
      </c>
      <c r="J1673">
        <f t="shared" si="29"/>
        <v>8</v>
      </c>
    </row>
    <row r="1674" spans="1:10" ht="15" customHeight="1" x14ac:dyDescent="0.25">
      <c r="A1674" s="380">
        <v>42958101</v>
      </c>
      <c r="B1674" s="381" t="s">
        <v>315</v>
      </c>
      <c r="C1674" s="381" t="s">
        <v>644</v>
      </c>
      <c r="D1674" s="381" t="s">
        <v>1168</v>
      </c>
      <c r="E1674" s="381" t="s">
        <v>1169</v>
      </c>
      <c r="F1674" s="378">
        <v>-1</v>
      </c>
      <c r="G1674" s="378">
        <v>0</v>
      </c>
      <c r="H1674" s="378">
        <v>0</v>
      </c>
      <c r="I1674" s="378">
        <v>-1</v>
      </c>
      <c r="J1674">
        <f t="shared" si="29"/>
        <v>8</v>
      </c>
    </row>
    <row r="1675" spans="1:10" ht="15" customHeight="1" x14ac:dyDescent="0.25">
      <c r="A1675" s="380">
        <v>42958101</v>
      </c>
      <c r="B1675" s="381" t="s">
        <v>315</v>
      </c>
      <c r="C1675" s="381" t="s">
        <v>644</v>
      </c>
      <c r="D1675" s="381" t="s">
        <v>1013</v>
      </c>
      <c r="E1675" s="381" t="s">
        <v>1014</v>
      </c>
      <c r="F1675" s="378">
        <v>-268</v>
      </c>
      <c r="G1675" s="378">
        <v>0</v>
      </c>
      <c r="H1675" s="378">
        <v>0</v>
      </c>
      <c r="I1675" s="378">
        <v>-268</v>
      </c>
      <c r="J1675">
        <f t="shared" si="29"/>
        <v>8</v>
      </c>
    </row>
    <row r="1676" spans="1:10" ht="15" customHeight="1" x14ac:dyDescent="0.25">
      <c r="A1676" s="380">
        <v>42958101</v>
      </c>
      <c r="B1676" s="381" t="s">
        <v>315</v>
      </c>
      <c r="C1676" s="381" t="s">
        <v>644</v>
      </c>
      <c r="D1676" s="381" t="s">
        <v>788</v>
      </c>
      <c r="E1676" s="381" t="s">
        <v>789</v>
      </c>
      <c r="F1676" s="378">
        <v>-73</v>
      </c>
      <c r="G1676" s="378">
        <v>0</v>
      </c>
      <c r="H1676" s="378">
        <v>0</v>
      </c>
      <c r="I1676" s="378">
        <v>-73</v>
      </c>
      <c r="J1676">
        <f t="shared" si="29"/>
        <v>8</v>
      </c>
    </row>
    <row r="1677" spans="1:10" ht="15" customHeight="1" x14ac:dyDescent="0.25">
      <c r="A1677" s="380">
        <v>42958101</v>
      </c>
      <c r="B1677" s="381" t="s">
        <v>315</v>
      </c>
      <c r="C1677" s="381" t="s">
        <v>644</v>
      </c>
      <c r="D1677" s="381" t="s">
        <v>776</v>
      </c>
      <c r="E1677" s="381" t="s">
        <v>777</v>
      </c>
      <c r="F1677" s="378">
        <v>-60</v>
      </c>
      <c r="G1677" s="378">
        <v>0</v>
      </c>
      <c r="H1677" s="378">
        <v>0</v>
      </c>
      <c r="I1677" s="378">
        <v>-60</v>
      </c>
      <c r="J1677">
        <f t="shared" si="29"/>
        <v>8</v>
      </c>
    </row>
    <row r="1678" spans="1:10" ht="15" customHeight="1" x14ac:dyDescent="0.25">
      <c r="A1678" s="380">
        <v>42958101</v>
      </c>
      <c r="B1678" s="381" t="s">
        <v>315</v>
      </c>
      <c r="C1678" s="381" t="s">
        <v>644</v>
      </c>
      <c r="D1678" s="381" t="s">
        <v>792</v>
      </c>
      <c r="E1678" s="381" t="s">
        <v>793</v>
      </c>
      <c r="F1678" s="378">
        <v>-20</v>
      </c>
      <c r="G1678" s="378">
        <v>0</v>
      </c>
      <c r="H1678" s="378">
        <v>0</v>
      </c>
      <c r="I1678" s="378">
        <v>-20</v>
      </c>
      <c r="J1678">
        <f t="shared" ref="J1678:J1709" si="30">+LEN(A1678)</f>
        <v>8</v>
      </c>
    </row>
    <row r="1679" spans="1:10" ht="15" customHeight="1" x14ac:dyDescent="0.25">
      <c r="A1679" s="380">
        <v>42958101</v>
      </c>
      <c r="B1679" s="381" t="s">
        <v>315</v>
      </c>
      <c r="C1679" s="381" t="s">
        <v>644</v>
      </c>
      <c r="D1679" s="381" t="s">
        <v>1094</v>
      </c>
      <c r="E1679" s="381" t="s">
        <v>1095</v>
      </c>
      <c r="F1679" s="378">
        <v>-1241</v>
      </c>
      <c r="G1679" s="378">
        <v>0</v>
      </c>
      <c r="H1679" s="378">
        <v>0</v>
      </c>
      <c r="I1679" s="378">
        <v>-1241</v>
      </c>
      <c r="J1679">
        <f t="shared" si="30"/>
        <v>8</v>
      </c>
    </row>
    <row r="1680" spans="1:10" ht="15" customHeight="1" x14ac:dyDescent="0.25">
      <c r="A1680" s="380">
        <v>43</v>
      </c>
      <c r="B1680" s="381" t="s">
        <v>315</v>
      </c>
      <c r="C1680" s="381" t="s">
        <v>175</v>
      </c>
      <c r="D1680" s="381" t="s">
        <v>315</v>
      </c>
      <c r="E1680" s="381" t="s">
        <v>315</v>
      </c>
      <c r="F1680" s="378">
        <v>-1336517.6599999999</v>
      </c>
      <c r="G1680" s="378">
        <v>0</v>
      </c>
      <c r="H1680" s="378">
        <v>324482.52</v>
      </c>
      <c r="I1680" s="378">
        <v>-1661000.18</v>
      </c>
      <c r="J1680">
        <f t="shared" si="30"/>
        <v>2</v>
      </c>
    </row>
    <row r="1681" spans="1:10" ht="15" customHeight="1" x14ac:dyDescent="0.25">
      <c r="A1681" s="380">
        <v>4310</v>
      </c>
      <c r="B1681" s="381" t="s">
        <v>321</v>
      </c>
      <c r="C1681" s="381" t="s">
        <v>175</v>
      </c>
      <c r="D1681" s="381" t="s">
        <v>315</v>
      </c>
      <c r="E1681" s="381" t="s">
        <v>315</v>
      </c>
      <c r="F1681" s="378">
        <v>-1336517.6599999999</v>
      </c>
      <c r="G1681" s="378">
        <v>0</v>
      </c>
      <c r="H1681" s="378">
        <v>324482.52</v>
      </c>
      <c r="I1681" s="378">
        <v>-1661000.18</v>
      </c>
      <c r="J1681">
        <f t="shared" si="30"/>
        <v>4</v>
      </c>
    </row>
    <row r="1682" spans="1:10" ht="15" customHeight="1" x14ac:dyDescent="0.25">
      <c r="A1682" s="380">
        <v>431005</v>
      </c>
      <c r="B1682" s="381" t="s">
        <v>321</v>
      </c>
      <c r="C1682" s="381" t="s">
        <v>176</v>
      </c>
      <c r="D1682" s="381" t="s">
        <v>315</v>
      </c>
      <c r="E1682" s="381" t="s">
        <v>315</v>
      </c>
      <c r="F1682" s="378">
        <v>-935807.66</v>
      </c>
      <c r="G1682" s="378">
        <v>0</v>
      </c>
      <c r="H1682" s="378">
        <v>216684.52</v>
      </c>
      <c r="I1682" s="378">
        <v>-1152492.18</v>
      </c>
      <c r="J1682">
        <f t="shared" si="30"/>
        <v>6</v>
      </c>
    </row>
    <row r="1683" spans="1:10" ht="15" customHeight="1" x14ac:dyDescent="0.25">
      <c r="A1683" s="380">
        <v>431005</v>
      </c>
      <c r="B1683" s="381" t="s">
        <v>321</v>
      </c>
      <c r="C1683" s="381" t="s">
        <v>176</v>
      </c>
      <c r="D1683" s="381" t="s">
        <v>328</v>
      </c>
      <c r="E1683" s="381" t="s">
        <v>930</v>
      </c>
      <c r="F1683" s="378">
        <v>-1206731.19</v>
      </c>
      <c r="G1683" s="378">
        <v>0</v>
      </c>
      <c r="H1683" s="378">
        <v>213924.25</v>
      </c>
      <c r="I1683" s="378">
        <v>-1420655.44</v>
      </c>
      <c r="J1683">
        <f t="shared" si="30"/>
        <v>6</v>
      </c>
    </row>
    <row r="1684" spans="1:10" ht="15" customHeight="1" x14ac:dyDescent="0.25">
      <c r="A1684" s="380">
        <v>431005</v>
      </c>
      <c r="B1684" s="381" t="s">
        <v>321</v>
      </c>
      <c r="C1684" s="381" t="s">
        <v>176</v>
      </c>
      <c r="D1684" s="381" t="s">
        <v>419</v>
      </c>
      <c r="E1684" s="381" t="s">
        <v>420</v>
      </c>
      <c r="F1684" s="378">
        <v>-16442.990000000002</v>
      </c>
      <c r="G1684" s="378">
        <v>0</v>
      </c>
      <c r="H1684" s="378">
        <v>2760.27</v>
      </c>
      <c r="I1684" s="378">
        <v>-19203.259999999998</v>
      </c>
      <c r="J1684">
        <f t="shared" si="30"/>
        <v>6</v>
      </c>
    </row>
    <row r="1685" spans="1:10" ht="15" customHeight="1" x14ac:dyDescent="0.25">
      <c r="A1685" s="380">
        <v>431005</v>
      </c>
      <c r="B1685" s="381" t="s">
        <v>321</v>
      </c>
      <c r="C1685" s="381" t="s">
        <v>176</v>
      </c>
      <c r="D1685" s="381" t="s">
        <v>329</v>
      </c>
      <c r="E1685" s="381" t="s">
        <v>330</v>
      </c>
      <c r="F1685" s="378">
        <v>287367.52</v>
      </c>
      <c r="G1685" s="378">
        <v>0</v>
      </c>
      <c r="H1685" s="378">
        <v>0</v>
      </c>
      <c r="I1685" s="378">
        <v>287367.52</v>
      </c>
      <c r="J1685">
        <f t="shared" si="30"/>
        <v>6</v>
      </c>
    </row>
    <row r="1686" spans="1:10" ht="15" customHeight="1" x14ac:dyDescent="0.25">
      <c r="A1686" s="380">
        <v>431005</v>
      </c>
      <c r="B1686" s="381" t="s">
        <v>321</v>
      </c>
      <c r="C1686" s="381" t="s">
        <v>176</v>
      </c>
      <c r="D1686" s="381" t="s">
        <v>995</v>
      </c>
      <c r="E1686" s="381" t="s">
        <v>996</v>
      </c>
      <c r="F1686" s="378">
        <v>-1</v>
      </c>
      <c r="G1686" s="378">
        <v>0</v>
      </c>
      <c r="H1686" s="378">
        <v>0</v>
      </c>
      <c r="I1686" s="378">
        <v>-1</v>
      </c>
      <c r="J1686">
        <f t="shared" si="30"/>
        <v>6</v>
      </c>
    </row>
    <row r="1687" spans="1:10" ht="15" customHeight="1" x14ac:dyDescent="0.25">
      <c r="A1687" s="380">
        <v>431040</v>
      </c>
      <c r="B1687" s="381" t="s">
        <v>321</v>
      </c>
      <c r="C1687" s="381" t="s">
        <v>471</v>
      </c>
      <c r="D1687" s="381" t="s">
        <v>315</v>
      </c>
      <c r="E1687" s="381" t="s">
        <v>315</v>
      </c>
      <c r="F1687" s="378">
        <v>-400710</v>
      </c>
      <c r="G1687" s="378">
        <v>0</v>
      </c>
      <c r="H1687" s="378">
        <v>107798</v>
      </c>
      <c r="I1687" s="378">
        <v>-508508</v>
      </c>
      <c r="J1687">
        <f t="shared" si="30"/>
        <v>6</v>
      </c>
    </row>
    <row r="1688" spans="1:10" ht="15" customHeight="1" x14ac:dyDescent="0.25">
      <c r="A1688" s="380">
        <v>431040</v>
      </c>
      <c r="B1688" s="381" t="s">
        <v>321</v>
      </c>
      <c r="C1688" s="381" t="s">
        <v>471</v>
      </c>
      <c r="D1688" s="381" t="s">
        <v>642</v>
      </c>
      <c r="E1688" s="381" t="s">
        <v>643</v>
      </c>
      <c r="F1688" s="378">
        <v>-10119</v>
      </c>
      <c r="G1688" s="378">
        <v>0</v>
      </c>
      <c r="H1688" s="378">
        <v>11425</v>
      </c>
      <c r="I1688" s="378">
        <v>-21544</v>
      </c>
      <c r="J1688">
        <f t="shared" si="30"/>
        <v>6</v>
      </c>
    </row>
    <row r="1689" spans="1:10" ht="15" customHeight="1" x14ac:dyDescent="0.25">
      <c r="A1689" s="380">
        <v>431040</v>
      </c>
      <c r="B1689" s="381" t="s">
        <v>321</v>
      </c>
      <c r="C1689" s="381" t="s">
        <v>471</v>
      </c>
      <c r="D1689" s="381" t="s">
        <v>987</v>
      </c>
      <c r="E1689" s="381" t="s">
        <v>988</v>
      </c>
      <c r="F1689" s="378">
        <v>-100</v>
      </c>
      <c r="G1689" s="378">
        <v>0</v>
      </c>
      <c r="H1689" s="378">
        <v>0</v>
      </c>
      <c r="I1689" s="378">
        <v>-100</v>
      </c>
      <c r="J1689">
        <f t="shared" si="30"/>
        <v>6</v>
      </c>
    </row>
    <row r="1690" spans="1:10" ht="15" customHeight="1" x14ac:dyDescent="0.25">
      <c r="A1690" s="380">
        <v>431040</v>
      </c>
      <c r="B1690" s="381" t="s">
        <v>321</v>
      </c>
      <c r="C1690" s="381" t="s">
        <v>471</v>
      </c>
      <c r="D1690" s="381" t="s">
        <v>717</v>
      </c>
      <c r="E1690" s="381" t="s">
        <v>718</v>
      </c>
      <c r="F1690" s="378">
        <v>-61726</v>
      </c>
      <c r="G1690" s="378">
        <v>0</v>
      </c>
      <c r="H1690" s="378">
        <v>14874</v>
      </c>
      <c r="I1690" s="378">
        <v>-76600</v>
      </c>
      <c r="J1690">
        <f t="shared" si="30"/>
        <v>6</v>
      </c>
    </row>
    <row r="1691" spans="1:10" ht="15" customHeight="1" x14ac:dyDescent="0.25">
      <c r="A1691" s="380">
        <v>431040</v>
      </c>
      <c r="B1691" s="381" t="s">
        <v>321</v>
      </c>
      <c r="C1691" s="381" t="s">
        <v>471</v>
      </c>
      <c r="D1691" s="381" t="s">
        <v>918</v>
      </c>
      <c r="E1691" s="381" t="s">
        <v>919</v>
      </c>
      <c r="F1691" s="378">
        <v>-328765</v>
      </c>
      <c r="G1691" s="378">
        <v>0</v>
      </c>
      <c r="H1691" s="378">
        <v>81499</v>
      </c>
      <c r="I1691" s="378">
        <v>-410264</v>
      </c>
      <c r="J1691">
        <f t="shared" si="30"/>
        <v>6</v>
      </c>
    </row>
    <row r="1692" spans="1:10" ht="15" customHeight="1" x14ac:dyDescent="0.25">
      <c r="A1692" s="380">
        <v>5</v>
      </c>
      <c r="B1692" s="381" t="s">
        <v>315</v>
      </c>
      <c r="C1692" s="381" t="s">
        <v>182</v>
      </c>
      <c r="D1692" s="381" t="s">
        <v>315</v>
      </c>
      <c r="E1692" s="381" t="s">
        <v>315</v>
      </c>
      <c r="F1692" s="378">
        <v>1375532029.1700001</v>
      </c>
      <c r="G1692" s="378">
        <v>308170152.06</v>
      </c>
      <c r="H1692" s="378">
        <v>6835908</v>
      </c>
      <c r="I1692" s="378">
        <v>1676866273.23</v>
      </c>
      <c r="J1692">
        <f t="shared" si="30"/>
        <v>1</v>
      </c>
    </row>
    <row r="1693" spans="1:10" ht="15" customHeight="1" x14ac:dyDescent="0.25">
      <c r="A1693" s="380">
        <v>52</v>
      </c>
      <c r="B1693" s="381" t="s">
        <v>315</v>
      </c>
      <c r="C1693" s="381" t="s">
        <v>474</v>
      </c>
      <c r="D1693" s="381" t="s">
        <v>315</v>
      </c>
      <c r="E1693" s="381" t="s">
        <v>315</v>
      </c>
      <c r="F1693" s="378">
        <v>1282520718.6500001</v>
      </c>
      <c r="G1693" s="378">
        <v>288212920.55000001</v>
      </c>
      <c r="H1693" s="378">
        <v>538628</v>
      </c>
      <c r="I1693" s="378">
        <v>1570195011.2</v>
      </c>
      <c r="J1693">
        <f t="shared" si="30"/>
        <v>2</v>
      </c>
    </row>
    <row r="1694" spans="1:10" ht="15" customHeight="1" x14ac:dyDescent="0.25">
      <c r="A1694" s="380">
        <v>5204</v>
      </c>
      <c r="B1694" s="381" t="s">
        <v>315</v>
      </c>
      <c r="C1694" s="381" t="s">
        <v>185</v>
      </c>
      <c r="D1694" s="381" t="s">
        <v>315</v>
      </c>
      <c r="E1694" s="381" t="s">
        <v>315</v>
      </c>
      <c r="F1694" s="378">
        <v>54701055</v>
      </c>
      <c r="G1694" s="378">
        <v>11909829</v>
      </c>
      <c r="H1694" s="378">
        <v>0</v>
      </c>
      <c r="I1694" s="378">
        <v>66610884</v>
      </c>
      <c r="J1694">
        <f t="shared" si="30"/>
        <v>4</v>
      </c>
    </row>
    <row r="1695" spans="1:10" ht="15" customHeight="1" x14ac:dyDescent="0.25">
      <c r="A1695" s="380">
        <v>520468</v>
      </c>
      <c r="B1695" s="381" t="s">
        <v>315</v>
      </c>
      <c r="C1695" s="381" t="s">
        <v>1319</v>
      </c>
      <c r="D1695" s="381" t="s">
        <v>315</v>
      </c>
      <c r="E1695" s="381" t="s">
        <v>315</v>
      </c>
      <c r="F1695" s="378">
        <v>6839650</v>
      </c>
      <c r="G1695" s="378">
        <v>1540700</v>
      </c>
      <c r="H1695" s="378">
        <v>0</v>
      </c>
      <c r="I1695" s="378">
        <v>8380350</v>
      </c>
      <c r="J1695">
        <f t="shared" si="30"/>
        <v>6</v>
      </c>
    </row>
    <row r="1696" spans="1:10" ht="15" customHeight="1" x14ac:dyDescent="0.25">
      <c r="A1696" s="380">
        <v>520468</v>
      </c>
      <c r="B1696" s="381" t="s">
        <v>315</v>
      </c>
      <c r="C1696" s="381" t="s">
        <v>1319</v>
      </c>
      <c r="D1696" s="381" t="s">
        <v>1246</v>
      </c>
      <c r="E1696" s="381" t="s">
        <v>1247</v>
      </c>
      <c r="F1696" s="378">
        <v>1200</v>
      </c>
      <c r="G1696" s="378">
        <v>0</v>
      </c>
      <c r="H1696" s="378">
        <v>0</v>
      </c>
      <c r="I1696" s="378">
        <v>1200</v>
      </c>
      <c r="J1696">
        <f t="shared" si="30"/>
        <v>6</v>
      </c>
    </row>
    <row r="1697" spans="1:10" ht="15" customHeight="1" x14ac:dyDescent="0.25">
      <c r="A1697" s="380">
        <v>520468</v>
      </c>
      <c r="B1697" s="381" t="s">
        <v>315</v>
      </c>
      <c r="C1697" s="381" t="s">
        <v>1319</v>
      </c>
      <c r="D1697" s="381" t="s">
        <v>1194</v>
      </c>
      <c r="E1697" s="381" t="s">
        <v>1195</v>
      </c>
      <c r="F1697" s="378">
        <v>229600</v>
      </c>
      <c r="G1697" s="378">
        <v>47400</v>
      </c>
      <c r="H1697" s="378">
        <v>0</v>
      </c>
      <c r="I1697" s="378">
        <v>277000</v>
      </c>
      <c r="J1697">
        <f t="shared" si="30"/>
        <v>6</v>
      </c>
    </row>
    <row r="1698" spans="1:10" ht="15" customHeight="1" x14ac:dyDescent="0.25">
      <c r="A1698" s="380">
        <v>520468</v>
      </c>
      <c r="B1698" s="381" t="s">
        <v>315</v>
      </c>
      <c r="C1698" s="381" t="s">
        <v>1319</v>
      </c>
      <c r="D1698" s="381" t="s">
        <v>779</v>
      </c>
      <c r="E1698" s="381" t="s">
        <v>780</v>
      </c>
      <c r="F1698" s="378">
        <v>54600</v>
      </c>
      <c r="G1698" s="378">
        <v>58200</v>
      </c>
      <c r="H1698" s="378">
        <v>0</v>
      </c>
      <c r="I1698" s="378">
        <v>112800</v>
      </c>
      <c r="J1698">
        <f t="shared" si="30"/>
        <v>6</v>
      </c>
    </row>
    <row r="1699" spans="1:10" ht="15" customHeight="1" x14ac:dyDescent="0.25">
      <c r="A1699" s="380">
        <v>520468</v>
      </c>
      <c r="B1699" s="381" t="s">
        <v>315</v>
      </c>
      <c r="C1699" s="381" t="s">
        <v>1319</v>
      </c>
      <c r="D1699" s="381" t="s">
        <v>1219</v>
      </c>
      <c r="E1699" s="381" t="s">
        <v>1220</v>
      </c>
      <c r="F1699" s="378">
        <v>24600</v>
      </c>
      <c r="G1699" s="378">
        <v>0</v>
      </c>
      <c r="H1699" s="378">
        <v>0</v>
      </c>
      <c r="I1699" s="378">
        <v>24600</v>
      </c>
      <c r="J1699">
        <f t="shared" si="30"/>
        <v>6</v>
      </c>
    </row>
    <row r="1700" spans="1:10" ht="15" customHeight="1" x14ac:dyDescent="0.25">
      <c r="A1700" s="380">
        <v>520468</v>
      </c>
      <c r="B1700" s="381" t="s">
        <v>315</v>
      </c>
      <c r="C1700" s="381" t="s">
        <v>1319</v>
      </c>
      <c r="D1700" s="381" t="s">
        <v>774</v>
      </c>
      <c r="E1700" s="381" t="s">
        <v>775</v>
      </c>
      <c r="F1700" s="378">
        <v>199000</v>
      </c>
      <c r="G1700" s="378">
        <v>35200</v>
      </c>
      <c r="H1700" s="378">
        <v>0</v>
      </c>
      <c r="I1700" s="378">
        <v>234200</v>
      </c>
      <c r="J1700">
        <f t="shared" si="30"/>
        <v>6</v>
      </c>
    </row>
    <row r="1701" spans="1:10" ht="15" customHeight="1" x14ac:dyDescent="0.25">
      <c r="A1701" s="380">
        <v>520468</v>
      </c>
      <c r="B1701" s="381" t="s">
        <v>315</v>
      </c>
      <c r="C1701" s="381" t="s">
        <v>1319</v>
      </c>
      <c r="D1701" s="381" t="s">
        <v>1196</v>
      </c>
      <c r="E1701" s="381" t="s">
        <v>1197</v>
      </c>
      <c r="F1701" s="378">
        <v>232300</v>
      </c>
      <c r="G1701" s="378">
        <v>40700</v>
      </c>
      <c r="H1701" s="378">
        <v>0</v>
      </c>
      <c r="I1701" s="378">
        <v>273000</v>
      </c>
      <c r="J1701">
        <f t="shared" si="30"/>
        <v>6</v>
      </c>
    </row>
    <row r="1702" spans="1:10" ht="15" customHeight="1" x14ac:dyDescent="0.25">
      <c r="A1702" s="380">
        <v>520468</v>
      </c>
      <c r="B1702" s="381" t="s">
        <v>315</v>
      </c>
      <c r="C1702" s="381" t="s">
        <v>1319</v>
      </c>
      <c r="D1702" s="381" t="s">
        <v>1078</v>
      </c>
      <c r="E1702" s="381" t="s">
        <v>1079</v>
      </c>
      <c r="F1702" s="378">
        <v>470200</v>
      </c>
      <c r="G1702" s="378">
        <v>127900</v>
      </c>
      <c r="H1702" s="378">
        <v>0</v>
      </c>
      <c r="I1702" s="378">
        <v>598100</v>
      </c>
      <c r="J1702">
        <f t="shared" si="30"/>
        <v>6</v>
      </c>
    </row>
    <row r="1703" spans="1:10" ht="15" customHeight="1" x14ac:dyDescent="0.25">
      <c r="A1703" s="380">
        <v>520468</v>
      </c>
      <c r="B1703" s="381" t="s">
        <v>315</v>
      </c>
      <c r="C1703" s="381" t="s">
        <v>1319</v>
      </c>
      <c r="D1703" s="381" t="s">
        <v>781</v>
      </c>
      <c r="E1703" s="381" t="s">
        <v>782</v>
      </c>
      <c r="F1703" s="378">
        <v>233500</v>
      </c>
      <c r="G1703" s="378">
        <v>53300</v>
      </c>
      <c r="H1703" s="378">
        <v>0</v>
      </c>
      <c r="I1703" s="378">
        <v>286800</v>
      </c>
      <c r="J1703">
        <f t="shared" si="30"/>
        <v>6</v>
      </c>
    </row>
    <row r="1704" spans="1:10" ht="15" customHeight="1" x14ac:dyDescent="0.25">
      <c r="A1704" s="380">
        <v>520468</v>
      </c>
      <c r="B1704" s="381" t="s">
        <v>315</v>
      </c>
      <c r="C1704" s="381" t="s">
        <v>1319</v>
      </c>
      <c r="D1704" s="381" t="s">
        <v>728</v>
      </c>
      <c r="E1704" s="381" t="s">
        <v>729</v>
      </c>
      <c r="F1704" s="378">
        <v>230800</v>
      </c>
      <c r="G1704" s="378">
        <v>54200</v>
      </c>
      <c r="H1704" s="378">
        <v>0</v>
      </c>
      <c r="I1704" s="378">
        <v>285000</v>
      </c>
      <c r="J1704">
        <f t="shared" si="30"/>
        <v>6</v>
      </c>
    </row>
    <row r="1705" spans="1:10" ht="15" customHeight="1" x14ac:dyDescent="0.25">
      <c r="A1705" s="380">
        <v>520468</v>
      </c>
      <c r="B1705" s="381" t="s">
        <v>315</v>
      </c>
      <c r="C1705" s="381" t="s">
        <v>1319</v>
      </c>
      <c r="D1705" s="381" t="s">
        <v>783</v>
      </c>
      <c r="E1705" s="381" t="s">
        <v>784</v>
      </c>
      <c r="F1705" s="378">
        <v>197300</v>
      </c>
      <c r="G1705" s="378">
        <v>40300</v>
      </c>
      <c r="H1705" s="378">
        <v>0</v>
      </c>
      <c r="I1705" s="378">
        <v>237600</v>
      </c>
      <c r="J1705">
        <f t="shared" si="30"/>
        <v>6</v>
      </c>
    </row>
    <row r="1706" spans="1:10" ht="15" customHeight="1" x14ac:dyDescent="0.25">
      <c r="A1706" s="380">
        <v>520468</v>
      </c>
      <c r="B1706" s="381" t="s">
        <v>315</v>
      </c>
      <c r="C1706" s="381" t="s">
        <v>1319</v>
      </c>
      <c r="D1706" s="381" t="s">
        <v>797</v>
      </c>
      <c r="E1706" s="381" t="s">
        <v>798</v>
      </c>
      <c r="F1706" s="378">
        <v>195500</v>
      </c>
      <c r="G1706" s="378">
        <v>36700</v>
      </c>
      <c r="H1706" s="378">
        <v>0</v>
      </c>
      <c r="I1706" s="378">
        <v>232200</v>
      </c>
      <c r="J1706">
        <f t="shared" si="30"/>
        <v>6</v>
      </c>
    </row>
    <row r="1707" spans="1:10" ht="15" customHeight="1" x14ac:dyDescent="0.25">
      <c r="A1707" s="380">
        <v>520468</v>
      </c>
      <c r="B1707" s="381" t="s">
        <v>315</v>
      </c>
      <c r="C1707" s="381" t="s">
        <v>1319</v>
      </c>
      <c r="D1707" s="381" t="s">
        <v>1221</v>
      </c>
      <c r="E1707" s="381" t="s">
        <v>1494</v>
      </c>
      <c r="F1707" s="378">
        <v>228750</v>
      </c>
      <c r="G1707" s="378">
        <v>0</v>
      </c>
      <c r="H1707" s="378">
        <v>0</v>
      </c>
      <c r="I1707" s="378">
        <v>228750</v>
      </c>
      <c r="J1707">
        <f t="shared" si="30"/>
        <v>6</v>
      </c>
    </row>
    <row r="1708" spans="1:10" ht="15" customHeight="1" x14ac:dyDescent="0.25">
      <c r="A1708" s="380">
        <v>520468</v>
      </c>
      <c r="B1708" s="381" t="s">
        <v>315</v>
      </c>
      <c r="C1708" s="381" t="s">
        <v>1319</v>
      </c>
      <c r="D1708" s="381" t="s">
        <v>1222</v>
      </c>
      <c r="E1708" s="381" t="s">
        <v>1223</v>
      </c>
      <c r="F1708" s="378">
        <v>36500</v>
      </c>
      <c r="G1708" s="378">
        <v>0</v>
      </c>
      <c r="H1708" s="378">
        <v>0</v>
      </c>
      <c r="I1708" s="378">
        <v>36500</v>
      </c>
      <c r="J1708">
        <f t="shared" si="30"/>
        <v>6</v>
      </c>
    </row>
    <row r="1709" spans="1:10" ht="15" customHeight="1" x14ac:dyDescent="0.25">
      <c r="A1709" s="380">
        <v>520468</v>
      </c>
      <c r="B1709" s="381" t="s">
        <v>315</v>
      </c>
      <c r="C1709" s="381" t="s">
        <v>1319</v>
      </c>
      <c r="D1709" s="381" t="s">
        <v>1198</v>
      </c>
      <c r="E1709" s="381" t="s">
        <v>1199</v>
      </c>
      <c r="F1709" s="378">
        <v>54200</v>
      </c>
      <c r="G1709" s="378">
        <v>38200</v>
      </c>
      <c r="H1709" s="378">
        <v>0</v>
      </c>
      <c r="I1709" s="378">
        <v>92400</v>
      </c>
      <c r="J1709">
        <f t="shared" si="30"/>
        <v>6</v>
      </c>
    </row>
    <row r="1710" spans="1:10" ht="15" customHeight="1" x14ac:dyDescent="0.25">
      <c r="A1710" s="380">
        <v>520468</v>
      </c>
      <c r="B1710" s="381" t="s">
        <v>315</v>
      </c>
      <c r="C1710" s="381" t="s">
        <v>1319</v>
      </c>
      <c r="D1710" s="381" t="s">
        <v>753</v>
      </c>
      <c r="E1710" s="381" t="s">
        <v>754</v>
      </c>
      <c r="F1710" s="378">
        <v>18500</v>
      </c>
      <c r="G1710" s="378">
        <v>0</v>
      </c>
      <c r="H1710" s="378">
        <v>0</v>
      </c>
      <c r="I1710" s="378">
        <v>18500</v>
      </c>
      <c r="J1710">
        <f t="shared" ref="J1710:J1735" si="31">+LEN(A1710)</f>
        <v>6</v>
      </c>
    </row>
    <row r="1711" spans="1:10" ht="15" customHeight="1" x14ac:dyDescent="0.25">
      <c r="A1711" s="380">
        <v>520468</v>
      </c>
      <c r="B1711" s="381" t="s">
        <v>315</v>
      </c>
      <c r="C1711" s="381" t="s">
        <v>1319</v>
      </c>
      <c r="D1711" s="381" t="s">
        <v>1200</v>
      </c>
      <c r="E1711" s="381" t="s">
        <v>1201</v>
      </c>
      <c r="F1711" s="378">
        <v>162000</v>
      </c>
      <c r="G1711" s="378">
        <v>44100</v>
      </c>
      <c r="H1711" s="378">
        <v>0</v>
      </c>
      <c r="I1711" s="378">
        <v>206100</v>
      </c>
      <c r="J1711">
        <f t="shared" si="31"/>
        <v>6</v>
      </c>
    </row>
    <row r="1712" spans="1:10" ht="15" customHeight="1" x14ac:dyDescent="0.25">
      <c r="A1712" s="380">
        <v>520468</v>
      </c>
      <c r="B1712" s="381" t="s">
        <v>315</v>
      </c>
      <c r="C1712" s="381" t="s">
        <v>1319</v>
      </c>
      <c r="D1712" s="381" t="s">
        <v>786</v>
      </c>
      <c r="E1712" s="381" t="s">
        <v>787</v>
      </c>
      <c r="F1712" s="378">
        <v>267300</v>
      </c>
      <c r="G1712" s="378">
        <v>60500</v>
      </c>
      <c r="H1712" s="378">
        <v>0</v>
      </c>
      <c r="I1712" s="378">
        <v>327800</v>
      </c>
      <c r="J1712">
        <f t="shared" si="31"/>
        <v>6</v>
      </c>
    </row>
    <row r="1713" spans="1:10" ht="15" customHeight="1" x14ac:dyDescent="0.25">
      <c r="A1713" s="380">
        <v>520468</v>
      </c>
      <c r="B1713" s="381" t="s">
        <v>315</v>
      </c>
      <c r="C1713" s="381" t="s">
        <v>1319</v>
      </c>
      <c r="D1713" s="381" t="s">
        <v>1224</v>
      </c>
      <c r="E1713" s="381" t="s">
        <v>1225</v>
      </c>
      <c r="F1713" s="378">
        <v>202700</v>
      </c>
      <c r="G1713" s="378">
        <v>52700</v>
      </c>
      <c r="H1713" s="378">
        <v>0</v>
      </c>
      <c r="I1713" s="378">
        <v>255400</v>
      </c>
      <c r="J1713">
        <f t="shared" si="31"/>
        <v>6</v>
      </c>
    </row>
    <row r="1714" spans="1:10" ht="15" customHeight="1" x14ac:dyDescent="0.25">
      <c r="A1714" s="380">
        <v>520468</v>
      </c>
      <c r="B1714" s="381" t="s">
        <v>315</v>
      </c>
      <c r="C1714" s="381" t="s">
        <v>1319</v>
      </c>
      <c r="D1714" s="381" t="s">
        <v>1226</v>
      </c>
      <c r="E1714" s="381" t="s">
        <v>1227</v>
      </c>
      <c r="F1714" s="378">
        <v>11200</v>
      </c>
      <c r="G1714" s="378">
        <v>0</v>
      </c>
      <c r="H1714" s="378">
        <v>0</v>
      </c>
      <c r="I1714" s="378">
        <v>11200</v>
      </c>
      <c r="J1714">
        <f t="shared" si="31"/>
        <v>6</v>
      </c>
    </row>
    <row r="1715" spans="1:10" ht="15" customHeight="1" x14ac:dyDescent="0.25">
      <c r="A1715" s="380">
        <v>520468</v>
      </c>
      <c r="B1715" s="381" t="s">
        <v>315</v>
      </c>
      <c r="C1715" s="381" t="s">
        <v>1319</v>
      </c>
      <c r="D1715" s="381" t="s">
        <v>1202</v>
      </c>
      <c r="E1715" s="381" t="s">
        <v>1203</v>
      </c>
      <c r="F1715" s="378">
        <v>42600</v>
      </c>
      <c r="G1715" s="378">
        <v>41300</v>
      </c>
      <c r="H1715" s="378">
        <v>0</v>
      </c>
      <c r="I1715" s="378">
        <v>83900</v>
      </c>
      <c r="J1715">
        <f t="shared" si="31"/>
        <v>6</v>
      </c>
    </row>
    <row r="1716" spans="1:10" ht="15" customHeight="1" x14ac:dyDescent="0.25">
      <c r="A1716" s="380">
        <v>520468</v>
      </c>
      <c r="B1716" s="381" t="s">
        <v>315</v>
      </c>
      <c r="C1716" s="381" t="s">
        <v>1319</v>
      </c>
      <c r="D1716" s="381" t="s">
        <v>1228</v>
      </c>
      <c r="E1716" s="381" t="s">
        <v>1229</v>
      </c>
      <c r="F1716" s="378">
        <v>44100</v>
      </c>
      <c r="G1716" s="378">
        <v>30200</v>
      </c>
      <c r="H1716" s="378">
        <v>0</v>
      </c>
      <c r="I1716" s="378">
        <v>74300</v>
      </c>
      <c r="J1716">
        <f t="shared" si="31"/>
        <v>6</v>
      </c>
    </row>
    <row r="1717" spans="1:10" ht="15" customHeight="1" x14ac:dyDescent="0.25">
      <c r="A1717" s="380">
        <v>520468</v>
      </c>
      <c r="B1717" s="381" t="s">
        <v>315</v>
      </c>
      <c r="C1717" s="381" t="s">
        <v>1319</v>
      </c>
      <c r="D1717" s="381" t="s">
        <v>1086</v>
      </c>
      <c r="E1717" s="381" t="s">
        <v>1087</v>
      </c>
      <c r="F1717" s="378">
        <v>186000</v>
      </c>
      <c r="G1717" s="378">
        <v>41500</v>
      </c>
      <c r="H1717" s="378">
        <v>0</v>
      </c>
      <c r="I1717" s="378">
        <v>227500</v>
      </c>
      <c r="J1717">
        <f t="shared" si="31"/>
        <v>6</v>
      </c>
    </row>
    <row r="1718" spans="1:10" ht="15" customHeight="1" x14ac:dyDescent="0.25">
      <c r="A1718" s="380">
        <v>520468</v>
      </c>
      <c r="B1718" s="381" t="s">
        <v>315</v>
      </c>
      <c r="C1718" s="381" t="s">
        <v>1319</v>
      </c>
      <c r="D1718" s="381" t="s">
        <v>404</v>
      </c>
      <c r="E1718" s="381" t="s">
        <v>1230</v>
      </c>
      <c r="F1718" s="378">
        <v>77200</v>
      </c>
      <c r="G1718" s="378">
        <v>37100</v>
      </c>
      <c r="H1718" s="378">
        <v>0</v>
      </c>
      <c r="I1718" s="378">
        <v>114300</v>
      </c>
      <c r="J1718">
        <f t="shared" si="31"/>
        <v>6</v>
      </c>
    </row>
    <row r="1719" spans="1:10" ht="15" customHeight="1" x14ac:dyDescent="0.25">
      <c r="A1719" s="380">
        <v>520468</v>
      </c>
      <c r="B1719" s="381" t="s">
        <v>315</v>
      </c>
      <c r="C1719" s="381" t="s">
        <v>1319</v>
      </c>
      <c r="D1719" s="381" t="s">
        <v>1204</v>
      </c>
      <c r="E1719" s="381" t="s">
        <v>1205</v>
      </c>
      <c r="F1719" s="378">
        <v>48400</v>
      </c>
      <c r="G1719" s="378">
        <v>37800</v>
      </c>
      <c r="H1719" s="378">
        <v>0</v>
      </c>
      <c r="I1719" s="378">
        <v>86200</v>
      </c>
      <c r="J1719">
        <f t="shared" si="31"/>
        <v>6</v>
      </c>
    </row>
    <row r="1720" spans="1:10" ht="15" customHeight="1" x14ac:dyDescent="0.25">
      <c r="A1720" s="380">
        <v>520468</v>
      </c>
      <c r="B1720" s="381" t="s">
        <v>315</v>
      </c>
      <c r="C1720" s="381" t="s">
        <v>1319</v>
      </c>
      <c r="D1720" s="381" t="s">
        <v>1231</v>
      </c>
      <c r="E1720" s="381" t="s">
        <v>1232</v>
      </c>
      <c r="F1720" s="378">
        <v>40100</v>
      </c>
      <c r="G1720" s="378">
        <v>0</v>
      </c>
      <c r="H1720" s="378">
        <v>0</v>
      </c>
      <c r="I1720" s="378">
        <v>40100</v>
      </c>
      <c r="J1720">
        <f t="shared" si="31"/>
        <v>6</v>
      </c>
    </row>
    <row r="1721" spans="1:10" ht="15" customHeight="1" x14ac:dyDescent="0.25">
      <c r="A1721" s="380">
        <v>520468</v>
      </c>
      <c r="B1721" s="381" t="s">
        <v>315</v>
      </c>
      <c r="C1721" s="381" t="s">
        <v>1319</v>
      </c>
      <c r="D1721" s="381" t="s">
        <v>788</v>
      </c>
      <c r="E1721" s="381" t="s">
        <v>789</v>
      </c>
      <c r="F1721" s="378">
        <v>352200</v>
      </c>
      <c r="G1721" s="378">
        <v>69900</v>
      </c>
      <c r="H1721" s="378">
        <v>0</v>
      </c>
      <c r="I1721" s="378">
        <v>422100</v>
      </c>
      <c r="J1721">
        <f t="shared" si="31"/>
        <v>6</v>
      </c>
    </row>
    <row r="1722" spans="1:10" ht="15" customHeight="1" x14ac:dyDescent="0.25">
      <c r="A1722" s="380">
        <v>520468</v>
      </c>
      <c r="B1722" s="381" t="s">
        <v>315</v>
      </c>
      <c r="C1722" s="381" t="s">
        <v>1319</v>
      </c>
      <c r="D1722" s="381" t="s">
        <v>1206</v>
      </c>
      <c r="E1722" s="381" t="s">
        <v>1207</v>
      </c>
      <c r="F1722" s="378">
        <v>177500</v>
      </c>
      <c r="G1722" s="378">
        <v>46800</v>
      </c>
      <c r="H1722" s="378">
        <v>0</v>
      </c>
      <c r="I1722" s="378">
        <v>224300</v>
      </c>
      <c r="J1722">
        <f t="shared" si="31"/>
        <v>6</v>
      </c>
    </row>
    <row r="1723" spans="1:10" ht="15" customHeight="1" x14ac:dyDescent="0.25">
      <c r="A1723" s="380">
        <v>520468</v>
      </c>
      <c r="B1723" s="381" t="s">
        <v>315</v>
      </c>
      <c r="C1723" s="381" t="s">
        <v>1319</v>
      </c>
      <c r="D1723" s="381" t="s">
        <v>1088</v>
      </c>
      <c r="E1723" s="381" t="s">
        <v>1089</v>
      </c>
      <c r="F1723" s="378">
        <v>108000</v>
      </c>
      <c r="G1723" s="378">
        <v>9400</v>
      </c>
      <c r="H1723" s="378">
        <v>0</v>
      </c>
      <c r="I1723" s="378">
        <v>117400</v>
      </c>
      <c r="J1723">
        <f t="shared" si="31"/>
        <v>6</v>
      </c>
    </row>
    <row r="1724" spans="1:10" ht="15" customHeight="1" x14ac:dyDescent="0.25">
      <c r="A1724" s="380">
        <v>520468</v>
      </c>
      <c r="B1724" s="381" t="s">
        <v>315</v>
      </c>
      <c r="C1724" s="381" t="s">
        <v>1319</v>
      </c>
      <c r="D1724" s="381" t="s">
        <v>776</v>
      </c>
      <c r="E1724" s="381" t="s">
        <v>777</v>
      </c>
      <c r="F1724" s="378">
        <v>243800</v>
      </c>
      <c r="G1724" s="378">
        <v>31300</v>
      </c>
      <c r="H1724" s="378">
        <v>0</v>
      </c>
      <c r="I1724" s="378">
        <v>275100</v>
      </c>
      <c r="J1724">
        <f t="shared" si="31"/>
        <v>6</v>
      </c>
    </row>
    <row r="1725" spans="1:10" ht="15" customHeight="1" x14ac:dyDescent="0.25">
      <c r="A1725" s="380">
        <v>520468</v>
      </c>
      <c r="B1725" s="381" t="s">
        <v>315</v>
      </c>
      <c r="C1725" s="381" t="s">
        <v>1319</v>
      </c>
      <c r="D1725" s="381" t="s">
        <v>790</v>
      </c>
      <c r="E1725" s="381" t="s">
        <v>791</v>
      </c>
      <c r="F1725" s="378">
        <v>223300</v>
      </c>
      <c r="G1725" s="378">
        <v>50900</v>
      </c>
      <c r="H1725" s="378">
        <v>0</v>
      </c>
      <c r="I1725" s="378">
        <v>274200</v>
      </c>
      <c r="J1725">
        <f t="shared" si="31"/>
        <v>6</v>
      </c>
    </row>
    <row r="1726" spans="1:10" ht="15" customHeight="1" x14ac:dyDescent="0.25">
      <c r="A1726" s="380">
        <v>520468</v>
      </c>
      <c r="B1726" s="381" t="s">
        <v>315</v>
      </c>
      <c r="C1726" s="381" t="s">
        <v>1319</v>
      </c>
      <c r="D1726" s="381" t="s">
        <v>1233</v>
      </c>
      <c r="E1726" s="381" t="s">
        <v>1234</v>
      </c>
      <c r="F1726" s="378">
        <v>141100</v>
      </c>
      <c r="G1726" s="378">
        <v>0</v>
      </c>
      <c r="H1726" s="378">
        <v>0</v>
      </c>
      <c r="I1726" s="378">
        <v>141100</v>
      </c>
      <c r="J1726">
        <f t="shared" si="31"/>
        <v>6</v>
      </c>
    </row>
    <row r="1727" spans="1:10" ht="15" customHeight="1" x14ac:dyDescent="0.25">
      <c r="A1727" s="380">
        <v>520468</v>
      </c>
      <c r="B1727" s="381" t="s">
        <v>315</v>
      </c>
      <c r="C1727" s="381" t="s">
        <v>1319</v>
      </c>
      <c r="D1727" s="381" t="s">
        <v>1235</v>
      </c>
      <c r="E1727" s="381" t="s">
        <v>1236</v>
      </c>
      <c r="F1727" s="378">
        <v>17400</v>
      </c>
      <c r="G1727" s="378">
        <v>0</v>
      </c>
      <c r="H1727" s="378">
        <v>0</v>
      </c>
      <c r="I1727" s="378">
        <v>17400</v>
      </c>
      <c r="J1727">
        <f t="shared" si="31"/>
        <v>6</v>
      </c>
    </row>
    <row r="1728" spans="1:10" ht="15" customHeight="1" x14ac:dyDescent="0.25">
      <c r="A1728" s="380">
        <v>520468</v>
      </c>
      <c r="B1728" s="381" t="s">
        <v>315</v>
      </c>
      <c r="C1728" s="381" t="s">
        <v>1319</v>
      </c>
      <c r="D1728" s="381" t="s">
        <v>1208</v>
      </c>
      <c r="E1728" s="381" t="s">
        <v>1209</v>
      </c>
      <c r="F1728" s="378">
        <v>198300</v>
      </c>
      <c r="G1728" s="378">
        <v>42900</v>
      </c>
      <c r="H1728" s="378">
        <v>0</v>
      </c>
      <c r="I1728" s="378">
        <v>241200</v>
      </c>
      <c r="J1728">
        <f t="shared" si="31"/>
        <v>6</v>
      </c>
    </row>
    <row r="1729" spans="1:10" ht="15" customHeight="1" x14ac:dyDescent="0.25">
      <c r="A1729" s="380">
        <v>520468</v>
      </c>
      <c r="B1729" s="381" t="s">
        <v>315</v>
      </c>
      <c r="C1729" s="381" t="s">
        <v>1319</v>
      </c>
      <c r="D1729" s="381" t="s">
        <v>1237</v>
      </c>
      <c r="E1729" s="381" t="s">
        <v>1238</v>
      </c>
      <c r="F1729" s="378">
        <v>54800</v>
      </c>
      <c r="G1729" s="378">
        <v>48100</v>
      </c>
      <c r="H1729" s="378">
        <v>0</v>
      </c>
      <c r="I1729" s="378">
        <v>102900</v>
      </c>
      <c r="J1729">
        <f t="shared" si="31"/>
        <v>6</v>
      </c>
    </row>
    <row r="1730" spans="1:10" ht="15" customHeight="1" x14ac:dyDescent="0.25">
      <c r="A1730" s="380">
        <v>520468</v>
      </c>
      <c r="B1730" s="381" t="s">
        <v>315</v>
      </c>
      <c r="C1730" s="381" t="s">
        <v>1319</v>
      </c>
      <c r="D1730" s="381" t="s">
        <v>1239</v>
      </c>
      <c r="E1730" s="381" t="s">
        <v>1240</v>
      </c>
      <c r="F1730" s="378">
        <v>211800</v>
      </c>
      <c r="G1730" s="378">
        <v>0</v>
      </c>
      <c r="H1730" s="378">
        <v>0</v>
      </c>
      <c r="I1730" s="378">
        <v>211800</v>
      </c>
      <c r="J1730">
        <f t="shared" si="31"/>
        <v>6</v>
      </c>
    </row>
    <row r="1731" spans="1:10" ht="15" customHeight="1" x14ac:dyDescent="0.25">
      <c r="A1731" s="380">
        <v>520468</v>
      </c>
      <c r="B1731" s="381" t="s">
        <v>315</v>
      </c>
      <c r="C1731" s="381" t="s">
        <v>1319</v>
      </c>
      <c r="D1731" s="381" t="s">
        <v>1248</v>
      </c>
      <c r="E1731" s="381" t="s">
        <v>1249</v>
      </c>
      <c r="F1731" s="378">
        <v>1800</v>
      </c>
      <c r="G1731" s="378">
        <v>0</v>
      </c>
      <c r="H1731" s="378">
        <v>0</v>
      </c>
      <c r="I1731" s="378">
        <v>1800</v>
      </c>
      <c r="J1731">
        <f t="shared" si="31"/>
        <v>6</v>
      </c>
    </row>
    <row r="1732" spans="1:10" ht="15" customHeight="1" x14ac:dyDescent="0.25">
      <c r="A1732" s="380">
        <v>520468</v>
      </c>
      <c r="B1732" s="381" t="s">
        <v>315</v>
      </c>
      <c r="C1732" s="381" t="s">
        <v>1319</v>
      </c>
      <c r="D1732" s="381" t="s">
        <v>1210</v>
      </c>
      <c r="E1732" s="381" t="s">
        <v>1211</v>
      </c>
      <c r="F1732" s="378">
        <v>199400</v>
      </c>
      <c r="G1732" s="378">
        <v>37000</v>
      </c>
      <c r="H1732" s="378">
        <v>0</v>
      </c>
      <c r="I1732" s="378">
        <v>236400</v>
      </c>
      <c r="J1732">
        <f t="shared" si="31"/>
        <v>6</v>
      </c>
    </row>
    <row r="1733" spans="1:10" ht="15" customHeight="1" x14ac:dyDescent="0.25">
      <c r="A1733" s="380">
        <v>520468</v>
      </c>
      <c r="B1733" s="381" t="s">
        <v>315</v>
      </c>
      <c r="C1733" s="381" t="s">
        <v>1319</v>
      </c>
      <c r="D1733" s="381" t="s">
        <v>1090</v>
      </c>
      <c r="E1733" s="381" t="s">
        <v>1091</v>
      </c>
      <c r="F1733" s="378">
        <v>131500</v>
      </c>
      <c r="G1733" s="378">
        <v>60300</v>
      </c>
      <c r="H1733" s="378">
        <v>0</v>
      </c>
      <c r="I1733" s="378">
        <v>191800</v>
      </c>
      <c r="J1733">
        <f t="shared" si="31"/>
        <v>6</v>
      </c>
    </row>
    <row r="1734" spans="1:10" ht="15" customHeight="1" x14ac:dyDescent="0.25">
      <c r="A1734" s="380">
        <v>520468</v>
      </c>
      <c r="B1734" s="381" t="s">
        <v>315</v>
      </c>
      <c r="C1734" s="381" t="s">
        <v>1319</v>
      </c>
      <c r="D1734" s="381" t="s">
        <v>1241</v>
      </c>
      <c r="E1734" s="381" t="s">
        <v>1242</v>
      </c>
      <c r="F1734" s="378">
        <v>70600</v>
      </c>
      <c r="G1734" s="378">
        <v>38000</v>
      </c>
      <c r="H1734" s="378">
        <v>0</v>
      </c>
      <c r="I1734" s="378">
        <v>108600</v>
      </c>
      <c r="J1734">
        <f t="shared" si="31"/>
        <v>6</v>
      </c>
    </row>
    <row r="1735" spans="1:10" ht="15" customHeight="1" x14ac:dyDescent="0.25">
      <c r="A1735" s="380">
        <v>520468</v>
      </c>
      <c r="B1735" s="381" t="s">
        <v>315</v>
      </c>
      <c r="C1735" s="381" t="s">
        <v>1319</v>
      </c>
      <c r="D1735" s="381" t="s">
        <v>792</v>
      </c>
      <c r="E1735" s="381" t="s">
        <v>793</v>
      </c>
      <c r="F1735" s="378">
        <v>219700</v>
      </c>
      <c r="G1735" s="378">
        <v>53300</v>
      </c>
      <c r="H1735" s="378">
        <v>0</v>
      </c>
      <c r="I1735" s="378">
        <v>273000</v>
      </c>
      <c r="J1735">
        <f t="shared" si="31"/>
        <v>6</v>
      </c>
    </row>
    <row r="1736" spans="1:10" ht="15" customHeight="1" x14ac:dyDescent="0.25">
      <c r="A1736" s="380">
        <v>520468</v>
      </c>
      <c r="B1736" s="381" t="s">
        <v>315</v>
      </c>
      <c r="C1736" s="381" t="s">
        <v>1319</v>
      </c>
      <c r="D1736" s="381" t="s">
        <v>794</v>
      </c>
      <c r="E1736" s="381" t="s">
        <v>795</v>
      </c>
      <c r="F1736" s="378">
        <v>234000</v>
      </c>
      <c r="G1736" s="378">
        <v>50800</v>
      </c>
      <c r="H1736" s="378">
        <v>0</v>
      </c>
      <c r="I1736" s="378">
        <v>284800</v>
      </c>
      <c r="J1736">
        <f t="shared" ref="J1736:J1767" si="32">+LEN(A1736)</f>
        <v>6</v>
      </c>
    </row>
    <row r="1737" spans="1:10" ht="15" customHeight="1" x14ac:dyDescent="0.25">
      <c r="A1737" s="380">
        <v>520468</v>
      </c>
      <c r="B1737" s="381" t="s">
        <v>315</v>
      </c>
      <c r="C1737" s="381" t="s">
        <v>1319</v>
      </c>
      <c r="D1737" s="381" t="s">
        <v>1212</v>
      </c>
      <c r="E1737" s="381" t="s">
        <v>1213</v>
      </c>
      <c r="F1737" s="378">
        <v>0</v>
      </c>
      <c r="G1737" s="378">
        <v>25500</v>
      </c>
      <c r="H1737" s="378">
        <v>0</v>
      </c>
      <c r="I1737" s="378">
        <v>25500</v>
      </c>
      <c r="J1737">
        <f t="shared" si="32"/>
        <v>6</v>
      </c>
    </row>
    <row r="1738" spans="1:10" ht="15" customHeight="1" x14ac:dyDescent="0.25">
      <c r="A1738" s="380">
        <v>520468</v>
      </c>
      <c r="B1738" s="381" t="s">
        <v>315</v>
      </c>
      <c r="C1738" s="381" t="s">
        <v>1319</v>
      </c>
      <c r="D1738" s="381" t="s">
        <v>1092</v>
      </c>
      <c r="E1738" s="381" t="s">
        <v>1093</v>
      </c>
      <c r="F1738" s="378">
        <v>242600</v>
      </c>
      <c r="G1738" s="378">
        <v>9200</v>
      </c>
      <c r="H1738" s="378">
        <v>0</v>
      </c>
      <c r="I1738" s="378">
        <v>251800</v>
      </c>
      <c r="J1738">
        <f t="shared" si="32"/>
        <v>6</v>
      </c>
    </row>
    <row r="1739" spans="1:10" ht="15" customHeight="1" x14ac:dyDescent="0.25">
      <c r="A1739" s="380">
        <v>520468</v>
      </c>
      <c r="B1739" s="381" t="s">
        <v>315</v>
      </c>
      <c r="C1739" s="381" t="s">
        <v>1319</v>
      </c>
      <c r="D1739" s="381" t="s">
        <v>1243</v>
      </c>
      <c r="E1739" s="381" t="s">
        <v>1244</v>
      </c>
      <c r="F1739" s="378">
        <v>110900</v>
      </c>
      <c r="G1739" s="378">
        <v>0</v>
      </c>
      <c r="H1739" s="378">
        <v>0</v>
      </c>
      <c r="I1739" s="378">
        <v>110900</v>
      </c>
      <c r="J1739">
        <f t="shared" si="32"/>
        <v>6</v>
      </c>
    </row>
    <row r="1740" spans="1:10" ht="15" customHeight="1" x14ac:dyDescent="0.25">
      <c r="A1740" s="380">
        <v>520468</v>
      </c>
      <c r="B1740" s="381" t="s">
        <v>315</v>
      </c>
      <c r="C1740" s="381" t="s">
        <v>1319</v>
      </c>
      <c r="D1740" s="381" t="s">
        <v>1214</v>
      </c>
      <c r="E1740" s="381" t="s">
        <v>1489</v>
      </c>
      <c r="F1740" s="378">
        <v>235600</v>
      </c>
      <c r="G1740" s="378">
        <v>53300</v>
      </c>
      <c r="H1740" s="378">
        <v>0</v>
      </c>
      <c r="I1740" s="378">
        <v>288900</v>
      </c>
      <c r="J1740">
        <f t="shared" si="32"/>
        <v>6</v>
      </c>
    </row>
    <row r="1741" spans="1:10" ht="15" customHeight="1" x14ac:dyDescent="0.25">
      <c r="A1741" s="380">
        <v>520468</v>
      </c>
      <c r="B1741" s="381" t="s">
        <v>315</v>
      </c>
      <c r="C1741" s="381" t="s">
        <v>1319</v>
      </c>
      <c r="D1741" s="381" t="s">
        <v>1094</v>
      </c>
      <c r="E1741" s="381" t="s">
        <v>1095</v>
      </c>
      <c r="F1741" s="378">
        <v>177200</v>
      </c>
      <c r="G1741" s="378">
        <v>36700</v>
      </c>
      <c r="H1741" s="378">
        <v>0</v>
      </c>
      <c r="I1741" s="378">
        <v>213900</v>
      </c>
      <c r="J1741">
        <f t="shared" si="32"/>
        <v>6</v>
      </c>
    </row>
    <row r="1742" spans="1:10" ht="15" customHeight="1" x14ac:dyDescent="0.25">
      <c r="A1742" s="380">
        <v>520469</v>
      </c>
      <c r="B1742" s="381" t="s">
        <v>315</v>
      </c>
      <c r="C1742" s="381" t="s">
        <v>1320</v>
      </c>
      <c r="D1742" s="381" t="s">
        <v>315</v>
      </c>
      <c r="E1742" s="381" t="s">
        <v>315</v>
      </c>
      <c r="F1742" s="378">
        <v>5720</v>
      </c>
      <c r="G1742" s="378">
        <v>0</v>
      </c>
      <c r="H1742" s="378">
        <v>0</v>
      </c>
      <c r="I1742" s="378">
        <v>5720</v>
      </c>
      <c r="J1742">
        <f t="shared" si="32"/>
        <v>6</v>
      </c>
    </row>
    <row r="1743" spans="1:10" ht="15" customHeight="1" x14ac:dyDescent="0.25">
      <c r="A1743" s="380">
        <v>520469</v>
      </c>
      <c r="B1743" s="381" t="s">
        <v>315</v>
      </c>
      <c r="C1743" s="381" t="s">
        <v>1320</v>
      </c>
      <c r="D1743" s="381" t="s">
        <v>1246</v>
      </c>
      <c r="E1743" s="381" t="s">
        <v>1247</v>
      </c>
      <c r="F1743" s="378">
        <v>972</v>
      </c>
      <c r="G1743" s="378">
        <v>0</v>
      </c>
      <c r="H1743" s="378">
        <v>0</v>
      </c>
      <c r="I1743" s="378">
        <v>972</v>
      </c>
      <c r="J1743">
        <f t="shared" si="32"/>
        <v>6</v>
      </c>
    </row>
    <row r="1744" spans="1:10" ht="15" customHeight="1" x14ac:dyDescent="0.25">
      <c r="A1744" s="380">
        <v>520469</v>
      </c>
      <c r="B1744" s="381" t="s">
        <v>315</v>
      </c>
      <c r="C1744" s="381" t="s">
        <v>1320</v>
      </c>
      <c r="D1744" s="381" t="s">
        <v>1194</v>
      </c>
      <c r="E1744" s="381" t="s">
        <v>1195</v>
      </c>
      <c r="F1744" s="378">
        <v>68</v>
      </c>
      <c r="G1744" s="378">
        <v>0</v>
      </c>
      <c r="H1744" s="378">
        <v>0</v>
      </c>
      <c r="I1744" s="378">
        <v>68</v>
      </c>
      <c r="J1744">
        <f t="shared" si="32"/>
        <v>6</v>
      </c>
    </row>
    <row r="1745" spans="1:10" ht="15" customHeight="1" x14ac:dyDescent="0.25">
      <c r="A1745" s="380">
        <v>520469</v>
      </c>
      <c r="B1745" s="381" t="s">
        <v>315</v>
      </c>
      <c r="C1745" s="381" t="s">
        <v>1320</v>
      </c>
      <c r="D1745" s="381" t="s">
        <v>1219</v>
      </c>
      <c r="E1745" s="381" t="s">
        <v>1220</v>
      </c>
      <c r="F1745" s="378">
        <v>67</v>
      </c>
      <c r="G1745" s="378">
        <v>0</v>
      </c>
      <c r="H1745" s="378">
        <v>0</v>
      </c>
      <c r="I1745" s="378">
        <v>67</v>
      </c>
      <c r="J1745">
        <f t="shared" si="32"/>
        <v>6</v>
      </c>
    </row>
    <row r="1746" spans="1:10" ht="15" customHeight="1" x14ac:dyDescent="0.25">
      <c r="A1746" s="380">
        <v>520469</v>
      </c>
      <c r="B1746" s="381" t="s">
        <v>315</v>
      </c>
      <c r="C1746" s="381" t="s">
        <v>1320</v>
      </c>
      <c r="D1746" s="381" t="s">
        <v>774</v>
      </c>
      <c r="E1746" s="381" t="s">
        <v>775</v>
      </c>
      <c r="F1746" s="378">
        <v>5</v>
      </c>
      <c r="G1746" s="378">
        <v>0</v>
      </c>
      <c r="H1746" s="378">
        <v>0</v>
      </c>
      <c r="I1746" s="378">
        <v>5</v>
      </c>
      <c r="J1746">
        <f t="shared" si="32"/>
        <v>6</v>
      </c>
    </row>
    <row r="1747" spans="1:10" ht="15" customHeight="1" x14ac:dyDescent="0.25">
      <c r="A1747" s="380">
        <v>520469</v>
      </c>
      <c r="B1747" s="381" t="s">
        <v>315</v>
      </c>
      <c r="C1747" s="381" t="s">
        <v>1320</v>
      </c>
      <c r="D1747" s="381" t="s">
        <v>1196</v>
      </c>
      <c r="E1747" s="381" t="s">
        <v>1197</v>
      </c>
      <c r="F1747" s="378">
        <v>21</v>
      </c>
      <c r="G1747" s="378">
        <v>0</v>
      </c>
      <c r="H1747" s="378">
        <v>0</v>
      </c>
      <c r="I1747" s="378">
        <v>21</v>
      </c>
      <c r="J1747">
        <f t="shared" si="32"/>
        <v>6</v>
      </c>
    </row>
    <row r="1748" spans="1:10" ht="15" customHeight="1" x14ac:dyDescent="0.25">
      <c r="A1748" s="380">
        <v>520469</v>
      </c>
      <c r="B1748" s="381" t="s">
        <v>315</v>
      </c>
      <c r="C1748" s="381" t="s">
        <v>1320</v>
      </c>
      <c r="D1748" s="381" t="s">
        <v>781</v>
      </c>
      <c r="E1748" s="381" t="s">
        <v>782</v>
      </c>
      <c r="F1748" s="378">
        <v>98</v>
      </c>
      <c r="G1748" s="378">
        <v>0</v>
      </c>
      <c r="H1748" s="378">
        <v>0</v>
      </c>
      <c r="I1748" s="378">
        <v>98</v>
      </c>
      <c r="J1748">
        <f t="shared" si="32"/>
        <v>6</v>
      </c>
    </row>
    <row r="1749" spans="1:10" ht="15" customHeight="1" x14ac:dyDescent="0.25">
      <c r="A1749" s="380">
        <v>520469</v>
      </c>
      <c r="B1749" s="381" t="s">
        <v>315</v>
      </c>
      <c r="C1749" s="381" t="s">
        <v>1320</v>
      </c>
      <c r="D1749" s="381" t="s">
        <v>783</v>
      </c>
      <c r="E1749" s="381" t="s">
        <v>784</v>
      </c>
      <c r="F1749" s="378">
        <v>6</v>
      </c>
      <c r="G1749" s="378">
        <v>0</v>
      </c>
      <c r="H1749" s="378">
        <v>0</v>
      </c>
      <c r="I1749" s="378">
        <v>6</v>
      </c>
      <c r="J1749">
        <f t="shared" si="32"/>
        <v>6</v>
      </c>
    </row>
    <row r="1750" spans="1:10" ht="15" customHeight="1" x14ac:dyDescent="0.25">
      <c r="A1750" s="380">
        <v>520469</v>
      </c>
      <c r="B1750" s="381" t="s">
        <v>315</v>
      </c>
      <c r="C1750" s="381" t="s">
        <v>1320</v>
      </c>
      <c r="D1750" s="381" t="s">
        <v>797</v>
      </c>
      <c r="E1750" s="381" t="s">
        <v>798</v>
      </c>
      <c r="F1750" s="378">
        <v>3</v>
      </c>
      <c r="G1750" s="378">
        <v>0</v>
      </c>
      <c r="H1750" s="378">
        <v>0</v>
      </c>
      <c r="I1750" s="378">
        <v>3</v>
      </c>
      <c r="J1750">
        <f t="shared" si="32"/>
        <v>6</v>
      </c>
    </row>
    <row r="1751" spans="1:10" ht="15" customHeight="1" x14ac:dyDescent="0.25">
      <c r="A1751" s="380">
        <v>520469</v>
      </c>
      <c r="B1751" s="381" t="s">
        <v>315</v>
      </c>
      <c r="C1751" s="381" t="s">
        <v>1320</v>
      </c>
      <c r="D1751" s="381" t="s">
        <v>1221</v>
      </c>
      <c r="E1751" s="381" t="s">
        <v>1494</v>
      </c>
      <c r="F1751" s="378">
        <v>46</v>
      </c>
      <c r="G1751" s="378">
        <v>0</v>
      </c>
      <c r="H1751" s="378">
        <v>0</v>
      </c>
      <c r="I1751" s="378">
        <v>46</v>
      </c>
      <c r="J1751">
        <f t="shared" si="32"/>
        <v>6</v>
      </c>
    </row>
    <row r="1752" spans="1:10" ht="15" customHeight="1" x14ac:dyDescent="0.25">
      <c r="A1752" s="380">
        <v>520469</v>
      </c>
      <c r="B1752" s="381" t="s">
        <v>315</v>
      </c>
      <c r="C1752" s="381" t="s">
        <v>1320</v>
      </c>
      <c r="D1752" s="381" t="s">
        <v>753</v>
      </c>
      <c r="E1752" s="381" t="s">
        <v>754</v>
      </c>
      <c r="F1752" s="378">
        <v>2365</v>
      </c>
      <c r="G1752" s="378">
        <v>0</v>
      </c>
      <c r="H1752" s="378">
        <v>0</v>
      </c>
      <c r="I1752" s="378">
        <v>2365</v>
      </c>
      <c r="J1752">
        <f t="shared" si="32"/>
        <v>6</v>
      </c>
    </row>
    <row r="1753" spans="1:10" ht="15" customHeight="1" x14ac:dyDescent="0.25">
      <c r="A1753" s="380">
        <v>520469</v>
      </c>
      <c r="B1753" s="381" t="s">
        <v>315</v>
      </c>
      <c r="C1753" s="381" t="s">
        <v>1320</v>
      </c>
      <c r="D1753" s="381" t="s">
        <v>1200</v>
      </c>
      <c r="E1753" s="381" t="s">
        <v>1201</v>
      </c>
      <c r="F1753" s="378">
        <v>129</v>
      </c>
      <c r="G1753" s="378">
        <v>0</v>
      </c>
      <c r="H1753" s="378">
        <v>0</v>
      </c>
      <c r="I1753" s="378">
        <v>129</v>
      </c>
      <c r="J1753">
        <f t="shared" si="32"/>
        <v>6</v>
      </c>
    </row>
    <row r="1754" spans="1:10" ht="15" customHeight="1" x14ac:dyDescent="0.25">
      <c r="A1754" s="380">
        <v>520469</v>
      </c>
      <c r="B1754" s="381" t="s">
        <v>315</v>
      </c>
      <c r="C1754" s="381" t="s">
        <v>1320</v>
      </c>
      <c r="D1754" s="381" t="s">
        <v>786</v>
      </c>
      <c r="E1754" s="381" t="s">
        <v>787</v>
      </c>
      <c r="F1754" s="378">
        <v>56</v>
      </c>
      <c r="G1754" s="378">
        <v>0</v>
      </c>
      <c r="H1754" s="378">
        <v>0</v>
      </c>
      <c r="I1754" s="378">
        <v>56</v>
      </c>
      <c r="J1754">
        <f t="shared" si="32"/>
        <v>6</v>
      </c>
    </row>
    <row r="1755" spans="1:10" ht="15" customHeight="1" x14ac:dyDescent="0.25">
      <c r="A1755" s="380">
        <v>520469</v>
      </c>
      <c r="B1755" s="381" t="s">
        <v>315</v>
      </c>
      <c r="C1755" s="381" t="s">
        <v>1320</v>
      </c>
      <c r="D1755" s="381" t="s">
        <v>1224</v>
      </c>
      <c r="E1755" s="381" t="s">
        <v>1225</v>
      </c>
      <c r="F1755" s="378">
        <v>143</v>
      </c>
      <c r="G1755" s="378">
        <v>0</v>
      </c>
      <c r="H1755" s="378">
        <v>0</v>
      </c>
      <c r="I1755" s="378">
        <v>143</v>
      </c>
      <c r="J1755">
        <f t="shared" si="32"/>
        <v>6</v>
      </c>
    </row>
    <row r="1756" spans="1:10" ht="15" customHeight="1" x14ac:dyDescent="0.25">
      <c r="A1756" s="380">
        <v>520469</v>
      </c>
      <c r="B1756" s="381" t="s">
        <v>315</v>
      </c>
      <c r="C1756" s="381" t="s">
        <v>1320</v>
      </c>
      <c r="D1756" s="381" t="s">
        <v>1226</v>
      </c>
      <c r="E1756" s="381" t="s">
        <v>1227</v>
      </c>
      <c r="F1756" s="378">
        <v>19</v>
      </c>
      <c r="G1756" s="378">
        <v>0</v>
      </c>
      <c r="H1756" s="378">
        <v>0</v>
      </c>
      <c r="I1756" s="378">
        <v>19</v>
      </c>
      <c r="J1756">
        <f t="shared" si="32"/>
        <v>6</v>
      </c>
    </row>
    <row r="1757" spans="1:10" ht="15" customHeight="1" x14ac:dyDescent="0.25">
      <c r="A1757" s="380">
        <v>520469</v>
      </c>
      <c r="B1757" s="381" t="s">
        <v>315</v>
      </c>
      <c r="C1757" s="381" t="s">
        <v>1320</v>
      </c>
      <c r="D1757" s="381" t="s">
        <v>1086</v>
      </c>
      <c r="E1757" s="381" t="s">
        <v>1087</v>
      </c>
      <c r="F1757" s="378">
        <v>78</v>
      </c>
      <c r="G1757" s="378">
        <v>0</v>
      </c>
      <c r="H1757" s="378">
        <v>0</v>
      </c>
      <c r="I1757" s="378">
        <v>78</v>
      </c>
      <c r="J1757">
        <f t="shared" si="32"/>
        <v>6</v>
      </c>
    </row>
    <row r="1758" spans="1:10" ht="15" customHeight="1" x14ac:dyDescent="0.25">
      <c r="A1758" s="380">
        <v>520469</v>
      </c>
      <c r="B1758" s="381" t="s">
        <v>315</v>
      </c>
      <c r="C1758" s="381" t="s">
        <v>1320</v>
      </c>
      <c r="D1758" s="381" t="s">
        <v>1231</v>
      </c>
      <c r="E1758" s="381" t="s">
        <v>1232</v>
      </c>
      <c r="F1758" s="378">
        <v>98</v>
      </c>
      <c r="G1758" s="378">
        <v>0</v>
      </c>
      <c r="H1758" s="378">
        <v>0</v>
      </c>
      <c r="I1758" s="378">
        <v>98</v>
      </c>
      <c r="J1758">
        <f t="shared" si="32"/>
        <v>6</v>
      </c>
    </row>
    <row r="1759" spans="1:10" ht="15" customHeight="1" x14ac:dyDescent="0.25">
      <c r="A1759" s="380">
        <v>520469</v>
      </c>
      <c r="B1759" s="381" t="s">
        <v>315</v>
      </c>
      <c r="C1759" s="381" t="s">
        <v>1320</v>
      </c>
      <c r="D1759" s="381" t="s">
        <v>788</v>
      </c>
      <c r="E1759" s="381" t="s">
        <v>789</v>
      </c>
      <c r="F1759" s="378">
        <v>93</v>
      </c>
      <c r="G1759" s="378">
        <v>0</v>
      </c>
      <c r="H1759" s="378">
        <v>0</v>
      </c>
      <c r="I1759" s="378">
        <v>93</v>
      </c>
      <c r="J1759">
        <f t="shared" si="32"/>
        <v>6</v>
      </c>
    </row>
    <row r="1760" spans="1:10" ht="15" customHeight="1" x14ac:dyDescent="0.25">
      <c r="A1760" s="380">
        <v>520469</v>
      </c>
      <c r="B1760" s="381" t="s">
        <v>315</v>
      </c>
      <c r="C1760" s="381" t="s">
        <v>1320</v>
      </c>
      <c r="D1760" s="381" t="s">
        <v>776</v>
      </c>
      <c r="E1760" s="381" t="s">
        <v>777</v>
      </c>
      <c r="F1760" s="378">
        <v>55</v>
      </c>
      <c r="G1760" s="378">
        <v>0</v>
      </c>
      <c r="H1760" s="378">
        <v>0</v>
      </c>
      <c r="I1760" s="378">
        <v>55</v>
      </c>
      <c r="J1760">
        <f t="shared" si="32"/>
        <v>6</v>
      </c>
    </row>
    <row r="1761" spans="1:10" ht="15" customHeight="1" x14ac:dyDescent="0.25">
      <c r="A1761" s="380">
        <v>520469</v>
      </c>
      <c r="B1761" s="381" t="s">
        <v>315</v>
      </c>
      <c r="C1761" s="381" t="s">
        <v>1320</v>
      </c>
      <c r="D1761" s="381" t="s">
        <v>790</v>
      </c>
      <c r="E1761" s="381" t="s">
        <v>791</v>
      </c>
      <c r="F1761" s="378">
        <v>73</v>
      </c>
      <c r="G1761" s="378">
        <v>0</v>
      </c>
      <c r="H1761" s="378">
        <v>0</v>
      </c>
      <c r="I1761" s="378">
        <v>73</v>
      </c>
      <c r="J1761">
        <f t="shared" si="32"/>
        <v>6</v>
      </c>
    </row>
    <row r="1762" spans="1:10" ht="15" customHeight="1" x14ac:dyDescent="0.25">
      <c r="A1762" s="380">
        <v>520469</v>
      </c>
      <c r="B1762" s="381" t="s">
        <v>315</v>
      </c>
      <c r="C1762" s="381" t="s">
        <v>1320</v>
      </c>
      <c r="D1762" s="381" t="s">
        <v>1233</v>
      </c>
      <c r="E1762" s="381" t="s">
        <v>1234</v>
      </c>
      <c r="F1762" s="378">
        <v>7</v>
      </c>
      <c r="G1762" s="378">
        <v>0</v>
      </c>
      <c r="H1762" s="378">
        <v>0</v>
      </c>
      <c r="I1762" s="378">
        <v>7</v>
      </c>
      <c r="J1762">
        <f t="shared" si="32"/>
        <v>6</v>
      </c>
    </row>
    <row r="1763" spans="1:10" ht="15" customHeight="1" x14ac:dyDescent="0.25">
      <c r="A1763" s="380">
        <v>520469</v>
      </c>
      <c r="B1763" s="381" t="s">
        <v>315</v>
      </c>
      <c r="C1763" s="381" t="s">
        <v>1320</v>
      </c>
      <c r="D1763" s="381" t="s">
        <v>1235</v>
      </c>
      <c r="E1763" s="381" t="s">
        <v>1236</v>
      </c>
      <c r="F1763" s="378">
        <v>30</v>
      </c>
      <c r="G1763" s="378">
        <v>0</v>
      </c>
      <c r="H1763" s="378">
        <v>0</v>
      </c>
      <c r="I1763" s="378">
        <v>30</v>
      </c>
      <c r="J1763">
        <f t="shared" si="32"/>
        <v>6</v>
      </c>
    </row>
    <row r="1764" spans="1:10" ht="15" customHeight="1" x14ac:dyDescent="0.25">
      <c r="A1764" s="380">
        <v>520469</v>
      </c>
      <c r="B1764" s="381" t="s">
        <v>315</v>
      </c>
      <c r="C1764" s="381" t="s">
        <v>1320</v>
      </c>
      <c r="D1764" s="381" t="s">
        <v>1208</v>
      </c>
      <c r="E1764" s="381" t="s">
        <v>1209</v>
      </c>
      <c r="F1764" s="378">
        <v>57</v>
      </c>
      <c r="G1764" s="378">
        <v>0</v>
      </c>
      <c r="H1764" s="378">
        <v>0</v>
      </c>
      <c r="I1764" s="378">
        <v>57</v>
      </c>
      <c r="J1764">
        <f t="shared" si="32"/>
        <v>6</v>
      </c>
    </row>
    <row r="1765" spans="1:10" ht="15" customHeight="1" x14ac:dyDescent="0.25">
      <c r="A1765" s="380">
        <v>520469</v>
      </c>
      <c r="B1765" s="381" t="s">
        <v>315</v>
      </c>
      <c r="C1765" s="381" t="s">
        <v>1320</v>
      </c>
      <c r="D1765" s="381" t="s">
        <v>1239</v>
      </c>
      <c r="E1765" s="381" t="s">
        <v>1240</v>
      </c>
      <c r="F1765" s="378">
        <v>9</v>
      </c>
      <c r="G1765" s="378">
        <v>0</v>
      </c>
      <c r="H1765" s="378">
        <v>0</v>
      </c>
      <c r="I1765" s="378">
        <v>9</v>
      </c>
      <c r="J1765">
        <f t="shared" si="32"/>
        <v>6</v>
      </c>
    </row>
    <row r="1766" spans="1:10" ht="15" customHeight="1" x14ac:dyDescent="0.25">
      <c r="A1766" s="380">
        <v>520469</v>
      </c>
      <c r="B1766" s="381" t="s">
        <v>315</v>
      </c>
      <c r="C1766" s="381" t="s">
        <v>1320</v>
      </c>
      <c r="D1766" s="381" t="s">
        <v>1248</v>
      </c>
      <c r="E1766" s="381" t="s">
        <v>1249</v>
      </c>
      <c r="F1766" s="378">
        <v>84</v>
      </c>
      <c r="G1766" s="378">
        <v>0</v>
      </c>
      <c r="H1766" s="378">
        <v>0</v>
      </c>
      <c r="I1766" s="378">
        <v>84</v>
      </c>
      <c r="J1766">
        <f t="shared" si="32"/>
        <v>6</v>
      </c>
    </row>
    <row r="1767" spans="1:10" ht="15" customHeight="1" x14ac:dyDescent="0.25">
      <c r="A1767" s="380">
        <v>520469</v>
      </c>
      <c r="B1767" s="381" t="s">
        <v>315</v>
      </c>
      <c r="C1767" s="381" t="s">
        <v>1320</v>
      </c>
      <c r="D1767" s="381" t="s">
        <v>1210</v>
      </c>
      <c r="E1767" s="381" t="s">
        <v>1211</v>
      </c>
      <c r="F1767" s="378">
        <v>74</v>
      </c>
      <c r="G1767" s="378">
        <v>0</v>
      </c>
      <c r="H1767" s="378">
        <v>0</v>
      </c>
      <c r="I1767" s="378">
        <v>74</v>
      </c>
      <c r="J1767">
        <f t="shared" si="32"/>
        <v>6</v>
      </c>
    </row>
    <row r="1768" spans="1:10" ht="15" customHeight="1" x14ac:dyDescent="0.25">
      <c r="A1768" s="380">
        <v>520469</v>
      </c>
      <c r="B1768" s="381" t="s">
        <v>315</v>
      </c>
      <c r="C1768" s="381" t="s">
        <v>1320</v>
      </c>
      <c r="D1768" s="381" t="s">
        <v>792</v>
      </c>
      <c r="E1768" s="381" t="s">
        <v>793</v>
      </c>
      <c r="F1768" s="378">
        <v>66</v>
      </c>
      <c r="G1768" s="378">
        <v>0</v>
      </c>
      <c r="H1768" s="378">
        <v>0</v>
      </c>
      <c r="I1768" s="378">
        <v>66</v>
      </c>
      <c r="J1768">
        <f t="shared" ref="J1768:J1831" si="33">+LEN(A1768)</f>
        <v>6</v>
      </c>
    </row>
    <row r="1769" spans="1:10" ht="15" customHeight="1" x14ac:dyDescent="0.25">
      <c r="A1769" s="380">
        <v>520469</v>
      </c>
      <c r="B1769" s="381" t="s">
        <v>315</v>
      </c>
      <c r="C1769" s="381" t="s">
        <v>1320</v>
      </c>
      <c r="D1769" s="381" t="s">
        <v>794</v>
      </c>
      <c r="E1769" s="381" t="s">
        <v>795</v>
      </c>
      <c r="F1769" s="378">
        <v>57</v>
      </c>
      <c r="G1769" s="378">
        <v>0</v>
      </c>
      <c r="H1769" s="378">
        <v>0</v>
      </c>
      <c r="I1769" s="378">
        <v>57</v>
      </c>
      <c r="J1769">
        <f t="shared" si="33"/>
        <v>6</v>
      </c>
    </row>
    <row r="1770" spans="1:10" ht="15" customHeight="1" x14ac:dyDescent="0.25">
      <c r="A1770" s="380">
        <v>520469</v>
      </c>
      <c r="B1770" s="381" t="s">
        <v>315</v>
      </c>
      <c r="C1770" s="381" t="s">
        <v>1320</v>
      </c>
      <c r="D1770" s="381" t="s">
        <v>1092</v>
      </c>
      <c r="E1770" s="381" t="s">
        <v>1093</v>
      </c>
      <c r="F1770" s="378">
        <v>156</v>
      </c>
      <c r="G1770" s="378">
        <v>0</v>
      </c>
      <c r="H1770" s="378">
        <v>0</v>
      </c>
      <c r="I1770" s="378">
        <v>156</v>
      </c>
      <c r="J1770">
        <f t="shared" si="33"/>
        <v>6</v>
      </c>
    </row>
    <row r="1771" spans="1:10" ht="15" customHeight="1" x14ac:dyDescent="0.25">
      <c r="A1771" s="380">
        <v>520469</v>
      </c>
      <c r="B1771" s="381" t="s">
        <v>315</v>
      </c>
      <c r="C1771" s="381" t="s">
        <v>1320</v>
      </c>
      <c r="D1771" s="381" t="s">
        <v>1243</v>
      </c>
      <c r="E1771" s="381" t="s">
        <v>1244</v>
      </c>
      <c r="F1771" s="378">
        <v>88</v>
      </c>
      <c r="G1771" s="378">
        <v>0</v>
      </c>
      <c r="H1771" s="378">
        <v>0</v>
      </c>
      <c r="I1771" s="378">
        <v>88</v>
      </c>
      <c r="J1771">
        <f t="shared" si="33"/>
        <v>6</v>
      </c>
    </row>
    <row r="1772" spans="1:10" ht="15" customHeight="1" x14ac:dyDescent="0.25">
      <c r="A1772" s="380">
        <v>520469</v>
      </c>
      <c r="B1772" s="381" t="s">
        <v>315</v>
      </c>
      <c r="C1772" s="381" t="s">
        <v>1320</v>
      </c>
      <c r="D1772" s="381" t="s">
        <v>1214</v>
      </c>
      <c r="E1772" s="381" t="s">
        <v>1489</v>
      </c>
      <c r="F1772" s="378">
        <v>85</v>
      </c>
      <c r="G1772" s="378">
        <v>0</v>
      </c>
      <c r="H1772" s="378">
        <v>0</v>
      </c>
      <c r="I1772" s="378">
        <v>85</v>
      </c>
      <c r="J1772">
        <f t="shared" si="33"/>
        <v>6</v>
      </c>
    </row>
    <row r="1773" spans="1:10" ht="15" customHeight="1" x14ac:dyDescent="0.25">
      <c r="A1773" s="380">
        <v>520469</v>
      </c>
      <c r="B1773" s="381" t="s">
        <v>315</v>
      </c>
      <c r="C1773" s="381" t="s">
        <v>1320</v>
      </c>
      <c r="D1773" s="381" t="s">
        <v>1094</v>
      </c>
      <c r="E1773" s="381" t="s">
        <v>1095</v>
      </c>
      <c r="F1773" s="378">
        <v>612</v>
      </c>
      <c r="G1773" s="378">
        <v>0</v>
      </c>
      <c r="H1773" s="378">
        <v>0</v>
      </c>
      <c r="I1773" s="378">
        <v>612</v>
      </c>
      <c r="J1773">
        <f t="shared" si="33"/>
        <v>6</v>
      </c>
    </row>
    <row r="1774" spans="1:10" ht="15" customHeight="1" x14ac:dyDescent="0.25">
      <c r="A1774" s="380">
        <v>520470</v>
      </c>
      <c r="B1774" s="381" t="s">
        <v>315</v>
      </c>
      <c r="C1774" s="381" t="s">
        <v>1272</v>
      </c>
      <c r="D1774" s="381" t="s">
        <v>315</v>
      </c>
      <c r="E1774" s="381" t="s">
        <v>315</v>
      </c>
      <c r="F1774" s="378">
        <v>35838485</v>
      </c>
      <c r="G1774" s="378">
        <v>7772729</v>
      </c>
      <c r="H1774" s="378">
        <v>0</v>
      </c>
      <c r="I1774" s="378">
        <v>43611214</v>
      </c>
      <c r="J1774">
        <f t="shared" si="33"/>
        <v>6</v>
      </c>
    </row>
    <row r="1775" spans="1:10" ht="15" customHeight="1" x14ac:dyDescent="0.25">
      <c r="A1775" s="380">
        <v>520470</v>
      </c>
      <c r="B1775" s="381" t="s">
        <v>315</v>
      </c>
      <c r="C1775" s="381" t="s">
        <v>1272</v>
      </c>
      <c r="D1775" s="381" t="s">
        <v>1246</v>
      </c>
      <c r="E1775" s="381" t="s">
        <v>1247</v>
      </c>
      <c r="F1775" s="378">
        <v>6672</v>
      </c>
      <c r="G1775" s="378">
        <v>0</v>
      </c>
      <c r="H1775" s="378">
        <v>0</v>
      </c>
      <c r="I1775" s="378">
        <v>6672</v>
      </c>
      <c r="J1775">
        <f t="shared" si="33"/>
        <v>6</v>
      </c>
    </row>
    <row r="1776" spans="1:10" ht="15" customHeight="1" x14ac:dyDescent="0.25">
      <c r="A1776" s="380">
        <v>520470</v>
      </c>
      <c r="B1776" s="381" t="s">
        <v>315</v>
      </c>
      <c r="C1776" s="381" t="s">
        <v>1272</v>
      </c>
      <c r="D1776" s="381" t="s">
        <v>1194</v>
      </c>
      <c r="E1776" s="381" t="s">
        <v>1195</v>
      </c>
      <c r="F1776" s="378">
        <v>1129503</v>
      </c>
      <c r="G1776" s="378">
        <v>233330</v>
      </c>
      <c r="H1776" s="378">
        <v>0</v>
      </c>
      <c r="I1776" s="378">
        <v>1362833</v>
      </c>
      <c r="J1776">
        <f t="shared" si="33"/>
        <v>6</v>
      </c>
    </row>
    <row r="1777" spans="1:10" ht="15" customHeight="1" x14ac:dyDescent="0.25">
      <c r="A1777" s="380">
        <v>520470</v>
      </c>
      <c r="B1777" s="381" t="s">
        <v>315</v>
      </c>
      <c r="C1777" s="381" t="s">
        <v>1272</v>
      </c>
      <c r="D1777" s="381" t="s">
        <v>779</v>
      </c>
      <c r="E1777" s="381" t="s">
        <v>780</v>
      </c>
      <c r="F1777" s="378">
        <v>268812</v>
      </c>
      <c r="G1777" s="378">
        <v>286297</v>
      </c>
      <c r="H1777" s="378">
        <v>0</v>
      </c>
      <c r="I1777" s="378">
        <v>555109</v>
      </c>
      <c r="J1777">
        <f t="shared" si="33"/>
        <v>6</v>
      </c>
    </row>
    <row r="1778" spans="1:10" ht="15" customHeight="1" x14ac:dyDescent="0.25">
      <c r="A1778" s="380">
        <v>520470</v>
      </c>
      <c r="B1778" s="381" t="s">
        <v>315</v>
      </c>
      <c r="C1778" s="381" t="s">
        <v>1272</v>
      </c>
      <c r="D1778" s="381" t="s">
        <v>1219</v>
      </c>
      <c r="E1778" s="381" t="s">
        <v>1220</v>
      </c>
      <c r="F1778" s="378">
        <v>120767</v>
      </c>
      <c r="G1778" s="378">
        <v>0</v>
      </c>
      <c r="H1778" s="378">
        <v>0</v>
      </c>
      <c r="I1778" s="378">
        <v>120767</v>
      </c>
      <c r="J1778">
        <f t="shared" si="33"/>
        <v>6</v>
      </c>
    </row>
    <row r="1779" spans="1:10" ht="15" customHeight="1" x14ac:dyDescent="0.25">
      <c r="A1779" s="380">
        <v>520470</v>
      </c>
      <c r="B1779" s="381" t="s">
        <v>315</v>
      </c>
      <c r="C1779" s="381" t="s">
        <v>1272</v>
      </c>
      <c r="D1779" s="381" t="s">
        <v>774</v>
      </c>
      <c r="E1779" s="381" t="s">
        <v>775</v>
      </c>
      <c r="F1779" s="378">
        <v>984985</v>
      </c>
      <c r="G1779" s="378">
        <v>173117</v>
      </c>
      <c r="H1779" s="378">
        <v>0</v>
      </c>
      <c r="I1779" s="378">
        <v>1158102</v>
      </c>
      <c r="J1779">
        <f t="shared" si="33"/>
        <v>6</v>
      </c>
    </row>
    <row r="1780" spans="1:10" ht="15" customHeight="1" x14ac:dyDescent="0.25">
      <c r="A1780" s="380">
        <v>520470</v>
      </c>
      <c r="B1780" s="381" t="s">
        <v>315</v>
      </c>
      <c r="C1780" s="381" t="s">
        <v>1272</v>
      </c>
      <c r="D1780" s="381" t="s">
        <v>1196</v>
      </c>
      <c r="E1780" s="381" t="s">
        <v>1197</v>
      </c>
      <c r="F1780" s="378">
        <v>1152215</v>
      </c>
      <c r="G1780" s="378">
        <v>221046</v>
      </c>
      <c r="H1780" s="378">
        <v>0</v>
      </c>
      <c r="I1780" s="378">
        <v>1373261</v>
      </c>
      <c r="J1780">
        <f t="shared" si="33"/>
        <v>6</v>
      </c>
    </row>
    <row r="1781" spans="1:10" ht="15" customHeight="1" x14ac:dyDescent="0.25">
      <c r="A1781" s="380">
        <v>520470</v>
      </c>
      <c r="B1781" s="381" t="s">
        <v>315</v>
      </c>
      <c r="C1781" s="381" t="s">
        <v>1272</v>
      </c>
      <c r="D1781" s="381" t="s">
        <v>1078</v>
      </c>
      <c r="E1781" s="381" t="s">
        <v>1079</v>
      </c>
      <c r="F1781" s="378">
        <v>2316000</v>
      </c>
      <c r="G1781" s="378">
        <v>630000</v>
      </c>
      <c r="H1781" s="378">
        <v>0</v>
      </c>
      <c r="I1781" s="378">
        <v>2946000</v>
      </c>
      <c r="J1781" s="384">
        <f t="shared" si="33"/>
        <v>6</v>
      </c>
    </row>
    <row r="1782" spans="1:10" ht="15" customHeight="1" x14ac:dyDescent="0.25">
      <c r="A1782" s="380">
        <v>520470</v>
      </c>
      <c r="B1782" s="381" t="s">
        <v>315</v>
      </c>
      <c r="C1782" s="381" t="s">
        <v>1272</v>
      </c>
      <c r="D1782" s="381" t="s">
        <v>781</v>
      </c>
      <c r="E1782" s="381" t="s">
        <v>782</v>
      </c>
      <c r="F1782" s="378">
        <v>1301844</v>
      </c>
      <c r="G1782" s="378">
        <v>262589</v>
      </c>
      <c r="H1782" s="378">
        <v>0</v>
      </c>
      <c r="I1782" s="378">
        <v>1564433</v>
      </c>
      <c r="J1782" s="384">
        <f t="shared" si="33"/>
        <v>6</v>
      </c>
    </row>
    <row r="1783" spans="1:10" ht="15" customHeight="1" x14ac:dyDescent="0.25">
      <c r="A1783" s="380">
        <v>520470</v>
      </c>
      <c r="B1783" s="381" t="s">
        <v>315</v>
      </c>
      <c r="C1783" s="381" t="s">
        <v>1272</v>
      </c>
      <c r="D1783" s="381" t="s">
        <v>728</v>
      </c>
      <c r="E1783" s="381" t="s">
        <v>729</v>
      </c>
      <c r="F1783" s="378">
        <v>1291651</v>
      </c>
      <c r="G1783" s="378">
        <v>266781</v>
      </c>
      <c r="H1783" s="378">
        <v>0</v>
      </c>
      <c r="I1783" s="378">
        <v>1558432</v>
      </c>
      <c r="J1783" s="384">
        <f t="shared" si="33"/>
        <v>6</v>
      </c>
    </row>
    <row r="1784" spans="1:10" ht="15" customHeight="1" x14ac:dyDescent="0.25">
      <c r="A1784" s="380">
        <v>520470</v>
      </c>
      <c r="B1784" s="381" t="s">
        <v>315</v>
      </c>
      <c r="C1784" s="381" t="s">
        <v>1272</v>
      </c>
      <c r="D1784" s="381" t="s">
        <v>783</v>
      </c>
      <c r="E1784" s="381" t="s">
        <v>784</v>
      </c>
      <c r="F1784" s="378">
        <v>1005572</v>
      </c>
      <c r="G1784" s="378">
        <v>209790</v>
      </c>
      <c r="H1784" s="378">
        <v>0</v>
      </c>
      <c r="I1784" s="378">
        <v>1215362</v>
      </c>
      <c r="J1784" s="384">
        <f t="shared" si="33"/>
        <v>6</v>
      </c>
    </row>
    <row r="1785" spans="1:10" ht="15" customHeight="1" x14ac:dyDescent="0.25">
      <c r="A1785" s="380">
        <v>520470</v>
      </c>
      <c r="B1785" s="381" t="s">
        <v>315</v>
      </c>
      <c r="C1785" s="381" t="s">
        <v>1272</v>
      </c>
      <c r="D1785" s="381" t="s">
        <v>797</v>
      </c>
      <c r="E1785" s="381" t="s">
        <v>798</v>
      </c>
      <c r="F1785" s="378">
        <v>962084</v>
      </c>
      <c r="G1785" s="378">
        <v>180679</v>
      </c>
      <c r="H1785" s="378">
        <v>0</v>
      </c>
      <c r="I1785" s="378">
        <v>1142763</v>
      </c>
      <c r="J1785" s="384">
        <f t="shared" si="33"/>
        <v>6</v>
      </c>
    </row>
    <row r="1786" spans="1:10" ht="15" customHeight="1" x14ac:dyDescent="0.25">
      <c r="A1786" s="380">
        <v>520470</v>
      </c>
      <c r="B1786" s="381" t="s">
        <v>315</v>
      </c>
      <c r="C1786" s="381" t="s">
        <v>1272</v>
      </c>
      <c r="D1786" s="381" t="s">
        <v>1221</v>
      </c>
      <c r="E1786" s="381" t="s">
        <v>1494</v>
      </c>
      <c r="F1786" s="378">
        <v>1068407</v>
      </c>
      <c r="G1786" s="378">
        <v>0</v>
      </c>
      <c r="H1786" s="378">
        <v>0</v>
      </c>
      <c r="I1786" s="378">
        <v>1068407</v>
      </c>
      <c r="J1786" s="384">
        <f t="shared" si="33"/>
        <v>6</v>
      </c>
    </row>
    <row r="1787" spans="1:10" ht="15" customHeight="1" x14ac:dyDescent="0.25">
      <c r="A1787" s="380">
        <v>520470</v>
      </c>
      <c r="B1787" s="381" t="s">
        <v>315</v>
      </c>
      <c r="C1787" s="381" t="s">
        <v>1272</v>
      </c>
      <c r="D1787" s="381" t="s">
        <v>1222</v>
      </c>
      <c r="E1787" s="381" t="s">
        <v>1223</v>
      </c>
      <c r="F1787" s="378">
        <v>194534</v>
      </c>
      <c r="G1787" s="378">
        <v>0</v>
      </c>
      <c r="H1787" s="378">
        <v>0</v>
      </c>
      <c r="I1787" s="378">
        <v>194534</v>
      </c>
      <c r="J1787" s="384">
        <f t="shared" si="33"/>
        <v>6</v>
      </c>
    </row>
    <row r="1788" spans="1:10" ht="15" customHeight="1" x14ac:dyDescent="0.25">
      <c r="A1788" s="380">
        <v>520470</v>
      </c>
      <c r="B1788" s="381" t="s">
        <v>315</v>
      </c>
      <c r="C1788" s="381" t="s">
        <v>1272</v>
      </c>
      <c r="D1788" s="381" t="s">
        <v>1198</v>
      </c>
      <c r="E1788" s="381" t="s">
        <v>1199</v>
      </c>
      <c r="F1788" s="378">
        <v>266425</v>
      </c>
      <c r="G1788" s="378">
        <v>187896</v>
      </c>
      <c r="H1788" s="378">
        <v>0</v>
      </c>
      <c r="I1788" s="378">
        <v>454321</v>
      </c>
      <c r="J1788" s="384">
        <f t="shared" si="33"/>
        <v>6</v>
      </c>
    </row>
    <row r="1789" spans="1:10" ht="15" customHeight="1" x14ac:dyDescent="0.25">
      <c r="A1789" s="380">
        <v>520470</v>
      </c>
      <c r="B1789" s="381" t="s">
        <v>315</v>
      </c>
      <c r="C1789" s="381" t="s">
        <v>1272</v>
      </c>
      <c r="D1789" s="381" t="s">
        <v>753</v>
      </c>
      <c r="E1789" s="381" t="s">
        <v>754</v>
      </c>
      <c r="F1789" s="378">
        <v>173165</v>
      </c>
      <c r="G1789" s="378">
        <v>0</v>
      </c>
      <c r="H1789" s="378">
        <v>0</v>
      </c>
      <c r="I1789" s="378">
        <v>173165</v>
      </c>
      <c r="J1789" s="384">
        <f t="shared" si="33"/>
        <v>6</v>
      </c>
    </row>
    <row r="1790" spans="1:10" ht="15" customHeight="1" x14ac:dyDescent="0.25">
      <c r="A1790" s="380">
        <v>520470</v>
      </c>
      <c r="B1790" s="381" t="s">
        <v>315</v>
      </c>
      <c r="C1790" s="381" t="s">
        <v>1272</v>
      </c>
      <c r="D1790" s="381" t="s">
        <v>1200</v>
      </c>
      <c r="E1790" s="381" t="s">
        <v>1201</v>
      </c>
      <c r="F1790" s="378">
        <v>1029769</v>
      </c>
      <c r="G1790" s="378">
        <v>217137</v>
      </c>
      <c r="H1790" s="378">
        <v>0</v>
      </c>
      <c r="I1790" s="378">
        <v>1246906</v>
      </c>
      <c r="J1790" s="384">
        <f t="shared" si="33"/>
        <v>6</v>
      </c>
    </row>
    <row r="1791" spans="1:10" ht="15" customHeight="1" x14ac:dyDescent="0.25">
      <c r="A1791" s="380">
        <v>520470</v>
      </c>
      <c r="B1791" s="381" t="s">
        <v>315</v>
      </c>
      <c r="C1791" s="381" t="s">
        <v>1272</v>
      </c>
      <c r="D1791" s="381" t="s">
        <v>786</v>
      </c>
      <c r="E1791" s="381" t="s">
        <v>787</v>
      </c>
      <c r="F1791" s="378">
        <v>1470842</v>
      </c>
      <c r="G1791" s="378">
        <v>297616</v>
      </c>
      <c r="H1791" s="378">
        <v>0</v>
      </c>
      <c r="I1791" s="378">
        <v>1768458</v>
      </c>
      <c r="J1791" s="384">
        <f t="shared" si="33"/>
        <v>6</v>
      </c>
    </row>
    <row r="1792" spans="1:10" ht="15" customHeight="1" x14ac:dyDescent="0.25">
      <c r="A1792" s="380">
        <v>520470</v>
      </c>
      <c r="B1792" s="381" t="s">
        <v>315</v>
      </c>
      <c r="C1792" s="381" t="s">
        <v>1272</v>
      </c>
      <c r="D1792" s="381" t="s">
        <v>1224</v>
      </c>
      <c r="E1792" s="381" t="s">
        <v>1225</v>
      </c>
      <c r="F1792" s="378">
        <v>1139071</v>
      </c>
      <c r="G1792" s="378">
        <v>259593</v>
      </c>
      <c r="H1792" s="378">
        <v>0</v>
      </c>
      <c r="I1792" s="378">
        <v>1398664</v>
      </c>
      <c r="J1792" s="384">
        <f t="shared" si="33"/>
        <v>6</v>
      </c>
    </row>
    <row r="1793" spans="1:10" ht="15" customHeight="1" x14ac:dyDescent="0.25">
      <c r="A1793" s="380">
        <v>520470</v>
      </c>
      <c r="B1793" s="381" t="s">
        <v>315</v>
      </c>
      <c r="C1793" s="381" t="s">
        <v>1272</v>
      </c>
      <c r="D1793" s="381" t="s">
        <v>1226</v>
      </c>
      <c r="E1793" s="381" t="s">
        <v>1227</v>
      </c>
      <c r="F1793" s="378">
        <v>54919</v>
      </c>
      <c r="G1793" s="378">
        <v>0</v>
      </c>
      <c r="H1793" s="378">
        <v>0</v>
      </c>
      <c r="I1793" s="378">
        <v>54919</v>
      </c>
      <c r="J1793" s="384">
        <f t="shared" si="33"/>
        <v>6</v>
      </c>
    </row>
    <row r="1794" spans="1:10" ht="15" customHeight="1" x14ac:dyDescent="0.25">
      <c r="A1794" s="380">
        <v>520470</v>
      </c>
      <c r="B1794" s="381" t="s">
        <v>315</v>
      </c>
      <c r="C1794" s="381" t="s">
        <v>1272</v>
      </c>
      <c r="D1794" s="381" t="s">
        <v>1202</v>
      </c>
      <c r="E1794" s="381" t="s">
        <v>1203</v>
      </c>
      <c r="F1794" s="378">
        <v>209485</v>
      </c>
      <c r="G1794" s="378">
        <v>203347</v>
      </c>
      <c r="H1794" s="378">
        <v>0</v>
      </c>
      <c r="I1794" s="378">
        <v>412832</v>
      </c>
      <c r="J1794" s="384">
        <f t="shared" si="33"/>
        <v>6</v>
      </c>
    </row>
    <row r="1795" spans="1:10" ht="15" customHeight="1" x14ac:dyDescent="0.25">
      <c r="A1795" s="380">
        <v>520470</v>
      </c>
      <c r="B1795" s="381" t="s">
        <v>315</v>
      </c>
      <c r="C1795" s="381" t="s">
        <v>1272</v>
      </c>
      <c r="D1795" s="381" t="s">
        <v>1228</v>
      </c>
      <c r="E1795" s="381" t="s">
        <v>1229</v>
      </c>
      <c r="F1795" s="378">
        <v>217052</v>
      </c>
      <c r="G1795" s="378">
        <v>148500</v>
      </c>
      <c r="H1795" s="378">
        <v>0</v>
      </c>
      <c r="I1795" s="378">
        <v>365552</v>
      </c>
      <c r="J1795" s="384">
        <f t="shared" si="33"/>
        <v>6</v>
      </c>
    </row>
    <row r="1796" spans="1:10" ht="15" customHeight="1" x14ac:dyDescent="0.25">
      <c r="A1796" s="380">
        <v>520470</v>
      </c>
      <c r="B1796" s="381" t="s">
        <v>315</v>
      </c>
      <c r="C1796" s="381" t="s">
        <v>1272</v>
      </c>
      <c r="D1796" s="381" t="s">
        <v>1086</v>
      </c>
      <c r="E1796" s="381" t="s">
        <v>1087</v>
      </c>
      <c r="F1796" s="378">
        <v>1045206</v>
      </c>
      <c r="G1796" s="378">
        <v>204245</v>
      </c>
      <c r="H1796" s="378">
        <v>0</v>
      </c>
      <c r="I1796" s="378">
        <v>1249451</v>
      </c>
      <c r="J1796" s="384">
        <f t="shared" si="33"/>
        <v>6</v>
      </c>
    </row>
    <row r="1797" spans="1:10" ht="15" customHeight="1" x14ac:dyDescent="0.25">
      <c r="A1797" s="380">
        <v>520470</v>
      </c>
      <c r="B1797" s="381" t="s">
        <v>315</v>
      </c>
      <c r="C1797" s="381" t="s">
        <v>1272</v>
      </c>
      <c r="D1797" s="381" t="s">
        <v>404</v>
      </c>
      <c r="E1797" s="381" t="s">
        <v>1230</v>
      </c>
      <c r="F1797" s="378">
        <v>379768</v>
      </c>
      <c r="G1797" s="378">
        <v>195012</v>
      </c>
      <c r="H1797" s="378">
        <v>0</v>
      </c>
      <c r="I1797" s="378">
        <v>574780</v>
      </c>
      <c r="J1797" s="384">
        <f t="shared" si="33"/>
        <v>6</v>
      </c>
    </row>
    <row r="1798" spans="1:10" ht="15" customHeight="1" x14ac:dyDescent="0.25">
      <c r="A1798" s="380">
        <v>520470</v>
      </c>
      <c r="B1798" s="381" t="s">
        <v>315</v>
      </c>
      <c r="C1798" s="381" t="s">
        <v>1272</v>
      </c>
      <c r="D1798" s="381" t="s">
        <v>1204</v>
      </c>
      <c r="E1798" s="381" t="s">
        <v>1205</v>
      </c>
      <c r="F1798" s="378">
        <v>237857</v>
      </c>
      <c r="G1798" s="378">
        <v>185777</v>
      </c>
      <c r="H1798" s="378">
        <v>0</v>
      </c>
      <c r="I1798" s="378">
        <v>423634</v>
      </c>
      <c r="J1798" s="384">
        <f t="shared" si="33"/>
        <v>6</v>
      </c>
    </row>
    <row r="1799" spans="1:10" ht="15" customHeight="1" x14ac:dyDescent="0.25">
      <c r="A1799" s="380">
        <v>520470</v>
      </c>
      <c r="B1799" s="381" t="s">
        <v>315</v>
      </c>
      <c r="C1799" s="381" t="s">
        <v>1272</v>
      </c>
      <c r="D1799" s="381" t="s">
        <v>1231</v>
      </c>
      <c r="E1799" s="381" t="s">
        <v>1232</v>
      </c>
      <c r="F1799" s="378">
        <v>197198</v>
      </c>
      <c r="G1799" s="378">
        <v>0</v>
      </c>
      <c r="H1799" s="378">
        <v>0</v>
      </c>
      <c r="I1799" s="378">
        <v>197198</v>
      </c>
      <c r="J1799" s="384">
        <f t="shared" si="33"/>
        <v>6</v>
      </c>
    </row>
    <row r="1800" spans="1:10" ht="15" customHeight="1" x14ac:dyDescent="0.25">
      <c r="A1800" s="380">
        <v>520470</v>
      </c>
      <c r="B1800" s="381" t="s">
        <v>315</v>
      </c>
      <c r="C1800" s="381" t="s">
        <v>1272</v>
      </c>
      <c r="D1800" s="381" t="s">
        <v>788</v>
      </c>
      <c r="E1800" s="381" t="s">
        <v>789</v>
      </c>
      <c r="F1800" s="378">
        <v>1734434</v>
      </c>
      <c r="G1800" s="378">
        <v>343975</v>
      </c>
      <c r="H1800" s="378">
        <v>0</v>
      </c>
      <c r="I1800" s="378">
        <v>2078409</v>
      </c>
      <c r="J1800" s="384">
        <f t="shared" si="33"/>
        <v>6</v>
      </c>
    </row>
    <row r="1801" spans="1:10" ht="15" customHeight="1" x14ac:dyDescent="0.25">
      <c r="A1801" s="380">
        <v>520470</v>
      </c>
      <c r="B1801" s="381" t="s">
        <v>315</v>
      </c>
      <c r="C1801" s="381" t="s">
        <v>1272</v>
      </c>
      <c r="D1801" s="381" t="s">
        <v>1206</v>
      </c>
      <c r="E1801" s="381" t="s">
        <v>1207</v>
      </c>
      <c r="F1801" s="378">
        <v>873662</v>
      </c>
      <c r="G1801" s="378">
        <v>230253</v>
      </c>
      <c r="H1801" s="378">
        <v>0</v>
      </c>
      <c r="I1801" s="378">
        <v>1103915</v>
      </c>
      <c r="J1801" s="384">
        <f t="shared" si="33"/>
        <v>6</v>
      </c>
    </row>
    <row r="1802" spans="1:10" ht="15" customHeight="1" x14ac:dyDescent="0.25">
      <c r="A1802" s="380">
        <v>520470</v>
      </c>
      <c r="B1802" s="381" t="s">
        <v>315</v>
      </c>
      <c r="C1802" s="381" t="s">
        <v>1272</v>
      </c>
      <c r="D1802" s="381" t="s">
        <v>1088</v>
      </c>
      <c r="E1802" s="381" t="s">
        <v>1089</v>
      </c>
      <c r="F1802" s="378">
        <v>537257</v>
      </c>
      <c r="G1802" s="378">
        <v>46071</v>
      </c>
      <c r="H1802" s="378">
        <v>0</v>
      </c>
      <c r="I1802" s="378">
        <v>583328</v>
      </c>
      <c r="J1802" s="384">
        <f t="shared" si="33"/>
        <v>6</v>
      </c>
    </row>
    <row r="1803" spans="1:10" ht="15" customHeight="1" x14ac:dyDescent="0.25">
      <c r="A1803" s="380">
        <v>520470</v>
      </c>
      <c r="B1803" s="381" t="s">
        <v>315</v>
      </c>
      <c r="C1803" s="381" t="s">
        <v>1272</v>
      </c>
      <c r="D1803" s="381" t="s">
        <v>776</v>
      </c>
      <c r="E1803" s="381" t="s">
        <v>777</v>
      </c>
      <c r="F1803" s="378">
        <v>1234331</v>
      </c>
      <c r="G1803" s="378">
        <v>269170</v>
      </c>
      <c r="H1803" s="378">
        <v>0</v>
      </c>
      <c r="I1803" s="378">
        <v>1503501</v>
      </c>
      <c r="J1803" s="384">
        <f t="shared" si="33"/>
        <v>6</v>
      </c>
    </row>
    <row r="1804" spans="1:10" ht="15" customHeight="1" x14ac:dyDescent="0.25">
      <c r="A1804" s="380">
        <v>520470</v>
      </c>
      <c r="B1804" s="381" t="s">
        <v>315</v>
      </c>
      <c r="C1804" s="381" t="s">
        <v>1272</v>
      </c>
      <c r="D1804" s="381" t="s">
        <v>790</v>
      </c>
      <c r="E1804" s="381" t="s">
        <v>791</v>
      </c>
      <c r="F1804" s="378">
        <v>1098825</v>
      </c>
      <c r="G1804" s="378">
        <v>250426</v>
      </c>
      <c r="H1804" s="378">
        <v>0</v>
      </c>
      <c r="I1804" s="378">
        <v>1349251</v>
      </c>
      <c r="J1804" s="384">
        <f t="shared" si="33"/>
        <v>6</v>
      </c>
    </row>
    <row r="1805" spans="1:10" ht="15" customHeight="1" x14ac:dyDescent="0.25">
      <c r="A1805" s="380">
        <v>520470</v>
      </c>
      <c r="B1805" s="381" t="s">
        <v>315</v>
      </c>
      <c r="C1805" s="381" t="s">
        <v>1272</v>
      </c>
      <c r="D1805" s="381" t="s">
        <v>1233</v>
      </c>
      <c r="E1805" s="381" t="s">
        <v>1234</v>
      </c>
      <c r="F1805" s="378">
        <v>734589</v>
      </c>
      <c r="G1805" s="378">
        <v>0</v>
      </c>
      <c r="H1805" s="378">
        <v>0</v>
      </c>
      <c r="I1805" s="378">
        <v>734589</v>
      </c>
      <c r="J1805" s="384">
        <f t="shared" si="33"/>
        <v>6</v>
      </c>
    </row>
    <row r="1806" spans="1:10" ht="15" customHeight="1" x14ac:dyDescent="0.25">
      <c r="A1806" s="380">
        <v>520470</v>
      </c>
      <c r="B1806" s="381" t="s">
        <v>315</v>
      </c>
      <c r="C1806" s="381" t="s">
        <v>1272</v>
      </c>
      <c r="D1806" s="381" t="s">
        <v>1235</v>
      </c>
      <c r="E1806" s="381" t="s">
        <v>1236</v>
      </c>
      <c r="F1806" s="378">
        <v>85430</v>
      </c>
      <c r="G1806" s="378">
        <v>0</v>
      </c>
      <c r="H1806" s="378">
        <v>0</v>
      </c>
      <c r="I1806" s="378">
        <v>85430</v>
      </c>
      <c r="J1806" s="384">
        <f t="shared" si="33"/>
        <v>6</v>
      </c>
    </row>
    <row r="1807" spans="1:10" ht="15" customHeight="1" x14ac:dyDescent="0.25">
      <c r="A1807" s="380">
        <v>520470</v>
      </c>
      <c r="B1807" s="381" t="s">
        <v>315</v>
      </c>
      <c r="C1807" s="381" t="s">
        <v>1272</v>
      </c>
      <c r="D1807" s="381" t="s">
        <v>1208</v>
      </c>
      <c r="E1807" s="381" t="s">
        <v>1209</v>
      </c>
      <c r="F1807" s="378">
        <v>1174277</v>
      </c>
      <c r="G1807" s="378">
        <v>211286</v>
      </c>
      <c r="H1807" s="378">
        <v>0</v>
      </c>
      <c r="I1807" s="378">
        <v>1385563</v>
      </c>
      <c r="J1807" s="384">
        <f t="shared" si="33"/>
        <v>6</v>
      </c>
    </row>
    <row r="1808" spans="1:10" ht="15" customHeight="1" x14ac:dyDescent="0.25">
      <c r="A1808" s="380">
        <v>520470</v>
      </c>
      <c r="B1808" s="381" t="s">
        <v>315</v>
      </c>
      <c r="C1808" s="381" t="s">
        <v>1272</v>
      </c>
      <c r="D1808" s="381" t="s">
        <v>1237</v>
      </c>
      <c r="E1808" s="381" t="s">
        <v>1238</v>
      </c>
      <c r="F1808" s="378">
        <v>280998</v>
      </c>
      <c r="G1808" s="378">
        <v>236706</v>
      </c>
      <c r="H1808" s="378">
        <v>0</v>
      </c>
      <c r="I1808" s="378">
        <v>517704</v>
      </c>
      <c r="J1808" s="384">
        <f t="shared" si="33"/>
        <v>6</v>
      </c>
    </row>
    <row r="1809" spans="1:10" ht="15" customHeight="1" x14ac:dyDescent="0.25">
      <c r="A1809" s="380">
        <v>520470</v>
      </c>
      <c r="B1809" s="381" t="s">
        <v>315</v>
      </c>
      <c r="C1809" s="381" t="s">
        <v>1272</v>
      </c>
      <c r="D1809" s="381" t="s">
        <v>1239</v>
      </c>
      <c r="E1809" s="381" t="s">
        <v>1240</v>
      </c>
      <c r="F1809" s="378">
        <v>1042848</v>
      </c>
      <c r="G1809" s="378">
        <v>0</v>
      </c>
      <c r="H1809" s="378">
        <v>0</v>
      </c>
      <c r="I1809" s="378">
        <v>1042848</v>
      </c>
      <c r="J1809" s="384">
        <f t="shared" si="33"/>
        <v>6</v>
      </c>
    </row>
    <row r="1810" spans="1:10" ht="15" customHeight="1" x14ac:dyDescent="0.25">
      <c r="A1810" s="380">
        <v>520470</v>
      </c>
      <c r="B1810" s="381" t="s">
        <v>315</v>
      </c>
      <c r="C1810" s="381" t="s">
        <v>1272</v>
      </c>
      <c r="D1810" s="381" t="s">
        <v>1248</v>
      </c>
      <c r="E1810" s="381" t="s">
        <v>1249</v>
      </c>
      <c r="F1810" s="378">
        <v>8484</v>
      </c>
      <c r="G1810" s="378">
        <v>0</v>
      </c>
      <c r="H1810" s="378">
        <v>0</v>
      </c>
      <c r="I1810" s="378">
        <v>8484</v>
      </c>
      <c r="J1810" s="384">
        <f t="shared" si="33"/>
        <v>6</v>
      </c>
    </row>
    <row r="1811" spans="1:10" ht="15" customHeight="1" x14ac:dyDescent="0.25">
      <c r="A1811" s="380">
        <v>520470</v>
      </c>
      <c r="B1811" s="381" t="s">
        <v>315</v>
      </c>
      <c r="C1811" s="381" t="s">
        <v>1272</v>
      </c>
      <c r="D1811" s="381" t="s">
        <v>1210</v>
      </c>
      <c r="E1811" s="381" t="s">
        <v>1211</v>
      </c>
      <c r="F1811" s="378">
        <v>981451</v>
      </c>
      <c r="G1811" s="378">
        <v>182183</v>
      </c>
      <c r="H1811" s="378">
        <v>0</v>
      </c>
      <c r="I1811" s="378">
        <v>1163634</v>
      </c>
      <c r="J1811" s="384">
        <f t="shared" si="33"/>
        <v>6</v>
      </c>
    </row>
    <row r="1812" spans="1:10" ht="15" customHeight="1" x14ac:dyDescent="0.25">
      <c r="A1812" s="380">
        <v>520470</v>
      </c>
      <c r="B1812" s="381" t="s">
        <v>315</v>
      </c>
      <c r="C1812" s="381" t="s">
        <v>1272</v>
      </c>
      <c r="D1812" s="381" t="s">
        <v>1090</v>
      </c>
      <c r="E1812" s="381" t="s">
        <v>1091</v>
      </c>
      <c r="F1812" s="378">
        <v>821185</v>
      </c>
      <c r="G1812" s="378">
        <v>297003</v>
      </c>
      <c r="H1812" s="378">
        <v>0</v>
      </c>
      <c r="I1812" s="378">
        <v>1118188</v>
      </c>
      <c r="J1812" s="384">
        <f t="shared" si="33"/>
        <v>6</v>
      </c>
    </row>
    <row r="1813" spans="1:10" ht="15" customHeight="1" x14ac:dyDescent="0.25">
      <c r="A1813" s="380">
        <v>520470</v>
      </c>
      <c r="B1813" s="381" t="s">
        <v>315</v>
      </c>
      <c r="C1813" s="381" t="s">
        <v>1272</v>
      </c>
      <c r="D1813" s="381" t="s">
        <v>1241</v>
      </c>
      <c r="E1813" s="381" t="s">
        <v>1242</v>
      </c>
      <c r="F1813" s="378">
        <v>416792</v>
      </c>
      <c r="G1813" s="378">
        <v>198389</v>
      </c>
      <c r="H1813" s="378">
        <v>0</v>
      </c>
      <c r="I1813" s="378">
        <v>615181</v>
      </c>
      <c r="J1813" s="384">
        <f t="shared" si="33"/>
        <v>6</v>
      </c>
    </row>
    <row r="1814" spans="1:10" ht="15" customHeight="1" x14ac:dyDescent="0.25">
      <c r="A1814" s="380">
        <v>520470</v>
      </c>
      <c r="B1814" s="381" t="s">
        <v>315</v>
      </c>
      <c r="C1814" s="381" t="s">
        <v>1272</v>
      </c>
      <c r="D1814" s="381" t="s">
        <v>792</v>
      </c>
      <c r="E1814" s="381" t="s">
        <v>793</v>
      </c>
      <c r="F1814" s="378">
        <v>1238966</v>
      </c>
      <c r="G1814" s="378">
        <v>262362</v>
      </c>
      <c r="H1814" s="378">
        <v>0</v>
      </c>
      <c r="I1814" s="378">
        <v>1501328</v>
      </c>
      <c r="J1814" s="384">
        <f t="shared" si="33"/>
        <v>6</v>
      </c>
    </row>
    <row r="1815" spans="1:10" ht="15" customHeight="1" x14ac:dyDescent="0.25">
      <c r="A1815" s="380">
        <v>520470</v>
      </c>
      <c r="B1815" s="381" t="s">
        <v>315</v>
      </c>
      <c r="C1815" s="381" t="s">
        <v>1272</v>
      </c>
      <c r="D1815" s="381" t="s">
        <v>794</v>
      </c>
      <c r="E1815" s="381" t="s">
        <v>795</v>
      </c>
      <c r="F1815" s="378">
        <v>1226381</v>
      </c>
      <c r="G1815" s="378">
        <v>249983</v>
      </c>
      <c r="H1815" s="378">
        <v>0</v>
      </c>
      <c r="I1815" s="378">
        <v>1476364</v>
      </c>
      <c r="J1815" s="384">
        <f t="shared" si="33"/>
        <v>6</v>
      </c>
    </row>
    <row r="1816" spans="1:10" ht="15" customHeight="1" x14ac:dyDescent="0.25">
      <c r="A1816" s="380">
        <v>520470</v>
      </c>
      <c r="B1816" s="381" t="s">
        <v>315</v>
      </c>
      <c r="C1816" s="381" t="s">
        <v>1272</v>
      </c>
      <c r="D1816" s="381" t="s">
        <v>1212</v>
      </c>
      <c r="E1816" s="381" t="s">
        <v>1213</v>
      </c>
      <c r="F1816" s="378">
        <v>0</v>
      </c>
      <c r="G1816" s="378">
        <v>125344</v>
      </c>
      <c r="H1816" s="378">
        <v>0</v>
      </c>
      <c r="I1816" s="378">
        <v>125344</v>
      </c>
      <c r="J1816" s="384">
        <f t="shared" si="33"/>
        <v>6</v>
      </c>
    </row>
    <row r="1817" spans="1:10" ht="15" customHeight="1" x14ac:dyDescent="0.25">
      <c r="A1817" s="380">
        <v>520470</v>
      </c>
      <c r="B1817" s="381" t="s">
        <v>315</v>
      </c>
      <c r="C1817" s="381" t="s">
        <v>1272</v>
      </c>
      <c r="D1817" s="381" t="s">
        <v>1092</v>
      </c>
      <c r="E1817" s="381" t="s">
        <v>1093</v>
      </c>
      <c r="F1817" s="378">
        <v>1235380</v>
      </c>
      <c r="G1817" s="378">
        <v>45399</v>
      </c>
      <c r="H1817" s="378">
        <v>0</v>
      </c>
      <c r="I1817" s="378">
        <v>1280779</v>
      </c>
      <c r="J1817" s="384">
        <f t="shared" si="33"/>
        <v>6</v>
      </c>
    </row>
    <row r="1818" spans="1:10" ht="15" customHeight="1" x14ac:dyDescent="0.25">
      <c r="A1818" s="380">
        <v>520470</v>
      </c>
      <c r="B1818" s="381" t="s">
        <v>315</v>
      </c>
      <c r="C1818" s="381" t="s">
        <v>1272</v>
      </c>
      <c r="D1818" s="381" t="s">
        <v>1243</v>
      </c>
      <c r="E1818" s="381" t="s">
        <v>1244</v>
      </c>
      <c r="F1818" s="378">
        <v>593327</v>
      </c>
      <c r="G1818" s="378">
        <v>0</v>
      </c>
      <c r="H1818" s="378">
        <v>0</v>
      </c>
      <c r="I1818" s="378">
        <v>593327</v>
      </c>
      <c r="J1818" s="384">
        <f t="shared" si="33"/>
        <v>6</v>
      </c>
    </row>
    <row r="1819" spans="1:10" ht="15" customHeight="1" x14ac:dyDescent="0.25">
      <c r="A1819" s="380">
        <v>520470</v>
      </c>
      <c r="B1819" s="381" t="s">
        <v>315</v>
      </c>
      <c r="C1819" s="381" t="s">
        <v>1272</v>
      </c>
      <c r="D1819" s="381" t="s">
        <v>1214</v>
      </c>
      <c r="E1819" s="381" t="s">
        <v>1489</v>
      </c>
      <c r="F1819" s="378">
        <v>1307128</v>
      </c>
      <c r="G1819" s="378">
        <v>262589</v>
      </c>
      <c r="H1819" s="378">
        <v>0</v>
      </c>
      <c r="I1819" s="378">
        <v>1569717</v>
      </c>
      <c r="J1819" s="384">
        <f t="shared" si="33"/>
        <v>6</v>
      </c>
    </row>
    <row r="1820" spans="1:10" ht="15" customHeight="1" x14ac:dyDescent="0.25">
      <c r="A1820" s="380">
        <v>520470</v>
      </c>
      <c r="B1820" s="381" t="s">
        <v>315</v>
      </c>
      <c r="C1820" s="381" t="s">
        <v>1272</v>
      </c>
      <c r="D1820" s="381" t="s">
        <v>1094</v>
      </c>
      <c r="E1820" s="381" t="s">
        <v>1095</v>
      </c>
      <c r="F1820" s="378">
        <v>988937</v>
      </c>
      <c r="G1820" s="378">
        <v>198838</v>
      </c>
      <c r="H1820" s="378">
        <v>0</v>
      </c>
      <c r="I1820" s="378">
        <v>1187775</v>
      </c>
      <c r="J1820" s="384">
        <f t="shared" si="33"/>
        <v>6</v>
      </c>
    </row>
    <row r="1821" spans="1:10" ht="15" customHeight="1" x14ac:dyDescent="0.25">
      <c r="A1821" s="380">
        <v>520472</v>
      </c>
      <c r="B1821" s="381" t="s">
        <v>315</v>
      </c>
      <c r="C1821" s="381" t="s">
        <v>1321</v>
      </c>
      <c r="D1821" s="381" t="s">
        <v>315</v>
      </c>
      <c r="E1821" s="381" t="s">
        <v>315</v>
      </c>
      <c r="F1821" s="378">
        <v>12017200</v>
      </c>
      <c r="G1821" s="378">
        <v>2596400</v>
      </c>
      <c r="H1821" s="378">
        <v>0</v>
      </c>
      <c r="I1821" s="378">
        <v>14613600</v>
      </c>
      <c r="J1821" s="384">
        <f t="shared" si="33"/>
        <v>6</v>
      </c>
    </row>
    <row r="1822" spans="1:10" ht="15" customHeight="1" x14ac:dyDescent="0.25">
      <c r="A1822" s="380">
        <v>520472</v>
      </c>
      <c r="B1822" s="381" t="s">
        <v>315</v>
      </c>
      <c r="C1822" s="381" t="s">
        <v>1321</v>
      </c>
      <c r="D1822" s="381" t="s">
        <v>1246</v>
      </c>
      <c r="E1822" s="381" t="s">
        <v>1247</v>
      </c>
      <c r="F1822" s="378">
        <v>12500</v>
      </c>
      <c r="G1822" s="378">
        <v>0</v>
      </c>
      <c r="H1822" s="378">
        <v>0</v>
      </c>
      <c r="I1822" s="378">
        <v>12500</v>
      </c>
      <c r="J1822" s="384">
        <f t="shared" si="33"/>
        <v>6</v>
      </c>
    </row>
    <row r="1823" spans="1:10" ht="15" customHeight="1" x14ac:dyDescent="0.25">
      <c r="A1823" s="380">
        <v>520472</v>
      </c>
      <c r="B1823" s="381" t="s">
        <v>315</v>
      </c>
      <c r="C1823" s="381" t="s">
        <v>1321</v>
      </c>
      <c r="D1823" s="381" t="s">
        <v>1194</v>
      </c>
      <c r="E1823" s="381" t="s">
        <v>1195</v>
      </c>
      <c r="F1823" s="378">
        <v>376700</v>
      </c>
      <c r="G1823" s="378">
        <v>77800</v>
      </c>
      <c r="H1823" s="378">
        <v>0</v>
      </c>
      <c r="I1823" s="378">
        <v>454500</v>
      </c>
      <c r="J1823" s="384">
        <f t="shared" si="33"/>
        <v>6</v>
      </c>
    </row>
    <row r="1824" spans="1:10" ht="15" customHeight="1" x14ac:dyDescent="0.25">
      <c r="A1824" s="380">
        <v>520472</v>
      </c>
      <c r="B1824" s="381" t="s">
        <v>315</v>
      </c>
      <c r="C1824" s="381" t="s">
        <v>1321</v>
      </c>
      <c r="D1824" s="381" t="s">
        <v>779</v>
      </c>
      <c r="E1824" s="381" t="s">
        <v>780</v>
      </c>
      <c r="F1824" s="378">
        <v>89600</v>
      </c>
      <c r="G1824" s="378">
        <v>95500</v>
      </c>
      <c r="H1824" s="378">
        <v>0</v>
      </c>
      <c r="I1824" s="378">
        <v>185100</v>
      </c>
      <c r="J1824" s="384">
        <f t="shared" si="33"/>
        <v>6</v>
      </c>
    </row>
    <row r="1825" spans="1:10" ht="15" customHeight="1" x14ac:dyDescent="0.25">
      <c r="A1825" s="380">
        <v>520472</v>
      </c>
      <c r="B1825" s="381" t="s">
        <v>315</v>
      </c>
      <c r="C1825" s="381" t="s">
        <v>1321</v>
      </c>
      <c r="D1825" s="381" t="s">
        <v>1219</v>
      </c>
      <c r="E1825" s="381" t="s">
        <v>1220</v>
      </c>
      <c r="F1825" s="378">
        <v>63100</v>
      </c>
      <c r="G1825" s="378">
        <v>0</v>
      </c>
      <c r="H1825" s="378">
        <v>0</v>
      </c>
      <c r="I1825" s="378">
        <v>63100</v>
      </c>
      <c r="J1825" s="384">
        <f t="shared" si="33"/>
        <v>6</v>
      </c>
    </row>
    <row r="1826" spans="1:10" ht="15" customHeight="1" x14ac:dyDescent="0.25">
      <c r="A1826" s="380">
        <v>520472</v>
      </c>
      <c r="B1826" s="381" t="s">
        <v>315</v>
      </c>
      <c r="C1826" s="381" t="s">
        <v>1321</v>
      </c>
      <c r="D1826" s="381" t="s">
        <v>774</v>
      </c>
      <c r="E1826" s="381" t="s">
        <v>775</v>
      </c>
      <c r="F1826" s="378">
        <v>328400</v>
      </c>
      <c r="G1826" s="378">
        <v>57700</v>
      </c>
      <c r="H1826" s="378">
        <v>0</v>
      </c>
      <c r="I1826" s="378">
        <v>386100</v>
      </c>
      <c r="J1826" s="384">
        <f t="shared" si="33"/>
        <v>6</v>
      </c>
    </row>
    <row r="1827" spans="1:10" ht="15" customHeight="1" x14ac:dyDescent="0.25">
      <c r="A1827" s="380">
        <v>520472</v>
      </c>
      <c r="B1827" s="381" t="s">
        <v>315</v>
      </c>
      <c r="C1827" s="381" t="s">
        <v>1321</v>
      </c>
      <c r="D1827" s="381" t="s">
        <v>1196</v>
      </c>
      <c r="E1827" s="381" t="s">
        <v>1197</v>
      </c>
      <c r="F1827" s="378">
        <v>383200</v>
      </c>
      <c r="G1827" s="378">
        <v>66800</v>
      </c>
      <c r="H1827" s="378">
        <v>0</v>
      </c>
      <c r="I1827" s="378">
        <v>450000</v>
      </c>
      <c r="J1827" s="384">
        <f t="shared" si="33"/>
        <v>6</v>
      </c>
    </row>
    <row r="1828" spans="1:10" ht="15" customHeight="1" x14ac:dyDescent="0.25">
      <c r="A1828" s="380">
        <v>520472</v>
      </c>
      <c r="B1828" s="381" t="s">
        <v>315</v>
      </c>
      <c r="C1828" s="381" t="s">
        <v>1321</v>
      </c>
      <c r="D1828" s="381" t="s">
        <v>1078</v>
      </c>
      <c r="E1828" s="381" t="s">
        <v>1079</v>
      </c>
      <c r="F1828" s="378">
        <v>772000</v>
      </c>
      <c r="G1828" s="378">
        <v>210000</v>
      </c>
      <c r="H1828" s="378">
        <v>0</v>
      </c>
      <c r="I1828" s="378">
        <v>982000</v>
      </c>
      <c r="J1828" s="384">
        <f t="shared" si="33"/>
        <v>6</v>
      </c>
    </row>
    <row r="1829" spans="1:10" ht="15" customHeight="1" x14ac:dyDescent="0.25">
      <c r="A1829" s="380">
        <v>520472</v>
      </c>
      <c r="B1829" s="381" t="s">
        <v>315</v>
      </c>
      <c r="C1829" s="381" t="s">
        <v>1321</v>
      </c>
      <c r="D1829" s="381" t="s">
        <v>781</v>
      </c>
      <c r="E1829" s="381" t="s">
        <v>782</v>
      </c>
      <c r="F1829" s="378">
        <v>459600</v>
      </c>
      <c r="G1829" s="378">
        <v>87600</v>
      </c>
      <c r="H1829" s="378">
        <v>0</v>
      </c>
      <c r="I1829" s="378">
        <v>547200</v>
      </c>
      <c r="J1829" s="384">
        <f t="shared" si="33"/>
        <v>6</v>
      </c>
    </row>
    <row r="1830" spans="1:10" ht="15" customHeight="1" x14ac:dyDescent="0.25">
      <c r="A1830" s="380">
        <v>520472</v>
      </c>
      <c r="B1830" s="381" t="s">
        <v>315</v>
      </c>
      <c r="C1830" s="381" t="s">
        <v>1321</v>
      </c>
      <c r="D1830" s="381" t="s">
        <v>728</v>
      </c>
      <c r="E1830" s="381" t="s">
        <v>729</v>
      </c>
      <c r="F1830" s="378">
        <v>437200</v>
      </c>
      <c r="G1830" s="378">
        <v>89000</v>
      </c>
      <c r="H1830" s="378">
        <v>0</v>
      </c>
      <c r="I1830" s="378">
        <v>526200</v>
      </c>
      <c r="J1830" s="384">
        <f t="shared" si="33"/>
        <v>6</v>
      </c>
    </row>
    <row r="1831" spans="1:10" ht="15" customHeight="1" x14ac:dyDescent="0.25">
      <c r="A1831" s="380">
        <v>520472</v>
      </c>
      <c r="B1831" s="381" t="s">
        <v>315</v>
      </c>
      <c r="C1831" s="381" t="s">
        <v>1321</v>
      </c>
      <c r="D1831" s="381" t="s">
        <v>783</v>
      </c>
      <c r="E1831" s="381" t="s">
        <v>784</v>
      </c>
      <c r="F1831" s="378">
        <v>323900</v>
      </c>
      <c r="G1831" s="378">
        <v>66200</v>
      </c>
      <c r="H1831" s="378">
        <v>0</v>
      </c>
      <c r="I1831" s="378">
        <v>390100</v>
      </c>
      <c r="J1831" s="384">
        <f t="shared" si="33"/>
        <v>6</v>
      </c>
    </row>
    <row r="1832" spans="1:10" ht="15" customHeight="1" x14ac:dyDescent="0.25">
      <c r="A1832" s="380">
        <v>520472</v>
      </c>
      <c r="B1832" s="381" t="s">
        <v>315</v>
      </c>
      <c r="C1832" s="381" t="s">
        <v>1321</v>
      </c>
      <c r="D1832" s="381" t="s">
        <v>797</v>
      </c>
      <c r="E1832" s="381" t="s">
        <v>798</v>
      </c>
      <c r="F1832" s="378">
        <v>320800</v>
      </c>
      <c r="G1832" s="378">
        <v>60300</v>
      </c>
      <c r="H1832" s="378">
        <v>0</v>
      </c>
      <c r="I1832" s="378">
        <v>381100</v>
      </c>
      <c r="J1832" s="384">
        <f t="shared" ref="J1832:J1895" si="34">+LEN(A1832)</f>
        <v>6</v>
      </c>
    </row>
    <row r="1833" spans="1:10" ht="15" customHeight="1" x14ac:dyDescent="0.25">
      <c r="A1833" s="380">
        <v>520472</v>
      </c>
      <c r="B1833" s="381" t="s">
        <v>315</v>
      </c>
      <c r="C1833" s="381" t="s">
        <v>1321</v>
      </c>
      <c r="D1833" s="381" t="s">
        <v>1221</v>
      </c>
      <c r="E1833" s="381" t="s">
        <v>1494</v>
      </c>
      <c r="F1833" s="378">
        <v>368600</v>
      </c>
      <c r="G1833" s="378">
        <v>0</v>
      </c>
      <c r="H1833" s="378">
        <v>0</v>
      </c>
      <c r="I1833" s="378">
        <v>368600</v>
      </c>
      <c r="J1833" s="384">
        <f t="shared" si="34"/>
        <v>6</v>
      </c>
    </row>
    <row r="1834" spans="1:10" ht="15" customHeight="1" x14ac:dyDescent="0.25">
      <c r="A1834" s="380">
        <v>520472</v>
      </c>
      <c r="B1834" s="381" t="s">
        <v>315</v>
      </c>
      <c r="C1834" s="381" t="s">
        <v>1321</v>
      </c>
      <c r="D1834" s="381" t="s">
        <v>1222</v>
      </c>
      <c r="E1834" s="381" t="s">
        <v>1223</v>
      </c>
      <c r="F1834" s="378">
        <v>62400</v>
      </c>
      <c r="G1834" s="378">
        <v>0</v>
      </c>
      <c r="H1834" s="378">
        <v>0</v>
      </c>
      <c r="I1834" s="378">
        <v>62400</v>
      </c>
      <c r="J1834" s="384">
        <f t="shared" si="34"/>
        <v>6</v>
      </c>
    </row>
    <row r="1835" spans="1:10" ht="15" customHeight="1" x14ac:dyDescent="0.25">
      <c r="A1835" s="380">
        <v>520472</v>
      </c>
      <c r="B1835" s="381" t="s">
        <v>315</v>
      </c>
      <c r="C1835" s="381" t="s">
        <v>1321</v>
      </c>
      <c r="D1835" s="381" t="s">
        <v>1198</v>
      </c>
      <c r="E1835" s="381" t="s">
        <v>1199</v>
      </c>
      <c r="F1835" s="378">
        <v>88800</v>
      </c>
      <c r="G1835" s="378">
        <v>62700</v>
      </c>
      <c r="H1835" s="378">
        <v>0</v>
      </c>
      <c r="I1835" s="378">
        <v>151500</v>
      </c>
      <c r="J1835" s="384">
        <f t="shared" si="34"/>
        <v>6</v>
      </c>
    </row>
    <row r="1836" spans="1:10" ht="15" customHeight="1" x14ac:dyDescent="0.25">
      <c r="A1836" s="380">
        <v>520472</v>
      </c>
      <c r="B1836" s="381" t="s">
        <v>315</v>
      </c>
      <c r="C1836" s="381" t="s">
        <v>1321</v>
      </c>
      <c r="D1836" s="381" t="s">
        <v>753</v>
      </c>
      <c r="E1836" s="381" t="s">
        <v>754</v>
      </c>
      <c r="F1836" s="378">
        <v>104000</v>
      </c>
      <c r="G1836" s="378">
        <v>0</v>
      </c>
      <c r="H1836" s="378">
        <v>0</v>
      </c>
      <c r="I1836" s="378">
        <v>104000</v>
      </c>
      <c r="J1836" s="384">
        <f t="shared" si="34"/>
        <v>6</v>
      </c>
    </row>
    <row r="1837" spans="1:10" ht="15" customHeight="1" x14ac:dyDescent="0.25">
      <c r="A1837" s="380">
        <v>520472</v>
      </c>
      <c r="B1837" s="381" t="s">
        <v>315</v>
      </c>
      <c r="C1837" s="381" t="s">
        <v>1321</v>
      </c>
      <c r="D1837" s="381" t="s">
        <v>1200</v>
      </c>
      <c r="E1837" s="381" t="s">
        <v>1201</v>
      </c>
      <c r="F1837" s="378">
        <v>300000</v>
      </c>
      <c r="G1837" s="378">
        <v>72400</v>
      </c>
      <c r="H1837" s="378">
        <v>0</v>
      </c>
      <c r="I1837" s="378">
        <v>372400</v>
      </c>
      <c r="J1837" s="384">
        <f t="shared" si="34"/>
        <v>6</v>
      </c>
    </row>
    <row r="1838" spans="1:10" ht="15" customHeight="1" x14ac:dyDescent="0.25">
      <c r="A1838" s="380">
        <v>520472</v>
      </c>
      <c r="B1838" s="381" t="s">
        <v>315</v>
      </c>
      <c r="C1838" s="381" t="s">
        <v>1321</v>
      </c>
      <c r="D1838" s="381" t="s">
        <v>786</v>
      </c>
      <c r="E1838" s="381" t="s">
        <v>787</v>
      </c>
      <c r="F1838" s="378">
        <v>508900</v>
      </c>
      <c r="G1838" s="378">
        <v>99200</v>
      </c>
      <c r="H1838" s="378">
        <v>0</v>
      </c>
      <c r="I1838" s="378">
        <v>608100</v>
      </c>
      <c r="J1838" s="384">
        <f t="shared" si="34"/>
        <v>6</v>
      </c>
    </row>
    <row r="1839" spans="1:10" ht="15" customHeight="1" x14ac:dyDescent="0.25">
      <c r="A1839" s="380">
        <v>520472</v>
      </c>
      <c r="B1839" s="381" t="s">
        <v>315</v>
      </c>
      <c r="C1839" s="381" t="s">
        <v>1321</v>
      </c>
      <c r="D1839" s="381" t="s">
        <v>1224</v>
      </c>
      <c r="E1839" s="381" t="s">
        <v>1225</v>
      </c>
      <c r="F1839" s="378">
        <v>370600</v>
      </c>
      <c r="G1839" s="378">
        <v>86600</v>
      </c>
      <c r="H1839" s="378">
        <v>0</v>
      </c>
      <c r="I1839" s="378">
        <v>457200</v>
      </c>
      <c r="J1839" s="384">
        <f t="shared" si="34"/>
        <v>6</v>
      </c>
    </row>
    <row r="1840" spans="1:10" ht="15" customHeight="1" x14ac:dyDescent="0.25">
      <c r="A1840" s="380">
        <v>520472</v>
      </c>
      <c r="B1840" s="381" t="s">
        <v>315</v>
      </c>
      <c r="C1840" s="381" t="s">
        <v>1321</v>
      </c>
      <c r="D1840" s="381" t="s">
        <v>1226</v>
      </c>
      <c r="E1840" s="381" t="s">
        <v>1227</v>
      </c>
      <c r="F1840" s="378">
        <v>23800</v>
      </c>
      <c r="G1840" s="378">
        <v>0</v>
      </c>
      <c r="H1840" s="378">
        <v>0</v>
      </c>
      <c r="I1840" s="378">
        <v>23800</v>
      </c>
      <c r="J1840" s="384">
        <f t="shared" si="34"/>
        <v>6</v>
      </c>
    </row>
    <row r="1841" spans="1:10" ht="15" customHeight="1" x14ac:dyDescent="0.25">
      <c r="A1841" s="380">
        <v>520472</v>
      </c>
      <c r="B1841" s="381" t="s">
        <v>315</v>
      </c>
      <c r="C1841" s="381" t="s">
        <v>1321</v>
      </c>
      <c r="D1841" s="381" t="s">
        <v>1202</v>
      </c>
      <c r="E1841" s="381" t="s">
        <v>1203</v>
      </c>
      <c r="F1841" s="378">
        <v>69900</v>
      </c>
      <c r="G1841" s="378">
        <v>67800</v>
      </c>
      <c r="H1841" s="378">
        <v>0</v>
      </c>
      <c r="I1841" s="378">
        <v>137700</v>
      </c>
      <c r="J1841" s="384">
        <f t="shared" si="34"/>
        <v>6</v>
      </c>
    </row>
    <row r="1842" spans="1:10" ht="15" customHeight="1" x14ac:dyDescent="0.25">
      <c r="A1842" s="380">
        <v>520472</v>
      </c>
      <c r="B1842" s="381" t="s">
        <v>315</v>
      </c>
      <c r="C1842" s="381" t="s">
        <v>1321</v>
      </c>
      <c r="D1842" s="381" t="s">
        <v>1228</v>
      </c>
      <c r="E1842" s="381" t="s">
        <v>1229</v>
      </c>
      <c r="F1842" s="378">
        <v>72400</v>
      </c>
      <c r="G1842" s="378">
        <v>53400</v>
      </c>
      <c r="H1842" s="378">
        <v>0</v>
      </c>
      <c r="I1842" s="378">
        <v>125800</v>
      </c>
      <c r="J1842" s="384">
        <f t="shared" si="34"/>
        <v>6</v>
      </c>
    </row>
    <row r="1843" spans="1:10" ht="15" customHeight="1" x14ac:dyDescent="0.25">
      <c r="A1843" s="380">
        <v>520472</v>
      </c>
      <c r="B1843" s="381" t="s">
        <v>315</v>
      </c>
      <c r="C1843" s="381" t="s">
        <v>1321</v>
      </c>
      <c r="D1843" s="381" t="s">
        <v>1086</v>
      </c>
      <c r="E1843" s="381" t="s">
        <v>1087</v>
      </c>
      <c r="F1843" s="378">
        <v>343200</v>
      </c>
      <c r="G1843" s="378">
        <v>68100</v>
      </c>
      <c r="H1843" s="378">
        <v>0</v>
      </c>
      <c r="I1843" s="378">
        <v>411300</v>
      </c>
      <c r="J1843" s="384">
        <f t="shared" si="34"/>
        <v>6</v>
      </c>
    </row>
    <row r="1844" spans="1:10" ht="15" customHeight="1" x14ac:dyDescent="0.25">
      <c r="A1844" s="380">
        <v>520472</v>
      </c>
      <c r="B1844" s="381" t="s">
        <v>315</v>
      </c>
      <c r="C1844" s="381" t="s">
        <v>1321</v>
      </c>
      <c r="D1844" s="381" t="s">
        <v>404</v>
      </c>
      <c r="E1844" s="381" t="s">
        <v>1230</v>
      </c>
      <c r="F1844" s="378">
        <v>126700</v>
      </c>
      <c r="G1844" s="378">
        <v>60800</v>
      </c>
      <c r="H1844" s="378">
        <v>0</v>
      </c>
      <c r="I1844" s="378">
        <v>187500</v>
      </c>
      <c r="J1844" s="384">
        <f t="shared" si="34"/>
        <v>6</v>
      </c>
    </row>
    <row r="1845" spans="1:10" ht="15" customHeight="1" x14ac:dyDescent="0.25">
      <c r="A1845" s="380">
        <v>520472</v>
      </c>
      <c r="B1845" s="381" t="s">
        <v>315</v>
      </c>
      <c r="C1845" s="381" t="s">
        <v>1321</v>
      </c>
      <c r="D1845" s="381" t="s">
        <v>1204</v>
      </c>
      <c r="E1845" s="381" t="s">
        <v>1205</v>
      </c>
      <c r="F1845" s="378">
        <v>79300</v>
      </c>
      <c r="G1845" s="378">
        <v>62000</v>
      </c>
      <c r="H1845" s="378">
        <v>0</v>
      </c>
      <c r="I1845" s="378">
        <v>141300</v>
      </c>
      <c r="J1845" s="384">
        <f t="shared" si="34"/>
        <v>6</v>
      </c>
    </row>
    <row r="1846" spans="1:10" ht="15" customHeight="1" x14ac:dyDescent="0.25">
      <c r="A1846" s="380">
        <v>520472</v>
      </c>
      <c r="B1846" s="381" t="s">
        <v>315</v>
      </c>
      <c r="C1846" s="381" t="s">
        <v>1321</v>
      </c>
      <c r="D1846" s="381" t="s">
        <v>1231</v>
      </c>
      <c r="E1846" s="381" t="s">
        <v>1232</v>
      </c>
      <c r="F1846" s="378">
        <v>75900</v>
      </c>
      <c r="G1846" s="378">
        <v>0</v>
      </c>
      <c r="H1846" s="378">
        <v>0</v>
      </c>
      <c r="I1846" s="378">
        <v>75900</v>
      </c>
      <c r="J1846" s="384">
        <f t="shared" si="34"/>
        <v>6</v>
      </c>
    </row>
    <row r="1847" spans="1:10" ht="15" customHeight="1" x14ac:dyDescent="0.25">
      <c r="A1847" s="380">
        <v>520472</v>
      </c>
      <c r="B1847" s="381" t="s">
        <v>315</v>
      </c>
      <c r="C1847" s="381" t="s">
        <v>1321</v>
      </c>
      <c r="D1847" s="381" t="s">
        <v>788</v>
      </c>
      <c r="E1847" s="381" t="s">
        <v>789</v>
      </c>
      <c r="F1847" s="378">
        <v>578300</v>
      </c>
      <c r="G1847" s="378">
        <v>114700</v>
      </c>
      <c r="H1847" s="378">
        <v>0</v>
      </c>
      <c r="I1847" s="378">
        <v>693000</v>
      </c>
      <c r="J1847" s="384">
        <f t="shared" si="34"/>
        <v>6</v>
      </c>
    </row>
    <row r="1848" spans="1:10" ht="15" customHeight="1" x14ac:dyDescent="0.25">
      <c r="A1848" s="380">
        <v>520472</v>
      </c>
      <c r="B1848" s="381" t="s">
        <v>315</v>
      </c>
      <c r="C1848" s="381" t="s">
        <v>1321</v>
      </c>
      <c r="D1848" s="381" t="s">
        <v>1206</v>
      </c>
      <c r="E1848" s="381" t="s">
        <v>1207</v>
      </c>
      <c r="F1848" s="378">
        <v>291400</v>
      </c>
      <c r="G1848" s="378">
        <v>76800</v>
      </c>
      <c r="H1848" s="378">
        <v>0</v>
      </c>
      <c r="I1848" s="378">
        <v>368200</v>
      </c>
      <c r="J1848" s="384">
        <f t="shared" si="34"/>
        <v>6</v>
      </c>
    </row>
    <row r="1849" spans="1:10" ht="15" customHeight="1" x14ac:dyDescent="0.25">
      <c r="A1849" s="380">
        <v>520472</v>
      </c>
      <c r="B1849" s="381" t="s">
        <v>315</v>
      </c>
      <c r="C1849" s="381" t="s">
        <v>1321</v>
      </c>
      <c r="D1849" s="381" t="s">
        <v>1088</v>
      </c>
      <c r="E1849" s="381" t="s">
        <v>1089</v>
      </c>
      <c r="F1849" s="378">
        <v>179100</v>
      </c>
      <c r="G1849" s="378">
        <v>30500</v>
      </c>
      <c r="H1849" s="378">
        <v>0</v>
      </c>
      <c r="I1849" s="378">
        <v>209600</v>
      </c>
      <c r="J1849" s="384">
        <f t="shared" si="34"/>
        <v>6</v>
      </c>
    </row>
    <row r="1850" spans="1:10" ht="15" customHeight="1" x14ac:dyDescent="0.25">
      <c r="A1850" s="380">
        <v>520472</v>
      </c>
      <c r="B1850" s="381" t="s">
        <v>315</v>
      </c>
      <c r="C1850" s="381" t="s">
        <v>1321</v>
      </c>
      <c r="D1850" s="381" t="s">
        <v>776</v>
      </c>
      <c r="E1850" s="381" t="s">
        <v>777</v>
      </c>
      <c r="F1850" s="378">
        <v>400200</v>
      </c>
      <c r="G1850" s="378">
        <v>51400</v>
      </c>
      <c r="H1850" s="378">
        <v>0</v>
      </c>
      <c r="I1850" s="378">
        <v>451600</v>
      </c>
      <c r="J1850" s="384">
        <f t="shared" si="34"/>
        <v>6</v>
      </c>
    </row>
    <row r="1851" spans="1:10" ht="15" customHeight="1" x14ac:dyDescent="0.25">
      <c r="A1851" s="380">
        <v>520472</v>
      </c>
      <c r="B1851" s="381" t="s">
        <v>315</v>
      </c>
      <c r="C1851" s="381" t="s">
        <v>1321</v>
      </c>
      <c r="D1851" s="381" t="s">
        <v>790</v>
      </c>
      <c r="E1851" s="381" t="s">
        <v>791</v>
      </c>
      <c r="F1851" s="378">
        <v>366500</v>
      </c>
      <c r="G1851" s="378">
        <v>83500</v>
      </c>
      <c r="H1851" s="378">
        <v>0</v>
      </c>
      <c r="I1851" s="378">
        <v>450000</v>
      </c>
      <c r="J1851" s="384">
        <f t="shared" si="34"/>
        <v>6</v>
      </c>
    </row>
    <row r="1852" spans="1:10" ht="15" customHeight="1" x14ac:dyDescent="0.25">
      <c r="A1852" s="380">
        <v>520472</v>
      </c>
      <c r="B1852" s="381" t="s">
        <v>315</v>
      </c>
      <c r="C1852" s="381" t="s">
        <v>1321</v>
      </c>
      <c r="D1852" s="381" t="s">
        <v>1233</v>
      </c>
      <c r="E1852" s="381" t="s">
        <v>1234</v>
      </c>
      <c r="F1852" s="378">
        <v>245000</v>
      </c>
      <c r="G1852" s="378">
        <v>0</v>
      </c>
      <c r="H1852" s="378">
        <v>0</v>
      </c>
      <c r="I1852" s="378">
        <v>245000</v>
      </c>
      <c r="J1852" s="384">
        <f t="shared" si="34"/>
        <v>6</v>
      </c>
    </row>
    <row r="1853" spans="1:10" ht="15" customHeight="1" x14ac:dyDescent="0.25">
      <c r="A1853" s="380">
        <v>520472</v>
      </c>
      <c r="B1853" s="381" t="s">
        <v>315</v>
      </c>
      <c r="C1853" s="381" t="s">
        <v>1321</v>
      </c>
      <c r="D1853" s="381" t="s">
        <v>1235</v>
      </c>
      <c r="E1853" s="381" t="s">
        <v>1236</v>
      </c>
      <c r="F1853" s="378">
        <v>36700</v>
      </c>
      <c r="G1853" s="378">
        <v>0</v>
      </c>
      <c r="H1853" s="378">
        <v>0</v>
      </c>
      <c r="I1853" s="378">
        <v>36700</v>
      </c>
      <c r="J1853" s="384">
        <f t="shared" si="34"/>
        <v>6</v>
      </c>
    </row>
    <row r="1854" spans="1:10" ht="15" customHeight="1" x14ac:dyDescent="0.25">
      <c r="A1854" s="380">
        <v>520472</v>
      </c>
      <c r="B1854" s="381" t="s">
        <v>315</v>
      </c>
      <c r="C1854" s="381" t="s">
        <v>1321</v>
      </c>
      <c r="D1854" s="381" t="s">
        <v>1208</v>
      </c>
      <c r="E1854" s="381" t="s">
        <v>1209</v>
      </c>
      <c r="F1854" s="378">
        <v>372900</v>
      </c>
      <c r="G1854" s="378">
        <v>70500</v>
      </c>
      <c r="H1854" s="378">
        <v>0</v>
      </c>
      <c r="I1854" s="378">
        <v>443400</v>
      </c>
      <c r="J1854" s="384">
        <f t="shared" si="34"/>
        <v>6</v>
      </c>
    </row>
    <row r="1855" spans="1:10" ht="15" customHeight="1" x14ac:dyDescent="0.25">
      <c r="A1855" s="380">
        <v>520472</v>
      </c>
      <c r="B1855" s="381" t="s">
        <v>315</v>
      </c>
      <c r="C1855" s="381" t="s">
        <v>1321</v>
      </c>
      <c r="D1855" s="381" t="s">
        <v>1237</v>
      </c>
      <c r="E1855" s="381" t="s">
        <v>1238</v>
      </c>
      <c r="F1855" s="378">
        <v>89900</v>
      </c>
      <c r="G1855" s="378">
        <v>78900</v>
      </c>
      <c r="H1855" s="378">
        <v>0</v>
      </c>
      <c r="I1855" s="378">
        <v>168800</v>
      </c>
      <c r="J1855" s="384">
        <f t="shared" si="34"/>
        <v>6</v>
      </c>
    </row>
    <row r="1856" spans="1:10" ht="15" customHeight="1" x14ac:dyDescent="0.25">
      <c r="A1856" s="380">
        <v>520472</v>
      </c>
      <c r="B1856" s="381" t="s">
        <v>315</v>
      </c>
      <c r="C1856" s="381" t="s">
        <v>1321</v>
      </c>
      <c r="D1856" s="381" t="s">
        <v>1239</v>
      </c>
      <c r="E1856" s="381" t="s">
        <v>1240</v>
      </c>
      <c r="F1856" s="378">
        <v>347800</v>
      </c>
      <c r="G1856" s="378">
        <v>0</v>
      </c>
      <c r="H1856" s="378">
        <v>0</v>
      </c>
      <c r="I1856" s="378">
        <v>347800</v>
      </c>
      <c r="J1856" s="384">
        <f t="shared" si="34"/>
        <v>6</v>
      </c>
    </row>
    <row r="1857" spans="1:10" ht="15" customHeight="1" x14ac:dyDescent="0.25">
      <c r="A1857" s="380">
        <v>520472</v>
      </c>
      <c r="B1857" s="381" t="s">
        <v>315</v>
      </c>
      <c r="C1857" s="381" t="s">
        <v>1321</v>
      </c>
      <c r="D1857" s="381" t="s">
        <v>1248</v>
      </c>
      <c r="E1857" s="381" t="s">
        <v>1249</v>
      </c>
      <c r="F1857" s="378">
        <v>9900</v>
      </c>
      <c r="G1857" s="378">
        <v>0</v>
      </c>
      <c r="H1857" s="378">
        <v>0</v>
      </c>
      <c r="I1857" s="378">
        <v>9900</v>
      </c>
      <c r="J1857" s="384">
        <f t="shared" si="34"/>
        <v>6</v>
      </c>
    </row>
    <row r="1858" spans="1:10" ht="15" customHeight="1" x14ac:dyDescent="0.25">
      <c r="A1858" s="380">
        <v>520472</v>
      </c>
      <c r="B1858" s="381" t="s">
        <v>315</v>
      </c>
      <c r="C1858" s="381" t="s">
        <v>1321</v>
      </c>
      <c r="D1858" s="381" t="s">
        <v>1210</v>
      </c>
      <c r="E1858" s="381" t="s">
        <v>1211</v>
      </c>
      <c r="F1858" s="378">
        <v>327300</v>
      </c>
      <c r="G1858" s="378">
        <v>60800</v>
      </c>
      <c r="H1858" s="378">
        <v>0</v>
      </c>
      <c r="I1858" s="378">
        <v>388100</v>
      </c>
      <c r="J1858" s="384">
        <f t="shared" si="34"/>
        <v>6</v>
      </c>
    </row>
    <row r="1859" spans="1:10" ht="15" customHeight="1" x14ac:dyDescent="0.25">
      <c r="A1859" s="380">
        <v>520472</v>
      </c>
      <c r="B1859" s="381" t="s">
        <v>315</v>
      </c>
      <c r="C1859" s="381" t="s">
        <v>1321</v>
      </c>
      <c r="D1859" s="381" t="s">
        <v>1090</v>
      </c>
      <c r="E1859" s="381" t="s">
        <v>1091</v>
      </c>
      <c r="F1859" s="378">
        <v>261200</v>
      </c>
      <c r="G1859" s="378">
        <v>99000</v>
      </c>
      <c r="H1859" s="378">
        <v>0</v>
      </c>
      <c r="I1859" s="378">
        <v>360200</v>
      </c>
      <c r="J1859" s="384">
        <f t="shared" si="34"/>
        <v>6</v>
      </c>
    </row>
    <row r="1860" spans="1:10" ht="15" customHeight="1" x14ac:dyDescent="0.25">
      <c r="A1860" s="380">
        <v>520472</v>
      </c>
      <c r="B1860" s="381" t="s">
        <v>315</v>
      </c>
      <c r="C1860" s="381" t="s">
        <v>1321</v>
      </c>
      <c r="D1860" s="381" t="s">
        <v>1241</v>
      </c>
      <c r="E1860" s="381" t="s">
        <v>1242</v>
      </c>
      <c r="F1860" s="378">
        <v>133000</v>
      </c>
      <c r="G1860" s="378">
        <v>62400</v>
      </c>
      <c r="H1860" s="378">
        <v>0</v>
      </c>
      <c r="I1860" s="378">
        <v>195400</v>
      </c>
      <c r="J1860" s="384">
        <f t="shared" si="34"/>
        <v>6</v>
      </c>
    </row>
    <row r="1861" spans="1:10" ht="15" customHeight="1" x14ac:dyDescent="0.25">
      <c r="A1861" s="380">
        <v>520472</v>
      </c>
      <c r="B1861" s="381" t="s">
        <v>315</v>
      </c>
      <c r="C1861" s="381" t="s">
        <v>1321</v>
      </c>
      <c r="D1861" s="381" t="s">
        <v>792</v>
      </c>
      <c r="E1861" s="381" t="s">
        <v>793</v>
      </c>
      <c r="F1861" s="378">
        <v>401700</v>
      </c>
      <c r="G1861" s="378">
        <v>87500</v>
      </c>
      <c r="H1861" s="378">
        <v>0</v>
      </c>
      <c r="I1861" s="378">
        <v>489200</v>
      </c>
      <c r="J1861" s="384">
        <f t="shared" si="34"/>
        <v>6</v>
      </c>
    </row>
    <row r="1862" spans="1:10" ht="15" customHeight="1" x14ac:dyDescent="0.25">
      <c r="A1862" s="380">
        <v>520472</v>
      </c>
      <c r="B1862" s="381" t="s">
        <v>315</v>
      </c>
      <c r="C1862" s="381" t="s">
        <v>1321</v>
      </c>
      <c r="D1862" s="381" t="s">
        <v>794</v>
      </c>
      <c r="E1862" s="381" t="s">
        <v>795</v>
      </c>
      <c r="F1862" s="378">
        <v>419800</v>
      </c>
      <c r="G1862" s="378">
        <v>83400</v>
      </c>
      <c r="H1862" s="378">
        <v>0</v>
      </c>
      <c r="I1862" s="378">
        <v>503200</v>
      </c>
      <c r="J1862" s="384">
        <f t="shared" si="34"/>
        <v>6</v>
      </c>
    </row>
    <row r="1863" spans="1:10" ht="15" customHeight="1" x14ac:dyDescent="0.25">
      <c r="A1863" s="380">
        <v>520472</v>
      </c>
      <c r="B1863" s="381" t="s">
        <v>315</v>
      </c>
      <c r="C1863" s="381" t="s">
        <v>1321</v>
      </c>
      <c r="D1863" s="381" t="s">
        <v>1212</v>
      </c>
      <c r="E1863" s="381" t="s">
        <v>1213</v>
      </c>
      <c r="F1863" s="378">
        <v>0</v>
      </c>
      <c r="G1863" s="378">
        <v>41800</v>
      </c>
      <c r="H1863" s="378">
        <v>0</v>
      </c>
      <c r="I1863" s="378">
        <v>41800</v>
      </c>
      <c r="J1863" s="384">
        <f t="shared" si="34"/>
        <v>6</v>
      </c>
    </row>
    <row r="1864" spans="1:10" ht="15" customHeight="1" x14ac:dyDescent="0.25">
      <c r="A1864" s="380">
        <v>520472</v>
      </c>
      <c r="B1864" s="381" t="s">
        <v>315</v>
      </c>
      <c r="C1864" s="381" t="s">
        <v>1321</v>
      </c>
      <c r="D1864" s="381" t="s">
        <v>1092</v>
      </c>
      <c r="E1864" s="381" t="s">
        <v>1093</v>
      </c>
      <c r="F1864" s="378">
        <v>398300</v>
      </c>
      <c r="G1864" s="378">
        <v>63400</v>
      </c>
      <c r="H1864" s="378">
        <v>0</v>
      </c>
      <c r="I1864" s="378">
        <v>461700</v>
      </c>
      <c r="J1864" s="384">
        <f t="shared" si="34"/>
        <v>6</v>
      </c>
    </row>
    <row r="1865" spans="1:10" ht="15" customHeight="1" x14ac:dyDescent="0.25">
      <c r="A1865" s="380">
        <v>520472</v>
      </c>
      <c r="B1865" s="381" t="s">
        <v>315</v>
      </c>
      <c r="C1865" s="381" t="s">
        <v>1321</v>
      </c>
      <c r="D1865" s="381" t="s">
        <v>1243</v>
      </c>
      <c r="E1865" s="381" t="s">
        <v>1244</v>
      </c>
      <c r="F1865" s="378">
        <v>208600</v>
      </c>
      <c r="G1865" s="378">
        <v>0</v>
      </c>
      <c r="H1865" s="378">
        <v>0</v>
      </c>
      <c r="I1865" s="378">
        <v>208600</v>
      </c>
      <c r="J1865" s="384">
        <f t="shared" si="34"/>
        <v>6</v>
      </c>
    </row>
    <row r="1866" spans="1:10" ht="15" customHeight="1" x14ac:dyDescent="0.25">
      <c r="A1866" s="380">
        <v>520472</v>
      </c>
      <c r="B1866" s="381" t="s">
        <v>315</v>
      </c>
      <c r="C1866" s="381" t="s">
        <v>1321</v>
      </c>
      <c r="D1866" s="381" t="s">
        <v>1214</v>
      </c>
      <c r="E1866" s="381" t="s">
        <v>1489</v>
      </c>
      <c r="F1866" s="378">
        <v>463000</v>
      </c>
      <c r="G1866" s="378">
        <v>87600</v>
      </c>
      <c r="H1866" s="378">
        <v>0</v>
      </c>
      <c r="I1866" s="378">
        <v>550600</v>
      </c>
      <c r="J1866" s="384">
        <f t="shared" si="34"/>
        <v>6</v>
      </c>
    </row>
    <row r="1867" spans="1:10" ht="15" customHeight="1" x14ac:dyDescent="0.25">
      <c r="A1867" s="380">
        <v>520472</v>
      </c>
      <c r="B1867" s="381" t="s">
        <v>315</v>
      </c>
      <c r="C1867" s="381" t="s">
        <v>1321</v>
      </c>
      <c r="D1867" s="381" t="s">
        <v>1094</v>
      </c>
      <c r="E1867" s="381" t="s">
        <v>1095</v>
      </c>
      <c r="F1867" s="378">
        <v>325100</v>
      </c>
      <c r="G1867" s="378">
        <v>60300</v>
      </c>
      <c r="H1867" s="378">
        <v>0</v>
      </c>
      <c r="I1867" s="378">
        <v>385400</v>
      </c>
      <c r="J1867" s="384">
        <f t="shared" si="34"/>
        <v>6</v>
      </c>
    </row>
    <row r="1868" spans="1:10" ht="15" customHeight="1" x14ac:dyDescent="0.25">
      <c r="A1868" s="380">
        <v>5205</v>
      </c>
      <c r="B1868" s="381" t="s">
        <v>315</v>
      </c>
      <c r="C1868" s="381" t="s">
        <v>476</v>
      </c>
      <c r="D1868" s="381" t="s">
        <v>315</v>
      </c>
      <c r="E1868" s="381" t="s">
        <v>315</v>
      </c>
      <c r="F1868" s="378">
        <v>402496225</v>
      </c>
      <c r="G1868" s="378">
        <v>90568466</v>
      </c>
      <c r="H1868" s="378">
        <v>2628</v>
      </c>
      <c r="I1868" s="378">
        <v>493062063</v>
      </c>
      <c r="J1868" s="384">
        <f t="shared" si="34"/>
        <v>4</v>
      </c>
    </row>
    <row r="1869" spans="1:10" ht="15" customHeight="1" x14ac:dyDescent="0.25">
      <c r="A1869" s="380">
        <v>520506</v>
      </c>
      <c r="B1869" s="381" t="s">
        <v>315</v>
      </c>
      <c r="C1869" s="381" t="s">
        <v>1322</v>
      </c>
      <c r="D1869" s="381" t="s">
        <v>315</v>
      </c>
      <c r="E1869" s="381" t="s">
        <v>315</v>
      </c>
      <c r="F1869" s="378">
        <v>230462865</v>
      </c>
      <c r="G1869" s="378">
        <v>51262398</v>
      </c>
      <c r="H1869" s="378">
        <v>0</v>
      </c>
      <c r="I1869" s="378">
        <v>281725263</v>
      </c>
      <c r="J1869" s="384">
        <f t="shared" si="34"/>
        <v>6</v>
      </c>
    </row>
    <row r="1870" spans="1:10" ht="15" customHeight="1" x14ac:dyDescent="0.25">
      <c r="A1870" s="380">
        <v>52050601</v>
      </c>
      <c r="B1870" s="381" t="s">
        <v>315</v>
      </c>
      <c r="C1870" s="381" t="s">
        <v>1322</v>
      </c>
      <c r="D1870" s="381" t="s">
        <v>315</v>
      </c>
      <c r="E1870" s="381" t="s">
        <v>315</v>
      </c>
      <c r="F1870" s="378">
        <v>230462865</v>
      </c>
      <c r="G1870" s="378">
        <v>51262398</v>
      </c>
      <c r="H1870" s="378">
        <v>0</v>
      </c>
      <c r="I1870" s="378">
        <v>281725263</v>
      </c>
      <c r="J1870" s="384">
        <f t="shared" si="34"/>
        <v>8</v>
      </c>
    </row>
    <row r="1871" spans="1:10" ht="15" customHeight="1" x14ac:dyDescent="0.25">
      <c r="A1871" s="380">
        <v>52050601</v>
      </c>
      <c r="B1871" s="381" t="s">
        <v>315</v>
      </c>
      <c r="C1871" s="381" t="s">
        <v>1322</v>
      </c>
      <c r="D1871" s="381" t="s">
        <v>1194</v>
      </c>
      <c r="E1871" s="381" t="s">
        <v>1195</v>
      </c>
      <c r="F1871" s="378">
        <v>7117500</v>
      </c>
      <c r="G1871" s="378">
        <v>1423500</v>
      </c>
      <c r="H1871" s="378">
        <v>0</v>
      </c>
      <c r="I1871" s="378">
        <v>8541000</v>
      </c>
      <c r="J1871" s="384">
        <f t="shared" si="34"/>
        <v>8</v>
      </c>
    </row>
    <row r="1872" spans="1:10" ht="15" customHeight="1" x14ac:dyDescent="0.25">
      <c r="A1872" s="380">
        <v>52050601</v>
      </c>
      <c r="B1872" s="381" t="s">
        <v>315</v>
      </c>
      <c r="C1872" s="381" t="s">
        <v>1322</v>
      </c>
      <c r="D1872" s="381" t="s">
        <v>779</v>
      </c>
      <c r="E1872" s="381" t="s">
        <v>780</v>
      </c>
      <c r="F1872" s="378">
        <v>1697032</v>
      </c>
      <c r="G1872" s="378">
        <v>1697032</v>
      </c>
      <c r="H1872" s="378">
        <v>0</v>
      </c>
      <c r="I1872" s="378">
        <v>3394064</v>
      </c>
      <c r="J1872" s="384">
        <f t="shared" si="34"/>
        <v>8</v>
      </c>
    </row>
    <row r="1873" spans="1:10" ht="15" customHeight="1" x14ac:dyDescent="0.25">
      <c r="A1873" s="380">
        <v>52050601</v>
      </c>
      <c r="B1873" s="381" t="s">
        <v>315</v>
      </c>
      <c r="C1873" s="381" t="s">
        <v>1322</v>
      </c>
      <c r="D1873" s="381" t="s">
        <v>1219</v>
      </c>
      <c r="E1873" s="381" t="s">
        <v>1220</v>
      </c>
      <c r="F1873" s="378">
        <v>759200</v>
      </c>
      <c r="G1873" s="378">
        <v>0</v>
      </c>
      <c r="H1873" s="378">
        <v>0</v>
      </c>
      <c r="I1873" s="378">
        <v>759200</v>
      </c>
      <c r="J1873" s="384">
        <f t="shared" si="34"/>
        <v>8</v>
      </c>
    </row>
    <row r="1874" spans="1:10" ht="15" customHeight="1" x14ac:dyDescent="0.25">
      <c r="A1874" s="380">
        <v>52050601</v>
      </c>
      <c r="B1874" s="381" t="s">
        <v>315</v>
      </c>
      <c r="C1874" s="381" t="s">
        <v>1322</v>
      </c>
      <c r="D1874" s="381" t="s">
        <v>774</v>
      </c>
      <c r="E1874" s="381" t="s">
        <v>775</v>
      </c>
      <c r="F1874" s="378">
        <v>7117500</v>
      </c>
      <c r="G1874" s="378">
        <v>1423500</v>
      </c>
      <c r="H1874" s="378">
        <v>0</v>
      </c>
      <c r="I1874" s="378">
        <v>8541000</v>
      </c>
      <c r="J1874" s="384">
        <f t="shared" si="34"/>
        <v>8</v>
      </c>
    </row>
    <row r="1875" spans="1:10" ht="15" customHeight="1" x14ac:dyDescent="0.25">
      <c r="A1875" s="380">
        <v>52050601</v>
      </c>
      <c r="B1875" s="381" t="s">
        <v>315</v>
      </c>
      <c r="C1875" s="381" t="s">
        <v>1322</v>
      </c>
      <c r="D1875" s="381" t="s">
        <v>1196</v>
      </c>
      <c r="E1875" s="381" t="s">
        <v>1197</v>
      </c>
      <c r="F1875" s="378">
        <v>7117506</v>
      </c>
      <c r="G1875" s="378">
        <v>1328602</v>
      </c>
      <c r="H1875" s="378">
        <v>0</v>
      </c>
      <c r="I1875" s="378">
        <v>8446108</v>
      </c>
      <c r="J1875" s="384">
        <f t="shared" si="34"/>
        <v>8</v>
      </c>
    </row>
    <row r="1876" spans="1:10" ht="15" customHeight="1" x14ac:dyDescent="0.25">
      <c r="A1876" s="380">
        <v>52050601</v>
      </c>
      <c r="B1876" s="381" t="s">
        <v>315</v>
      </c>
      <c r="C1876" s="381" t="s">
        <v>1322</v>
      </c>
      <c r="D1876" s="381" t="s">
        <v>1078</v>
      </c>
      <c r="E1876" s="381" t="s">
        <v>1079</v>
      </c>
      <c r="F1876" s="378">
        <v>14800000</v>
      </c>
      <c r="G1876" s="378">
        <v>4000000</v>
      </c>
      <c r="H1876" s="378">
        <v>0</v>
      </c>
      <c r="I1876" s="378">
        <v>18800000</v>
      </c>
      <c r="J1876" s="384">
        <f t="shared" si="34"/>
        <v>8</v>
      </c>
    </row>
    <row r="1877" spans="1:10" ht="15" customHeight="1" x14ac:dyDescent="0.25">
      <c r="A1877" s="380">
        <v>52050601</v>
      </c>
      <c r="B1877" s="381" t="s">
        <v>315</v>
      </c>
      <c r="C1877" s="381" t="s">
        <v>1322</v>
      </c>
      <c r="D1877" s="381" t="s">
        <v>781</v>
      </c>
      <c r="E1877" s="381" t="s">
        <v>782</v>
      </c>
      <c r="F1877" s="378">
        <v>9553245</v>
      </c>
      <c r="G1877" s="378">
        <v>2187766</v>
      </c>
      <c r="H1877" s="378">
        <v>0</v>
      </c>
      <c r="I1877" s="378">
        <v>11741011</v>
      </c>
      <c r="J1877" s="384">
        <f t="shared" si="34"/>
        <v>8</v>
      </c>
    </row>
    <row r="1878" spans="1:10" ht="15" customHeight="1" x14ac:dyDescent="0.25">
      <c r="A1878" s="380">
        <v>52050601</v>
      </c>
      <c r="B1878" s="381" t="s">
        <v>315</v>
      </c>
      <c r="C1878" s="381" t="s">
        <v>1322</v>
      </c>
      <c r="D1878" s="381" t="s">
        <v>728</v>
      </c>
      <c r="E1878" s="381" t="s">
        <v>729</v>
      </c>
      <c r="F1878" s="378">
        <v>9427799</v>
      </c>
      <c r="G1878" s="378">
        <v>2175646</v>
      </c>
      <c r="H1878" s="378">
        <v>0</v>
      </c>
      <c r="I1878" s="378">
        <v>11603445</v>
      </c>
      <c r="J1878" s="384">
        <f t="shared" si="34"/>
        <v>8</v>
      </c>
    </row>
    <row r="1879" spans="1:10" ht="15" customHeight="1" x14ac:dyDescent="0.25">
      <c r="A1879" s="380">
        <v>52050601</v>
      </c>
      <c r="B1879" s="381" t="s">
        <v>315</v>
      </c>
      <c r="C1879" s="381" t="s">
        <v>1322</v>
      </c>
      <c r="D1879" s="381" t="s">
        <v>783</v>
      </c>
      <c r="E1879" s="381" t="s">
        <v>784</v>
      </c>
      <c r="F1879" s="378">
        <v>6832800</v>
      </c>
      <c r="G1879" s="378">
        <v>1328600</v>
      </c>
      <c r="H1879" s="378">
        <v>0</v>
      </c>
      <c r="I1879" s="378">
        <v>8161400</v>
      </c>
      <c r="J1879" s="384">
        <f t="shared" si="34"/>
        <v>8</v>
      </c>
    </row>
    <row r="1880" spans="1:10" ht="15" customHeight="1" x14ac:dyDescent="0.25">
      <c r="A1880" s="380">
        <v>52050601</v>
      </c>
      <c r="B1880" s="381" t="s">
        <v>315</v>
      </c>
      <c r="C1880" s="381" t="s">
        <v>1322</v>
      </c>
      <c r="D1880" s="381" t="s">
        <v>797</v>
      </c>
      <c r="E1880" s="381" t="s">
        <v>798</v>
      </c>
      <c r="F1880" s="378">
        <v>7117500</v>
      </c>
      <c r="G1880" s="378">
        <v>1423500</v>
      </c>
      <c r="H1880" s="378">
        <v>0</v>
      </c>
      <c r="I1880" s="378">
        <v>8541000</v>
      </c>
      <c r="J1880" s="384">
        <f t="shared" si="34"/>
        <v>8</v>
      </c>
    </row>
    <row r="1881" spans="1:10" ht="15" customHeight="1" x14ac:dyDescent="0.25">
      <c r="A1881" s="380">
        <v>52050601</v>
      </c>
      <c r="B1881" s="381" t="s">
        <v>315</v>
      </c>
      <c r="C1881" s="381" t="s">
        <v>1322</v>
      </c>
      <c r="D1881" s="381" t="s">
        <v>1221</v>
      </c>
      <c r="E1881" s="381" t="s">
        <v>1494</v>
      </c>
      <c r="F1881" s="378">
        <v>5172050</v>
      </c>
      <c r="G1881" s="378">
        <v>0</v>
      </c>
      <c r="H1881" s="378">
        <v>0</v>
      </c>
      <c r="I1881" s="378">
        <v>5172050</v>
      </c>
      <c r="J1881" s="384">
        <f t="shared" si="34"/>
        <v>8</v>
      </c>
    </row>
    <row r="1882" spans="1:10" ht="15" customHeight="1" x14ac:dyDescent="0.25">
      <c r="A1882" s="380">
        <v>52050601</v>
      </c>
      <c r="B1882" s="381" t="s">
        <v>315</v>
      </c>
      <c r="C1882" s="381" t="s">
        <v>1322</v>
      </c>
      <c r="D1882" s="381" t="s">
        <v>1222</v>
      </c>
      <c r="E1882" s="381" t="s">
        <v>1223</v>
      </c>
      <c r="F1882" s="378">
        <v>1470950</v>
      </c>
      <c r="G1882" s="378">
        <v>0</v>
      </c>
      <c r="H1882" s="378">
        <v>0</v>
      </c>
      <c r="I1882" s="378">
        <v>1470950</v>
      </c>
      <c r="J1882" s="384">
        <f t="shared" si="34"/>
        <v>8</v>
      </c>
    </row>
    <row r="1883" spans="1:10" ht="15" customHeight="1" x14ac:dyDescent="0.25">
      <c r="A1883" s="380">
        <v>52050601</v>
      </c>
      <c r="B1883" s="381" t="s">
        <v>315</v>
      </c>
      <c r="C1883" s="381" t="s">
        <v>1322</v>
      </c>
      <c r="D1883" s="381" t="s">
        <v>1198</v>
      </c>
      <c r="E1883" s="381" t="s">
        <v>1199</v>
      </c>
      <c r="F1883" s="378">
        <v>1898000</v>
      </c>
      <c r="G1883" s="378">
        <v>1423500</v>
      </c>
      <c r="H1883" s="378">
        <v>0</v>
      </c>
      <c r="I1883" s="378">
        <v>3321500</v>
      </c>
      <c r="J1883" s="384">
        <f t="shared" si="34"/>
        <v>8</v>
      </c>
    </row>
    <row r="1884" spans="1:10" ht="15" customHeight="1" x14ac:dyDescent="0.25">
      <c r="A1884" s="380">
        <v>52050601</v>
      </c>
      <c r="B1884" s="381" t="s">
        <v>315</v>
      </c>
      <c r="C1884" s="381" t="s">
        <v>1322</v>
      </c>
      <c r="D1884" s="381" t="s">
        <v>753</v>
      </c>
      <c r="E1884" s="381" t="s">
        <v>754</v>
      </c>
      <c r="F1884" s="378">
        <v>759200</v>
      </c>
      <c r="G1884" s="378">
        <v>0</v>
      </c>
      <c r="H1884" s="378">
        <v>0</v>
      </c>
      <c r="I1884" s="378">
        <v>759200</v>
      </c>
      <c r="J1884" s="384">
        <f t="shared" si="34"/>
        <v>8</v>
      </c>
    </row>
    <row r="1885" spans="1:10" ht="15" customHeight="1" x14ac:dyDescent="0.25">
      <c r="A1885" s="380">
        <v>52050601</v>
      </c>
      <c r="B1885" s="381" t="s">
        <v>315</v>
      </c>
      <c r="C1885" s="381" t="s">
        <v>1322</v>
      </c>
      <c r="D1885" s="381" t="s">
        <v>1200</v>
      </c>
      <c r="E1885" s="381" t="s">
        <v>1201</v>
      </c>
      <c r="F1885" s="378">
        <v>5504231</v>
      </c>
      <c r="G1885" s="378">
        <v>1423500</v>
      </c>
      <c r="H1885" s="378">
        <v>0</v>
      </c>
      <c r="I1885" s="378">
        <v>6927731</v>
      </c>
      <c r="J1885" s="384">
        <f t="shared" si="34"/>
        <v>8</v>
      </c>
    </row>
    <row r="1886" spans="1:10" ht="15" customHeight="1" x14ac:dyDescent="0.25">
      <c r="A1886" s="380">
        <v>52050601</v>
      </c>
      <c r="B1886" s="381" t="s">
        <v>315</v>
      </c>
      <c r="C1886" s="381" t="s">
        <v>1322</v>
      </c>
      <c r="D1886" s="381" t="s">
        <v>786</v>
      </c>
      <c r="E1886" s="381" t="s">
        <v>787</v>
      </c>
      <c r="F1886" s="378">
        <v>9772021</v>
      </c>
      <c r="G1886" s="378">
        <v>2187766</v>
      </c>
      <c r="H1886" s="378">
        <v>0</v>
      </c>
      <c r="I1886" s="378">
        <v>11959787</v>
      </c>
      <c r="J1886" s="384">
        <f t="shared" si="34"/>
        <v>8</v>
      </c>
    </row>
    <row r="1887" spans="1:10" ht="15" customHeight="1" x14ac:dyDescent="0.25">
      <c r="A1887" s="380">
        <v>52050601</v>
      </c>
      <c r="B1887" s="381" t="s">
        <v>315</v>
      </c>
      <c r="C1887" s="381" t="s">
        <v>1322</v>
      </c>
      <c r="D1887" s="381" t="s">
        <v>1224</v>
      </c>
      <c r="E1887" s="381" t="s">
        <v>1225</v>
      </c>
      <c r="F1887" s="378">
        <v>6168500</v>
      </c>
      <c r="G1887" s="378">
        <v>1423500</v>
      </c>
      <c r="H1887" s="378">
        <v>0</v>
      </c>
      <c r="I1887" s="378">
        <v>7592000</v>
      </c>
      <c r="J1887" s="384">
        <f t="shared" si="34"/>
        <v>8</v>
      </c>
    </row>
    <row r="1888" spans="1:10" ht="15" customHeight="1" x14ac:dyDescent="0.25">
      <c r="A1888" s="380">
        <v>52050601</v>
      </c>
      <c r="B1888" s="381" t="s">
        <v>315</v>
      </c>
      <c r="C1888" s="381" t="s">
        <v>1322</v>
      </c>
      <c r="D1888" s="381" t="s">
        <v>1226</v>
      </c>
      <c r="E1888" s="381" t="s">
        <v>1227</v>
      </c>
      <c r="F1888" s="378">
        <v>189800</v>
      </c>
      <c r="G1888" s="378">
        <v>0</v>
      </c>
      <c r="H1888" s="378">
        <v>0</v>
      </c>
      <c r="I1888" s="378">
        <v>189800</v>
      </c>
      <c r="J1888" s="384">
        <f t="shared" si="34"/>
        <v>8</v>
      </c>
    </row>
    <row r="1889" spans="1:10" ht="15" customHeight="1" x14ac:dyDescent="0.25">
      <c r="A1889" s="380">
        <v>52050601</v>
      </c>
      <c r="B1889" s="381" t="s">
        <v>315</v>
      </c>
      <c r="C1889" s="381" t="s">
        <v>1322</v>
      </c>
      <c r="D1889" s="381" t="s">
        <v>1202</v>
      </c>
      <c r="E1889" s="381" t="s">
        <v>1203</v>
      </c>
      <c r="F1889" s="378">
        <v>1423500</v>
      </c>
      <c r="G1889" s="378">
        <v>1423500</v>
      </c>
      <c r="H1889" s="378">
        <v>0</v>
      </c>
      <c r="I1889" s="378">
        <v>2847000</v>
      </c>
      <c r="J1889" s="384">
        <f t="shared" si="34"/>
        <v>8</v>
      </c>
    </row>
    <row r="1890" spans="1:10" ht="15" customHeight="1" x14ac:dyDescent="0.25">
      <c r="A1890" s="380">
        <v>52050601</v>
      </c>
      <c r="B1890" s="381" t="s">
        <v>315</v>
      </c>
      <c r="C1890" s="381" t="s">
        <v>1322</v>
      </c>
      <c r="D1890" s="381" t="s">
        <v>1228</v>
      </c>
      <c r="E1890" s="381" t="s">
        <v>1229</v>
      </c>
      <c r="F1890" s="378">
        <v>1549802</v>
      </c>
      <c r="G1890" s="378">
        <v>878220</v>
      </c>
      <c r="H1890" s="378">
        <v>0</v>
      </c>
      <c r="I1890" s="378">
        <v>2428022</v>
      </c>
      <c r="J1890" s="384">
        <f t="shared" si="34"/>
        <v>8</v>
      </c>
    </row>
    <row r="1891" spans="1:10" ht="15" customHeight="1" x14ac:dyDescent="0.25">
      <c r="A1891" s="380">
        <v>52050601</v>
      </c>
      <c r="B1891" s="381" t="s">
        <v>315</v>
      </c>
      <c r="C1891" s="381" t="s">
        <v>1322</v>
      </c>
      <c r="D1891" s="381" t="s">
        <v>1086</v>
      </c>
      <c r="E1891" s="381" t="s">
        <v>1087</v>
      </c>
      <c r="F1891" s="378">
        <v>6263462</v>
      </c>
      <c r="G1891" s="378">
        <v>1423500</v>
      </c>
      <c r="H1891" s="378">
        <v>0</v>
      </c>
      <c r="I1891" s="378">
        <v>7686962</v>
      </c>
      <c r="J1891" s="384">
        <f t="shared" si="34"/>
        <v>8</v>
      </c>
    </row>
    <row r="1892" spans="1:10" ht="15" customHeight="1" x14ac:dyDescent="0.25">
      <c r="A1892" s="380">
        <v>52050601</v>
      </c>
      <c r="B1892" s="381" t="s">
        <v>315</v>
      </c>
      <c r="C1892" s="381" t="s">
        <v>1322</v>
      </c>
      <c r="D1892" s="381" t="s">
        <v>404</v>
      </c>
      <c r="E1892" s="381" t="s">
        <v>1230</v>
      </c>
      <c r="F1892" s="378">
        <v>2847000</v>
      </c>
      <c r="G1892" s="378">
        <v>1328600</v>
      </c>
      <c r="H1892" s="378">
        <v>0</v>
      </c>
      <c r="I1892" s="378">
        <v>4175600</v>
      </c>
      <c r="J1892" s="384">
        <f t="shared" si="34"/>
        <v>8</v>
      </c>
    </row>
    <row r="1893" spans="1:10" ht="15" customHeight="1" x14ac:dyDescent="0.25">
      <c r="A1893" s="380">
        <v>52050601</v>
      </c>
      <c r="B1893" s="381" t="s">
        <v>315</v>
      </c>
      <c r="C1893" s="381" t="s">
        <v>1322</v>
      </c>
      <c r="D1893" s="381" t="s">
        <v>1204</v>
      </c>
      <c r="E1893" s="381" t="s">
        <v>1205</v>
      </c>
      <c r="F1893" s="378">
        <v>1898000</v>
      </c>
      <c r="G1893" s="378">
        <v>1423500</v>
      </c>
      <c r="H1893" s="378">
        <v>0</v>
      </c>
      <c r="I1893" s="378">
        <v>3321500</v>
      </c>
      <c r="J1893" s="384">
        <f t="shared" si="34"/>
        <v>8</v>
      </c>
    </row>
    <row r="1894" spans="1:10" ht="15" customHeight="1" x14ac:dyDescent="0.25">
      <c r="A1894" s="380">
        <v>52050601</v>
      </c>
      <c r="B1894" s="381" t="s">
        <v>315</v>
      </c>
      <c r="C1894" s="381" t="s">
        <v>1322</v>
      </c>
      <c r="D1894" s="381" t="s">
        <v>1231</v>
      </c>
      <c r="E1894" s="381" t="s">
        <v>1232</v>
      </c>
      <c r="F1894" s="378">
        <v>1043900</v>
      </c>
      <c r="G1894" s="378">
        <v>0</v>
      </c>
      <c r="H1894" s="378">
        <v>0</v>
      </c>
      <c r="I1894" s="378">
        <v>1043900</v>
      </c>
      <c r="J1894" s="384">
        <f t="shared" si="34"/>
        <v>8</v>
      </c>
    </row>
    <row r="1895" spans="1:10" ht="15" customHeight="1" x14ac:dyDescent="0.25">
      <c r="A1895" s="380">
        <v>52050601</v>
      </c>
      <c r="B1895" s="381" t="s">
        <v>315</v>
      </c>
      <c r="C1895" s="381" t="s">
        <v>1322</v>
      </c>
      <c r="D1895" s="381" t="s">
        <v>788</v>
      </c>
      <c r="E1895" s="381" t="s">
        <v>789</v>
      </c>
      <c r="F1895" s="378">
        <v>8485231</v>
      </c>
      <c r="G1895" s="378">
        <v>1697032</v>
      </c>
      <c r="H1895" s="378">
        <v>0</v>
      </c>
      <c r="I1895" s="378">
        <v>10182263</v>
      </c>
      <c r="J1895" s="384">
        <f t="shared" si="34"/>
        <v>8</v>
      </c>
    </row>
    <row r="1896" spans="1:10" ht="15" customHeight="1" x14ac:dyDescent="0.25">
      <c r="A1896" s="380">
        <v>52050601</v>
      </c>
      <c r="B1896" s="381" t="s">
        <v>315</v>
      </c>
      <c r="C1896" s="381" t="s">
        <v>1322</v>
      </c>
      <c r="D1896" s="381" t="s">
        <v>1206</v>
      </c>
      <c r="E1896" s="381" t="s">
        <v>1207</v>
      </c>
      <c r="F1896" s="378">
        <v>5694000</v>
      </c>
      <c r="G1896" s="378">
        <v>1423500</v>
      </c>
      <c r="H1896" s="378">
        <v>0</v>
      </c>
      <c r="I1896" s="378">
        <v>7117500</v>
      </c>
      <c r="J1896" s="384">
        <f t="shared" ref="J1896:J1959" si="35">+LEN(A1896)</f>
        <v>8</v>
      </c>
    </row>
    <row r="1897" spans="1:10" ht="15" customHeight="1" x14ac:dyDescent="0.25">
      <c r="A1897" s="380">
        <v>52050601</v>
      </c>
      <c r="B1897" s="381" t="s">
        <v>315</v>
      </c>
      <c r="C1897" s="381" t="s">
        <v>1322</v>
      </c>
      <c r="D1897" s="381" t="s">
        <v>1088</v>
      </c>
      <c r="E1897" s="381" t="s">
        <v>1089</v>
      </c>
      <c r="F1897" s="378">
        <v>4270500</v>
      </c>
      <c r="G1897" s="378">
        <v>332150</v>
      </c>
      <c r="H1897" s="378">
        <v>0</v>
      </c>
      <c r="I1897" s="378">
        <v>4602650</v>
      </c>
      <c r="J1897" s="384">
        <f t="shared" si="35"/>
        <v>8</v>
      </c>
    </row>
    <row r="1898" spans="1:10" ht="15" customHeight="1" x14ac:dyDescent="0.25">
      <c r="A1898" s="380">
        <v>52050601</v>
      </c>
      <c r="B1898" s="381" t="s">
        <v>315</v>
      </c>
      <c r="C1898" s="381" t="s">
        <v>1322</v>
      </c>
      <c r="D1898" s="381" t="s">
        <v>776</v>
      </c>
      <c r="E1898" s="381" t="s">
        <v>777</v>
      </c>
      <c r="F1898" s="378">
        <v>8145784</v>
      </c>
      <c r="G1898" s="378">
        <v>1074786</v>
      </c>
      <c r="H1898" s="378">
        <v>0</v>
      </c>
      <c r="I1898" s="378">
        <v>9220570</v>
      </c>
      <c r="J1898" s="384">
        <f t="shared" si="35"/>
        <v>8</v>
      </c>
    </row>
    <row r="1899" spans="1:10" ht="15" customHeight="1" x14ac:dyDescent="0.25">
      <c r="A1899" s="380">
        <v>52050601</v>
      </c>
      <c r="B1899" s="381" t="s">
        <v>315</v>
      </c>
      <c r="C1899" s="381" t="s">
        <v>1322</v>
      </c>
      <c r="D1899" s="381" t="s">
        <v>790</v>
      </c>
      <c r="E1899" s="381" t="s">
        <v>791</v>
      </c>
      <c r="F1899" s="378">
        <v>7117500</v>
      </c>
      <c r="G1899" s="378">
        <v>1423500</v>
      </c>
      <c r="H1899" s="378">
        <v>0</v>
      </c>
      <c r="I1899" s="378">
        <v>8541000</v>
      </c>
      <c r="J1899" s="384">
        <f t="shared" si="35"/>
        <v>8</v>
      </c>
    </row>
    <row r="1900" spans="1:10" ht="15" customHeight="1" x14ac:dyDescent="0.25">
      <c r="A1900" s="380">
        <v>52050601</v>
      </c>
      <c r="B1900" s="381" t="s">
        <v>315</v>
      </c>
      <c r="C1900" s="381" t="s">
        <v>1322</v>
      </c>
      <c r="D1900" s="381" t="s">
        <v>1233</v>
      </c>
      <c r="E1900" s="381" t="s">
        <v>1234</v>
      </c>
      <c r="F1900" s="378">
        <v>5266950</v>
      </c>
      <c r="G1900" s="378">
        <v>0</v>
      </c>
      <c r="H1900" s="378">
        <v>0</v>
      </c>
      <c r="I1900" s="378">
        <v>5266950</v>
      </c>
      <c r="J1900" s="384">
        <f t="shared" si="35"/>
        <v>8</v>
      </c>
    </row>
    <row r="1901" spans="1:10" ht="15" customHeight="1" x14ac:dyDescent="0.25">
      <c r="A1901" s="380">
        <v>52050601</v>
      </c>
      <c r="B1901" s="381" t="s">
        <v>315</v>
      </c>
      <c r="C1901" s="381" t="s">
        <v>1322</v>
      </c>
      <c r="D1901" s="381" t="s">
        <v>1235</v>
      </c>
      <c r="E1901" s="381" t="s">
        <v>1236</v>
      </c>
      <c r="F1901" s="378">
        <v>711750</v>
      </c>
      <c r="G1901" s="378">
        <v>0</v>
      </c>
      <c r="H1901" s="378">
        <v>0</v>
      </c>
      <c r="I1901" s="378">
        <v>711750</v>
      </c>
      <c r="J1901" s="384">
        <f t="shared" si="35"/>
        <v>8</v>
      </c>
    </row>
    <row r="1902" spans="1:10" ht="15" customHeight="1" x14ac:dyDescent="0.25">
      <c r="A1902" s="380">
        <v>52050601</v>
      </c>
      <c r="B1902" s="381" t="s">
        <v>315</v>
      </c>
      <c r="C1902" s="381" t="s">
        <v>1322</v>
      </c>
      <c r="D1902" s="381" t="s">
        <v>1208</v>
      </c>
      <c r="E1902" s="381" t="s">
        <v>1209</v>
      </c>
      <c r="F1902" s="378">
        <v>5931250</v>
      </c>
      <c r="G1902" s="378">
        <v>1423500</v>
      </c>
      <c r="H1902" s="378">
        <v>0</v>
      </c>
      <c r="I1902" s="378">
        <v>7354750</v>
      </c>
      <c r="J1902" s="384">
        <f t="shared" si="35"/>
        <v>8</v>
      </c>
    </row>
    <row r="1903" spans="1:10" ht="15" customHeight="1" x14ac:dyDescent="0.25">
      <c r="A1903" s="380">
        <v>52050601</v>
      </c>
      <c r="B1903" s="381" t="s">
        <v>315</v>
      </c>
      <c r="C1903" s="381" t="s">
        <v>1322</v>
      </c>
      <c r="D1903" s="381" t="s">
        <v>1237</v>
      </c>
      <c r="E1903" s="381" t="s">
        <v>1238</v>
      </c>
      <c r="F1903" s="378">
        <v>1803100</v>
      </c>
      <c r="G1903" s="378">
        <v>1423500</v>
      </c>
      <c r="H1903" s="378">
        <v>0</v>
      </c>
      <c r="I1903" s="378">
        <v>3226600</v>
      </c>
      <c r="J1903" s="384">
        <f t="shared" si="35"/>
        <v>8</v>
      </c>
    </row>
    <row r="1904" spans="1:10" ht="15" customHeight="1" x14ac:dyDescent="0.25">
      <c r="A1904" s="380">
        <v>52050601</v>
      </c>
      <c r="B1904" s="381" t="s">
        <v>315</v>
      </c>
      <c r="C1904" s="381" t="s">
        <v>1322</v>
      </c>
      <c r="D1904" s="381" t="s">
        <v>1239</v>
      </c>
      <c r="E1904" s="381" t="s">
        <v>1240</v>
      </c>
      <c r="F1904" s="378">
        <v>7117498</v>
      </c>
      <c r="G1904" s="378">
        <v>0</v>
      </c>
      <c r="H1904" s="378">
        <v>0</v>
      </c>
      <c r="I1904" s="378">
        <v>7117498</v>
      </c>
      <c r="J1904" s="384">
        <f t="shared" si="35"/>
        <v>8</v>
      </c>
    </row>
    <row r="1905" spans="1:10" ht="15" customHeight="1" x14ac:dyDescent="0.25">
      <c r="A1905" s="380">
        <v>52050601</v>
      </c>
      <c r="B1905" s="381" t="s">
        <v>315</v>
      </c>
      <c r="C1905" s="381" t="s">
        <v>1322</v>
      </c>
      <c r="D1905" s="381" t="s">
        <v>1210</v>
      </c>
      <c r="E1905" s="381" t="s">
        <v>1211</v>
      </c>
      <c r="F1905" s="378">
        <v>7117500</v>
      </c>
      <c r="G1905" s="378">
        <v>1423500</v>
      </c>
      <c r="H1905" s="378">
        <v>0</v>
      </c>
      <c r="I1905" s="378">
        <v>8541000</v>
      </c>
      <c r="J1905" s="384">
        <f t="shared" si="35"/>
        <v>8</v>
      </c>
    </row>
    <row r="1906" spans="1:10" ht="15" customHeight="1" x14ac:dyDescent="0.25">
      <c r="A1906" s="380">
        <v>52050601</v>
      </c>
      <c r="B1906" s="381" t="s">
        <v>315</v>
      </c>
      <c r="C1906" s="381" t="s">
        <v>1322</v>
      </c>
      <c r="D1906" s="381" t="s">
        <v>1090</v>
      </c>
      <c r="E1906" s="381" t="s">
        <v>1091</v>
      </c>
      <c r="F1906" s="378">
        <v>3846605</v>
      </c>
      <c r="G1906" s="378">
        <v>1697032</v>
      </c>
      <c r="H1906" s="378">
        <v>0</v>
      </c>
      <c r="I1906" s="378">
        <v>5543637</v>
      </c>
      <c r="J1906" s="384">
        <f t="shared" si="35"/>
        <v>8</v>
      </c>
    </row>
    <row r="1907" spans="1:10" ht="15" customHeight="1" x14ac:dyDescent="0.25">
      <c r="A1907" s="380">
        <v>52050601</v>
      </c>
      <c r="B1907" s="381" t="s">
        <v>315</v>
      </c>
      <c r="C1907" s="381" t="s">
        <v>1322</v>
      </c>
      <c r="D1907" s="381" t="s">
        <v>1241</v>
      </c>
      <c r="E1907" s="381" t="s">
        <v>1242</v>
      </c>
      <c r="F1907" s="378">
        <v>2419952</v>
      </c>
      <c r="G1907" s="378">
        <v>1328596</v>
      </c>
      <c r="H1907" s="378">
        <v>0</v>
      </c>
      <c r="I1907" s="378">
        <v>3748548</v>
      </c>
      <c r="J1907" s="384">
        <f t="shared" si="35"/>
        <v>8</v>
      </c>
    </row>
    <row r="1908" spans="1:10" ht="15" customHeight="1" x14ac:dyDescent="0.25">
      <c r="A1908" s="380">
        <v>52050601</v>
      </c>
      <c r="B1908" s="381" t="s">
        <v>315</v>
      </c>
      <c r="C1908" s="381" t="s">
        <v>1322</v>
      </c>
      <c r="D1908" s="381" t="s">
        <v>792</v>
      </c>
      <c r="E1908" s="381" t="s">
        <v>793</v>
      </c>
      <c r="F1908" s="378">
        <v>7353804</v>
      </c>
      <c r="G1908" s="378">
        <v>1697032</v>
      </c>
      <c r="H1908" s="378">
        <v>0</v>
      </c>
      <c r="I1908" s="378">
        <v>9050836</v>
      </c>
      <c r="J1908" s="384">
        <f t="shared" si="35"/>
        <v>8</v>
      </c>
    </row>
    <row r="1909" spans="1:10" ht="15" customHeight="1" x14ac:dyDescent="0.25">
      <c r="A1909" s="380">
        <v>52050601</v>
      </c>
      <c r="B1909" s="381" t="s">
        <v>315</v>
      </c>
      <c r="C1909" s="381" t="s">
        <v>1322</v>
      </c>
      <c r="D1909" s="381" t="s">
        <v>794</v>
      </c>
      <c r="E1909" s="381" t="s">
        <v>795</v>
      </c>
      <c r="F1909" s="378">
        <v>7976050</v>
      </c>
      <c r="G1909" s="378">
        <v>1697032</v>
      </c>
      <c r="H1909" s="378">
        <v>0</v>
      </c>
      <c r="I1909" s="378">
        <v>9673082</v>
      </c>
      <c r="J1909" s="384">
        <f t="shared" si="35"/>
        <v>8</v>
      </c>
    </row>
    <row r="1910" spans="1:10" ht="15" customHeight="1" x14ac:dyDescent="0.25">
      <c r="A1910" s="380">
        <v>52050601</v>
      </c>
      <c r="B1910" s="381" t="s">
        <v>315</v>
      </c>
      <c r="C1910" s="381" t="s">
        <v>1322</v>
      </c>
      <c r="D1910" s="381" t="s">
        <v>1212</v>
      </c>
      <c r="E1910" s="381" t="s">
        <v>1213</v>
      </c>
      <c r="F1910" s="378">
        <v>0</v>
      </c>
      <c r="G1910" s="378">
        <v>1043900</v>
      </c>
      <c r="H1910" s="378">
        <v>0</v>
      </c>
      <c r="I1910" s="378">
        <v>1043900</v>
      </c>
      <c r="J1910" s="384">
        <f t="shared" si="35"/>
        <v>8</v>
      </c>
    </row>
    <row r="1911" spans="1:10" ht="15" customHeight="1" x14ac:dyDescent="0.25">
      <c r="A1911" s="380">
        <v>52050601</v>
      </c>
      <c r="B1911" s="381" t="s">
        <v>315</v>
      </c>
      <c r="C1911" s="381" t="s">
        <v>1322</v>
      </c>
      <c r="D1911" s="381" t="s">
        <v>1092</v>
      </c>
      <c r="E1911" s="381" t="s">
        <v>1093</v>
      </c>
      <c r="F1911" s="378">
        <v>9949900</v>
      </c>
      <c r="G1911" s="378">
        <v>137240</v>
      </c>
      <c r="H1911" s="378">
        <v>0</v>
      </c>
      <c r="I1911" s="378">
        <v>10087140</v>
      </c>
      <c r="J1911" s="384">
        <f t="shared" si="35"/>
        <v>8</v>
      </c>
    </row>
    <row r="1912" spans="1:10" ht="15" customHeight="1" x14ac:dyDescent="0.25">
      <c r="A1912" s="380">
        <v>52050601</v>
      </c>
      <c r="B1912" s="381" t="s">
        <v>315</v>
      </c>
      <c r="C1912" s="381" t="s">
        <v>1322</v>
      </c>
      <c r="D1912" s="381" t="s">
        <v>1243</v>
      </c>
      <c r="E1912" s="381" t="s">
        <v>1244</v>
      </c>
      <c r="F1912" s="378">
        <v>3890900</v>
      </c>
      <c r="G1912" s="378">
        <v>0</v>
      </c>
      <c r="H1912" s="378">
        <v>0</v>
      </c>
      <c r="I1912" s="378">
        <v>3890900</v>
      </c>
      <c r="J1912" s="384">
        <f t="shared" si="35"/>
        <v>8</v>
      </c>
    </row>
    <row r="1913" spans="1:10" ht="15" customHeight="1" x14ac:dyDescent="0.25">
      <c r="A1913" s="380">
        <v>52050601</v>
      </c>
      <c r="B1913" s="381" t="s">
        <v>315</v>
      </c>
      <c r="C1913" s="381" t="s">
        <v>1322</v>
      </c>
      <c r="D1913" s="381" t="s">
        <v>1214</v>
      </c>
      <c r="E1913" s="381" t="s">
        <v>1489</v>
      </c>
      <c r="F1913" s="378">
        <v>9553245</v>
      </c>
      <c r="G1913" s="378">
        <v>2187766</v>
      </c>
      <c r="H1913" s="378">
        <v>0</v>
      </c>
      <c r="I1913" s="378">
        <v>11741011</v>
      </c>
      <c r="J1913" s="384">
        <f t="shared" si="35"/>
        <v>8</v>
      </c>
    </row>
    <row r="1914" spans="1:10" ht="15" customHeight="1" x14ac:dyDescent="0.25">
      <c r="A1914" s="380">
        <v>52050601</v>
      </c>
      <c r="B1914" s="381" t="s">
        <v>315</v>
      </c>
      <c r="C1914" s="381" t="s">
        <v>1322</v>
      </c>
      <c r="D1914" s="381" t="s">
        <v>1094</v>
      </c>
      <c r="E1914" s="381" t="s">
        <v>1095</v>
      </c>
      <c r="F1914" s="378">
        <v>6310848</v>
      </c>
      <c r="G1914" s="378">
        <v>1328600</v>
      </c>
      <c r="H1914" s="378">
        <v>0</v>
      </c>
      <c r="I1914" s="378">
        <v>7639448</v>
      </c>
      <c r="J1914" s="384">
        <f t="shared" si="35"/>
        <v>8</v>
      </c>
    </row>
    <row r="1915" spans="1:10" ht="15" customHeight="1" x14ac:dyDescent="0.25">
      <c r="A1915" s="380">
        <v>520515</v>
      </c>
      <c r="B1915" s="381" t="s">
        <v>315</v>
      </c>
      <c r="C1915" s="381" t="s">
        <v>478</v>
      </c>
      <c r="D1915" s="381" t="s">
        <v>315</v>
      </c>
      <c r="E1915" s="381" t="s">
        <v>315</v>
      </c>
      <c r="F1915" s="378">
        <v>43162884</v>
      </c>
      <c r="G1915" s="378">
        <v>10668820</v>
      </c>
      <c r="H1915" s="378">
        <v>0</v>
      </c>
      <c r="I1915" s="378">
        <v>53831704</v>
      </c>
      <c r="J1915" s="384">
        <f t="shared" si="35"/>
        <v>6</v>
      </c>
    </row>
    <row r="1916" spans="1:10" ht="15" customHeight="1" x14ac:dyDescent="0.25">
      <c r="A1916" s="380">
        <v>52051501</v>
      </c>
      <c r="B1916" s="381" t="s">
        <v>315</v>
      </c>
      <c r="C1916" s="381" t="s">
        <v>478</v>
      </c>
      <c r="D1916" s="381" t="s">
        <v>315</v>
      </c>
      <c r="E1916" s="381" t="s">
        <v>315</v>
      </c>
      <c r="F1916" s="378">
        <v>43162884</v>
      </c>
      <c r="G1916" s="378">
        <v>10668820</v>
      </c>
      <c r="H1916" s="378">
        <v>0</v>
      </c>
      <c r="I1916" s="378">
        <v>53831704</v>
      </c>
      <c r="J1916" s="384">
        <f t="shared" si="35"/>
        <v>8</v>
      </c>
    </row>
    <row r="1917" spans="1:10" ht="15" customHeight="1" x14ac:dyDescent="0.25">
      <c r="A1917" s="380">
        <v>52051501</v>
      </c>
      <c r="B1917" s="381" t="s">
        <v>315</v>
      </c>
      <c r="C1917" s="381" t="s">
        <v>478</v>
      </c>
      <c r="D1917" s="381" t="s">
        <v>1246</v>
      </c>
      <c r="E1917" s="381" t="s">
        <v>1247</v>
      </c>
      <c r="F1917" s="378">
        <v>23209</v>
      </c>
      <c r="G1917" s="378">
        <v>0</v>
      </c>
      <c r="H1917" s="378">
        <v>0</v>
      </c>
      <c r="I1917" s="378">
        <v>23209</v>
      </c>
      <c r="J1917" s="384">
        <f t="shared" si="35"/>
        <v>8</v>
      </c>
    </row>
    <row r="1918" spans="1:10" ht="15" customHeight="1" x14ac:dyDescent="0.25">
      <c r="A1918" s="380">
        <v>52051501</v>
      </c>
      <c r="B1918" s="381" t="s">
        <v>315</v>
      </c>
      <c r="C1918" s="381" t="s">
        <v>478</v>
      </c>
      <c r="D1918" s="381" t="s">
        <v>1194</v>
      </c>
      <c r="E1918" s="381" t="s">
        <v>1195</v>
      </c>
      <c r="F1918" s="378">
        <v>2292416</v>
      </c>
      <c r="G1918" s="378">
        <v>520739</v>
      </c>
      <c r="H1918" s="378">
        <v>0</v>
      </c>
      <c r="I1918" s="378">
        <v>2813155</v>
      </c>
      <c r="J1918" s="384">
        <f t="shared" si="35"/>
        <v>8</v>
      </c>
    </row>
    <row r="1919" spans="1:10" ht="15" customHeight="1" x14ac:dyDescent="0.25">
      <c r="A1919" s="380">
        <v>52051501</v>
      </c>
      <c r="B1919" s="381" t="s">
        <v>315</v>
      </c>
      <c r="C1919" s="381" t="s">
        <v>478</v>
      </c>
      <c r="D1919" s="381" t="s">
        <v>779</v>
      </c>
      <c r="E1919" s="381" t="s">
        <v>780</v>
      </c>
      <c r="F1919" s="378">
        <v>542664</v>
      </c>
      <c r="G1919" s="378">
        <v>688054</v>
      </c>
      <c r="H1919" s="378">
        <v>0</v>
      </c>
      <c r="I1919" s="378">
        <v>1230718</v>
      </c>
      <c r="J1919" s="384">
        <f t="shared" si="35"/>
        <v>8</v>
      </c>
    </row>
    <row r="1920" spans="1:10" ht="15" customHeight="1" x14ac:dyDescent="0.25">
      <c r="A1920" s="380">
        <v>52051501</v>
      </c>
      <c r="B1920" s="381" t="s">
        <v>315</v>
      </c>
      <c r="C1920" s="381" t="s">
        <v>478</v>
      </c>
      <c r="D1920" s="381" t="s">
        <v>1219</v>
      </c>
      <c r="E1920" s="381" t="s">
        <v>1220</v>
      </c>
      <c r="F1920" s="378">
        <v>246633</v>
      </c>
      <c r="G1920" s="378">
        <v>0</v>
      </c>
      <c r="H1920" s="378">
        <v>0</v>
      </c>
      <c r="I1920" s="378">
        <v>246633</v>
      </c>
      <c r="J1920" s="384">
        <f t="shared" si="35"/>
        <v>8</v>
      </c>
    </row>
    <row r="1921" spans="1:10" ht="15" customHeight="1" x14ac:dyDescent="0.25">
      <c r="A1921" s="380">
        <v>52051501</v>
      </c>
      <c r="B1921" s="381" t="s">
        <v>315</v>
      </c>
      <c r="C1921" s="381" t="s">
        <v>478</v>
      </c>
      <c r="D1921" s="381" t="s">
        <v>774</v>
      </c>
      <c r="E1921" s="381" t="s">
        <v>775</v>
      </c>
      <c r="F1921" s="378">
        <v>1085746</v>
      </c>
      <c r="G1921" s="378">
        <v>18567</v>
      </c>
      <c r="H1921" s="378">
        <v>0</v>
      </c>
      <c r="I1921" s="378">
        <v>1104313</v>
      </c>
      <c r="J1921" s="384">
        <f t="shared" si="35"/>
        <v>8</v>
      </c>
    </row>
    <row r="1922" spans="1:10" ht="15" customHeight="1" x14ac:dyDescent="0.25">
      <c r="A1922" s="380">
        <v>52051501</v>
      </c>
      <c r="B1922" s="381" t="s">
        <v>315</v>
      </c>
      <c r="C1922" s="381" t="s">
        <v>478</v>
      </c>
      <c r="D1922" s="381" t="s">
        <v>1196</v>
      </c>
      <c r="E1922" s="381" t="s">
        <v>1197</v>
      </c>
      <c r="F1922" s="378">
        <v>2459019</v>
      </c>
      <c r="G1922" s="378">
        <v>340245</v>
      </c>
      <c r="H1922" s="378">
        <v>0</v>
      </c>
      <c r="I1922" s="378">
        <v>2799264</v>
      </c>
      <c r="J1922" s="384">
        <f t="shared" si="35"/>
        <v>8</v>
      </c>
    </row>
    <row r="1923" spans="1:10" ht="15" customHeight="1" x14ac:dyDescent="0.25">
      <c r="A1923" s="380">
        <v>52051501</v>
      </c>
      <c r="B1923" s="381" t="s">
        <v>315</v>
      </c>
      <c r="C1923" s="381" t="s">
        <v>478</v>
      </c>
      <c r="D1923" s="381" t="s">
        <v>781</v>
      </c>
      <c r="E1923" s="381" t="s">
        <v>782</v>
      </c>
      <c r="F1923" s="378">
        <v>27749</v>
      </c>
      <c r="G1923" s="378">
        <v>0</v>
      </c>
      <c r="H1923" s="378">
        <v>0</v>
      </c>
      <c r="I1923" s="378">
        <v>27749</v>
      </c>
      <c r="J1923" s="384">
        <f t="shared" si="35"/>
        <v>8</v>
      </c>
    </row>
    <row r="1924" spans="1:10" ht="15" customHeight="1" x14ac:dyDescent="0.25">
      <c r="A1924" s="380">
        <v>52051501</v>
      </c>
      <c r="B1924" s="381" t="s">
        <v>315</v>
      </c>
      <c r="C1924" s="381" t="s">
        <v>478</v>
      </c>
      <c r="D1924" s="381" t="s">
        <v>728</v>
      </c>
      <c r="E1924" s="381" t="s">
        <v>729</v>
      </c>
      <c r="F1924" s="378">
        <v>42567</v>
      </c>
      <c r="G1924" s="378">
        <v>47320</v>
      </c>
      <c r="H1924" s="378">
        <v>0</v>
      </c>
      <c r="I1924" s="378">
        <v>89887</v>
      </c>
      <c r="J1924" s="384">
        <f t="shared" si="35"/>
        <v>8</v>
      </c>
    </row>
    <row r="1925" spans="1:10" ht="15" customHeight="1" x14ac:dyDescent="0.25">
      <c r="A1925" s="380">
        <v>52051501</v>
      </c>
      <c r="B1925" s="381" t="s">
        <v>315</v>
      </c>
      <c r="C1925" s="381" t="s">
        <v>478</v>
      </c>
      <c r="D1925" s="381" t="s">
        <v>783</v>
      </c>
      <c r="E1925" s="381" t="s">
        <v>784</v>
      </c>
      <c r="F1925" s="378">
        <v>1260708</v>
      </c>
      <c r="G1925" s="378">
        <v>324255</v>
      </c>
      <c r="H1925" s="378">
        <v>0</v>
      </c>
      <c r="I1925" s="378">
        <v>1584963</v>
      </c>
      <c r="J1925" s="384">
        <f t="shared" si="35"/>
        <v>8</v>
      </c>
    </row>
    <row r="1926" spans="1:10" ht="15" customHeight="1" x14ac:dyDescent="0.25">
      <c r="A1926" s="380">
        <v>52051501</v>
      </c>
      <c r="B1926" s="381" t="s">
        <v>315</v>
      </c>
      <c r="C1926" s="381" t="s">
        <v>478</v>
      </c>
      <c r="D1926" s="381" t="s">
        <v>797</v>
      </c>
      <c r="E1926" s="381" t="s">
        <v>798</v>
      </c>
      <c r="F1926" s="378">
        <v>897845</v>
      </c>
      <c r="G1926" s="378">
        <v>82022</v>
      </c>
      <c r="H1926" s="378">
        <v>0</v>
      </c>
      <c r="I1926" s="378">
        <v>979867</v>
      </c>
      <c r="J1926" s="384">
        <f t="shared" si="35"/>
        <v>8</v>
      </c>
    </row>
    <row r="1927" spans="1:10" ht="15" customHeight="1" x14ac:dyDescent="0.25">
      <c r="A1927" s="380">
        <v>52051501</v>
      </c>
      <c r="B1927" s="381" t="s">
        <v>315</v>
      </c>
      <c r="C1927" s="381" t="s">
        <v>478</v>
      </c>
      <c r="D1927" s="381" t="s">
        <v>1221</v>
      </c>
      <c r="E1927" s="381" t="s">
        <v>1494</v>
      </c>
      <c r="F1927" s="378">
        <v>2257814</v>
      </c>
      <c r="G1927" s="378">
        <v>0</v>
      </c>
      <c r="H1927" s="378">
        <v>0</v>
      </c>
      <c r="I1927" s="378">
        <v>2257814</v>
      </c>
      <c r="J1927" s="384">
        <f t="shared" si="35"/>
        <v>8</v>
      </c>
    </row>
    <row r="1928" spans="1:10" ht="15" customHeight="1" x14ac:dyDescent="0.25">
      <c r="A1928" s="380">
        <v>52051501</v>
      </c>
      <c r="B1928" s="381" t="s">
        <v>315</v>
      </c>
      <c r="C1928" s="381" t="s">
        <v>478</v>
      </c>
      <c r="D1928" s="381" t="s">
        <v>1222</v>
      </c>
      <c r="E1928" s="381" t="s">
        <v>1223</v>
      </c>
      <c r="F1928" s="378">
        <v>23209</v>
      </c>
      <c r="G1928" s="378">
        <v>0</v>
      </c>
      <c r="H1928" s="378">
        <v>0</v>
      </c>
      <c r="I1928" s="378">
        <v>23209</v>
      </c>
      <c r="J1928" s="384">
        <f t="shared" si="35"/>
        <v>8</v>
      </c>
    </row>
    <row r="1929" spans="1:10" ht="15" customHeight="1" x14ac:dyDescent="0.25">
      <c r="A1929" s="380">
        <v>52051501</v>
      </c>
      <c r="B1929" s="381" t="s">
        <v>315</v>
      </c>
      <c r="C1929" s="381" t="s">
        <v>478</v>
      </c>
      <c r="D1929" s="381" t="s">
        <v>1198</v>
      </c>
      <c r="E1929" s="381" t="s">
        <v>1199</v>
      </c>
      <c r="F1929" s="378">
        <v>321386</v>
      </c>
      <c r="G1929" s="378">
        <v>141592</v>
      </c>
      <c r="H1929" s="378">
        <v>0</v>
      </c>
      <c r="I1929" s="378">
        <v>462978</v>
      </c>
      <c r="J1929" s="384">
        <f t="shared" si="35"/>
        <v>8</v>
      </c>
    </row>
    <row r="1930" spans="1:10" ht="15" customHeight="1" x14ac:dyDescent="0.25">
      <c r="A1930" s="380">
        <v>52051501</v>
      </c>
      <c r="B1930" s="381" t="s">
        <v>315</v>
      </c>
      <c r="C1930" s="381" t="s">
        <v>478</v>
      </c>
      <c r="D1930" s="381" t="s">
        <v>1200</v>
      </c>
      <c r="E1930" s="381" t="s">
        <v>1201</v>
      </c>
      <c r="F1930" s="378">
        <v>1135334</v>
      </c>
      <c r="G1930" s="378">
        <v>385567</v>
      </c>
      <c r="H1930" s="378">
        <v>0</v>
      </c>
      <c r="I1930" s="378">
        <v>1520901</v>
      </c>
      <c r="J1930" s="384">
        <f t="shared" si="35"/>
        <v>8</v>
      </c>
    </row>
    <row r="1931" spans="1:10" ht="15" customHeight="1" x14ac:dyDescent="0.25">
      <c r="A1931" s="380">
        <v>52051501</v>
      </c>
      <c r="B1931" s="381" t="s">
        <v>315</v>
      </c>
      <c r="C1931" s="381" t="s">
        <v>478</v>
      </c>
      <c r="D1931" s="381" t="s">
        <v>786</v>
      </c>
      <c r="E1931" s="381" t="s">
        <v>787</v>
      </c>
      <c r="F1931" s="378">
        <v>1193629</v>
      </c>
      <c r="G1931" s="378">
        <v>291829</v>
      </c>
      <c r="H1931" s="378">
        <v>0</v>
      </c>
      <c r="I1931" s="378">
        <v>1485458</v>
      </c>
      <c r="J1931" s="384">
        <f t="shared" si="35"/>
        <v>8</v>
      </c>
    </row>
    <row r="1932" spans="1:10" ht="15" customHeight="1" x14ac:dyDescent="0.25">
      <c r="A1932" s="380">
        <v>52051501</v>
      </c>
      <c r="B1932" s="381" t="s">
        <v>315</v>
      </c>
      <c r="C1932" s="381" t="s">
        <v>478</v>
      </c>
      <c r="D1932" s="381" t="s">
        <v>1224</v>
      </c>
      <c r="E1932" s="381" t="s">
        <v>1225</v>
      </c>
      <c r="F1932" s="378">
        <v>2139812</v>
      </c>
      <c r="G1932" s="378">
        <v>739169</v>
      </c>
      <c r="H1932" s="378">
        <v>0</v>
      </c>
      <c r="I1932" s="378">
        <v>2878981</v>
      </c>
      <c r="J1932" s="384">
        <f t="shared" si="35"/>
        <v>8</v>
      </c>
    </row>
    <row r="1933" spans="1:10" ht="15" customHeight="1" x14ac:dyDescent="0.25">
      <c r="A1933" s="380">
        <v>52051501</v>
      </c>
      <c r="B1933" s="381" t="s">
        <v>315</v>
      </c>
      <c r="C1933" s="381" t="s">
        <v>478</v>
      </c>
      <c r="D1933" s="381" t="s">
        <v>1226</v>
      </c>
      <c r="E1933" s="381" t="s">
        <v>1227</v>
      </c>
      <c r="F1933" s="378">
        <v>267216</v>
      </c>
      <c r="G1933" s="378">
        <v>0</v>
      </c>
      <c r="H1933" s="378">
        <v>0</v>
      </c>
      <c r="I1933" s="378">
        <v>267216</v>
      </c>
      <c r="J1933" s="384">
        <f t="shared" si="35"/>
        <v>8</v>
      </c>
    </row>
    <row r="1934" spans="1:10" ht="15" customHeight="1" x14ac:dyDescent="0.25">
      <c r="A1934" s="380">
        <v>52051501</v>
      </c>
      <c r="B1934" s="381" t="s">
        <v>315</v>
      </c>
      <c r="C1934" s="381" t="s">
        <v>478</v>
      </c>
      <c r="D1934" s="381" t="s">
        <v>1202</v>
      </c>
      <c r="E1934" s="381" t="s">
        <v>1203</v>
      </c>
      <c r="F1934" s="378">
        <v>321884</v>
      </c>
      <c r="G1934" s="378">
        <v>270323</v>
      </c>
      <c r="H1934" s="378">
        <v>0</v>
      </c>
      <c r="I1934" s="378">
        <v>592207</v>
      </c>
      <c r="J1934" s="384">
        <f t="shared" si="35"/>
        <v>8</v>
      </c>
    </row>
    <row r="1935" spans="1:10" ht="15" customHeight="1" x14ac:dyDescent="0.25">
      <c r="A1935" s="380">
        <v>52051501</v>
      </c>
      <c r="B1935" s="381" t="s">
        <v>315</v>
      </c>
      <c r="C1935" s="381" t="s">
        <v>478</v>
      </c>
      <c r="D1935" s="381" t="s">
        <v>1228</v>
      </c>
      <c r="E1935" s="381" t="s">
        <v>1229</v>
      </c>
      <c r="F1935" s="378">
        <v>258896</v>
      </c>
      <c r="G1935" s="378">
        <v>359268</v>
      </c>
      <c r="H1935" s="378">
        <v>0</v>
      </c>
      <c r="I1935" s="378">
        <v>618164</v>
      </c>
      <c r="J1935" s="384">
        <f t="shared" si="35"/>
        <v>8</v>
      </c>
    </row>
    <row r="1936" spans="1:10" ht="15" customHeight="1" x14ac:dyDescent="0.25">
      <c r="A1936" s="380">
        <v>52051501</v>
      </c>
      <c r="B1936" s="381" t="s">
        <v>315</v>
      </c>
      <c r="C1936" s="381" t="s">
        <v>478</v>
      </c>
      <c r="D1936" s="381" t="s">
        <v>1086</v>
      </c>
      <c r="E1936" s="381" t="s">
        <v>1087</v>
      </c>
      <c r="F1936" s="378">
        <v>1409406</v>
      </c>
      <c r="G1936" s="378">
        <v>277876</v>
      </c>
      <c r="H1936" s="378">
        <v>0</v>
      </c>
      <c r="I1936" s="378">
        <v>1687282</v>
      </c>
      <c r="J1936" s="384">
        <f t="shared" si="35"/>
        <v>8</v>
      </c>
    </row>
    <row r="1937" spans="1:10" ht="15" customHeight="1" x14ac:dyDescent="0.25">
      <c r="A1937" s="380">
        <v>52051501</v>
      </c>
      <c r="B1937" s="381" t="s">
        <v>315</v>
      </c>
      <c r="C1937" s="381" t="s">
        <v>478</v>
      </c>
      <c r="D1937" s="381" t="s">
        <v>404</v>
      </c>
      <c r="E1937" s="381" t="s">
        <v>1230</v>
      </c>
      <c r="F1937" s="378">
        <v>316316</v>
      </c>
      <c r="G1937" s="378">
        <v>190331</v>
      </c>
      <c r="H1937" s="378">
        <v>0</v>
      </c>
      <c r="I1937" s="378">
        <v>506647</v>
      </c>
      <c r="J1937" s="384">
        <f t="shared" si="35"/>
        <v>8</v>
      </c>
    </row>
    <row r="1938" spans="1:10" ht="15" customHeight="1" x14ac:dyDescent="0.25">
      <c r="A1938" s="380">
        <v>52051501</v>
      </c>
      <c r="B1938" s="381" t="s">
        <v>315</v>
      </c>
      <c r="C1938" s="381" t="s">
        <v>478</v>
      </c>
      <c r="D1938" s="381" t="s">
        <v>1204</v>
      </c>
      <c r="E1938" s="381" t="s">
        <v>1205</v>
      </c>
      <c r="F1938" s="378">
        <v>83074</v>
      </c>
      <c r="G1938" s="378">
        <v>124572</v>
      </c>
      <c r="H1938" s="378">
        <v>0</v>
      </c>
      <c r="I1938" s="378">
        <v>207646</v>
      </c>
      <c r="J1938" s="384">
        <f t="shared" si="35"/>
        <v>8</v>
      </c>
    </row>
    <row r="1939" spans="1:10" ht="15" customHeight="1" x14ac:dyDescent="0.25">
      <c r="A1939" s="380">
        <v>52051501</v>
      </c>
      <c r="B1939" s="381" t="s">
        <v>315</v>
      </c>
      <c r="C1939" s="381" t="s">
        <v>478</v>
      </c>
      <c r="D1939" s="381" t="s">
        <v>1231</v>
      </c>
      <c r="E1939" s="381" t="s">
        <v>1232</v>
      </c>
      <c r="F1939" s="378">
        <v>598658</v>
      </c>
      <c r="G1939" s="378">
        <v>0</v>
      </c>
      <c r="H1939" s="378">
        <v>0</v>
      </c>
      <c r="I1939" s="378">
        <v>598658</v>
      </c>
      <c r="J1939" s="384">
        <f t="shared" si="35"/>
        <v>8</v>
      </c>
    </row>
    <row r="1940" spans="1:10" ht="15" customHeight="1" x14ac:dyDescent="0.25">
      <c r="A1940" s="380">
        <v>52051501</v>
      </c>
      <c r="B1940" s="381" t="s">
        <v>315</v>
      </c>
      <c r="C1940" s="381" t="s">
        <v>478</v>
      </c>
      <c r="D1940" s="381" t="s">
        <v>788</v>
      </c>
      <c r="E1940" s="381" t="s">
        <v>789</v>
      </c>
      <c r="F1940" s="378">
        <v>5966410</v>
      </c>
      <c r="G1940" s="378">
        <v>1168594</v>
      </c>
      <c r="H1940" s="378">
        <v>0</v>
      </c>
      <c r="I1940" s="378">
        <v>7135004</v>
      </c>
      <c r="J1940" s="384">
        <f t="shared" si="35"/>
        <v>8</v>
      </c>
    </row>
    <row r="1941" spans="1:10" ht="15" customHeight="1" x14ac:dyDescent="0.25">
      <c r="A1941" s="380">
        <v>52051501</v>
      </c>
      <c r="B1941" s="381" t="s">
        <v>315</v>
      </c>
      <c r="C1941" s="381" t="s">
        <v>478</v>
      </c>
      <c r="D1941" s="381" t="s">
        <v>1206</v>
      </c>
      <c r="E1941" s="381" t="s">
        <v>1207</v>
      </c>
      <c r="F1941" s="378">
        <v>1584451</v>
      </c>
      <c r="G1941" s="378">
        <v>495177</v>
      </c>
      <c r="H1941" s="378">
        <v>0</v>
      </c>
      <c r="I1941" s="378">
        <v>2079628</v>
      </c>
      <c r="J1941" s="384">
        <f t="shared" si="35"/>
        <v>8</v>
      </c>
    </row>
    <row r="1942" spans="1:10" ht="15" customHeight="1" x14ac:dyDescent="0.25">
      <c r="A1942" s="380">
        <v>52051501</v>
      </c>
      <c r="B1942" s="381" t="s">
        <v>315</v>
      </c>
      <c r="C1942" s="381" t="s">
        <v>478</v>
      </c>
      <c r="D1942" s="381" t="s">
        <v>1088</v>
      </c>
      <c r="E1942" s="381" t="s">
        <v>1089</v>
      </c>
      <c r="F1942" s="378">
        <v>204373</v>
      </c>
      <c r="G1942" s="378">
        <v>51076</v>
      </c>
      <c r="H1942" s="378">
        <v>0</v>
      </c>
      <c r="I1942" s="378">
        <v>255449</v>
      </c>
      <c r="J1942" s="384">
        <f t="shared" si="35"/>
        <v>8</v>
      </c>
    </row>
    <row r="1943" spans="1:10" ht="15" customHeight="1" x14ac:dyDescent="0.25">
      <c r="A1943" s="380">
        <v>52051501</v>
      </c>
      <c r="B1943" s="381" t="s">
        <v>315</v>
      </c>
      <c r="C1943" s="381" t="s">
        <v>478</v>
      </c>
      <c r="D1943" s="381" t="s">
        <v>776</v>
      </c>
      <c r="E1943" s="381" t="s">
        <v>777</v>
      </c>
      <c r="F1943" s="378">
        <v>1853744</v>
      </c>
      <c r="G1943" s="378">
        <v>208565</v>
      </c>
      <c r="H1943" s="378">
        <v>0</v>
      </c>
      <c r="I1943" s="378">
        <v>2062309</v>
      </c>
      <c r="J1943" s="384">
        <f t="shared" si="35"/>
        <v>8</v>
      </c>
    </row>
    <row r="1944" spans="1:10" ht="15" customHeight="1" x14ac:dyDescent="0.25">
      <c r="A1944" s="380">
        <v>52051501</v>
      </c>
      <c r="B1944" s="381" t="s">
        <v>315</v>
      </c>
      <c r="C1944" s="381" t="s">
        <v>478</v>
      </c>
      <c r="D1944" s="381" t="s">
        <v>790</v>
      </c>
      <c r="E1944" s="381" t="s">
        <v>791</v>
      </c>
      <c r="F1944" s="378">
        <v>2036901</v>
      </c>
      <c r="G1944" s="378">
        <v>663351</v>
      </c>
      <c r="H1944" s="378">
        <v>0</v>
      </c>
      <c r="I1944" s="378">
        <v>2700252</v>
      </c>
      <c r="J1944" s="384">
        <f t="shared" si="35"/>
        <v>8</v>
      </c>
    </row>
    <row r="1945" spans="1:10" ht="15" customHeight="1" x14ac:dyDescent="0.25">
      <c r="A1945" s="380">
        <v>52051501</v>
      </c>
      <c r="B1945" s="381" t="s">
        <v>315</v>
      </c>
      <c r="C1945" s="381" t="s">
        <v>478</v>
      </c>
      <c r="D1945" s="381" t="s">
        <v>1233</v>
      </c>
      <c r="E1945" s="381" t="s">
        <v>1234</v>
      </c>
      <c r="F1945" s="378">
        <v>437106</v>
      </c>
      <c r="G1945" s="378">
        <v>0</v>
      </c>
      <c r="H1945" s="378">
        <v>0</v>
      </c>
      <c r="I1945" s="378">
        <v>437106</v>
      </c>
      <c r="J1945" s="384">
        <f t="shared" si="35"/>
        <v>8</v>
      </c>
    </row>
    <row r="1946" spans="1:10" ht="15" customHeight="1" x14ac:dyDescent="0.25">
      <c r="A1946" s="380">
        <v>52051501</v>
      </c>
      <c r="B1946" s="381" t="s">
        <v>315</v>
      </c>
      <c r="C1946" s="381" t="s">
        <v>478</v>
      </c>
      <c r="D1946" s="381" t="s">
        <v>1208</v>
      </c>
      <c r="E1946" s="381" t="s">
        <v>1209</v>
      </c>
      <c r="F1946" s="378">
        <v>2200796</v>
      </c>
      <c r="G1946" s="378">
        <v>336845</v>
      </c>
      <c r="H1946" s="378">
        <v>0</v>
      </c>
      <c r="I1946" s="378">
        <v>2537641</v>
      </c>
      <c r="J1946" s="384">
        <f t="shared" si="35"/>
        <v>8</v>
      </c>
    </row>
    <row r="1947" spans="1:10" ht="15" customHeight="1" x14ac:dyDescent="0.25">
      <c r="A1947" s="380">
        <v>52051501</v>
      </c>
      <c r="B1947" s="381" t="s">
        <v>315</v>
      </c>
      <c r="C1947" s="381" t="s">
        <v>478</v>
      </c>
      <c r="D1947" s="381" t="s">
        <v>1237</v>
      </c>
      <c r="E1947" s="381" t="s">
        <v>1238</v>
      </c>
      <c r="F1947" s="378">
        <v>442059</v>
      </c>
      <c r="G1947" s="378">
        <v>548838</v>
      </c>
      <c r="H1947" s="378">
        <v>0</v>
      </c>
      <c r="I1947" s="378">
        <v>990897</v>
      </c>
      <c r="J1947" s="384">
        <f t="shared" si="35"/>
        <v>8</v>
      </c>
    </row>
    <row r="1948" spans="1:10" ht="15" customHeight="1" x14ac:dyDescent="0.25">
      <c r="A1948" s="380">
        <v>52051501</v>
      </c>
      <c r="B1948" s="381" t="s">
        <v>315</v>
      </c>
      <c r="C1948" s="381" t="s">
        <v>478</v>
      </c>
      <c r="D1948" s="381" t="s">
        <v>1239</v>
      </c>
      <c r="E1948" s="381" t="s">
        <v>1240</v>
      </c>
      <c r="F1948" s="378">
        <v>1571283</v>
      </c>
      <c r="G1948" s="378">
        <v>0</v>
      </c>
      <c r="H1948" s="378">
        <v>0</v>
      </c>
      <c r="I1948" s="378">
        <v>1571283</v>
      </c>
      <c r="J1948" s="384">
        <f t="shared" si="35"/>
        <v>8</v>
      </c>
    </row>
    <row r="1949" spans="1:10" ht="15" customHeight="1" x14ac:dyDescent="0.25">
      <c r="A1949" s="380">
        <v>52051501</v>
      </c>
      <c r="B1949" s="381" t="s">
        <v>315</v>
      </c>
      <c r="C1949" s="381" t="s">
        <v>478</v>
      </c>
      <c r="D1949" s="381" t="s">
        <v>1248</v>
      </c>
      <c r="E1949" s="381" t="s">
        <v>1249</v>
      </c>
      <c r="F1949" s="378">
        <v>70417</v>
      </c>
      <c r="G1949" s="378">
        <v>0</v>
      </c>
      <c r="H1949" s="378">
        <v>0</v>
      </c>
      <c r="I1949" s="378">
        <v>70417</v>
      </c>
      <c r="J1949" s="384">
        <f t="shared" si="35"/>
        <v>8</v>
      </c>
    </row>
    <row r="1950" spans="1:10" ht="15" customHeight="1" x14ac:dyDescent="0.25">
      <c r="A1950" s="380">
        <v>52051501</v>
      </c>
      <c r="B1950" s="381" t="s">
        <v>315</v>
      </c>
      <c r="C1950" s="381" t="s">
        <v>478</v>
      </c>
      <c r="D1950" s="381" t="s">
        <v>1210</v>
      </c>
      <c r="E1950" s="381" t="s">
        <v>1211</v>
      </c>
      <c r="F1950" s="378">
        <v>1058741</v>
      </c>
      <c r="G1950" s="378">
        <v>94415</v>
      </c>
      <c r="H1950" s="378">
        <v>0</v>
      </c>
      <c r="I1950" s="378">
        <v>1153156</v>
      </c>
      <c r="J1950" s="384">
        <f t="shared" si="35"/>
        <v>8</v>
      </c>
    </row>
    <row r="1951" spans="1:10" ht="15" customHeight="1" x14ac:dyDescent="0.25">
      <c r="A1951" s="380">
        <v>52051501</v>
      </c>
      <c r="B1951" s="381" t="s">
        <v>315</v>
      </c>
      <c r="C1951" s="381" t="s">
        <v>478</v>
      </c>
      <c r="D1951" s="381" t="s">
        <v>1090</v>
      </c>
      <c r="E1951" s="381" t="s">
        <v>1091</v>
      </c>
      <c r="F1951" s="378">
        <v>1544759</v>
      </c>
      <c r="G1951" s="378">
        <v>777886</v>
      </c>
      <c r="H1951" s="378">
        <v>0</v>
      </c>
      <c r="I1951" s="378">
        <v>2322645</v>
      </c>
      <c r="J1951" s="384">
        <f t="shared" si="35"/>
        <v>8</v>
      </c>
    </row>
    <row r="1952" spans="1:10" ht="15" customHeight="1" x14ac:dyDescent="0.25">
      <c r="A1952" s="380">
        <v>52051501</v>
      </c>
      <c r="B1952" s="381" t="s">
        <v>315</v>
      </c>
      <c r="C1952" s="381" t="s">
        <v>478</v>
      </c>
      <c r="D1952" s="381" t="s">
        <v>1241</v>
      </c>
      <c r="E1952" s="381" t="s">
        <v>1242</v>
      </c>
      <c r="F1952" s="378">
        <v>473708</v>
      </c>
      <c r="G1952" s="378">
        <v>229291</v>
      </c>
      <c r="H1952" s="378">
        <v>0</v>
      </c>
      <c r="I1952" s="378">
        <v>702999</v>
      </c>
      <c r="J1952" s="384">
        <f t="shared" si="35"/>
        <v>8</v>
      </c>
    </row>
    <row r="1953" spans="1:10" ht="15" customHeight="1" x14ac:dyDescent="0.25">
      <c r="A1953" s="380">
        <v>52051501</v>
      </c>
      <c r="B1953" s="381" t="s">
        <v>315</v>
      </c>
      <c r="C1953" s="381" t="s">
        <v>478</v>
      </c>
      <c r="D1953" s="381" t="s">
        <v>792</v>
      </c>
      <c r="E1953" s="381" t="s">
        <v>793</v>
      </c>
      <c r="F1953" s="378">
        <v>1658252</v>
      </c>
      <c r="G1953" s="378">
        <v>488929</v>
      </c>
      <c r="H1953" s="378">
        <v>0</v>
      </c>
      <c r="I1953" s="378">
        <v>2147181</v>
      </c>
      <c r="J1953" s="384">
        <f t="shared" si="35"/>
        <v>8</v>
      </c>
    </row>
    <row r="1954" spans="1:10" ht="15" customHeight="1" x14ac:dyDescent="0.25">
      <c r="A1954" s="380">
        <v>52051501</v>
      </c>
      <c r="B1954" s="381" t="s">
        <v>315</v>
      </c>
      <c r="C1954" s="381" t="s">
        <v>478</v>
      </c>
      <c r="D1954" s="381" t="s">
        <v>794</v>
      </c>
      <c r="E1954" s="381" t="s">
        <v>795</v>
      </c>
      <c r="F1954" s="378">
        <v>1273455</v>
      </c>
      <c r="G1954" s="378">
        <v>385890</v>
      </c>
      <c r="H1954" s="378">
        <v>0</v>
      </c>
      <c r="I1954" s="378">
        <v>1659345</v>
      </c>
      <c r="J1954" s="384">
        <f t="shared" si="35"/>
        <v>8</v>
      </c>
    </row>
    <row r="1955" spans="1:10" ht="15" customHeight="1" x14ac:dyDescent="0.25">
      <c r="A1955" s="380">
        <v>52051501</v>
      </c>
      <c r="B1955" s="381" t="s">
        <v>315</v>
      </c>
      <c r="C1955" s="381" t="s">
        <v>478</v>
      </c>
      <c r="D1955" s="381" t="s">
        <v>1092</v>
      </c>
      <c r="E1955" s="381" t="s">
        <v>1093</v>
      </c>
      <c r="F1955" s="378">
        <v>0</v>
      </c>
      <c r="G1955" s="378">
        <v>240274</v>
      </c>
      <c r="H1955" s="378">
        <v>0</v>
      </c>
      <c r="I1955" s="378">
        <v>240274</v>
      </c>
      <c r="J1955" s="384">
        <f t="shared" si="35"/>
        <v>8</v>
      </c>
    </row>
    <row r="1956" spans="1:10" ht="15" customHeight="1" x14ac:dyDescent="0.25">
      <c r="A1956" s="380">
        <v>52051501</v>
      </c>
      <c r="B1956" s="381" t="s">
        <v>315</v>
      </c>
      <c r="C1956" s="381" t="s">
        <v>478</v>
      </c>
      <c r="D1956" s="381" t="s">
        <v>1243</v>
      </c>
      <c r="E1956" s="381" t="s">
        <v>1244</v>
      </c>
      <c r="F1956" s="378">
        <v>511115</v>
      </c>
      <c r="G1956" s="378">
        <v>0</v>
      </c>
      <c r="H1956" s="378">
        <v>0</v>
      </c>
      <c r="I1956" s="378">
        <v>511115</v>
      </c>
      <c r="J1956" s="384">
        <f t="shared" si="35"/>
        <v>8</v>
      </c>
    </row>
    <row r="1957" spans="1:10" ht="15" customHeight="1" x14ac:dyDescent="0.25">
      <c r="A1957" s="380">
        <v>52051501</v>
      </c>
      <c r="B1957" s="381" t="s">
        <v>315</v>
      </c>
      <c r="C1957" s="381" t="s">
        <v>478</v>
      </c>
      <c r="D1957" s="381" t="s">
        <v>1214</v>
      </c>
      <c r="E1957" s="381" t="s">
        <v>1489</v>
      </c>
      <c r="F1957" s="378">
        <v>112825</v>
      </c>
      <c r="G1957" s="378">
        <v>0</v>
      </c>
      <c r="H1957" s="378">
        <v>0</v>
      </c>
      <c r="I1957" s="378">
        <v>112825</v>
      </c>
      <c r="J1957" s="384">
        <f t="shared" si="35"/>
        <v>8</v>
      </c>
    </row>
    <row r="1958" spans="1:10" ht="15" customHeight="1" x14ac:dyDescent="0.25">
      <c r="A1958" s="380">
        <v>52051501</v>
      </c>
      <c r="B1958" s="381" t="s">
        <v>315</v>
      </c>
      <c r="C1958" s="381" t="s">
        <v>478</v>
      </c>
      <c r="D1958" s="381" t="s">
        <v>1094</v>
      </c>
      <c r="E1958" s="381" t="s">
        <v>1095</v>
      </c>
      <c r="F1958" s="378">
        <v>957299</v>
      </c>
      <c r="G1958" s="378">
        <v>177960</v>
      </c>
      <c r="H1958" s="378">
        <v>0</v>
      </c>
      <c r="I1958" s="378">
        <v>1135259</v>
      </c>
      <c r="J1958" s="384">
        <f t="shared" si="35"/>
        <v>8</v>
      </c>
    </row>
    <row r="1959" spans="1:10" ht="15" customHeight="1" x14ac:dyDescent="0.25">
      <c r="A1959" s="380">
        <v>520524</v>
      </c>
      <c r="B1959" s="381" t="s">
        <v>315</v>
      </c>
      <c r="C1959" s="381" t="s">
        <v>479</v>
      </c>
      <c r="D1959" s="381" t="s">
        <v>315</v>
      </c>
      <c r="E1959" s="381" t="s">
        <v>315</v>
      </c>
      <c r="F1959" s="378">
        <v>2620696</v>
      </c>
      <c r="G1959" s="378">
        <v>347967</v>
      </c>
      <c r="H1959" s="378">
        <v>0</v>
      </c>
      <c r="I1959" s="378">
        <v>2968663</v>
      </c>
      <c r="J1959" s="384">
        <f t="shared" si="35"/>
        <v>6</v>
      </c>
    </row>
    <row r="1960" spans="1:10" ht="15" customHeight="1" x14ac:dyDescent="0.25">
      <c r="A1960" s="380">
        <v>52052401</v>
      </c>
      <c r="B1960" s="381" t="s">
        <v>315</v>
      </c>
      <c r="C1960" s="381" t="s">
        <v>479</v>
      </c>
      <c r="D1960" s="381" t="s">
        <v>315</v>
      </c>
      <c r="E1960" s="381" t="s">
        <v>315</v>
      </c>
      <c r="F1960" s="378">
        <v>2620696</v>
      </c>
      <c r="G1960" s="378">
        <v>347967</v>
      </c>
      <c r="H1960" s="378">
        <v>0</v>
      </c>
      <c r="I1960" s="378">
        <v>2968663</v>
      </c>
      <c r="J1960" s="384">
        <f t="shared" ref="J1960:J2023" si="36">+LEN(A1960)</f>
        <v>8</v>
      </c>
    </row>
    <row r="1961" spans="1:10" ht="15" customHeight="1" x14ac:dyDescent="0.25">
      <c r="A1961" s="380">
        <v>52052401</v>
      </c>
      <c r="B1961" s="381" t="s">
        <v>315</v>
      </c>
      <c r="C1961" s="381" t="s">
        <v>479</v>
      </c>
      <c r="D1961" s="381" t="s">
        <v>783</v>
      </c>
      <c r="E1961" s="381" t="s">
        <v>784</v>
      </c>
      <c r="F1961" s="378">
        <v>284700</v>
      </c>
      <c r="G1961" s="378">
        <v>94900</v>
      </c>
      <c r="H1961" s="378">
        <v>0</v>
      </c>
      <c r="I1961" s="378">
        <v>379600</v>
      </c>
      <c r="J1961" s="384">
        <f t="shared" si="36"/>
        <v>8</v>
      </c>
    </row>
    <row r="1962" spans="1:10" ht="15" customHeight="1" x14ac:dyDescent="0.25">
      <c r="A1962" s="380">
        <v>52052401</v>
      </c>
      <c r="B1962" s="381" t="s">
        <v>315</v>
      </c>
      <c r="C1962" s="381" t="s">
        <v>479</v>
      </c>
      <c r="D1962" s="381" t="s">
        <v>1221</v>
      </c>
      <c r="E1962" s="381" t="s">
        <v>1494</v>
      </c>
      <c r="F1962" s="378">
        <v>284694</v>
      </c>
      <c r="G1962" s="378">
        <v>0</v>
      </c>
      <c r="H1962" s="378">
        <v>0</v>
      </c>
      <c r="I1962" s="378">
        <v>284694</v>
      </c>
      <c r="J1962" s="384">
        <f t="shared" si="36"/>
        <v>8</v>
      </c>
    </row>
    <row r="1963" spans="1:10" ht="15" customHeight="1" x14ac:dyDescent="0.25">
      <c r="A1963" s="380">
        <v>52052401</v>
      </c>
      <c r="B1963" s="381" t="s">
        <v>315</v>
      </c>
      <c r="C1963" s="381" t="s">
        <v>479</v>
      </c>
      <c r="D1963" s="381" t="s">
        <v>1200</v>
      </c>
      <c r="E1963" s="381" t="s">
        <v>1201</v>
      </c>
      <c r="F1963" s="378">
        <v>806652</v>
      </c>
      <c r="G1963" s="378">
        <v>0</v>
      </c>
      <c r="H1963" s="378">
        <v>0</v>
      </c>
      <c r="I1963" s="378">
        <v>806652</v>
      </c>
      <c r="J1963" s="384">
        <f t="shared" si="36"/>
        <v>8</v>
      </c>
    </row>
    <row r="1964" spans="1:10" ht="15" customHeight="1" x14ac:dyDescent="0.25">
      <c r="A1964" s="380">
        <v>52052401</v>
      </c>
      <c r="B1964" s="381" t="s">
        <v>315</v>
      </c>
      <c r="C1964" s="381" t="s">
        <v>479</v>
      </c>
      <c r="D1964" s="381" t="s">
        <v>404</v>
      </c>
      <c r="E1964" s="381" t="s">
        <v>1230</v>
      </c>
      <c r="F1964" s="378">
        <v>0</v>
      </c>
      <c r="G1964" s="378">
        <v>63267</v>
      </c>
      <c r="H1964" s="378">
        <v>0</v>
      </c>
      <c r="I1964" s="378">
        <v>63267</v>
      </c>
      <c r="J1964" s="384">
        <f t="shared" si="36"/>
        <v>8</v>
      </c>
    </row>
    <row r="1965" spans="1:10" ht="15" customHeight="1" x14ac:dyDescent="0.25">
      <c r="A1965" s="380">
        <v>52052401</v>
      </c>
      <c r="B1965" s="381" t="s">
        <v>315</v>
      </c>
      <c r="C1965" s="381" t="s">
        <v>479</v>
      </c>
      <c r="D1965" s="381" t="s">
        <v>776</v>
      </c>
      <c r="E1965" s="381" t="s">
        <v>777</v>
      </c>
      <c r="F1965" s="378">
        <v>284700</v>
      </c>
      <c r="G1965" s="378">
        <v>94900</v>
      </c>
      <c r="H1965" s="378">
        <v>0</v>
      </c>
      <c r="I1965" s="378">
        <v>379600</v>
      </c>
      <c r="J1965" s="384">
        <f t="shared" si="36"/>
        <v>8</v>
      </c>
    </row>
    <row r="1966" spans="1:10" ht="15" customHeight="1" x14ac:dyDescent="0.25">
      <c r="A1966" s="380">
        <v>52052401</v>
      </c>
      <c r="B1966" s="381" t="s">
        <v>315</v>
      </c>
      <c r="C1966" s="381" t="s">
        <v>479</v>
      </c>
      <c r="D1966" s="381" t="s">
        <v>1233</v>
      </c>
      <c r="E1966" s="381" t="s">
        <v>1234</v>
      </c>
      <c r="F1966" s="378">
        <v>237250</v>
      </c>
      <c r="G1966" s="378">
        <v>0</v>
      </c>
      <c r="H1966" s="378">
        <v>0</v>
      </c>
      <c r="I1966" s="378">
        <v>237250</v>
      </c>
      <c r="J1966" s="384">
        <f t="shared" si="36"/>
        <v>8</v>
      </c>
    </row>
    <row r="1967" spans="1:10" ht="15" customHeight="1" x14ac:dyDescent="0.25">
      <c r="A1967" s="380">
        <v>52052401</v>
      </c>
      <c r="B1967" s="381" t="s">
        <v>315</v>
      </c>
      <c r="C1967" s="381" t="s">
        <v>479</v>
      </c>
      <c r="D1967" s="381" t="s">
        <v>1237</v>
      </c>
      <c r="E1967" s="381" t="s">
        <v>1238</v>
      </c>
      <c r="F1967" s="378">
        <v>94900</v>
      </c>
      <c r="G1967" s="378">
        <v>0</v>
      </c>
      <c r="H1967" s="378">
        <v>0</v>
      </c>
      <c r="I1967" s="378">
        <v>94900</v>
      </c>
      <c r="J1967" s="384">
        <f t="shared" si="36"/>
        <v>8</v>
      </c>
    </row>
    <row r="1968" spans="1:10" ht="15" customHeight="1" x14ac:dyDescent="0.25">
      <c r="A1968" s="380">
        <v>52052401</v>
      </c>
      <c r="B1968" s="381" t="s">
        <v>315</v>
      </c>
      <c r="C1968" s="381" t="s">
        <v>479</v>
      </c>
      <c r="D1968" s="381" t="s">
        <v>1090</v>
      </c>
      <c r="E1968" s="381" t="s">
        <v>1091</v>
      </c>
      <c r="F1968" s="378">
        <v>94900</v>
      </c>
      <c r="G1968" s="378">
        <v>0</v>
      </c>
      <c r="H1968" s="378">
        <v>0</v>
      </c>
      <c r="I1968" s="378">
        <v>94900</v>
      </c>
      <c r="J1968" s="384">
        <f t="shared" si="36"/>
        <v>8</v>
      </c>
    </row>
    <row r="1969" spans="1:10" ht="15" customHeight="1" x14ac:dyDescent="0.25">
      <c r="A1969" s="380">
        <v>52052401</v>
      </c>
      <c r="B1969" s="381" t="s">
        <v>315</v>
      </c>
      <c r="C1969" s="381" t="s">
        <v>479</v>
      </c>
      <c r="D1969" s="381" t="s">
        <v>1241</v>
      </c>
      <c r="E1969" s="381" t="s">
        <v>1242</v>
      </c>
      <c r="F1969" s="378">
        <v>0</v>
      </c>
      <c r="G1969" s="378">
        <v>94900</v>
      </c>
      <c r="H1969" s="378">
        <v>0</v>
      </c>
      <c r="I1969" s="378">
        <v>94900</v>
      </c>
      <c r="J1969" s="384">
        <f t="shared" si="36"/>
        <v>8</v>
      </c>
    </row>
    <row r="1970" spans="1:10" ht="15" customHeight="1" x14ac:dyDescent="0.25">
      <c r="A1970" s="380">
        <v>52052401</v>
      </c>
      <c r="B1970" s="381" t="s">
        <v>315</v>
      </c>
      <c r="C1970" s="381" t="s">
        <v>479</v>
      </c>
      <c r="D1970" s="381" t="s">
        <v>792</v>
      </c>
      <c r="E1970" s="381" t="s">
        <v>793</v>
      </c>
      <c r="F1970" s="378">
        <v>94900</v>
      </c>
      <c r="G1970" s="378">
        <v>0</v>
      </c>
      <c r="H1970" s="378">
        <v>0</v>
      </c>
      <c r="I1970" s="378">
        <v>94900</v>
      </c>
      <c r="J1970" s="384">
        <f t="shared" si="36"/>
        <v>8</v>
      </c>
    </row>
    <row r="1971" spans="1:10" ht="15" customHeight="1" x14ac:dyDescent="0.25">
      <c r="A1971" s="380">
        <v>52052401</v>
      </c>
      <c r="B1971" s="381" t="s">
        <v>315</v>
      </c>
      <c r="C1971" s="381" t="s">
        <v>479</v>
      </c>
      <c r="D1971" s="381" t="s">
        <v>1092</v>
      </c>
      <c r="E1971" s="381" t="s">
        <v>1093</v>
      </c>
      <c r="F1971" s="378">
        <v>343100</v>
      </c>
      <c r="G1971" s="378">
        <v>0</v>
      </c>
      <c r="H1971" s="378">
        <v>0</v>
      </c>
      <c r="I1971" s="378">
        <v>343100</v>
      </c>
      <c r="J1971" s="384">
        <f t="shared" si="36"/>
        <v>8</v>
      </c>
    </row>
    <row r="1972" spans="1:10" ht="15" customHeight="1" x14ac:dyDescent="0.25">
      <c r="A1972" s="380">
        <v>52052401</v>
      </c>
      <c r="B1972" s="381" t="s">
        <v>315</v>
      </c>
      <c r="C1972" s="381" t="s">
        <v>479</v>
      </c>
      <c r="D1972" s="381" t="s">
        <v>1243</v>
      </c>
      <c r="E1972" s="381" t="s">
        <v>1244</v>
      </c>
      <c r="F1972" s="378">
        <v>94900</v>
      </c>
      <c r="G1972" s="378">
        <v>0</v>
      </c>
      <c r="H1972" s="378">
        <v>0</v>
      </c>
      <c r="I1972" s="378">
        <v>94900</v>
      </c>
      <c r="J1972" s="384">
        <f t="shared" si="36"/>
        <v>8</v>
      </c>
    </row>
    <row r="1973" spans="1:10" ht="15" customHeight="1" x14ac:dyDescent="0.25">
      <c r="A1973" s="380">
        <v>520527</v>
      </c>
      <c r="B1973" s="381" t="s">
        <v>315</v>
      </c>
      <c r="C1973" s="381" t="s">
        <v>480</v>
      </c>
      <c r="D1973" s="381" t="s">
        <v>315</v>
      </c>
      <c r="E1973" s="381" t="s">
        <v>315</v>
      </c>
      <c r="F1973" s="378">
        <v>27093357</v>
      </c>
      <c r="G1973" s="378">
        <v>5980002</v>
      </c>
      <c r="H1973" s="378">
        <v>0</v>
      </c>
      <c r="I1973" s="378">
        <v>33073359</v>
      </c>
      <c r="J1973" s="384">
        <f t="shared" si="36"/>
        <v>6</v>
      </c>
    </row>
    <row r="1974" spans="1:10" ht="15" customHeight="1" x14ac:dyDescent="0.25">
      <c r="A1974" s="380">
        <v>52052701</v>
      </c>
      <c r="B1974" s="381" t="s">
        <v>315</v>
      </c>
      <c r="C1974" s="381" t="s">
        <v>480</v>
      </c>
      <c r="D1974" s="381" t="s">
        <v>315</v>
      </c>
      <c r="E1974" s="381" t="s">
        <v>315</v>
      </c>
      <c r="F1974" s="378">
        <v>27093357</v>
      </c>
      <c r="G1974" s="378">
        <v>5980002</v>
      </c>
      <c r="H1974" s="378">
        <v>0</v>
      </c>
      <c r="I1974" s="378">
        <v>33073359</v>
      </c>
      <c r="J1974" s="384">
        <f t="shared" si="36"/>
        <v>8</v>
      </c>
    </row>
    <row r="1975" spans="1:10" ht="15" customHeight="1" x14ac:dyDescent="0.25">
      <c r="A1975" s="380">
        <v>52052701</v>
      </c>
      <c r="B1975" s="381" t="s">
        <v>315</v>
      </c>
      <c r="C1975" s="381" t="s">
        <v>480</v>
      </c>
      <c r="D1975" s="381" t="s">
        <v>1194</v>
      </c>
      <c r="E1975" s="381" t="s">
        <v>1195</v>
      </c>
      <c r="F1975" s="378">
        <v>1000000</v>
      </c>
      <c r="G1975" s="378">
        <v>200000</v>
      </c>
      <c r="H1975" s="378">
        <v>0</v>
      </c>
      <c r="I1975" s="378">
        <v>1200000</v>
      </c>
      <c r="J1975" s="384">
        <f t="shared" si="36"/>
        <v>8</v>
      </c>
    </row>
    <row r="1976" spans="1:10" ht="15" customHeight="1" x14ac:dyDescent="0.25">
      <c r="A1976" s="380">
        <v>52052701</v>
      </c>
      <c r="B1976" s="381" t="s">
        <v>315</v>
      </c>
      <c r="C1976" s="381" t="s">
        <v>480</v>
      </c>
      <c r="D1976" s="381" t="s">
        <v>779</v>
      </c>
      <c r="E1976" s="381" t="s">
        <v>780</v>
      </c>
      <c r="F1976" s="378">
        <v>200000</v>
      </c>
      <c r="G1976" s="378">
        <v>200000</v>
      </c>
      <c r="H1976" s="378">
        <v>0</v>
      </c>
      <c r="I1976" s="378">
        <v>400000</v>
      </c>
      <c r="J1976" s="384">
        <f t="shared" si="36"/>
        <v>8</v>
      </c>
    </row>
    <row r="1977" spans="1:10" ht="15" customHeight="1" x14ac:dyDescent="0.25">
      <c r="A1977" s="380">
        <v>52052701</v>
      </c>
      <c r="B1977" s="381" t="s">
        <v>315</v>
      </c>
      <c r="C1977" s="381" t="s">
        <v>480</v>
      </c>
      <c r="D1977" s="381" t="s">
        <v>1219</v>
      </c>
      <c r="E1977" s="381" t="s">
        <v>1220</v>
      </c>
      <c r="F1977" s="378">
        <v>106667</v>
      </c>
      <c r="G1977" s="378">
        <v>0</v>
      </c>
      <c r="H1977" s="378">
        <v>0</v>
      </c>
      <c r="I1977" s="378">
        <v>106667</v>
      </c>
      <c r="J1977" s="384">
        <f t="shared" si="36"/>
        <v>8</v>
      </c>
    </row>
    <row r="1978" spans="1:10" ht="15" customHeight="1" x14ac:dyDescent="0.25">
      <c r="A1978" s="380">
        <v>52052701</v>
      </c>
      <c r="B1978" s="381" t="s">
        <v>315</v>
      </c>
      <c r="C1978" s="381" t="s">
        <v>480</v>
      </c>
      <c r="D1978" s="381" t="s">
        <v>774</v>
      </c>
      <c r="E1978" s="381" t="s">
        <v>775</v>
      </c>
      <c r="F1978" s="378">
        <v>993333</v>
      </c>
      <c r="G1978" s="378">
        <v>200000</v>
      </c>
      <c r="H1978" s="378">
        <v>0</v>
      </c>
      <c r="I1978" s="378">
        <v>1193333</v>
      </c>
      <c r="J1978" s="384">
        <f t="shared" si="36"/>
        <v>8</v>
      </c>
    </row>
    <row r="1979" spans="1:10" ht="15" customHeight="1" x14ac:dyDescent="0.25">
      <c r="A1979" s="380">
        <v>52052701</v>
      </c>
      <c r="B1979" s="381" t="s">
        <v>315</v>
      </c>
      <c r="C1979" s="381" t="s">
        <v>480</v>
      </c>
      <c r="D1979" s="381" t="s">
        <v>1196</v>
      </c>
      <c r="E1979" s="381" t="s">
        <v>1197</v>
      </c>
      <c r="F1979" s="378">
        <v>993334</v>
      </c>
      <c r="G1979" s="378">
        <v>186667</v>
      </c>
      <c r="H1979" s="378">
        <v>0</v>
      </c>
      <c r="I1979" s="378">
        <v>1180001</v>
      </c>
      <c r="J1979" s="384">
        <f t="shared" si="36"/>
        <v>8</v>
      </c>
    </row>
    <row r="1980" spans="1:10" ht="15" customHeight="1" x14ac:dyDescent="0.25">
      <c r="A1980" s="380">
        <v>52052701</v>
      </c>
      <c r="B1980" s="381" t="s">
        <v>315</v>
      </c>
      <c r="C1980" s="381" t="s">
        <v>480</v>
      </c>
      <c r="D1980" s="381" t="s">
        <v>781</v>
      </c>
      <c r="E1980" s="381" t="s">
        <v>782</v>
      </c>
      <c r="F1980" s="378">
        <v>873333</v>
      </c>
      <c r="G1980" s="378">
        <v>200000</v>
      </c>
      <c r="H1980" s="378">
        <v>0</v>
      </c>
      <c r="I1980" s="378">
        <v>1073333</v>
      </c>
      <c r="J1980" s="384">
        <f t="shared" si="36"/>
        <v>8</v>
      </c>
    </row>
    <row r="1981" spans="1:10" ht="15" customHeight="1" x14ac:dyDescent="0.25">
      <c r="A1981" s="380">
        <v>52052701</v>
      </c>
      <c r="B1981" s="381" t="s">
        <v>315</v>
      </c>
      <c r="C1981" s="381" t="s">
        <v>480</v>
      </c>
      <c r="D1981" s="381" t="s">
        <v>728</v>
      </c>
      <c r="E1981" s="381" t="s">
        <v>729</v>
      </c>
      <c r="F1981" s="378">
        <v>866667</v>
      </c>
      <c r="G1981" s="378">
        <v>200000</v>
      </c>
      <c r="H1981" s="378">
        <v>0</v>
      </c>
      <c r="I1981" s="378">
        <v>1066667</v>
      </c>
      <c r="J1981" s="384">
        <f t="shared" si="36"/>
        <v>8</v>
      </c>
    </row>
    <row r="1982" spans="1:10" ht="15" customHeight="1" x14ac:dyDescent="0.25">
      <c r="A1982" s="380">
        <v>52052701</v>
      </c>
      <c r="B1982" s="381" t="s">
        <v>315</v>
      </c>
      <c r="C1982" s="381" t="s">
        <v>480</v>
      </c>
      <c r="D1982" s="381" t="s">
        <v>783</v>
      </c>
      <c r="E1982" s="381" t="s">
        <v>784</v>
      </c>
      <c r="F1982" s="378">
        <v>960001</v>
      </c>
      <c r="G1982" s="378">
        <v>186667</v>
      </c>
      <c r="H1982" s="378">
        <v>0</v>
      </c>
      <c r="I1982" s="378">
        <v>1146668</v>
      </c>
      <c r="J1982" s="384">
        <f t="shared" si="36"/>
        <v>8</v>
      </c>
    </row>
    <row r="1983" spans="1:10" ht="15" customHeight="1" x14ac:dyDescent="0.25">
      <c r="A1983" s="380">
        <v>52052701</v>
      </c>
      <c r="B1983" s="381" t="s">
        <v>315</v>
      </c>
      <c r="C1983" s="381" t="s">
        <v>480</v>
      </c>
      <c r="D1983" s="381" t="s">
        <v>797</v>
      </c>
      <c r="E1983" s="381" t="s">
        <v>798</v>
      </c>
      <c r="F1983" s="378">
        <v>1000000</v>
      </c>
      <c r="G1983" s="378">
        <v>200000</v>
      </c>
      <c r="H1983" s="378">
        <v>0</v>
      </c>
      <c r="I1983" s="378">
        <v>1200000</v>
      </c>
      <c r="J1983" s="384">
        <f t="shared" si="36"/>
        <v>8</v>
      </c>
    </row>
    <row r="1984" spans="1:10" ht="15" customHeight="1" x14ac:dyDescent="0.25">
      <c r="A1984" s="380">
        <v>52052701</v>
      </c>
      <c r="B1984" s="381" t="s">
        <v>315</v>
      </c>
      <c r="C1984" s="381" t="s">
        <v>480</v>
      </c>
      <c r="D1984" s="381" t="s">
        <v>1221</v>
      </c>
      <c r="E1984" s="381" t="s">
        <v>1494</v>
      </c>
      <c r="F1984" s="378">
        <v>726666</v>
      </c>
      <c r="G1984" s="378">
        <v>0</v>
      </c>
      <c r="H1984" s="378">
        <v>0</v>
      </c>
      <c r="I1984" s="378">
        <v>726666</v>
      </c>
      <c r="J1984" s="384">
        <f t="shared" si="36"/>
        <v>8</v>
      </c>
    </row>
    <row r="1985" spans="1:10" ht="15" customHeight="1" x14ac:dyDescent="0.25">
      <c r="A1985" s="380">
        <v>52052701</v>
      </c>
      <c r="B1985" s="381" t="s">
        <v>315</v>
      </c>
      <c r="C1985" s="381" t="s">
        <v>480</v>
      </c>
      <c r="D1985" s="381" t="s">
        <v>1222</v>
      </c>
      <c r="E1985" s="381" t="s">
        <v>1223</v>
      </c>
      <c r="F1985" s="378">
        <v>206666</v>
      </c>
      <c r="G1985" s="378">
        <v>0</v>
      </c>
      <c r="H1985" s="378">
        <v>0</v>
      </c>
      <c r="I1985" s="378">
        <v>206666</v>
      </c>
      <c r="J1985" s="384">
        <f t="shared" si="36"/>
        <v>8</v>
      </c>
    </row>
    <row r="1986" spans="1:10" ht="15" customHeight="1" x14ac:dyDescent="0.25">
      <c r="A1986" s="380">
        <v>52052701</v>
      </c>
      <c r="B1986" s="381" t="s">
        <v>315</v>
      </c>
      <c r="C1986" s="381" t="s">
        <v>480</v>
      </c>
      <c r="D1986" s="381" t="s">
        <v>1198</v>
      </c>
      <c r="E1986" s="381" t="s">
        <v>1199</v>
      </c>
      <c r="F1986" s="378">
        <v>266667</v>
      </c>
      <c r="G1986" s="378">
        <v>200000</v>
      </c>
      <c r="H1986" s="378">
        <v>0</v>
      </c>
      <c r="I1986" s="378">
        <v>466667</v>
      </c>
      <c r="J1986" s="384">
        <f t="shared" si="36"/>
        <v>8</v>
      </c>
    </row>
    <row r="1987" spans="1:10" ht="15" customHeight="1" x14ac:dyDescent="0.25">
      <c r="A1987" s="380">
        <v>52052701</v>
      </c>
      <c r="B1987" s="381" t="s">
        <v>315</v>
      </c>
      <c r="C1987" s="381" t="s">
        <v>480</v>
      </c>
      <c r="D1987" s="381" t="s">
        <v>753</v>
      </c>
      <c r="E1987" s="381" t="s">
        <v>754</v>
      </c>
      <c r="F1987" s="378">
        <v>106667</v>
      </c>
      <c r="G1987" s="378">
        <v>0</v>
      </c>
      <c r="H1987" s="378">
        <v>0</v>
      </c>
      <c r="I1987" s="378">
        <v>106667</v>
      </c>
      <c r="J1987" s="384">
        <f t="shared" si="36"/>
        <v>8</v>
      </c>
    </row>
    <row r="1988" spans="1:10" ht="15" customHeight="1" x14ac:dyDescent="0.25">
      <c r="A1988" s="380">
        <v>52052701</v>
      </c>
      <c r="B1988" s="381" t="s">
        <v>315</v>
      </c>
      <c r="C1988" s="381" t="s">
        <v>480</v>
      </c>
      <c r="D1988" s="381" t="s">
        <v>1200</v>
      </c>
      <c r="E1988" s="381" t="s">
        <v>1201</v>
      </c>
      <c r="F1988" s="378">
        <v>773334</v>
      </c>
      <c r="G1988" s="378">
        <v>200000</v>
      </c>
      <c r="H1988" s="378">
        <v>0</v>
      </c>
      <c r="I1988" s="378">
        <v>973334</v>
      </c>
      <c r="J1988" s="384">
        <f t="shared" si="36"/>
        <v>8</v>
      </c>
    </row>
    <row r="1989" spans="1:10" ht="15" customHeight="1" x14ac:dyDescent="0.25">
      <c r="A1989" s="380">
        <v>52052701</v>
      </c>
      <c r="B1989" s="381" t="s">
        <v>315</v>
      </c>
      <c r="C1989" s="381" t="s">
        <v>480</v>
      </c>
      <c r="D1989" s="381" t="s">
        <v>786</v>
      </c>
      <c r="E1989" s="381" t="s">
        <v>787</v>
      </c>
      <c r="F1989" s="378">
        <v>893334</v>
      </c>
      <c r="G1989" s="378">
        <v>200000</v>
      </c>
      <c r="H1989" s="378">
        <v>0</v>
      </c>
      <c r="I1989" s="378">
        <v>1093334</v>
      </c>
      <c r="J1989" s="384">
        <f t="shared" si="36"/>
        <v>8</v>
      </c>
    </row>
    <row r="1990" spans="1:10" ht="15" customHeight="1" x14ac:dyDescent="0.25">
      <c r="A1990" s="380">
        <v>52052701</v>
      </c>
      <c r="B1990" s="381" t="s">
        <v>315</v>
      </c>
      <c r="C1990" s="381" t="s">
        <v>480</v>
      </c>
      <c r="D1990" s="381" t="s">
        <v>1224</v>
      </c>
      <c r="E1990" s="381" t="s">
        <v>1225</v>
      </c>
      <c r="F1990" s="378">
        <v>866667</v>
      </c>
      <c r="G1990" s="378">
        <v>200000</v>
      </c>
      <c r="H1990" s="378">
        <v>0</v>
      </c>
      <c r="I1990" s="378">
        <v>1066667</v>
      </c>
      <c r="J1990" s="384">
        <f t="shared" si="36"/>
        <v>8</v>
      </c>
    </row>
    <row r="1991" spans="1:10" ht="15" customHeight="1" x14ac:dyDescent="0.25">
      <c r="A1991" s="380">
        <v>52052701</v>
      </c>
      <c r="B1991" s="381" t="s">
        <v>315</v>
      </c>
      <c r="C1991" s="381" t="s">
        <v>480</v>
      </c>
      <c r="D1991" s="381" t="s">
        <v>1226</v>
      </c>
      <c r="E1991" s="381" t="s">
        <v>1227</v>
      </c>
      <c r="F1991" s="378">
        <v>26667</v>
      </c>
      <c r="G1991" s="378">
        <v>0</v>
      </c>
      <c r="H1991" s="378">
        <v>0</v>
      </c>
      <c r="I1991" s="378">
        <v>26667</v>
      </c>
      <c r="J1991" s="384">
        <f t="shared" si="36"/>
        <v>8</v>
      </c>
    </row>
    <row r="1992" spans="1:10" ht="15" customHeight="1" x14ac:dyDescent="0.25">
      <c r="A1992" s="380">
        <v>52052701</v>
      </c>
      <c r="B1992" s="381" t="s">
        <v>315</v>
      </c>
      <c r="C1992" s="381" t="s">
        <v>480</v>
      </c>
      <c r="D1992" s="381" t="s">
        <v>1202</v>
      </c>
      <c r="E1992" s="381" t="s">
        <v>1203</v>
      </c>
      <c r="F1992" s="378">
        <v>200000</v>
      </c>
      <c r="G1992" s="378">
        <v>200000</v>
      </c>
      <c r="H1992" s="378">
        <v>0</v>
      </c>
      <c r="I1992" s="378">
        <v>400000</v>
      </c>
      <c r="J1992" s="384">
        <f t="shared" si="36"/>
        <v>8</v>
      </c>
    </row>
    <row r="1993" spans="1:10" ht="15" customHeight="1" x14ac:dyDescent="0.25">
      <c r="A1993" s="380">
        <v>52052701</v>
      </c>
      <c r="B1993" s="381" t="s">
        <v>315</v>
      </c>
      <c r="C1993" s="381" t="s">
        <v>480</v>
      </c>
      <c r="D1993" s="381" t="s">
        <v>1228</v>
      </c>
      <c r="E1993" s="381" t="s">
        <v>1229</v>
      </c>
      <c r="F1993" s="378">
        <v>200000</v>
      </c>
      <c r="G1993" s="378">
        <v>113333</v>
      </c>
      <c r="H1993" s="378">
        <v>0</v>
      </c>
      <c r="I1993" s="378">
        <v>313333</v>
      </c>
      <c r="J1993" s="384">
        <f t="shared" si="36"/>
        <v>8</v>
      </c>
    </row>
    <row r="1994" spans="1:10" ht="15" customHeight="1" x14ac:dyDescent="0.25">
      <c r="A1994" s="380">
        <v>52052701</v>
      </c>
      <c r="B1994" s="381" t="s">
        <v>315</v>
      </c>
      <c r="C1994" s="381" t="s">
        <v>480</v>
      </c>
      <c r="D1994" s="381" t="s">
        <v>1086</v>
      </c>
      <c r="E1994" s="381" t="s">
        <v>1087</v>
      </c>
      <c r="F1994" s="378">
        <v>873341</v>
      </c>
      <c r="G1994" s="378">
        <v>200000</v>
      </c>
      <c r="H1994" s="378">
        <v>0</v>
      </c>
      <c r="I1994" s="378">
        <v>1073341</v>
      </c>
      <c r="J1994" s="384">
        <f t="shared" si="36"/>
        <v>8</v>
      </c>
    </row>
    <row r="1995" spans="1:10" ht="15" customHeight="1" x14ac:dyDescent="0.25">
      <c r="A1995" s="380">
        <v>52052701</v>
      </c>
      <c r="B1995" s="381" t="s">
        <v>315</v>
      </c>
      <c r="C1995" s="381" t="s">
        <v>480</v>
      </c>
      <c r="D1995" s="381" t="s">
        <v>404</v>
      </c>
      <c r="E1995" s="381" t="s">
        <v>1230</v>
      </c>
      <c r="F1995" s="378">
        <v>400000</v>
      </c>
      <c r="G1995" s="378">
        <v>186667</v>
      </c>
      <c r="H1995" s="378">
        <v>0</v>
      </c>
      <c r="I1995" s="378">
        <v>586667</v>
      </c>
      <c r="J1995" s="384">
        <f t="shared" si="36"/>
        <v>8</v>
      </c>
    </row>
    <row r="1996" spans="1:10" ht="15" customHeight="1" x14ac:dyDescent="0.25">
      <c r="A1996" s="380">
        <v>52052701</v>
      </c>
      <c r="B1996" s="381" t="s">
        <v>315</v>
      </c>
      <c r="C1996" s="381" t="s">
        <v>480</v>
      </c>
      <c r="D1996" s="381" t="s">
        <v>1204</v>
      </c>
      <c r="E1996" s="381" t="s">
        <v>1205</v>
      </c>
      <c r="F1996" s="378">
        <v>266667</v>
      </c>
      <c r="G1996" s="378">
        <v>200000</v>
      </c>
      <c r="H1996" s="378">
        <v>0</v>
      </c>
      <c r="I1996" s="378">
        <v>466667</v>
      </c>
      <c r="J1996" s="384">
        <f t="shared" si="36"/>
        <v>8</v>
      </c>
    </row>
    <row r="1997" spans="1:10" ht="15" customHeight="1" x14ac:dyDescent="0.25">
      <c r="A1997" s="380">
        <v>52052701</v>
      </c>
      <c r="B1997" s="381" t="s">
        <v>315</v>
      </c>
      <c r="C1997" s="381" t="s">
        <v>480</v>
      </c>
      <c r="D1997" s="381" t="s">
        <v>1231</v>
      </c>
      <c r="E1997" s="381" t="s">
        <v>1232</v>
      </c>
      <c r="F1997" s="378">
        <v>146667</v>
      </c>
      <c r="G1997" s="378">
        <v>0</v>
      </c>
      <c r="H1997" s="378">
        <v>0</v>
      </c>
      <c r="I1997" s="378">
        <v>146667</v>
      </c>
      <c r="J1997" s="384">
        <f t="shared" si="36"/>
        <v>8</v>
      </c>
    </row>
    <row r="1998" spans="1:10" ht="15" customHeight="1" x14ac:dyDescent="0.25">
      <c r="A1998" s="380">
        <v>52052701</v>
      </c>
      <c r="B1998" s="381" t="s">
        <v>315</v>
      </c>
      <c r="C1998" s="381" t="s">
        <v>480</v>
      </c>
      <c r="D1998" s="381" t="s">
        <v>788</v>
      </c>
      <c r="E1998" s="381" t="s">
        <v>789</v>
      </c>
      <c r="F1998" s="378">
        <v>1000008</v>
      </c>
      <c r="G1998" s="378">
        <v>200000</v>
      </c>
      <c r="H1998" s="378">
        <v>0</v>
      </c>
      <c r="I1998" s="378">
        <v>1200008</v>
      </c>
      <c r="J1998" s="384">
        <f t="shared" si="36"/>
        <v>8</v>
      </c>
    </row>
    <row r="1999" spans="1:10" ht="15" customHeight="1" x14ac:dyDescent="0.25">
      <c r="A1999" s="380">
        <v>52052701</v>
      </c>
      <c r="B1999" s="381" t="s">
        <v>315</v>
      </c>
      <c r="C1999" s="381" t="s">
        <v>480</v>
      </c>
      <c r="D1999" s="381" t="s">
        <v>1206</v>
      </c>
      <c r="E1999" s="381" t="s">
        <v>1207</v>
      </c>
      <c r="F1999" s="378">
        <v>800000</v>
      </c>
      <c r="G1999" s="378">
        <v>200000</v>
      </c>
      <c r="H1999" s="378">
        <v>0</v>
      </c>
      <c r="I1999" s="378">
        <v>1000000</v>
      </c>
      <c r="J1999" s="384">
        <f t="shared" si="36"/>
        <v>8</v>
      </c>
    </row>
    <row r="2000" spans="1:10" ht="15" customHeight="1" x14ac:dyDescent="0.25">
      <c r="A2000" s="380">
        <v>52052701</v>
      </c>
      <c r="B2000" s="381" t="s">
        <v>315</v>
      </c>
      <c r="C2000" s="381" t="s">
        <v>480</v>
      </c>
      <c r="D2000" s="381" t="s">
        <v>1088</v>
      </c>
      <c r="E2000" s="381" t="s">
        <v>1089</v>
      </c>
      <c r="F2000" s="378">
        <v>593333</v>
      </c>
      <c r="G2000" s="378">
        <v>46667</v>
      </c>
      <c r="H2000" s="378">
        <v>0</v>
      </c>
      <c r="I2000" s="378">
        <v>640000</v>
      </c>
      <c r="J2000" s="384">
        <f t="shared" si="36"/>
        <v>8</v>
      </c>
    </row>
    <row r="2001" spans="1:10" ht="15" customHeight="1" x14ac:dyDescent="0.25">
      <c r="A2001" s="380">
        <v>52052701</v>
      </c>
      <c r="B2001" s="381" t="s">
        <v>315</v>
      </c>
      <c r="C2001" s="381" t="s">
        <v>480</v>
      </c>
      <c r="D2001" s="381" t="s">
        <v>776</v>
      </c>
      <c r="E2001" s="381" t="s">
        <v>777</v>
      </c>
      <c r="F2001" s="378">
        <v>960001</v>
      </c>
      <c r="G2001" s="378">
        <v>126667</v>
      </c>
      <c r="H2001" s="378">
        <v>0</v>
      </c>
      <c r="I2001" s="378">
        <v>1086668</v>
      </c>
      <c r="J2001" s="384">
        <f t="shared" si="36"/>
        <v>8</v>
      </c>
    </row>
    <row r="2002" spans="1:10" ht="15" customHeight="1" x14ac:dyDescent="0.25">
      <c r="A2002" s="380">
        <v>52052701</v>
      </c>
      <c r="B2002" s="381" t="s">
        <v>315</v>
      </c>
      <c r="C2002" s="381" t="s">
        <v>480</v>
      </c>
      <c r="D2002" s="381" t="s">
        <v>790</v>
      </c>
      <c r="E2002" s="381" t="s">
        <v>791</v>
      </c>
      <c r="F2002" s="378">
        <v>1000000</v>
      </c>
      <c r="G2002" s="378">
        <v>200000</v>
      </c>
      <c r="H2002" s="378">
        <v>0</v>
      </c>
      <c r="I2002" s="378">
        <v>1200000</v>
      </c>
      <c r="J2002" s="384">
        <f t="shared" si="36"/>
        <v>8</v>
      </c>
    </row>
    <row r="2003" spans="1:10" ht="15" customHeight="1" x14ac:dyDescent="0.25">
      <c r="A2003" s="380">
        <v>52052701</v>
      </c>
      <c r="B2003" s="381" t="s">
        <v>315</v>
      </c>
      <c r="C2003" s="381" t="s">
        <v>480</v>
      </c>
      <c r="D2003" s="381" t="s">
        <v>1233</v>
      </c>
      <c r="E2003" s="381" t="s">
        <v>1234</v>
      </c>
      <c r="F2003" s="378">
        <v>733335</v>
      </c>
      <c r="G2003" s="378">
        <v>0</v>
      </c>
      <c r="H2003" s="378">
        <v>0</v>
      </c>
      <c r="I2003" s="378">
        <v>733335</v>
      </c>
      <c r="J2003" s="384">
        <f t="shared" si="36"/>
        <v>8</v>
      </c>
    </row>
    <row r="2004" spans="1:10" ht="15" customHeight="1" x14ac:dyDescent="0.25">
      <c r="A2004" s="380">
        <v>52052701</v>
      </c>
      <c r="B2004" s="381" t="s">
        <v>315</v>
      </c>
      <c r="C2004" s="381" t="s">
        <v>480</v>
      </c>
      <c r="D2004" s="381" t="s">
        <v>1235</v>
      </c>
      <c r="E2004" s="381" t="s">
        <v>1236</v>
      </c>
      <c r="F2004" s="378">
        <v>100000</v>
      </c>
      <c r="G2004" s="378">
        <v>0</v>
      </c>
      <c r="H2004" s="378">
        <v>0</v>
      </c>
      <c r="I2004" s="378">
        <v>100000</v>
      </c>
      <c r="J2004" s="384">
        <f t="shared" si="36"/>
        <v>8</v>
      </c>
    </row>
    <row r="2005" spans="1:10" ht="15" customHeight="1" x14ac:dyDescent="0.25">
      <c r="A2005" s="380">
        <v>52052701</v>
      </c>
      <c r="B2005" s="381" t="s">
        <v>315</v>
      </c>
      <c r="C2005" s="381" t="s">
        <v>480</v>
      </c>
      <c r="D2005" s="381" t="s">
        <v>1208</v>
      </c>
      <c r="E2005" s="381" t="s">
        <v>1209</v>
      </c>
      <c r="F2005" s="378">
        <v>833334</v>
      </c>
      <c r="G2005" s="378">
        <v>200000</v>
      </c>
      <c r="H2005" s="378">
        <v>0</v>
      </c>
      <c r="I2005" s="378">
        <v>1033334</v>
      </c>
      <c r="J2005" s="384">
        <f t="shared" si="36"/>
        <v>8</v>
      </c>
    </row>
    <row r="2006" spans="1:10" ht="15" customHeight="1" x14ac:dyDescent="0.25">
      <c r="A2006" s="380">
        <v>52052701</v>
      </c>
      <c r="B2006" s="381" t="s">
        <v>315</v>
      </c>
      <c r="C2006" s="381" t="s">
        <v>480</v>
      </c>
      <c r="D2006" s="381" t="s">
        <v>1237</v>
      </c>
      <c r="E2006" s="381" t="s">
        <v>1238</v>
      </c>
      <c r="F2006" s="378">
        <v>253334</v>
      </c>
      <c r="G2006" s="378">
        <v>200000</v>
      </c>
      <c r="H2006" s="378">
        <v>0</v>
      </c>
      <c r="I2006" s="378">
        <v>453334</v>
      </c>
      <c r="J2006" s="384">
        <f t="shared" si="36"/>
        <v>8</v>
      </c>
    </row>
    <row r="2007" spans="1:10" ht="15" customHeight="1" x14ac:dyDescent="0.25">
      <c r="A2007" s="380">
        <v>52052701</v>
      </c>
      <c r="B2007" s="381" t="s">
        <v>315</v>
      </c>
      <c r="C2007" s="381" t="s">
        <v>480</v>
      </c>
      <c r="D2007" s="381" t="s">
        <v>1239</v>
      </c>
      <c r="E2007" s="381" t="s">
        <v>1240</v>
      </c>
      <c r="F2007" s="378">
        <v>1000000</v>
      </c>
      <c r="G2007" s="378">
        <v>0</v>
      </c>
      <c r="H2007" s="378">
        <v>0</v>
      </c>
      <c r="I2007" s="378">
        <v>1000000</v>
      </c>
      <c r="J2007" s="384">
        <f t="shared" si="36"/>
        <v>8</v>
      </c>
    </row>
    <row r="2008" spans="1:10" ht="15" customHeight="1" x14ac:dyDescent="0.25">
      <c r="A2008" s="380">
        <v>52052701</v>
      </c>
      <c r="B2008" s="381" t="s">
        <v>315</v>
      </c>
      <c r="C2008" s="381" t="s">
        <v>480</v>
      </c>
      <c r="D2008" s="381" t="s">
        <v>1210</v>
      </c>
      <c r="E2008" s="381" t="s">
        <v>1211</v>
      </c>
      <c r="F2008" s="378">
        <v>1000000</v>
      </c>
      <c r="G2008" s="378">
        <v>200000</v>
      </c>
      <c r="H2008" s="378">
        <v>0</v>
      </c>
      <c r="I2008" s="378">
        <v>1200000</v>
      </c>
      <c r="J2008" s="384">
        <f t="shared" si="36"/>
        <v>8</v>
      </c>
    </row>
    <row r="2009" spans="1:10" ht="15" customHeight="1" x14ac:dyDescent="0.25">
      <c r="A2009" s="380">
        <v>52052701</v>
      </c>
      <c r="B2009" s="381" t="s">
        <v>315</v>
      </c>
      <c r="C2009" s="381" t="s">
        <v>480</v>
      </c>
      <c r="D2009" s="381" t="s">
        <v>1090</v>
      </c>
      <c r="E2009" s="381" t="s">
        <v>1091</v>
      </c>
      <c r="F2009" s="378">
        <v>453334</v>
      </c>
      <c r="G2009" s="378">
        <v>200000</v>
      </c>
      <c r="H2009" s="378">
        <v>0</v>
      </c>
      <c r="I2009" s="378">
        <v>653334</v>
      </c>
      <c r="J2009" s="384">
        <f t="shared" si="36"/>
        <v>8</v>
      </c>
    </row>
    <row r="2010" spans="1:10" ht="15" customHeight="1" x14ac:dyDescent="0.25">
      <c r="A2010" s="380">
        <v>52052701</v>
      </c>
      <c r="B2010" s="381" t="s">
        <v>315</v>
      </c>
      <c r="C2010" s="381" t="s">
        <v>480</v>
      </c>
      <c r="D2010" s="381" t="s">
        <v>1241</v>
      </c>
      <c r="E2010" s="381" t="s">
        <v>1242</v>
      </c>
      <c r="F2010" s="378">
        <v>340000</v>
      </c>
      <c r="G2010" s="378">
        <v>186667</v>
      </c>
      <c r="H2010" s="378">
        <v>0</v>
      </c>
      <c r="I2010" s="378">
        <v>526667</v>
      </c>
      <c r="J2010" s="384">
        <f t="shared" si="36"/>
        <v>8</v>
      </c>
    </row>
    <row r="2011" spans="1:10" ht="15" customHeight="1" x14ac:dyDescent="0.25">
      <c r="A2011" s="380">
        <v>52052701</v>
      </c>
      <c r="B2011" s="381" t="s">
        <v>315</v>
      </c>
      <c r="C2011" s="381" t="s">
        <v>480</v>
      </c>
      <c r="D2011" s="381" t="s">
        <v>792</v>
      </c>
      <c r="E2011" s="381" t="s">
        <v>793</v>
      </c>
      <c r="F2011" s="378">
        <v>866667</v>
      </c>
      <c r="G2011" s="378">
        <v>200000</v>
      </c>
      <c r="H2011" s="378">
        <v>0</v>
      </c>
      <c r="I2011" s="378">
        <v>1066667</v>
      </c>
      <c r="J2011" s="384">
        <f t="shared" si="36"/>
        <v>8</v>
      </c>
    </row>
    <row r="2012" spans="1:10" ht="15" customHeight="1" x14ac:dyDescent="0.25">
      <c r="A2012" s="380">
        <v>52052701</v>
      </c>
      <c r="B2012" s="381" t="s">
        <v>315</v>
      </c>
      <c r="C2012" s="381" t="s">
        <v>480</v>
      </c>
      <c r="D2012" s="381" t="s">
        <v>794</v>
      </c>
      <c r="E2012" s="381" t="s">
        <v>795</v>
      </c>
      <c r="F2012" s="378">
        <v>940000</v>
      </c>
      <c r="G2012" s="378">
        <v>200000</v>
      </c>
      <c r="H2012" s="378">
        <v>0</v>
      </c>
      <c r="I2012" s="378">
        <v>1140000</v>
      </c>
      <c r="J2012" s="384">
        <f t="shared" si="36"/>
        <v>8</v>
      </c>
    </row>
    <row r="2013" spans="1:10" ht="15" customHeight="1" x14ac:dyDescent="0.25">
      <c r="A2013" s="380">
        <v>52052701</v>
      </c>
      <c r="B2013" s="381" t="s">
        <v>315</v>
      </c>
      <c r="C2013" s="381" t="s">
        <v>480</v>
      </c>
      <c r="D2013" s="381" t="s">
        <v>1212</v>
      </c>
      <c r="E2013" s="381" t="s">
        <v>1213</v>
      </c>
      <c r="F2013" s="378">
        <v>0</v>
      </c>
      <c r="G2013" s="378">
        <v>146667</v>
      </c>
      <c r="H2013" s="378">
        <v>0</v>
      </c>
      <c r="I2013" s="378">
        <v>146667</v>
      </c>
      <c r="J2013" s="384">
        <f t="shared" si="36"/>
        <v>8</v>
      </c>
    </row>
    <row r="2014" spans="1:10" ht="15" customHeight="1" x14ac:dyDescent="0.25">
      <c r="A2014" s="380">
        <v>52052701</v>
      </c>
      <c r="B2014" s="381" t="s">
        <v>315</v>
      </c>
      <c r="C2014" s="381" t="s">
        <v>480</v>
      </c>
      <c r="D2014" s="381" t="s">
        <v>1092</v>
      </c>
      <c r="E2014" s="381" t="s">
        <v>1093</v>
      </c>
      <c r="F2014" s="378">
        <v>966667</v>
      </c>
      <c r="G2014" s="378">
        <v>13333</v>
      </c>
      <c r="H2014" s="378">
        <v>0</v>
      </c>
      <c r="I2014" s="378">
        <v>980000</v>
      </c>
      <c r="J2014" s="384">
        <f t="shared" si="36"/>
        <v>8</v>
      </c>
    </row>
    <row r="2015" spans="1:10" ht="15" customHeight="1" x14ac:dyDescent="0.25">
      <c r="A2015" s="380">
        <v>52052701</v>
      </c>
      <c r="B2015" s="381" t="s">
        <v>315</v>
      </c>
      <c r="C2015" s="381" t="s">
        <v>480</v>
      </c>
      <c r="D2015" s="381" t="s">
        <v>1243</v>
      </c>
      <c r="E2015" s="381" t="s">
        <v>1244</v>
      </c>
      <c r="F2015" s="378">
        <v>546667</v>
      </c>
      <c r="G2015" s="378">
        <v>0</v>
      </c>
      <c r="H2015" s="378">
        <v>0</v>
      </c>
      <c r="I2015" s="378">
        <v>546667</v>
      </c>
      <c r="J2015" s="384">
        <f t="shared" si="36"/>
        <v>8</v>
      </c>
    </row>
    <row r="2016" spans="1:10" ht="15" customHeight="1" x14ac:dyDescent="0.25">
      <c r="A2016" s="380">
        <v>52052701</v>
      </c>
      <c r="B2016" s="381" t="s">
        <v>315</v>
      </c>
      <c r="C2016" s="381" t="s">
        <v>480</v>
      </c>
      <c r="D2016" s="381" t="s">
        <v>1214</v>
      </c>
      <c r="E2016" s="381" t="s">
        <v>1489</v>
      </c>
      <c r="F2016" s="378">
        <v>873333</v>
      </c>
      <c r="G2016" s="378">
        <v>200000</v>
      </c>
      <c r="H2016" s="378">
        <v>0</v>
      </c>
      <c r="I2016" s="378">
        <v>1073333</v>
      </c>
      <c r="J2016" s="384">
        <f t="shared" si="36"/>
        <v>8</v>
      </c>
    </row>
    <row r="2017" spans="1:10" ht="15" customHeight="1" x14ac:dyDescent="0.25">
      <c r="A2017" s="380">
        <v>52052701</v>
      </c>
      <c r="B2017" s="381" t="s">
        <v>315</v>
      </c>
      <c r="C2017" s="381" t="s">
        <v>480</v>
      </c>
      <c r="D2017" s="381" t="s">
        <v>1094</v>
      </c>
      <c r="E2017" s="381" t="s">
        <v>1095</v>
      </c>
      <c r="F2017" s="378">
        <v>886666</v>
      </c>
      <c r="G2017" s="378">
        <v>186667</v>
      </c>
      <c r="H2017" s="378">
        <v>0</v>
      </c>
      <c r="I2017" s="378">
        <v>1073333</v>
      </c>
      <c r="J2017" s="384">
        <f t="shared" si="36"/>
        <v>8</v>
      </c>
    </row>
    <row r="2018" spans="1:10" ht="15" customHeight="1" x14ac:dyDescent="0.25">
      <c r="A2018" s="380">
        <v>520530</v>
      </c>
      <c r="B2018" s="381" t="s">
        <v>315</v>
      </c>
      <c r="C2018" s="381" t="s">
        <v>99</v>
      </c>
      <c r="D2018" s="381" t="s">
        <v>315</v>
      </c>
      <c r="E2018" s="381" t="s">
        <v>315</v>
      </c>
      <c r="F2018" s="378">
        <v>26444324</v>
      </c>
      <c r="G2018" s="378">
        <v>6351159</v>
      </c>
      <c r="H2018" s="378">
        <v>0</v>
      </c>
      <c r="I2018" s="378">
        <v>32795483</v>
      </c>
      <c r="J2018" s="384">
        <f t="shared" si="36"/>
        <v>6</v>
      </c>
    </row>
    <row r="2019" spans="1:10" ht="15" customHeight="1" x14ac:dyDescent="0.25">
      <c r="A2019" s="380">
        <v>52053001</v>
      </c>
      <c r="B2019" s="381" t="s">
        <v>315</v>
      </c>
      <c r="C2019" s="381" t="s">
        <v>99</v>
      </c>
      <c r="D2019" s="381" t="s">
        <v>315</v>
      </c>
      <c r="E2019" s="381" t="s">
        <v>315</v>
      </c>
      <c r="F2019" s="378">
        <v>26444324</v>
      </c>
      <c r="G2019" s="378">
        <v>6351159</v>
      </c>
      <c r="H2019" s="378">
        <v>0</v>
      </c>
      <c r="I2019" s="378">
        <v>32795483</v>
      </c>
      <c r="J2019" s="384">
        <f t="shared" si="36"/>
        <v>8</v>
      </c>
    </row>
    <row r="2020" spans="1:10" ht="15" customHeight="1" x14ac:dyDescent="0.25">
      <c r="A2020" s="380">
        <v>52053001</v>
      </c>
      <c r="B2020" s="381" t="s">
        <v>315</v>
      </c>
      <c r="C2020" s="381" t="s">
        <v>99</v>
      </c>
      <c r="D2020" s="381" t="s">
        <v>1194</v>
      </c>
      <c r="E2020" s="381" t="s">
        <v>1195</v>
      </c>
      <c r="F2020" s="378">
        <v>867493</v>
      </c>
      <c r="G2020" s="378">
        <v>178687</v>
      </c>
      <c r="H2020" s="378">
        <v>0</v>
      </c>
      <c r="I2020" s="378">
        <v>1046180</v>
      </c>
      <c r="J2020" s="384">
        <f t="shared" si="36"/>
        <v>8</v>
      </c>
    </row>
    <row r="2021" spans="1:10" ht="15" customHeight="1" x14ac:dyDescent="0.25">
      <c r="A2021" s="380">
        <v>52053001</v>
      </c>
      <c r="B2021" s="381" t="s">
        <v>315</v>
      </c>
      <c r="C2021" s="381" t="s">
        <v>99</v>
      </c>
      <c r="D2021" s="381" t="s">
        <v>779</v>
      </c>
      <c r="E2021" s="381" t="s">
        <v>780</v>
      </c>
      <c r="F2021" s="378">
        <v>203308</v>
      </c>
      <c r="G2021" s="378">
        <v>215424</v>
      </c>
      <c r="H2021" s="378">
        <v>0</v>
      </c>
      <c r="I2021" s="378">
        <v>418732</v>
      </c>
      <c r="J2021" s="384">
        <f t="shared" si="36"/>
        <v>8</v>
      </c>
    </row>
    <row r="2022" spans="1:10" ht="15" customHeight="1" x14ac:dyDescent="0.25">
      <c r="A2022" s="380">
        <v>52053001</v>
      </c>
      <c r="B2022" s="381" t="s">
        <v>315</v>
      </c>
      <c r="C2022" s="381" t="s">
        <v>99</v>
      </c>
      <c r="D2022" s="381" t="s">
        <v>1219</v>
      </c>
      <c r="E2022" s="381" t="s">
        <v>1220</v>
      </c>
      <c r="F2022" s="378">
        <v>92706</v>
      </c>
      <c r="G2022" s="378">
        <v>0</v>
      </c>
      <c r="H2022" s="378">
        <v>0</v>
      </c>
      <c r="I2022" s="378">
        <v>92706</v>
      </c>
      <c r="J2022" s="384">
        <f t="shared" si="36"/>
        <v>8</v>
      </c>
    </row>
    <row r="2023" spans="1:10" ht="15" customHeight="1" x14ac:dyDescent="0.25">
      <c r="A2023" s="380">
        <v>52053001</v>
      </c>
      <c r="B2023" s="381" t="s">
        <v>315</v>
      </c>
      <c r="C2023" s="381" t="s">
        <v>99</v>
      </c>
      <c r="D2023" s="381" t="s">
        <v>774</v>
      </c>
      <c r="E2023" s="381" t="s">
        <v>775</v>
      </c>
      <c r="F2023" s="378">
        <v>766382</v>
      </c>
      <c r="G2023" s="378">
        <v>136839</v>
      </c>
      <c r="H2023" s="378">
        <v>0</v>
      </c>
      <c r="I2023" s="378">
        <v>903221</v>
      </c>
      <c r="J2023" s="384">
        <f t="shared" si="36"/>
        <v>8</v>
      </c>
    </row>
    <row r="2024" spans="1:10" ht="15" customHeight="1" x14ac:dyDescent="0.25">
      <c r="A2024" s="380">
        <v>52053001</v>
      </c>
      <c r="B2024" s="381" t="s">
        <v>315</v>
      </c>
      <c r="C2024" s="381" t="s">
        <v>99</v>
      </c>
      <c r="D2024" s="381" t="s">
        <v>1196</v>
      </c>
      <c r="E2024" s="381" t="s">
        <v>1197</v>
      </c>
      <c r="F2024" s="378">
        <v>880822</v>
      </c>
      <c r="G2024" s="378">
        <v>166260</v>
      </c>
      <c r="H2024" s="378">
        <v>0</v>
      </c>
      <c r="I2024" s="378">
        <v>1047082</v>
      </c>
      <c r="J2024" s="384">
        <f t="shared" ref="J2024:J2087" si="37">+LEN(A2024)</f>
        <v>8</v>
      </c>
    </row>
    <row r="2025" spans="1:10" ht="15" customHeight="1" x14ac:dyDescent="0.25">
      <c r="A2025" s="380">
        <v>52053001</v>
      </c>
      <c r="B2025" s="381" t="s">
        <v>315</v>
      </c>
      <c r="C2025" s="381" t="s">
        <v>99</v>
      </c>
      <c r="D2025" s="381" t="s">
        <v>1078</v>
      </c>
      <c r="E2025" s="381" t="s">
        <v>1079</v>
      </c>
      <c r="F2025" s="378">
        <v>1233333</v>
      </c>
      <c r="G2025" s="378">
        <v>812500</v>
      </c>
      <c r="H2025" s="378">
        <v>0</v>
      </c>
      <c r="I2025" s="378">
        <v>2045833</v>
      </c>
      <c r="J2025" s="384">
        <f t="shared" si="37"/>
        <v>8</v>
      </c>
    </row>
    <row r="2026" spans="1:10" ht="15" customHeight="1" x14ac:dyDescent="0.25">
      <c r="A2026" s="380">
        <v>52053001</v>
      </c>
      <c r="B2026" s="381" t="s">
        <v>315</v>
      </c>
      <c r="C2026" s="381" t="s">
        <v>99</v>
      </c>
      <c r="D2026" s="381" t="s">
        <v>781</v>
      </c>
      <c r="E2026" s="381" t="s">
        <v>782</v>
      </c>
      <c r="F2026" s="378">
        <v>994903</v>
      </c>
      <c r="G2026" s="378">
        <v>198980</v>
      </c>
      <c r="H2026" s="378">
        <v>0</v>
      </c>
      <c r="I2026" s="378">
        <v>1193883</v>
      </c>
      <c r="J2026" s="384">
        <f t="shared" si="37"/>
        <v>8</v>
      </c>
    </row>
    <row r="2027" spans="1:10" ht="15" customHeight="1" x14ac:dyDescent="0.25">
      <c r="A2027" s="380">
        <v>52053001</v>
      </c>
      <c r="B2027" s="381" t="s">
        <v>315</v>
      </c>
      <c r="C2027" s="381" t="s">
        <v>99</v>
      </c>
      <c r="D2027" s="381" t="s">
        <v>728</v>
      </c>
      <c r="E2027" s="381" t="s">
        <v>729</v>
      </c>
      <c r="F2027" s="378">
        <v>989853</v>
      </c>
      <c r="G2027" s="378">
        <v>197970</v>
      </c>
      <c r="H2027" s="378">
        <v>0</v>
      </c>
      <c r="I2027" s="378">
        <v>1187823</v>
      </c>
      <c r="J2027" s="384">
        <f t="shared" si="37"/>
        <v>8</v>
      </c>
    </row>
    <row r="2028" spans="1:10" ht="15" customHeight="1" x14ac:dyDescent="0.25">
      <c r="A2028" s="380">
        <v>52053001</v>
      </c>
      <c r="B2028" s="381" t="s">
        <v>315</v>
      </c>
      <c r="C2028" s="381" t="s">
        <v>99</v>
      </c>
      <c r="D2028" s="381" t="s">
        <v>783</v>
      </c>
      <c r="E2028" s="381" t="s">
        <v>784</v>
      </c>
      <c r="F2028" s="378">
        <v>778184</v>
      </c>
      <c r="G2028" s="378">
        <v>161202</v>
      </c>
      <c r="H2028" s="378">
        <v>0</v>
      </c>
      <c r="I2028" s="378">
        <v>939386</v>
      </c>
      <c r="J2028" s="384">
        <f t="shared" si="37"/>
        <v>8</v>
      </c>
    </row>
    <row r="2029" spans="1:10" ht="15" customHeight="1" x14ac:dyDescent="0.25">
      <c r="A2029" s="380">
        <v>52053001</v>
      </c>
      <c r="B2029" s="381" t="s">
        <v>315</v>
      </c>
      <c r="C2029" s="381" t="s">
        <v>99</v>
      </c>
      <c r="D2029" s="381" t="s">
        <v>797</v>
      </c>
      <c r="E2029" s="381" t="s">
        <v>798</v>
      </c>
      <c r="F2029" s="378">
        <v>751279</v>
      </c>
      <c r="G2029" s="378">
        <v>142127</v>
      </c>
      <c r="H2029" s="378">
        <v>0</v>
      </c>
      <c r="I2029" s="378">
        <v>893406</v>
      </c>
      <c r="J2029" s="384">
        <f t="shared" si="37"/>
        <v>8</v>
      </c>
    </row>
    <row r="2030" spans="1:10" ht="15" customHeight="1" x14ac:dyDescent="0.25">
      <c r="A2030" s="380">
        <v>52053001</v>
      </c>
      <c r="B2030" s="381" t="s">
        <v>315</v>
      </c>
      <c r="C2030" s="381" t="s">
        <v>99</v>
      </c>
      <c r="D2030" s="381" t="s">
        <v>1221</v>
      </c>
      <c r="E2030" s="381" t="s">
        <v>1494</v>
      </c>
      <c r="F2030" s="378">
        <v>790427</v>
      </c>
      <c r="G2030" s="378">
        <v>0</v>
      </c>
      <c r="H2030" s="378">
        <v>0</v>
      </c>
      <c r="I2030" s="378">
        <v>790427</v>
      </c>
      <c r="J2030" s="384">
        <f t="shared" si="37"/>
        <v>8</v>
      </c>
    </row>
    <row r="2031" spans="1:10" ht="15" customHeight="1" x14ac:dyDescent="0.25">
      <c r="A2031" s="380">
        <v>52053001</v>
      </c>
      <c r="B2031" s="381" t="s">
        <v>315</v>
      </c>
      <c r="C2031" s="381" t="s">
        <v>99</v>
      </c>
      <c r="D2031" s="381" t="s">
        <v>1222</v>
      </c>
      <c r="E2031" s="381" t="s">
        <v>1223</v>
      </c>
      <c r="F2031" s="378">
        <v>141734</v>
      </c>
      <c r="G2031" s="378">
        <v>0</v>
      </c>
      <c r="H2031" s="378">
        <v>0</v>
      </c>
      <c r="I2031" s="378">
        <v>141734</v>
      </c>
      <c r="J2031" s="384">
        <f t="shared" si="37"/>
        <v>8</v>
      </c>
    </row>
    <row r="2032" spans="1:10" ht="15" customHeight="1" x14ac:dyDescent="0.25">
      <c r="A2032" s="380">
        <v>52053001</v>
      </c>
      <c r="B2032" s="381" t="s">
        <v>315</v>
      </c>
      <c r="C2032" s="381" t="s">
        <v>99</v>
      </c>
      <c r="D2032" s="381" t="s">
        <v>1198</v>
      </c>
      <c r="E2032" s="381" t="s">
        <v>1199</v>
      </c>
      <c r="F2032" s="378">
        <v>207171</v>
      </c>
      <c r="G2032" s="378">
        <v>147091</v>
      </c>
      <c r="H2032" s="378">
        <v>0</v>
      </c>
      <c r="I2032" s="378">
        <v>354262</v>
      </c>
      <c r="J2032" s="384">
        <f t="shared" si="37"/>
        <v>8</v>
      </c>
    </row>
    <row r="2033" spans="1:10" ht="15" customHeight="1" x14ac:dyDescent="0.25">
      <c r="A2033" s="380">
        <v>52053001</v>
      </c>
      <c r="B2033" s="381" t="s">
        <v>315</v>
      </c>
      <c r="C2033" s="381" t="s">
        <v>99</v>
      </c>
      <c r="D2033" s="381" t="s">
        <v>753</v>
      </c>
      <c r="E2033" s="381" t="s">
        <v>754</v>
      </c>
      <c r="F2033" s="378">
        <v>135292</v>
      </c>
      <c r="G2033" s="378">
        <v>0</v>
      </c>
      <c r="H2033" s="378">
        <v>0</v>
      </c>
      <c r="I2033" s="378">
        <v>135292</v>
      </c>
      <c r="J2033" s="384">
        <f t="shared" si="37"/>
        <v>8</v>
      </c>
    </row>
    <row r="2034" spans="1:10" ht="15" customHeight="1" x14ac:dyDescent="0.25">
      <c r="A2034" s="380">
        <v>52053001</v>
      </c>
      <c r="B2034" s="381" t="s">
        <v>315</v>
      </c>
      <c r="C2034" s="381" t="s">
        <v>99</v>
      </c>
      <c r="D2034" s="381" t="s">
        <v>1200</v>
      </c>
      <c r="E2034" s="381" t="s">
        <v>1201</v>
      </c>
      <c r="F2034" s="378">
        <v>756138</v>
      </c>
      <c r="G2034" s="378">
        <v>167422</v>
      </c>
      <c r="H2034" s="378">
        <v>0</v>
      </c>
      <c r="I2034" s="378">
        <v>923560</v>
      </c>
      <c r="J2034" s="384">
        <f t="shared" si="37"/>
        <v>8</v>
      </c>
    </row>
    <row r="2035" spans="1:10" ht="15" customHeight="1" x14ac:dyDescent="0.25">
      <c r="A2035" s="380">
        <v>52053001</v>
      </c>
      <c r="B2035" s="381" t="s">
        <v>315</v>
      </c>
      <c r="C2035" s="381" t="s">
        <v>99</v>
      </c>
      <c r="D2035" s="381" t="s">
        <v>786</v>
      </c>
      <c r="E2035" s="381" t="s">
        <v>787</v>
      </c>
      <c r="F2035" s="378">
        <v>1091560</v>
      </c>
      <c r="G2035" s="378">
        <v>223300</v>
      </c>
      <c r="H2035" s="378">
        <v>0</v>
      </c>
      <c r="I2035" s="378">
        <v>1314860</v>
      </c>
      <c r="J2035" s="384">
        <f t="shared" si="37"/>
        <v>8</v>
      </c>
    </row>
    <row r="2036" spans="1:10" ht="15" customHeight="1" x14ac:dyDescent="0.25">
      <c r="A2036" s="380">
        <v>52053001</v>
      </c>
      <c r="B2036" s="381" t="s">
        <v>315</v>
      </c>
      <c r="C2036" s="381" t="s">
        <v>99</v>
      </c>
      <c r="D2036" s="381" t="s">
        <v>1224</v>
      </c>
      <c r="E2036" s="381" t="s">
        <v>1225</v>
      </c>
      <c r="F2036" s="378">
        <v>843665</v>
      </c>
      <c r="G2036" s="378">
        <v>196889</v>
      </c>
      <c r="H2036" s="378">
        <v>0</v>
      </c>
      <c r="I2036" s="378">
        <v>1040554</v>
      </c>
      <c r="J2036" s="384">
        <f t="shared" si="37"/>
        <v>8</v>
      </c>
    </row>
    <row r="2037" spans="1:10" ht="15" customHeight="1" x14ac:dyDescent="0.25">
      <c r="A2037" s="380">
        <v>52053001</v>
      </c>
      <c r="B2037" s="381" t="s">
        <v>315</v>
      </c>
      <c r="C2037" s="381" t="s">
        <v>99</v>
      </c>
      <c r="D2037" s="381" t="s">
        <v>1226</v>
      </c>
      <c r="E2037" s="381" t="s">
        <v>1227</v>
      </c>
      <c r="F2037" s="378">
        <v>40303</v>
      </c>
      <c r="G2037" s="378">
        <v>0</v>
      </c>
      <c r="H2037" s="378">
        <v>0</v>
      </c>
      <c r="I2037" s="378">
        <v>40303</v>
      </c>
      <c r="J2037" s="384">
        <f t="shared" si="37"/>
        <v>8</v>
      </c>
    </row>
    <row r="2038" spans="1:10" ht="15" customHeight="1" x14ac:dyDescent="0.25">
      <c r="A2038" s="380">
        <v>52053001</v>
      </c>
      <c r="B2038" s="381" t="s">
        <v>315</v>
      </c>
      <c r="C2038" s="381" t="s">
        <v>99</v>
      </c>
      <c r="D2038" s="381" t="s">
        <v>1202</v>
      </c>
      <c r="E2038" s="381" t="s">
        <v>1203</v>
      </c>
      <c r="F2038" s="378">
        <v>162115</v>
      </c>
      <c r="G2038" s="378">
        <v>157819</v>
      </c>
      <c r="H2038" s="378">
        <v>0</v>
      </c>
      <c r="I2038" s="378">
        <v>319934</v>
      </c>
      <c r="J2038" s="384">
        <f t="shared" si="37"/>
        <v>8</v>
      </c>
    </row>
    <row r="2039" spans="1:10" ht="15" customHeight="1" x14ac:dyDescent="0.25">
      <c r="A2039" s="380">
        <v>52053001</v>
      </c>
      <c r="B2039" s="381" t="s">
        <v>315</v>
      </c>
      <c r="C2039" s="381" t="s">
        <v>99</v>
      </c>
      <c r="D2039" s="381" t="s">
        <v>1228</v>
      </c>
      <c r="E2039" s="381" t="s">
        <v>1229</v>
      </c>
      <c r="F2039" s="378">
        <v>167392</v>
      </c>
      <c r="G2039" s="378">
        <v>112570</v>
      </c>
      <c r="H2039" s="378">
        <v>0</v>
      </c>
      <c r="I2039" s="378">
        <v>279962</v>
      </c>
      <c r="J2039" s="384">
        <f t="shared" si="37"/>
        <v>8</v>
      </c>
    </row>
    <row r="2040" spans="1:10" ht="15" customHeight="1" x14ac:dyDescent="0.25">
      <c r="A2040" s="380">
        <v>52053001</v>
      </c>
      <c r="B2040" s="381" t="s">
        <v>315</v>
      </c>
      <c r="C2040" s="381" t="s">
        <v>99</v>
      </c>
      <c r="D2040" s="381" t="s">
        <v>1086</v>
      </c>
      <c r="E2040" s="381" t="s">
        <v>1087</v>
      </c>
      <c r="F2040" s="378">
        <v>787313</v>
      </c>
      <c r="G2040" s="378">
        <v>158448</v>
      </c>
      <c r="H2040" s="378">
        <v>0</v>
      </c>
      <c r="I2040" s="378">
        <v>945761</v>
      </c>
      <c r="J2040" s="384">
        <f t="shared" si="37"/>
        <v>8</v>
      </c>
    </row>
    <row r="2041" spans="1:10" ht="15" customHeight="1" x14ac:dyDescent="0.25">
      <c r="A2041" s="380">
        <v>52053001</v>
      </c>
      <c r="B2041" s="381" t="s">
        <v>315</v>
      </c>
      <c r="C2041" s="381" t="s">
        <v>99</v>
      </c>
      <c r="D2041" s="381" t="s">
        <v>404</v>
      </c>
      <c r="E2041" s="381" t="s">
        <v>1230</v>
      </c>
      <c r="F2041" s="378">
        <v>296944</v>
      </c>
      <c r="G2041" s="378">
        <v>147405</v>
      </c>
      <c r="H2041" s="378">
        <v>0</v>
      </c>
      <c r="I2041" s="378">
        <v>444349</v>
      </c>
      <c r="J2041" s="384">
        <f t="shared" si="37"/>
        <v>8</v>
      </c>
    </row>
    <row r="2042" spans="1:10" ht="15" customHeight="1" x14ac:dyDescent="0.25">
      <c r="A2042" s="380">
        <v>52053001</v>
      </c>
      <c r="B2042" s="381" t="s">
        <v>315</v>
      </c>
      <c r="C2042" s="381" t="s">
        <v>99</v>
      </c>
      <c r="D2042" s="381" t="s">
        <v>1204</v>
      </c>
      <c r="E2042" s="381" t="s">
        <v>1205</v>
      </c>
      <c r="F2042" s="378">
        <v>187312</v>
      </c>
      <c r="G2042" s="378">
        <v>145672</v>
      </c>
      <c r="H2042" s="378">
        <v>0</v>
      </c>
      <c r="I2042" s="378">
        <v>332984</v>
      </c>
      <c r="J2042" s="384">
        <f t="shared" si="37"/>
        <v>8</v>
      </c>
    </row>
    <row r="2043" spans="1:10" ht="15" customHeight="1" x14ac:dyDescent="0.25">
      <c r="A2043" s="380">
        <v>52053001</v>
      </c>
      <c r="B2043" s="381" t="s">
        <v>315</v>
      </c>
      <c r="C2043" s="381" t="s">
        <v>99</v>
      </c>
      <c r="D2043" s="381" t="s">
        <v>1231</v>
      </c>
      <c r="E2043" s="381" t="s">
        <v>1232</v>
      </c>
      <c r="F2043" s="378">
        <v>149099</v>
      </c>
      <c r="G2043" s="378">
        <v>0</v>
      </c>
      <c r="H2043" s="378">
        <v>0</v>
      </c>
      <c r="I2043" s="378">
        <v>149099</v>
      </c>
      <c r="J2043" s="384">
        <f t="shared" si="37"/>
        <v>8</v>
      </c>
    </row>
    <row r="2044" spans="1:10" ht="15" customHeight="1" x14ac:dyDescent="0.25">
      <c r="A2044" s="380">
        <v>52053001</v>
      </c>
      <c r="B2044" s="381" t="s">
        <v>315</v>
      </c>
      <c r="C2044" s="381" t="s">
        <v>99</v>
      </c>
      <c r="D2044" s="381" t="s">
        <v>788</v>
      </c>
      <c r="E2044" s="381" t="s">
        <v>789</v>
      </c>
      <c r="F2044" s="378">
        <v>1287638</v>
      </c>
      <c r="G2044" s="378">
        <v>255468</v>
      </c>
      <c r="H2044" s="378">
        <v>0</v>
      </c>
      <c r="I2044" s="378">
        <v>1543106</v>
      </c>
      <c r="J2044" s="384">
        <f t="shared" si="37"/>
        <v>8</v>
      </c>
    </row>
    <row r="2045" spans="1:10" ht="15" customHeight="1" x14ac:dyDescent="0.25">
      <c r="A2045" s="380">
        <v>52053001</v>
      </c>
      <c r="B2045" s="381" t="s">
        <v>315</v>
      </c>
      <c r="C2045" s="381" t="s">
        <v>99</v>
      </c>
      <c r="D2045" s="381" t="s">
        <v>1206</v>
      </c>
      <c r="E2045" s="381" t="s">
        <v>1207</v>
      </c>
      <c r="F2045" s="378">
        <v>673204</v>
      </c>
      <c r="G2045" s="378">
        <v>176557</v>
      </c>
      <c r="H2045" s="378">
        <v>0</v>
      </c>
      <c r="I2045" s="378">
        <v>849761</v>
      </c>
      <c r="J2045" s="384">
        <f t="shared" si="37"/>
        <v>8</v>
      </c>
    </row>
    <row r="2046" spans="1:10" ht="15" customHeight="1" x14ac:dyDescent="0.25">
      <c r="A2046" s="380">
        <v>52053001</v>
      </c>
      <c r="B2046" s="381" t="s">
        <v>315</v>
      </c>
      <c r="C2046" s="381" t="s">
        <v>99</v>
      </c>
      <c r="D2046" s="381" t="s">
        <v>1088</v>
      </c>
      <c r="E2046" s="381" t="s">
        <v>1089</v>
      </c>
      <c r="F2046" s="378">
        <v>414572</v>
      </c>
      <c r="G2046" s="378">
        <v>35822</v>
      </c>
      <c r="H2046" s="378">
        <v>0</v>
      </c>
      <c r="I2046" s="378">
        <v>450394</v>
      </c>
      <c r="J2046" s="384">
        <f t="shared" si="37"/>
        <v>8</v>
      </c>
    </row>
    <row r="2047" spans="1:10" ht="15" customHeight="1" x14ac:dyDescent="0.25">
      <c r="A2047" s="380">
        <v>52053001</v>
      </c>
      <c r="B2047" s="381" t="s">
        <v>315</v>
      </c>
      <c r="C2047" s="381" t="s">
        <v>99</v>
      </c>
      <c r="D2047" s="381" t="s">
        <v>776</v>
      </c>
      <c r="E2047" s="381" t="s">
        <v>777</v>
      </c>
      <c r="F2047" s="378">
        <v>937019</v>
      </c>
      <c r="G2047" s="378">
        <v>181327</v>
      </c>
      <c r="H2047" s="378">
        <v>0</v>
      </c>
      <c r="I2047" s="378">
        <v>1118346</v>
      </c>
      <c r="J2047" s="384">
        <f t="shared" si="37"/>
        <v>8</v>
      </c>
    </row>
    <row r="2048" spans="1:10" ht="15" customHeight="1" x14ac:dyDescent="0.25">
      <c r="A2048" s="380">
        <v>52053001</v>
      </c>
      <c r="B2048" s="381" t="s">
        <v>315</v>
      </c>
      <c r="C2048" s="381" t="s">
        <v>99</v>
      </c>
      <c r="D2048" s="381" t="s">
        <v>790</v>
      </c>
      <c r="E2048" s="381" t="s">
        <v>791</v>
      </c>
      <c r="F2048" s="378">
        <v>846200</v>
      </c>
      <c r="G2048" s="378">
        <v>190571</v>
      </c>
      <c r="H2048" s="378">
        <v>0</v>
      </c>
      <c r="I2048" s="378">
        <v>1036771</v>
      </c>
      <c r="J2048" s="384">
        <f t="shared" si="37"/>
        <v>8</v>
      </c>
    </row>
    <row r="2049" spans="1:10" ht="15" customHeight="1" x14ac:dyDescent="0.25">
      <c r="A2049" s="380">
        <v>52053001</v>
      </c>
      <c r="B2049" s="381" t="s">
        <v>315</v>
      </c>
      <c r="C2049" s="381" t="s">
        <v>99</v>
      </c>
      <c r="D2049" s="381" t="s">
        <v>1233</v>
      </c>
      <c r="E2049" s="381" t="s">
        <v>1234</v>
      </c>
      <c r="F2049" s="378">
        <v>556222</v>
      </c>
      <c r="G2049" s="378">
        <v>0</v>
      </c>
      <c r="H2049" s="378">
        <v>0</v>
      </c>
      <c r="I2049" s="378">
        <v>556222</v>
      </c>
      <c r="J2049" s="384">
        <f t="shared" si="37"/>
        <v>8</v>
      </c>
    </row>
    <row r="2050" spans="1:10" ht="15" customHeight="1" x14ac:dyDescent="0.25">
      <c r="A2050" s="380">
        <v>52053001</v>
      </c>
      <c r="B2050" s="381" t="s">
        <v>315</v>
      </c>
      <c r="C2050" s="381" t="s">
        <v>99</v>
      </c>
      <c r="D2050" s="381" t="s">
        <v>1235</v>
      </c>
      <c r="E2050" s="381" t="s">
        <v>1236</v>
      </c>
      <c r="F2050" s="378">
        <v>67646</v>
      </c>
      <c r="G2050" s="378">
        <v>0</v>
      </c>
      <c r="H2050" s="378">
        <v>0</v>
      </c>
      <c r="I2050" s="378">
        <v>67646</v>
      </c>
      <c r="J2050" s="384">
        <f t="shared" si="37"/>
        <v>8</v>
      </c>
    </row>
    <row r="2051" spans="1:10" ht="15" customHeight="1" x14ac:dyDescent="0.25">
      <c r="A2051" s="380">
        <v>52053001</v>
      </c>
      <c r="B2051" s="381" t="s">
        <v>315</v>
      </c>
      <c r="C2051" s="381" t="s">
        <v>99</v>
      </c>
      <c r="D2051" s="381" t="s">
        <v>1208</v>
      </c>
      <c r="E2051" s="381" t="s">
        <v>1209</v>
      </c>
      <c r="F2051" s="378">
        <v>845969</v>
      </c>
      <c r="G2051" s="378">
        <v>163362</v>
      </c>
      <c r="H2051" s="378">
        <v>0</v>
      </c>
      <c r="I2051" s="378">
        <v>1009331</v>
      </c>
      <c r="J2051" s="384">
        <f t="shared" si="37"/>
        <v>8</v>
      </c>
    </row>
    <row r="2052" spans="1:10" ht="15" customHeight="1" x14ac:dyDescent="0.25">
      <c r="A2052" s="380">
        <v>52053001</v>
      </c>
      <c r="B2052" s="381" t="s">
        <v>315</v>
      </c>
      <c r="C2052" s="381" t="s">
        <v>99</v>
      </c>
      <c r="D2052" s="381" t="s">
        <v>1237</v>
      </c>
      <c r="E2052" s="381" t="s">
        <v>1238</v>
      </c>
      <c r="F2052" s="378">
        <v>216116</v>
      </c>
      <c r="G2052" s="378">
        <v>181028</v>
      </c>
      <c r="H2052" s="378">
        <v>0</v>
      </c>
      <c r="I2052" s="378">
        <v>397144</v>
      </c>
      <c r="J2052" s="384">
        <f t="shared" si="37"/>
        <v>8</v>
      </c>
    </row>
    <row r="2053" spans="1:10" ht="15" customHeight="1" x14ac:dyDescent="0.25">
      <c r="A2053" s="380">
        <v>52053001</v>
      </c>
      <c r="B2053" s="381" t="s">
        <v>315</v>
      </c>
      <c r="C2053" s="381" t="s">
        <v>99</v>
      </c>
      <c r="D2053" s="381" t="s">
        <v>1239</v>
      </c>
      <c r="E2053" s="381" t="s">
        <v>1240</v>
      </c>
      <c r="F2053" s="378">
        <v>807398</v>
      </c>
      <c r="G2053" s="378">
        <v>0</v>
      </c>
      <c r="H2053" s="378">
        <v>0</v>
      </c>
      <c r="I2053" s="378">
        <v>807398</v>
      </c>
      <c r="J2053" s="384">
        <f t="shared" si="37"/>
        <v>8</v>
      </c>
    </row>
    <row r="2054" spans="1:10" ht="15" customHeight="1" x14ac:dyDescent="0.25">
      <c r="A2054" s="380">
        <v>52053001</v>
      </c>
      <c r="B2054" s="381" t="s">
        <v>315</v>
      </c>
      <c r="C2054" s="381" t="s">
        <v>99</v>
      </c>
      <c r="D2054" s="381" t="s">
        <v>1210</v>
      </c>
      <c r="E2054" s="381" t="s">
        <v>1211</v>
      </c>
      <c r="F2054" s="378">
        <v>764687</v>
      </c>
      <c r="G2054" s="378">
        <v>143160</v>
      </c>
      <c r="H2054" s="378">
        <v>0</v>
      </c>
      <c r="I2054" s="378">
        <v>907847</v>
      </c>
      <c r="J2054" s="384">
        <f t="shared" si="37"/>
        <v>8</v>
      </c>
    </row>
    <row r="2055" spans="1:10" ht="15" customHeight="1" x14ac:dyDescent="0.25">
      <c r="A2055" s="380">
        <v>52053001</v>
      </c>
      <c r="B2055" s="381" t="s">
        <v>315</v>
      </c>
      <c r="C2055" s="381" t="s">
        <v>99</v>
      </c>
      <c r="D2055" s="381" t="s">
        <v>1090</v>
      </c>
      <c r="E2055" s="381" t="s">
        <v>1091</v>
      </c>
      <c r="F2055" s="378">
        <v>589246</v>
      </c>
      <c r="G2055" s="378">
        <v>222910</v>
      </c>
      <c r="H2055" s="378">
        <v>0</v>
      </c>
      <c r="I2055" s="378">
        <v>812156</v>
      </c>
      <c r="J2055" s="384">
        <f t="shared" si="37"/>
        <v>8</v>
      </c>
    </row>
    <row r="2056" spans="1:10" ht="15" customHeight="1" x14ac:dyDescent="0.25">
      <c r="A2056" s="380">
        <v>52053001</v>
      </c>
      <c r="B2056" s="381" t="s">
        <v>315</v>
      </c>
      <c r="C2056" s="381" t="s">
        <v>99</v>
      </c>
      <c r="D2056" s="381" t="s">
        <v>1241</v>
      </c>
      <c r="E2056" s="381" t="s">
        <v>1242</v>
      </c>
      <c r="F2056" s="378">
        <v>310235</v>
      </c>
      <c r="G2056" s="378">
        <v>153277</v>
      </c>
      <c r="H2056" s="378">
        <v>0</v>
      </c>
      <c r="I2056" s="378">
        <v>463512</v>
      </c>
      <c r="J2056" s="384">
        <f t="shared" si="37"/>
        <v>8</v>
      </c>
    </row>
    <row r="2057" spans="1:10" ht="15" customHeight="1" x14ac:dyDescent="0.25">
      <c r="A2057" s="380">
        <v>52053001</v>
      </c>
      <c r="B2057" s="381" t="s">
        <v>315</v>
      </c>
      <c r="C2057" s="381" t="s">
        <v>99</v>
      </c>
      <c r="D2057" s="381" t="s">
        <v>792</v>
      </c>
      <c r="E2057" s="381" t="s">
        <v>793</v>
      </c>
      <c r="F2057" s="378">
        <v>915987</v>
      </c>
      <c r="G2057" s="378">
        <v>198830</v>
      </c>
      <c r="H2057" s="378">
        <v>0</v>
      </c>
      <c r="I2057" s="378">
        <v>1114817</v>
      </c>
      <c r="J2057" s="384">
        <f t="shared" si="37"/>
        <v>8</v>
      </c>
    </row>
    <row r="2058" spans="1:10" ht="15" customHeight="1" x14ac:dyDescent="0.25">
      <c r="A2058" s="380">
        <v>52053001</v>
      </c>
      <c r="B2058" s="381" t="s">
        <v>315</v>
      </c>
      <c r="C2058" s="381" t="s">
        <v>99</v>
      </c>
      <c r="D2058" s="381" t="s">
        <v>794</v>
      </c>
      <c r="E2058" s="381" t="s">
        <v>795</v>
      </c>
      <c r="F2058" s="378">
        <v>790430</v>
      </c>
      <c r="G2058" s="378">
        <v>320374</v>
      </c>
      <c r="H2058" s="378">
        <v>0</v>
      </c>
      <c r="I2058" s="378">
        <v>1110804</v>
      </c>
      <c r="J2058" s="384">
        <f t="shared" si="37"/>
        <v>8</v>
      </c>
    </row>
    <row r="2059" spans="1:10" ht="15" customHeight="1" x14ac:dyDescent="0.25">
      <c r="A2059" s="380">
        <v>52053001</v>
      </c>
      <c r="B2059" s="381" t="s">
        <v>315</v>
      </c>
      <c r="C2059" s="381" t="s">
        <v>99</v>
      </c>
      <c r="D2059" s="381" t="s">
        <v>1212</v>
      </c>
      <c r="E2059" s="381" t="s">
        <v>1213</v>
      </c>
      <c r="F2059" s="378">
        <v>0</v>
      </c>
      <c r="G2059" s="378">
        <v>99214</v>
      </c>
      <c r="H2059" s="378">
        <v>0</v>
      </c>
      <c r="I2059" s="378">
        <v>99214</v>
      </c>
      <c r="J2059" s="384">
        <f t="shared" si="37"/>
        <v>8</v>
      </c>
    </row>
    <row r="2060" spans="1:10" ht="15" customHeight="1" x14ac:dyDescent="0.25">
      <c r="A2060" s="380">
        <v>52053001</v>
      </c>
      <c r="B2060" s="381" t="s">
        <v>315</v>
      </c>
      <c r="C2060" s="381" t="s">
        <v>99</v>
      </c>
      <c r="D2060" s="381" t="s">
        <v>1092</v>
      </c>
      <c r="E2060" s="381" t="s">
        <v>1093</v>
      </c>
      <c r="F2060" s="378">
        <v>941083</v>
      </c>
      <c r="G2060" s="378">
        <v>12551</v>
      </c>
      <c r="H2060" s="378">
        <v>0</v>
      </c>
      <c r="I2060" s="378">
        <v>953634</v>
      </c>
      <c r="J2060" s="384">
        <f t="shared" si="37"/>
        <v>8</v>
      </c>
    </row>
    <row r="2061" spans="1:10" ht="15" customHeight="1" x14ac:dyDescent="0.25">
      <c r="A2061" s="380">
        <v>52053001</v>
      </c>
      <c r="B2061" s="381" t="s">
        <v>315</v>
      </c>
      <c r="C2061" s="381" t="s">
        <v>99</v>
      </c>
      <c r="D2061" s="381" t="s">
        <v>1243</v>
      </c>
      <c r="E2061" s="381" t="s">
        <v>1244</v>
      </c>
      <c r="F2061" s="378">
        <v>420298</v>
      </c>
      <c r="G2061" s="378">
        <v>0</v>
      </c>
      <c r="H2061" s="378">
        <v>0</v>
      </c>
      <c r="I2061" s="378">
        <v>420298</v>
      </c>
      <c r="J2061" s="384">
        <f t="shared" si="37"/>
        <v>8</v>
      </c>
    </row>
    <row r="2062" spans="1:10" ht="15" customHeight="1" x14ac:dyDescent="0.25">
      <c r="A2062" s="380">
        <v>52053001</v>
      </c>
      <c r="B2062" s="381" t="s">
        <v>315</v>
      </c>
      <c r="C2062" s="381" t="s">
        <v>99</v>
      </c>
      <c r="D2062" s="381" t="s">
        <v>1214</v>
      </c>
      <c r="E2062" s="381" t="s">
        <v>1489</v>
      </c>
      <c r="F2062" s="378">
        <v>994903</v>
      </c>
      <c r="G2062" s="378">
        <v>198980</v>
      </c>
      <c r="H2062" s="378">
        <v>0</v>
      </c>
      <c r="I2062" s="378">
        <v>1193883</v>
      </c>
      <c r="J2062" s="384">
        <f t="shared" si="37"/>
        <v>8</v>
      </c>
    </row>
    <row r="2063" spans="1:10" ht="15" customHeight="1" x14ac:dyDescent="0.25">
      <c r="A2063" s="380">
        <v>52053001</v>
      </c>
      <c r="B2063" s="381" t="s">
        <v>315</v>
      </c>
      <c r="C2063" s="381" t="s">
        <v>99</v>
      </c>
      <c r="D2063" s="381" t="s">
        <v>1094</v>
      </c>
      <c r="E2063" s="381" t="s">
        <v>1095</v>
      </c>
      <c r="F2063" s="378">
        <v>750743</v>
      </c>
      <c r="G2063" s="378">
        <v>151123</v>
      </c>
      <c r="H2063" s="378">
        <v>0</v>
      </c>
      <c r="I2063" s="378">
        <v>901866</v>
      </c>
      <c r="J2063" s="384">
        <f t="shared" si="37"/>
        <v>8</v>
      </c>
    </row>
    <row r="2064" spans="1:10" ht="15" customHeight="1" x14ac:dyDescent="0.25">
      <c r="A2064" s="380">
        <v>520533</v>
      </c>
      <c r="B2064" s="381" t="s">
        <v>315</v>
      </c>
      <c r="C2064" s="381" t="s">
        <v>451</v>
      </c>
      <c r="D2064" s="381" t="s">
        <v>315</v>
      </c>
      <c r="E2064" s="381" t="s">
        <v>315</v>
      </c>
      <c r="F2064" s="378">
        <v>1293444</v>
      </c>
      <c r="G2064" s="378">
        <v>599222</v>
      </c>
      <c r="H2064" s="378">
        <v>0</v>
      </c>
      <c r="I2064" s="378">
        <v>1892666</v>
      </c>
      <c r="J2064" s="384">
        <f t="shared" si="37"/>
        <v>6</v>
      </c>
    </row>
    <row r="2065" spans="1:10" ht="15" customHeight="1" x14ac:dyDescent="0.25">
      <c r="A2065" s="380">
        <v>52053301</v>
      </c>
      <c r="B2065" s="381" t="s">
        <v>315</v>
      </c>
      <c r="C2065" s="381" t="s">
        <v>451</v>
      </c>
      <c r="D2065" s="381" t="s">
        <v>315</v>
      </c>
      <c r="E2065" s="381" t="s">
        <v>315</v>
      </c>
      <c r="F2065" s="378">
        <v>1293444</v>
      </c>
      <c r="G2065" s="378">
        <v>599222</v>
      </c>
      <c r="H2065" s="378">
        <v>0</v>
      </c>
      <c r="I2065" s="378">
        <v>1892666</v>
      </c>
      <c r="J2065" s="384">
        <f t="shared" si="37"/>
        <v>8</v>
      </c>
    </row>
    <row r="2066" spans="1:10" ht="15" customHeight="1" x14ac:dyDescent="0.25">
      <c r="A2066" s="380">
        <v>52053301</v>
      </c>
      <c r="B2066" s="381" t="s">
        <v>315</v>
      </c>
      <c r="C2066" s="381" t="s">
        <v>451</v>
      </c>
      <c r="D2066" s="381" t="s">
        <v>1194</v>
      </c>
      <c r="E2066" s="381" t="s">
        <v>1195</v>
      </c>
      <c r="F2066" s="378">
        <v>43375</v>
      </c>
      <c r="G2066" s="378">
        <v>19396</v>
      </c>
      <c r="H2066" s="378">
        <v>0</v>
      </c>
      <c r="I2066" s="378">
        <v>62771</v>
      </c>
      <c r="J2066" s="384">
        <f t="shared" si="37"/>
        <v>8</v>
      </c>
    </row>
    <row r="2067" spans="1:10" ht="15" customHeight="1" x14ac:dyDescent="0.25">
      <c r="A2067" s="380">
        <v>52053301</v>
      </c>
      <c r="B2067" s="381" t="s">
        <v>315</v>
      </c>
      <c r="C2067" s="381" t="s">
        <v>451</v>
      </c>
      <c r="D2067" s="381" t="s">
        <v>779</v>
      </c>
      <c r="E2067" s="381" t="s">
        <v>780</v>
      </c>
      <c r="F2067" s="378">
        <v>17216</v>
      </c>
      <c r="G2067" s="378">
        <v>22009</v>
      </c>
      <c r="H2067" s="378">
        <v>0</v>
      </c>
      <c r="I2067" s="378">
        <v>39225</v>
      </c>
      <c r="J2067" s="384">
        <f t="shared" si="37"/>
        <v>8</v>
      </c>
    </row>
    <row r="2068" spans="1:10" ht="15" customHeight="1" x14ac:dyDescent="0.25">
      <c r="A2068" s="380">
        <v>52053301</v>
      </c>
      <c r="B2068" s="381" t="s">
        <v>315</v>
      </c>
      <c r="C2068" s="381" t="s">
        <v>451</v>
      </c>
      <c r="D2068" s="381" t="s">
        <v>1219</v>
      </c>
      <c r="E2068" s="381" t="s">
        <v>1220</v>
      </c>
      <c r="F2068" s="378">
        <v>494</v>
      </c>
      <c r="G2068" s="378">
        <v>0</v>
      </c>
      <c r="H2068" s="378">
        <v>0</v>
      </c>
      <c r="I2068" s="378">
        <v>494</v>
      </c>
      <c r="J2068" s="384">
        <f t="shared" si="37"/>
        <v>8</v>
      </c>
    </row>
    <row r="2069" spans="1:10" ht="15" customHeight="1" x14ac:dyDescent="0.25">
      <c r="A2069" s="380">
        <v>52053301</v>
      </c>
      <c r="B2069" s="381" t="s">
        <v>315</v>
      </c>
      <c r="C2069" s="381" t="s">
        <v>451</v>
      </c>
      <c r="D2069" s="381" t="s">
        <v>774</v>
      </c>
      <c r="E2069" s="381" t="s">
        <v>775</v>
      </c>
      <c r="F2069" s="378">
        <v>38319</v>
      </c>
      <c r="G2069" s="378">
        <v>15874</v>
      </c>
      <c r="H2069" s="378">
        <v>0</v>
      </c>
      <c r="I2069" s="378">
        <v>54193</v>
      </c>
      <c r="J2069" s="384">
        <f t="shared" si="37"/>
        <v>8</v>
      </c>
    </row>
    <row r="2070" spans="1:10" ht="15" customHeight="1" x14ac:dyDescent="0.25">
      <c r="A2070" s="380">
        <v>52053301</v>
      </c>
      <c r="B2070" s="381" t="s">
        <v>315</v>
      </c>
      <c r="C2070" s="381" t="s">
        <v>451</v>
      </c>
      <c r="D2070" s="381" t="s">
        <v>1196</v>
      </c>
      <c r="E2070" s="381" t="s">
        <v>1197</v>
      </c>
      <c r="F2070" s="378">
        <v>44041</v>
      </c>
      <c r="G2070" s="378">
        <v>18784</v>
      </c>
      <c r="H2070" s="378">
        <v>0</v>
      </c>
      <c r="I2070" s="378">
        <v>62825</v>
      </c>
      <c r="J2070" s="384">
        <f t="shared" si="37"/>
        <v>8</v>
      </c>
    </row>
    <row r="2071" spans="1:10" ht="15" customHeight="1" x14ac:dyDescent="0.25">
      <c r="A2071" s="380">
        <v>52053301</v>
      </c>
      <c r="B2071" s="381" t="s">
        <v>315</v>
      </c>
      <c r="C2071" s="381" t="s">
        <v>451</v>
      </c>
      <c r="D2071" s="381" t="s">
        <v>1078</v>
      </c>
      <c r="E2071" s="381" t="s">
        <v>1079</v>
      </c>
      <c r="F2071" s="378">
        <v>45633</v>
      </c>
      <c r="G2071" s="378">
        <v>50521</v>
      </c>
      <c r="H2071" s="378">
        <v>0</v>
      </c>
      <c r="I2071" s="378">
        <v>96154</v>
      </c>
      <c r="J2071" s="384">
        <f t="shared" si="37"/>
        <v>8</v>
      </c>
    </row>
    <row r="2072" spans="1:10" ht="15" customHeight="1" x14ac:dyDescent="0.25">
      <c r="A2072" s="380">
        <v>52053301</v>
      </c>
      <c r="B2072" s="381" t="s">
        <v>315</v>
      </c>
      <c r="C2072" s="381" t="s">
        <v>451</v>
      </c>
      <c r="D2072" s="381" t="s">
        <v>781</v>
      </c>
      <c r="E2072" s="381" t="s">
        <v>782</v>
      </c>
      <c r="F2072" s="378">
        <v>49745</v>
      </c>
      <c r="G2072" s="378">
        <v>21888</v>
      </c>
      <c r="H2072" s="378">
        <v>0</v>
      </c>
      <c r="I2072" s="378">
        <v>71633</v>
      </c>
      <c r="J2072" s="384">
        <f t="shared" si="37"/>
        <v>8</v>
      </c>
    </row>
    <row r="2073" spans="1:10" ht="15" customHeight="1" x14ac:dyDescent="0.25">
      <c r="A2073" s="380">
        <v>52053301</v>
      </c>
      <c r="B2073" s="381" t="s">
        <v>315</v>
      </c>
      <c r="C2073" s="381" t="s">
        <v>451</v>
      </c>
      <c r="D2073" s="381" t="s">
        <v>728</v>
      </c>
      <c r="E2073" s="381" t="s">
        <v>729</v>
      </c>
      <c r="F2073" s="378">
        <v>49493</v>
      </c>
      <c r="G2073" s="378">
        <v>21776</v>
      </c>
      <c r="H2073" s="378">
        <v>0</v>
      </c>
      <c r="I2073" s="378">
        <v>71269</v>
      </c>
      <c r="J2073" s="384">
        <f t="shared" si="37"/>
        <v>8</v>
      </c>
    </row>
    <row r="2074" spans="1:10" ht="15" customHeight="1" x14ac:dyDescent="0.25">
      <c r="A2074" s="380">
        <v>52053301</v>
      </c>
      <c r="B2074" s="381" t="s">
        <v>315</v>
      </c>
      <c r="C2074" s="381" t="s">
        <v>451</v>
      </c>
      <c r="D2074" s="381" t="s">
        <v>783</v>
      </c>
      <c r="E2074" s="381" t="s">
        <v>784</v>
      </c>
      <c r="F2074" s="378">
        <v>38909</v>
      </c>
      <c r="G2074" s="378">
        <v>17454</v>
      </c>
      <c r="H2074" s="378">
        <v>0</v>
      </c>
      <c r="I2074" s="378">
        <v>56363</v>
      </c>
      <c r="J2074" s="384">
        <f t="shared" si="37"/>
        <v>8</v>
      </c>
    </row>
    <row r="2075" spans="1:10" ht="15" customHeight="1" x14ac:dyDescent="0.25">
      <c r="A2075" s="380">
        <v>52053301</v>
      </c>
      <c r="B2075" s="381" t="s">
        <v>315</v>
      </c>
      <c r="C2075" s="381" t="s">
        <v>451</v>
      </c>
      <c r="D2075" s="381" t="s">
        <v>797</v>
      </c>
      <c r="E2075" s="381" t="s">
        <v>798</v>
      </c>
      <c r="F2075" s="378">
        <v>37564</v>
      </c>
      <c r="G2075" s="378">
        <v>16040</v>
      </c>
      <c r="H2075" s="378">
        <v>0</v>
      </c>
      <c r="I2075" s="378">
        <v>53604</v>
      </c>
      <c r="J2075" s="384">
        <f t="shared" si="37"/>
        <v>8</v>
      </c>
    </row>
    <row r="2076" spans="1:10" ht="15" customHeight="1" x14ac:dyDescent="0.25">
      <c r="A2076" s="380">
        <v>52053301</v>
      </c>
      <c r="B2076" s="381" t="s">
        <v>315</v>
      </c>
      <c r="C2076" s="381" t="s">
        <v>451</v>
      </c>
      <c r="D2076" s="381" t="s">
        <v>1221</v>
      </c>
      <c r="E2076" s="381" t="s">
        <v>1494</v>
      </c>
      <c r="F2076" s="378">
        <v>35569</v>
      </c>
      <c r="G2076" s="378">
        <v>0</v>
      </c>
      <c r="H2076" s="378">
        <v>0</v>
      </c>
      <c r="I2076" s="378">
        <v>35569</v>
      </c>
      <c r="J2076" s="384">
        <f t="shared" si="37"/>
        <v>8</v>
      </c>
    </row>
    <row r="2077" spans="1:10" ht="15" customHeight="1" x14ac:dyDescent="0.25">
      <c r="A2077" s="380">
        <v>52053301</v>
      </c>
      <c r="B2077" s="381" t="s">
        <v>315</v>
      </c>
      <c r="C2077" s="381" t="s">
        <v>451</v>
      </c>
      <c r="D2077" s="381" t="s">
        <v>1222</v>
      </c>
      <c r="E2077" s="381" t="s">
        <v>1223</v>
      </c>
      <c r="F2077" s="378">
        <v>1465</v>
      </c>
      <c r="G2077" s="378">
        <v>0</v>
      </c>
      <c r="H2077" s="378">
        <v>0</v>
      </c>
      <c r="I2077" s="378">
        <v>1465</v>
      </c>
      <c r="J2077" s="384">
        <f t="shared" si="37"/>
        <v>8</v>
      </c>
    </row>
    <row r="2078" spans="1:10" ht="15" customHeight="1" x14ac:dyDescent="0.25">
      <c r="A2078" s="380">
        <v>52053301</v>
      </c>
      <c r="B2078" s="381" t="s">
        <v>315</v>
      </c>
      <c r="C2078" s="381" t="s">
        <v>451</v>
      </c>
      <c r="D2078" s="381" t="s">
        <v>1198</v>
      </c>
      <c r="E2078" s="381" t="s">
        <v>1199</v>
      </c>
      <c r="F2078" s="378">
        <v>2762</v>
      </c>
      <c r="G2078" s="378">
        <v>5504</v>
      </c>
      <c r="H2078" s="378">
        <v>0</v>
      </c>
      <c r="I2078" s="378">
        <v>8266</v>
      </c>
      <c r="J2078" s="384">
        <f t="shared" si="37"/>
        <v>8</v>
      </c>
    </row>
    <row r="2079" spans="1:10" ht="15" customHeight="1" x14ac:dyDescent="0.25">
      <c r="A2079" s="380">
        <v>52053301</v>
      </c>
      <c r="B2079" s="381" t="s">
        <v>315</v>
      </c>
      <c r="C2079" s="381" t="s">
        <v>451</v>
      </c>
      <c r="D2079" s="381" t="s">
        <v>753</v>
      </c>
      <c r="E2079" s="381" t="s">
        <v>754</v>
      </c>
      <c r="F2079" s="378">
        <v>1353</v>
      </c>
      <c r="G2079" s="378">
        <v>0</v>
      </c>
      <c r="H2079" s="378">
        <v>0</v>
      </c>
      <c r="I2079" s="378">
        <v>1353</v>
      </c>
      <c r="J2079" s="384">
        <f t="shared" si="37"/>
        <v>8</v>
      </c>
    </row>
    <row r="2080" spans="1:10" ht="15" customHeight="1" x14ac:dyDescent="0.25">
      <c r="A2080" s="380">
        <v>52053301</v>
      </c>
      <c r="B2080" s="381" t="s">
        <v>315</v>
      </c>
      <c r="C2080" s="381" t="s">
        <v>451</v>
      </c>
      <c r="D2080" s="381" t="s">
        <v>1200</v>
      </c>
      <c r="E2080" s="381" t="s">
        <v>1201</v>
      </c>
      <c r="F2080" s="378">
        <v>37807</v>
      </c>
      <c r="G2080" s="378">
        <v>17607</v>
      </c>
      <c r="H2080" s="378">
        <v>0</v>
      </c>
      <c r="I2080" s="378">
        <v>55414</v>
      </c>
      <c r="J2080" s="384">
        <f t="shared" si="37"/>
        <v>8</v>
      </c>
    </row>
    <row r="2081" spans="1:10" ht="15" customHeight="1" x14ac:dyDescent="0.25">
      <c r="A2081" s="380">
        <v>52053301</v>
      </c>
      <c r="B2081" s="381" t="s">
        <v>315</v>
      </c>
      <c r="C2081" s="381" t="s">
        <v>451</v>
      </c>
      <c r="D2081" s="381" t="s">
        <v>786</v>
      </c>
      <c r="E2081" s="381" t="s">
        <v>787</v>
      </c>
      <c r="F2081" s="378">
        <v>54578</v>
      </c>
      <c r="G2081" s="378">
        <v>24314</v>
      </c>
      <c r="H2081" s="378">
        <v>0</v>
      </c>
      <c r="I2081" s="378">
        <v>78892</v>
      </c>
      <c r="J2081" s="384">
        <f t="shared" si="37"/>
        <v>8</v>
      </c>
    </row>
    <row r="2082" spans="1:10" ht="15" customHeight="1" x14ac:dyDescent="0.25">
      <c r="A2082" s="380">
        <v>52053301</v>
      </c>
      <c r="B2082" s="381" t="s">
        <v>315</v>
      </c>
      <c r="C2082" s="381" t="s">
        <v>451</v>
      </c>
      <c r="D2082" s="381" t="s">
        <v>1224</v>
      </c>
      <c r="E2082" s="381" t="s">
        <v>1225</v>
      </c>
      <c r="F2082" s="378">
        <v>42183</v>
      </c>
      <c r="G2082" s="378">
        <v>20250</v>
      </c>
      <c r="H2082" s="378">
        <v>0</v>
      </c>
      <c r="I2082" s="378">
        <v>62433</v>
      </c>
      <c r="J2082" s="384">
        <f t="shared" si="37"/>
        <v>8</v>
      </c>
    </row>
    <row r="2083" spans="1:10" ht="15" customHeight="1" x14ac:dyDescent="0.25">
      <c r="A2083" s="380">
        <v>52053301</v>
      </c>
      <c r="B2083" s="381" t="s">
        <v>315</v>
      </c>
      <c r="C2083" s="381" t="s">
        <v>451</v>
      </c>
      <c r="D2083" s="381" t="s">
        <v>1226</v>
      </c>
      <c r="E2083" s="381" t="s">
        <v>1227</v>
      </c>
      <c r="F2083" s="378">
        <v>54</v>
      </c>
      <c r="G2083" s="378">
        <v>0</v>
      </c>
      <c r="H2083" s="378">
        <v>0</v>
      </c>
      <c r="I2083" s="378">
        <v>54</v>
      </c>
      <c r="J2083" s="384">
        <f t="shared" si="37"/>
        <v>8</v>
      </c>
    </row>
    <row r="2084" spans="1:10" ht="15" customHeight="1" x14ac:dyDescent="0.25">
      <c r="A2084" s="380">
        <v>52053301</v>
      </c>
      <c r="B2084" s="381" t="s">
        <v>315</v>
      </c>
      <c r="C2084" s="381" t="s">
        <v>451</v>
      </c>
      <c r="D2084" s="381" t="s">
        <v>1202</v>
      </c>
      <c r="E2084" s="381" t="s">
        <v>1203</v>
      </c>
      <c r="F2084" s="378">
        <v>14637</v>
      </c>
      <c r="G2084" s="378">
        <v>17622</v>
      </c>
      <c r="H2084" s="378">
        <v>0</v>
      </c>
      <c r="I2084" s="378">
        <v>32259</v>
      </c>
      <c r="J2084" s="384">
        <f t="shared" si="37"/>
        <v>8</v>
      </c>
    </row>
    <row r="2085" spans="1:10" ht="15" customHeight="1" x14ac:dyDescent="0.25">
      <c r="A2085" s="380">
        <v>52053301</v>
      </c>
      <c r="B2085" s="381" t="s">
        <v>315</v>
      </c>
      <c r="C2085" s="381" t="s">
        <v>451</v>
      </c>
      <c r="D2085" s="381" t="s">
        <v>1228</v>
      </c>
      <c r="E2085" s="381" t="s">
        <v>1229</v>
      </c>
      <c r="F2085" s="378">
        <v>15094</v>
      </c>
      <c r="G2085" s="378">
        <v>11027</v>
      </c>
      <c r="H2085" s="378">
        <v>0</v>
      </c>
      <c r="I2085" s="378">
        <v>26121</v>
      </c>
      <c r="J2085" s="384">
        <f t="shared" si="37"/>
        <v>8</v>
      </c>
    </row>
    <row r="2086" spans="1:10" ht="15" customHeight="1" x14ac:dyDescent="0.25">
      <c r="A2086" s="380">
        <v>52053301</v>
      </c>
      <c r="B2086" s="381" t="s">
        <v>315</v>
      </c>
      <c r="C2086" s="381" t="s">
        <v>451</v>
      </c>
      <c r="D2086" s="381" t="s">
        <v>1086</v>
      </c>
      <c r="E2086" s="381" t="s">
        <v>1087</v>
      </c>
      <c r="F2086" s="378">
        <v>39366</v>
      </c>
      <c r="G2086" s="378">
        <v>17380</v>
      </c>
      <c r="H2086" s="378">
        <v>0</v>
      </c>
      <c r="I2086" s="378">
        <v>56746</v>
      </c>
      <c r="J2086" s="384">
        <f t="shared" si="37"/>
        <v>8</v>
      </c>
    </row>
    <row r="2087" spans="1:10" ht="15" customHeight="1" x14ac:dyDescent="0.25">
      <c r="A2087" s="380">
        <v>52053301</v>
      </c>
      <c r="B2087" s="381" t="s">
        <v>315</v>
      </c>
      <c r="C2087" s="381" t="s">
        <v>451</v>
      </c>
      <c r="D2087" s="381" t="s">
        <v>404</v>
      </c>
      <c r="E2087" s="381" t="s">
        <v>1230</v>
      </c>
      <c r="F2087" s="378">
        <v>23677</v>
      </c>
      <c r="G2087" s="378">
        <v>16228</v>
      </c>
      <c r="H2087" s="378">
        <v>0</v>
      </c>
      <c r="I2087" s="378">
        <v>39905</v>
      </c>
      <c r="J2087" s="384">
        <f t="shared" si="37"/>
        <v>8</v>
      </c>
    </row>
    <row r="2088" spans="1:10" ht="15" customHeight="1" x14ac:dyDescent="0.25">
      <c r="A2088" s="380">
        <v>52053301</v>
      </c>
      <c r="B2088" s="381" t="s">
        <v>315</v>
      </c>
      <c r="C2088" s="381" t="s">
        <v>451</v>
      </c>
      <c r="D2088" s="381" t="s">
        <v>1204</v>
      </c>
      <c r="E2088" s="381" t="s">
        <v>1205</v>
      </c>
      <c r="F2088" s="378">
        <v>2497</v>
      </c>
      <c r="G2088" s="378">
        <v>5273</v>
      </c>
      <c r="H2088" s="378">
        <v>0</v>
      </c>
      <c r="I2088" s="378">
        <v>7770</v>
      </c>
      <c r="J2088" s="384">
        <f t="shared" ref="J2088:J2151" si="38">+LEN(A2088)</f>
        <v>8</v>
      </c>
    </row>
    <row r="2089" spans="1:10" ht="15" customHeight="1" x14ac:dyDescent="0.25">
      <c r="A2089" s="380">
        <v>52053301</v>
      </c>
      <c r="B2089" s="381" t="s">
        <v>315</v>
      </c>
      <c r="C2089" s="381" t="s">
        <v>451</v>
      </c>
      <c r="D2089" s="381" t="s">
        <v>1231</v>
      </c>
      <c r="E2089" s="381" t="s">
        <v>1232</v>
      </c>
      <c r="F2089" s="378">
        <v>1093</v>
      </c>
      <c r="G2089" s="378">
        <v>0</v>
      </c>
      <c r="H2089" s="378">
        <v>0</v>
      </c>
      <c r="I2089" s="378">
        <v>1093</v>
      </c>
      <c r="J2089" s="384">
        <f t="shared" si="38"/>
        <v>8</v>
      </c>
    </row>
    <row r="2090" spans="1:10" ht="15" customHeight="1" x14ac:dyDescent="0.25">
      <c r="A2090" s="380">
        <v>52053301</v>
      </c>
      <c r="B2090" s="381" t="s">
        <v>315</v>
      </c>
      <c r="C2090" s="381" t="s">
        <v>451</v>
      </c>
      <c r="D2090" s="381" t="s">
        <v>788</v>
      </c>
      <c r="E2090" s="381" t="s">
        <v>789</v>
      </c>
      <c r="F2090" s="378">
        <v>64382</v>
      </c>
      <c r="G2090" s="378">
        <v>28204</v>
      </c>
      <c r="H2090" s="378">
        <v>0</v>
      </c>
      <c r="I2090" s="378">
        <v>92586</v>
      </c>
      <c r="J2090" s="384">
        <f t="shared" si="38"/>
        <v>8</v>
      </c>
    </row>
    <row r="2091" spans="1:10" ht="15" customHeight="1" x14ac:dyDescent="0.25">
      <c r="A2091" s="380">
        <v>52053301</v>
      </c>
      <c r="B2091" s="381" t="s">
        <v>315</v>
      </c>
      <c r="C2091" s="381" t="s">
        <v>451</v>
      </c>
      <c r="D2091" s="381" t="s">
        <v>1206</v>
      </c>
      <c r="E2091" s="381" t="s">
        <v>1207</v>
      </c>
      <c r="F2091" s="378">
        <v>39787</v>
      </c>
      <c r="G2091" s="378">
        <v>18857</v>
      </c>
      <c r="H2091" s="378">
        <v>0</v>
      </c>
      <c r="I2091" s="378">
        <v>58644</v>
      </c>
      <c r="J2091" s="384">
        <f t="shared" si="38"/>
        <v>8</v>
      </c>
    </row>
    <row r="2092" spans="1:10" ht="15" customHeight="1" x14ac:dyDescent="0.25">
      <c r="A2092" s="380">
        <v>52053301</v>
      </c>
      <c r="B2092" s="381" t="s">
        <v>315</v>
      </c>
      <c r="C2092" s="381" t="s">
        <v>451</v>
      </c>
      <c r="D2092" s="381" t="s">
        <v>1088</v>
      </c>
      <c r="E2092" s="381" t="s">
        <v>1089</v>
      </c>
      <c r="F2092" s="378">
        <v>20642</v>
      </c>
      <c r="G2092" s="378">
        <v>3553</v>
      </c>
      <c r="H2092" s="378">
        <v>0</v>
      </c>
      <c r="I2092" s="378">
        <v>24195</v>
      </c>
      <c r="J2092" s="384">
        <f t="shared" si="38"/>
        <v>8</v>
      </c>
    </row>
    <row r="2093" spans="1:10" ht="15" customHeight="1" x14ac:dyDescent="0.25">
      <c r="A2093" s="380">
        <v>52053301</v>
      </c>
      <c r="B2093" s="381" t="s">
        <v>315</v>
      </c>
      <c r="C2093" s="381" t="s">
        <v>451</v>
      </c>
      <c r="D2093" s="381" t="s">
        <v>776</v>
      </c>
      <c r="E2093" s="381" t="s">
        <v>777</v>
      </c>
      <c r="F2093" s="378">
        <v>46851</v>
      </c>
      <c r="G2093" s="378">
        <v>20250</v>
      </c>
      <c r="H2093" s="378">
        <v>0</v>
      </c>
      <c r="I2093" s="378">
        <v>67101</v>
      </c>
      <c r="J2093" s="384">
        <f t="shared" si="38"/>
        <v>8</v>
      </c>
    </row>
    <row r="2094" spans="1:10" ht="15" customHeight="1" x14ac:dyDescent="0.25">
      <c r="A2094" s="380">
        <v>52053301</v>
      </c>
      <c r="B2094" s="381" t="s">
        <v>315</v>
      </c>
      <c r="C2094" s="381" t="s">
        <v>451</v>
      </c>
      <c r="D2094" s="381" t="s">
        <v>790</v>
      </c>
      <c r="E2094" s="381" t="s">
        <v>791</v>
      </c>
      <c r="F2094" s="378">
        <v>42310</v>
      </c>
      <c r="G2094" s="378">
        <v>19896</v>
      </c>
      <c r="H2094" s="378">
        <v>0</v>
      </c>
      <c r="I2094" s="378">
        <v>62206</v>
      </c>
      <c r="J2094" s="384">
        <f t="shared" si="38"/>
        <v>8</v>
      </c>
    </row>
    <row r="2095" spans="1:10" ht="15" customHeight="1" x14ac:dyDescent="0.25">
      <c r="A2095" s="380">
        <v>52053301</v>
      </c>
      <c r="B2095" s="381" t="s">
        <v>315</v>
      </c>
      <c r="C2095" s="381" t="s">
        <v>451</v>
      </c>
      <c r="D2095" s="381" t="s">
        <v>1233</v>
      </c>
      <c r="E2095" s="381" t="s">
        <v>1234</v>
      </c>
      <c r="F2095" s="378">
        <v>21507</v>
      </c>
      <c r="G2095" s="378">
        <v>0</v>
      </c>
      <c r="H2095" s="378">
        <v>0</v>
      </c>
      <c r="I2095" s="378">
        <v>21507</v>
      </c>
      <c r="J2095" s="384">
        <f t="shared" si="38"/>
        <v>8</v>
      </c>
    </row>
    <row r="2096" spans="1:10" ht="15" customHeight="1" x14ac:dyDescent="0.25">
      <c r="A2096" s="380">
        <v>52053301</v>
      </c>
      <c r="B2096" s="381" t="s">
        <v>315</v>
      </c>
      <c r="C2096" s="381" t="s">
        <v>451</v>
      </c>
      <c r="D2096" s="381" t="s">
        <v>1235</v>
      </c>
      <c r="E2096" s="381" t="s">
        <v>1236</v>
      </c>
      <c r="F2096" s="378">
        <v>338</v>
      </c>
      <c r="G2096" s="378">
        <v>0</v>
      </c>
      <c r="H2096" s="378">
        <v>0</v>
      </c>
      <c r="I2096" s="378">
        <v>338</v>
      </c>
      <c r="J2096" s="384">
        <f t="shared" si="38"/>
        <v>8</v>
      </c>
    </row>
    <row r="2097" spans="1:10" ht="15" customHeight="1" x14ac:dyDescent="0.25">
      <c r="A2097" s="380">
        <v>52053301</v>
      </c>
      <c r="B2097" s="381" t="s">
        <v>315</v>
      </c>
      <c r="C2097" s="381" t="s">
        <v>451</v>
      </c>
      <c r="D2097" s="381" t="s">
        <v>1208</v>
      </c>
      <c r="E2097" s="381" t="s">
        <v>1209</v>
      </c>
      <c r="F2097" s="378">
        <v>42298</v>
      </c>
      <c r="G2097" s="378">
        <v>18262</v>
      </c>
      <c r="H2097" s="378">
        <v>0</v>
      </c>
      <c r="I2097" s="378">
        <v>60560</v>
      </c>
      <c r="J2097" s="384">
        <f t="shared" si="38"/>
        <v>8</v>
      </c>
    </row>
    <row r="2098" spans="1:10" ht="15" customHeight="1" x14ac:dyDescent="0.25">
      <c r="A2098" s="380">
        <v>52053301</v>
      </c>
      <c r="B2098" s="381" t="s">
        <v>315</v>
      </c>
      <c r="C2098" s="381" t="s">
        <v>451</v>
      </c>
      <c r="D2098" s="381" t="s">
        <v>1237</v>
      </c>
      <c r="E2098" s="381" t="s">
        <v>1238</v>
      </c>
      <c r="F2098" s="378">
        <v>2882</v>
      </c>
      <c r="G2098" s="378">
        <v>6385</v>
      </c>
      <c r="H2098" s="378">
        <v>0</v>
      </c>
      <c r="I2098" s="378">
        <v>9267</v>
      </c>
      <c r="J2098" s="384">
        <f t="shared" si="38"/>
        <v>8</v>
      </c>
    </row>
    <row r="2099" spans="1:10" ht="15" customHeight="1" x14ac:dyDescent="0.25">
      <c r="A2099" s="380">
        <v>52053301</v>
      </c>
      <c r="B2099" s="381" t="s">
        <v>315</v>
      </c>
      <c r="C2099" s="381" t="s">
        <v>451</v>
      </c>
      <c r="D2099" s="381" t="s">
        <v>1239</v>
      </c>
      <c r="E2099" s="381" t="s">
        <v>1240</v>
      </c>
      <c r="F2099" s="378">
        <v>40370</v>
      </c>
      <c r="G2099" s="378">
        <v>0</v>
      </c>
      <c r="H2099" s="378">
        <v>0</v>
      </c>
      <c r="I2099" s="378">
        <v>40370</v>
      </c>
      <c r="J2099" s="384">
        <f t="shared" si="38"/>
        <v>8</v>
      </c>
    </row>
    <row r="2100" spans="1:10" ht="15" customHeight="1" x14ac:dyDescent="0.25">
      <c r="A2100" s="380">
        <v>52053301</v>
      </c>
      <c r="B2100" s="381" t="s">
        <v>315</v>
      </c>
      <c r="C2100" s="381" t="s">
        <v>451</v>
      </c>
      <c r="D2100" s="381" t="s">
        <v>1210</v>
      </c>
      <c r="E2100" s="381" t="s">
        <v>1211</v>
      </c>
      <c r="F2100" s="378">
        <v>38234</v>
      </c>
      <c r="G2100" s="378">
        <v>16237</v>
      </c>
      <c r="H2100" s="378">
        <v>0</v>
      </c>
      <c r="I2100" s="378">
        <v>54471</v>
      </c>
      <c r="J2100" s="384">
        <f t="shared" si="38"/>
        <v>8</v>
      </c>
    </row>
    <row r="2101" spans="1:10" ht="15" customHeight="1" x14ac:dyDescent="0.25">
      <c r="A2101" s="380">
        <v>52053301</v>
      </c>
      <c r="B2101" s="381" t="s">
        <v>315</v>
      </c>
      <c r="C2101" s="381" t="s">
        <v>451</v>
      </c>
      <c r="D2101" s="381" t="s">
        <v>1090</v>
      </c>
      <c r="E2101" s="381" t="s">
        <v>1091</v>
      </c>
      <c r="F2101" s="378">
        <v>40661</v>
      </c>
      <c r="G2101" s="378">
        <v>23000</v>
      </c>
      <c r="H2101" s="378">
        <v>0</v>
      </c>
      <c r="I2101" s="378">
        <v>63661</v>
      </c>
      <c r="J2101" s="384">
        <f t="shared" si="38"/>
        <v>8</v>
      </c>
    </row>
    <row r="2102" spans="1:10" ht="15" customHeight="1" x14ac:dyDescent="0.25">
      <c r="A2102" s="380">
        <v>52053301</v>
      </c>
      <c r="B2102" s="381" t="s">
        <v>315</v>
      </c>
      <c r="C2102" s="381" t="s">
        <v>451</v>
      </c>
      <c r="D2102" s="381" t="s">
        <v>1241</v>
      </c>
      <c r="E2102" s="381" t="s">
        <v>1242</v>
      </c>
      <c r="F2102" s="378">
        <v>24833</v>
      </c>
      <c r="G2102" s="378">
        <v>16960</v>
      </c>
      <c r="H2102" s="378">
        <v>0</v>
      </c>
      <c r="I2102" s="378">
        <v>41793</v>
      </c>
      <c r="J2102" s="384">
        <f t="shared" si="38"/>
        <v>8</v>
      </c>
    </row>
    <row r="2103" spans="1:10" ht="15" customHeight="1" x14ac:dyDescent="0.25">
      <c r="A2103" s="380">
        <v>52053301</v>
      </c>
      <c r="B2103" s="381" t="s">
        <v>315</v>
      </c>
      <c r="C2103" s="381" t="s">
        <v>451</v>
      </c>
      <c r="D2103" s="381" t="s">
        <v>792</v>
      </c>
      <c r="E2103" s="381" t="s">
        <v>793</v>
      </c>
      <c r="F2103" s="378">
        <v>45799</v>
      </c>
      <c r="G2103" s="378">
        <v>21090</v>
      </c>
      <c r="H2103" s="378">
        <v>0</v>
      </c>
      <c r="I2103" s="378">
        <v>66889</v>
      </c>
      <c r="J2103" s="384">
        <f t="shared" si="38"/>
        <v>8</v>
      </c>
    </row>
    <row r="2104" spans="1:10" ht="15" customHeight="1" x14ac:dyDescent="0.25">
      <c r="A2104" s="380">
        <v>52053301</v>
      </c>
      <c r="B2104" s="381" t="s">
        <v>315</v>
      </c>
      <c r="C2104" s="381" t="s">
        <v>451</v>
      </c>
      <c r="D2104" s="381" t="s">
        <v>794</v>
      </c>
      <c r="E2104" s="381" t="s">
        <v>795</v>
      </c>
      <c r="F2104" s="378">
        <v>39522</v>
      </c>
      <c r="G2104" s="378">
        <v>27126</v>
      </c>
      <c r="H2104" s="378">
        <v>0</v>
      </c>
      <c r="I2104" s="378">
        <v>66648</v>
      </c>
      <c r="J2104" s="384">
        <f t="shared" si="38"/>
        <v>8</v>
      </c>
    </row>
    <row r="2105" spans="1:10" ht="15" customHeight="1" x14ac:dyDescent="0.25">
      <c r="A2105" s="380">
        <v>52053301</v>
      </c>
      <c r="B2105" s="381" t="s">
        <v>315</v>
      </c>
      <c r="C2105" s="381" t="s">
        <v>451</v>
      </c>
      <c r="D2105" s="381" t="s">
        <v>1212</v>
      </c>
      <c r="E2105" s="381" t="s">
        <v>1213</v>
      </c>
      <c r="F2105" s="378">
        <v>0</v>
      </c>
      <c r="G2105" s="378">
        <v>728</v>
      </c>
      <c r="H2105" s="378">
        <v>0</v>
      </c>
      <c r="I2105" s="378">
        <v>728</v>
      </c>
      <c r="J2105" s="384">
        <f t="shared" si="38"/>
        <v>8</v>
      </c>
    </row>
    <row r="2106" spans="1:10" ht="15" customHeight="1" x14ac:dyDescent="0.25">
      <c r="A2106" s="380">
        <v>52053301</v>
      </c>
      <c r="B2106" s="381" t="s">
        <v>315</v>
      </c>
      <c r="C2106" s="381" t="s">
        <v>451</v>
      </c>
      <c r="D2106" s="381" t="s">
        <v>1092</v>
      </c>
      <c r="E2106" s="381" t="s">
        <v>1093</v>
      </c>
      <c r="F2106" s="378">
        <v>47054</v>
      </c>
      <c r="G2106" s="378">
        <v>1264</v>
      </c>
      <c r="H2106" s="378">
        <v>0</v>
      </c>
      <c r="I2106" s="378">
        <v>48318</v>
      </c>
      <c r="J2106" s="384">
        <f t="shared" si="38"/>
        <v>8</v>
      </c>
    </row>
    <row r="2107" spans="1:10" ht="15" customHeight="1" x14ac:dyDescent="0.25">
      <c r="A2107" s="380">
        <v>52053301</v>
      </c>
      <c r="B2107" s="381" t="s">
        <v>315</v>
      </c>
      <c r="C2107" s="381" t="s">
        <v>451</v>
      </c>
      <c r="D2107" s="381" t="s">
        <v>1243</v>
      </c>
      <c r="E2107" s="381" t="s">
        <v>1244</v>
      </c>
      <c r="F2107" s="378">
        <v>11768</v>
      </c>
      <c r="G2107" s="378">
        <v>0</v>
      </c>
      <c r="H2107" s="378">
        <v>0</v>
      </c>
      <c r="I2107" s="378">
        <v>11768</v>
      </c>
      <c r="J2107" s="384">
        <f t="shared" si="38"/>
        <v>8</v>
      </c>
    </row>
    <row r="2108" spans="1:10" ht="15" customHeight="1" x14ac:dyDescent="0.25">
      <c r="A2108" s="380">
        <v>52053301</v>
      </c>
      <c r="B2108" s="381" t="s">
        <v>315</v>
      </c>
      <c r="C2108" s="381" t="s">
        <v>451</v>
      </c>
      <c r="D2108" s="381" t="s">
        <v>1214</v>
      </c>
      <c r="E2108" s="381" t="s">
        <v>1489</v>
      </c>
      <c r="F2108" s="378">
        <v>49745</v>
      </c>
      <c r="G2108" s="378">
        <v>21888</v>
      </c>
      <c r="H2108" s="378">
        <v>0</v>
      </c>
      <c r="I2108" s="378">
        <v>71633</v>
      </c>
      <c r="J2108" s="384">
        <f t="shared" si="38"/>
        <v>8</v>
      </c>
    </row>
    <row r="2109" spans="1:10" ht="15" customHeight="1" x14ac:dyDescent="0.25">
      <c r="A2109" s="380">
        <v>52053301</v>
      </c>
      <c r="B2109" s="381" t="s">
        <v>315</v>
      </c>
      <c r="C2109" s="381" t="s">
        <v>451</v>
      </c>
      <c r="D2109" s="381" t="s">
        <v>1094</v>
      </c>
      <c r="E2109" s="381" t="s">
        <v>1095</v>
      </c>
      <c r="F2109" s="378">
        <v>37537</v>
      </c>
      <c r="G2109" s="378">
        <v>16575</v>
      </c>
      <c r="H2109" s="378">
        <v>0</v>
      </c>
      <c r="I2109" s="378">
        <v>54112</v>
      </c>
      <c r="J2109" s="384">
        <f t="shared" si="38"/>
        <v>8</v>
      </c>
    </row>
    <row r="2110" spans="1:10" ht="15" customHeight="1" x14ac:dyDescent="0.25">
      <c r="A2110" s="380">
        <v>520536</v>
      </c>
      <c r="B2110" s="381" t="s">
        <v>315</v>
      </c>
      <c r="C2110" s="381" t="s">
        <v>106</v>
      </c>
      <c r="D2110" s="381" t="s">
        <v>315</v>
      </c>
      <c r="E2110" s="381" t="s">
        <v>315</v>
      </c>
      <c r="F2110" s="378">
        <v>26461944</v>
      </c>
      <c r="G2110" s="378">
        <v>5639057</v>
      </c>
      <c r="H2110" s="378">
        <v>0</v>
      </c>
      <c r="I2110" s="378">
        <v>32101001</v>
      </c>
      <c r="J2110" s="384">
        <f t="shared" si="38"/>
        <v>6</v>
      </c>
    </row>
    <row r="2111" spans="1:10" ht="15" customHeight="1" x14ac:dyDescent="0.25">
      <c r="A2111" s="380">
        <v>52053601</v>
      </c>
      <c r="B2111" s="381" t="s">
        <v>315</v>
      </c>
      <c r="C2111" s="381" t="s">
        <v>106</v>
      </c>
      <c r="D2111" s="381" t="s">
        <v>315</v>
      </c>
      <c r="E2111" s="381" t="s">
        <v>315</v>
      </c>
      <c r="F2111" s="378">
        <v>26461944</v>
      </c>
      <c r="G2111" s="378">
        <v>5639057</v>
      </c>
      <c r="H2111" s="378">
        <v>0</v>
      </c>
      <c r="I2111" s="378">
        <v>32101001</v>
      </c>
      <c r="J2111" s="384">
        <f t="shared" si="38"/>
        <v>8</v>
      </c>
    </row>
    <row r="2112" spans="1:10" ht="15" customHeight="1" x14ac:dyDescent="0.25">
      <c r="A2112" s="380">
        <v>52053601</v>
      </c>
      <c r="B2112" s="381" t="s">
        <v>315</v>
      </c>
      <c r="C2112" s="381" t="s">
        <v>106</v>
      </c>
      <c r="D2112" s="381" t="s">
        <v>1194</v>
      </c>
      <c r="E2112" s="381" t="s">
        <v>1195</v>
      </c>
      <c r="F2112" s="378">
        <v>867493</v>
      </c>
      <c r="G2112" s="378">
        <v>129857</v>
      </c>
      <c r="H2112" s="378">
        <v>0</v>
      </c>
      <c r="I2112" s="378">
        <v>997350</v>
      </c>
      <c r="J2112" s="384">
        <f t="shared" si="38"/>
        <v>8</v>
      </c>
    </row>
    <row r="2113" spans="1:10" ht="15" customHeight="1" x14ac:dyDescent="0.25">
      <c r="A2113" s="380">
        <v>52053601</v>
      </c>
      <c r="B2113" s="381" t="s">
        <v>315</v>
      </c>
      <c r="C2113" s="381" t="s">
        <v>106</v>
      </c>
      <c r="D2113" s="381" t="s">
        <v>779</v>
      </c>
      <c r="E2113" s="381" t="s">
        <v>780</v>
      </c>
      <c r="F2113" s="378">
        <v>203308</v>
      </c>
      <c r="G2113" s="378">
        <v>183402</v>
      </c>
      <c r="H2113" s="378">
        <v>0</v>
      </c>
      <c r="I2113" s="378">
        <v>386710</v>
      </c>
      <c r="J2113" s="384">
        <f t="shared" si="38"/>
        <v>8</v>
      </c>
    </row>
    <row r="2114" spans="1:10" ht="15" customHeight="1" x14ac:dyDescent="0.25">
      <c r="A2114" s="380">
        <v>52053601</v>
      </c>
      <c r="B2114" s="381" t="s">
        <v>315</v>
      </c>
      <c r="C2114" s="381" t="s">
        <v>106</v>
      </c>
      <c r="D2114" s="381" t="s">
        <v>1219</v>
      </c>
      <c r="E2114" s="381" t="s">
        <v>1220</v>
      </c>
      <c r="F2114" s="378">
        <v>81175</v>
      </c>
      <c r="G2114" s="378">
        <v>0</v>
      </c>
      <c r="H2114" s="378">
        <v>0</v>
      </c>
      <c r="I2114" s="378">
        <v>81175</v>
      </c>
      <c r="J2114" s="384">
        <f t="shared" si="38"/>
        <v>8</v>
      </c>
    </row>
    <row r="2115" spans="1:10" ht="15" customHeight="1" x14ac:dyDescent="0.25">
      <c r="A2115" s="380">
        <v>52053601</v>
      </c>
      <c r="B2115" s="381" t="s">
        <v>315</v>
      </c>
      <c r="C2115" s="381" t="s">
        <v>106</v>
      </c>
      <c r="D2115" s="381" t="s">
        <v>774</v>
      </c>
      <c r="E2115" s="381" t="s">
        <v>775</v>
      </c>
      <c r="F2115" s="378">
        <v>766382</v>
      </c>
      <c r="G2115" s="378">
        <v>149275</v>
      </c>
      <c r="H2115" s="378">
        <v>0</v>
      </c>
      <c r="I2115" s="378">
        <v>915657</v>
      </c>
      <c r="J2115" s="384">
        <f t="shared" si="38"/>
        <v>8</v>
      </c>
    </row>
    <row r="2116" spans="1:10" ht="15" customHeight="1" x14ac:dyDescent="0.25">
      <c r="A2116" s="380">
        <v>52053601</v>
      </c>
      <c r="B2116" s="381" t="s">
        <v>315</v>
      </c>
      <c r="C2116" s="381" t="s">
        <v>106</v>
      </c>
      <c r="D2116" s="381" t="s">
        <v>1196</v>
      </c>
      <c r="E2116" s="381" t="s">
        <v>1197</v>
      </c>
      <c r="F2116" s="378">
        <v>880822</v>
      </c>
      <c r="G2116" s="378">
        <v>136135</v>
      </c>
      <c r="H2116" s="378">
        <v>0</v>
      </c>
      <c r="I2116" s="378">
        <v>1016957</v>
      </c>
      <c r="J2116" s="384">
        <f t="shared" si="38"/>
        <v>8</v>
      </c>
    </row>
    <row r="2117" spans="1:10" ht="15" customHeight="1" x14ac:dyDescent="0.25">
      <c r="A2117" s="380">
        <v>52053601</v>
      </c>
      <c r="B2117" s="381" t="s">
        <v>315</v>
      </c>
      <c r="C2117" s="381" t="s">
        <v>106</v>
      </c>
      <c r="D2117" s="381" t="s">
        <v>1078</v>
      </c>
      <c r="E2117" s="381" t="s">
        <v>1079</v>
      </c>
      <c r="F2117" s="378">
        <v>1233333</v>
      </c>
      <c r="G2117" s="378">
        <v>809685</v>
      </c>
      <c r="H2117" s="378">
        <v>0</v>
      </c>
      <c r="I2117" s="378">
        <v>2043018</v>
      </c>
      <c r="J2117" s="384">
        <f t="shared" si="38"/>
        <v>8</v>
      </c>
    </row>
    <row r="2118" spans="1:10" ht="15" customHeight="1" x14ac:dyDescent="0.25">
      <c r="A2118" s="380">
        <v>52053601</v>
      </c>
      <c r="B2118" s="381" t="s">
        <v>315</v>
      </c>
      <c r="C2118" s="381" t="s">
        <v>106</v>
      </c>
      <c r="D2118" s="381" t="s">
        <v>781</v>
      </c>
      <c r="E2118" s="381" t="s">
        <v>782</v>
      </c>
      <c r="F2118" s="378">
        <v>994903</v>
      </c>
      <c r="G2118" s="378">
        <v>198980</v>
      </c>
      <c r="H2118" s="378">
        <v>0</v>
      </c>
      <c r="I2118" s="378">
        <v>1193883</v>
      </c>
      <c r="J2118" s="384">
        <f t="shared" si="38"/>
        <v>8</v>
      </c>
    </row>
    <row r="2119" spans="1:10" ht="15" customHeight="1" x14ac:dyDescent="0.25">
      <c r="A2119" s="380">
        <v>52053601</v>
      </c>
      <c r="B2119" s="381" t="s">
        <v>315</v>
      </c>
      <c r="C2119" s="381" t="s">
        <v>106</v>
      </c>
      <c r="D2119" s="381" t="s">
        <v>728</v>
      </c>
      <c r="E2119" s="381" t="s">
        <v>729</v>
      </c>
      <c r="F2119" s="378">
        <v>989853</v>
      </c>
      <c r="G2119" s="378">
        <v>197970</v>
      </c>
      <c r="H2119" s="378">
        <v>0</v>
      </c>
      <c r="I2119" s="378">
        <v>1187823</v>
      </c>
      <c r="J2119" s="384">
        <f t="shared" si="38"/>
        <v>8</v>
      </c>
    </row>
    <row r="2120" spans="1:10" ht="15" customHeight="1" x14ac:dyDescent="0.25">
      <c r="A2120" s="380">
        <v>52053601</v>
      </c>
      <c r="B2120" s="381" t="s">
        <v>315</v>
      </c>
      <c r="C2120" s="381" t="s">
        <v>106</v>
      </c>
      <c r="D2120" s="381" t="s">
        <v>783</v>
      </c>
      <c r="E2120" s="381" t="s">
        <v>784</v>
      </c>
      <c r="F2120" s="378">
        <v>778184</v>
      </c>
      <c r="G2120" s="378">
        <v>136258</v>
      </c>
      <c r="H2120" s="378">
        <v>0</v>
      </c>
      <c r="I2120" s="378">
        <v>914442</v>
      </c>
      <c r="J2120" s="384">
        <f t="shared" si="38"/>
        <v>8</v>
      </c>
    </row>
    <row r="2121" spans="1:10" ht="15" customHeight="1" x14ac:dyDescent="0.25">
      <c r="A2121" s="380">
        <v>52053601</v>
      </c>
      <c r="B2121" s="381" t="s">
        <v>315</v>
      </c>
      <c r="C2121" s="381" t="s">
        <v>106</v>
      </c>
      <c r="D2121" s="381" t="s">
        <v>797</v>
      </c>
      <c r="E2121" s="381" t="s">
        <v>798</v>
      </c>
      <c r="F2121" s="378">
        <v>751279</v>
      </c>
      <c r="G2121" s="378">
        <v>150255</v>
      </c>
      <c r="H2121" s="378">
        <v>0</v>
      </c>
      <c r="I2121" s="378">
        <v>901534</v>
      </c>
      <c r="J2121" s="384">
        <f t="shared" si="38"/>
        <v>8</v>
      </c>
    </row>
    <row r="2122" spans="1:10" ht="15" customHeight="1" x14ac:dyDescent="0.25">
      <c r="A2122" s="380">
        <v>52053601</v>
      </c>
      <c r="B2122" s="381" t="s">
        <v>315</v>
      </c>
      <c r="C2122" s="381" t="s">
        <v>106</v>
      </c>
      <c r="D2122" s="381" t="s">
        <v>1221</v>
      </c>
      <c r="E2122" s="381" t="s">
        <v>1494</v>
      </c>
      <c r="F2122" s="378">
        <v>765714</v>
      </c>
      <c r="G2122" s="378">
        <v>0</v>
      </c>
      <c r="H2122" s="378">
        <v>0</v>
      </c>
      <c r="I2122" s="378">
        <v>765714</v>
      </c>
      <c r="J2122" s="384">
        <f t="shared" si="38"/>
        <v>8</v>
      </c>
    </row>
    <row r="2123" spans="1:10" ht="15" customHeight="1" x14ac:dyDescent="0.25">
      <c r="A2123" s="380">
        <v>52053601</v>
      </c>
      <c r="B2123" s="381" t="s">
        <v>315</v>
      </c>
      <c r="C2123" s="381" t="s">
        <v>106</v>
      </c>
      <c r="D2123" s="381" t="s">
        <v>1222</v>
      </c>
      <c r="E2123" s="381" t="s">
        <v>1223</v>
      </c>
      <c r="F2123" s="378">
        <v>148821</v>
      </c>
      <c r="G2123" s="378">
        <v>0</v>
      </c>
      <c r="H2123" s="378">
        <v>0</v>
      </c>
      <c r="I2123" s="378">
        <v>148821</v>
      </c>
      <c r="J2123" s="384">
        <f t="shared" si="38"/>
        <v>8</v>
      </c>
    </row>
    <row r="2124" spans="1:10" ht="15" customHeight="1" x14ac:dyDescent="0.25">
      <c r="A2124" s="380">
        <v>52053601</v>
      </c>
      <c r="B2124" s="381" t="s">
        <v>315</v>
      </c>
      <c r="C2124" s="381" t="s">
        <v>106</v>
      </c>
      <c r="D2124" s="381" t="s">
        <v>1198</v>
      </c>
      <c r="E2124" s="381" t="s">
        <v>1199</v>
      </c>
      <c r="F2124" s="378">
        <v>207171</v>
      </c>
      <c r="G2124" s="378">
        <v>155378</v>
      </c>
      <c r="H2124" s="378">
        <v>0</v>
      </c>
      <c r="I2124" s="378">
        <v>362549</v>
      </c>
      <c r="J2124" s="384">
        <f t="shared" si="38"/>
        <v>8</v>
      </c>
    </row>
    <row r="2125" spans="1:10" ht="15" customHeight="1" x14ac:dyDescent="0.25">
      <c r="A2125" s="380">
        <v>52053601</v>
      </c>
      <c r="B2125" s="381" t="s">
        <v>315</v>
      </c>
      <c r="C2125" s="381" t="s">
        <v>106</v>
      </c>
      <c r="D2125" s="381" t="s">
        <v>753</v>
      </c>
      <c r="E2125" s="381" t="s">
        <v>754</v>
      </c>
      <c r="F2125" s="378">
        <v>135292</v>
      </c>
      <c r="G2125" s="378">
        <v>0</v>
      </c>
      <c r="H2125" s="378">
        <v>0</v>
      </c>
      <c r="I2125" s="378">
        <v>135292</v>
      </c>
      <c r="J2125" s="384">
        <f t="shared" si="38"/>
        <v>8</v>
      </c>
    </row>
    <row r="2126" spans="1:10" ht="15" customHeight="1" x14ac:dyDescent="0.25">
      <c r="A2126" s="380">
        <v>52053601</v>
      </c>
      <c r="B2126" s="381" t="s">
        <v>315</v>
      </c>
      <c r="C2126" s="381" t="s">
        <v>106</v>
      </c>
      <c r="D2126" s="381" t="s">
        <v>1200</v>
      </c>
      <c r="E2126" s="381" t="s">
        <v>1201</v>
      </c>
      <c r="F2126" s="378">
        <v>756138</v>
      </c>
      <c r="G2126" s="378">
        <v>144030</v>
      </c>
      <c r="H2126" s="378">
        <v>0</v>
      </c>
      <c r="I2126" s="378">
        <v>900168</v>
      </c>
      <c r="J2126" s="384">
        <f t="shared" si="38"/>
        <v>8</v>
      </c>
    </row>
    <row r="2127" spans="1:10" ht="15" customHeight="1" x14ac:dyDescent="0.25">
      <c r="A2127" s="380">
        <v>52053601</v>
      </c>
      <c r="B2127" s="381" t="s">
        <v>315</v>
      </c>
      <c r="C2127" s="381" t="s">
        <v>106</v>
      </c>
      <c r="D2127" s="381" t="s">
        <v>786</v>
      </c>
      <c r="E2127" s="381" t="s">
        <v>787</v>
      </c>
      <c r="F2127" s="378">
        <v>1091560</v>
      </c>
      <c r="G2127" s="378">
        <v>193662</v>
      </c>
      <c r="H2127" s="378">
        <v>0</v>
      </c>
      <c r="I2127" s="378">
        <v>1285222</v>
      </c>
      <c r="J2127" s="384">
        <f t="shared" si="38"/>
        <v>8</v>
      </c>
    </row>
    <row r="2128" spans="1:10" ht="15" customHeight="1" x14ac:dyDescent="0.25">
      <c r="A2128" s="380">
        <v>52053601</v>
      </c>
      <c r="B2128" s="381" t="s">
        <v>315</v>
      </c>
      <c r="C2128" s="381" t="s">
        <v>106</v>
      </c>
      <c r="D2128" s="381" t="s">
        <v>1224</v>
      </c>
      <c r="E2128" s="381" t="s">
        <v>1225</v>
      </c>
      <c r="F2128" s="378">
        <v>843665</v>
      </c>
      <c r="G2128" s="378">
        <v>160990</v>
      </c>
      <c r="H2128" s="378">
        <v>0</v>
      </c>
      <c r="I2128" s="378">
        <v>1004655</v>
      </c>
      <c r="J2128" s="384">
        <f t="shared" si="38"/>
        <v>8</v>
      </c>
    </row>
    <row r="2129" spans="1:10" ht="15" customHeight="1" x14ac:dyDescent="0.25">
      <c r="A2129" s="380">
        <v>52053601</v>
      </c>
      <c r="B2129" s="381" t="s">
        <v>315</v>
      </c>
      <c r="C2129" s="381" t="s">
        <v>106</v>
      </c>
      <c r="D2129" s="381" t="s">
        <v>1226</v>
      </c>
      <c r="E2129" s="381" t="s">
        <v>1227</v>
      </c>
      <c r="F2129" s="378">
        <v>20827</v>
      </c>
      <c r="G2129" s="378">
        <v>0</v>
      </c>
      <c r="H2129" s="378">
        <v>0</v>
      </c>
      <c r="I2129" s="378">
        <v>20827</v>
      </c>
      <c r="J2129" s="384">
        <f t="shared" si="38"/>
        <v>8</v>
      </c>
    </row>
    <row r="2130" spans="1:10" ht="15" customHeight="1" x14ac:dyDescent="0.25">
      <c r="A2130" s="380">
        <v>52053601</v>
      </c>
      <c r="B2130" s="381" t="s">
        <v>315</v>
      </c>
      <c r="C2130" s="381" t="s">
        <v>106</v>
      </c>
      <c r="D2130" s="381" t="s">
        <v>1202</v>
      </c>
      <c r="E2130" s="381" t="s">
        <v>1203</v>
      </c>
      <c r="F2130" s="378">
        <v>162115</v>
      </c>
      <c r="G2130" s="378">
        <v>151426</v>
      </c>
      <c r="H2130" s="378">
        <v>0</v>
      </c>
      <c r="I2130" s="378">
        <v>313541</v>
      </c>
      <c r="J2130" s="384">
        <f t="shared" si="38"/>
        <v>8</v>
      </c>
    </row>
    <row r="2131" spans="1:10" ht="15" customHeight="1" x14ac:dyDescent="0.25">
      <c r="A2131" s="380">
        <v>52053601</v>
      </c>
      <c r="B2131" s="381" t="s">
        <v>315</v>
      </c>
      <c r="C2131" s="381" t="s">
        <v>106</v>
      </c>
      <c r="D2131" s="381" t="s">
        <v>1228</v>
      </c>
      <c r="E2131" s="381" t="s">
        <v>1229</v>
      </c>
      <c r="F2131" s="378">
        <v>167392</v>
      </c>
      <c r="G2131" s="378">
        <v>112358</v>
      </c>
      <c r="H2131" s="378">
        <v>0</v>
      </c>
      <c r="I2131" s="378">
        <v>279750</v>
      </c>
      <c r="J2131" s="384">
        <f t="shared" si="38"/>
        <v>8</v>
      </c>
    </row>
    <row r="2132" spans="1:10" ht="15" customHeight="1" x14ac:dyDescent="0.25">
      <c r="A2132" s="380">
        <v>52053601</v>
      </c>
      <c r="B2132" s="381" t="s">
        <v>315</v>
      </c>
      <c r="C2132" s="381" t="s">
        <v>106</v>
      </c>
      <c r="D2132" s="381" t="s">
        <v>1086</v>
      </c>
      <c r="E2132" s="381" t="s">
        <v>1087</v>
      </c>
      <c r="F2132" s="378">
        <v>787313</v>
      </c>
      <c r="G2132" s="378">
        <v>134911</v>
      </c>
      <c r="H2132" s="378">
        <v>0</v>
      </c>
      <c r="I2132" s="378">
        <v>922224</v>
      </c>
      <c r="J2132" s="384">
        <f t="shared" si="38"/>
        <v>8</v>
      </c>
    </row>
    <row r="2133" spans="1:10" ht="15" customHeight="1" x14ac:dyDescent="0.25">
      <c r="A2133" s="380">
        <v>52053601</v>
      </c>
      <c r="B2133" s="381" t="s">
        <v>315</v>
      </c>
      <c r="C2133" s="381" t="s">
        <v>106</v>
      </c>
      <c r="D2133" s="381" t="s">
        <v>404</v>
      </c>
      <c r="E2133" s="381" t="s">
        <v>1230</v>
      </c>
      <c r="F2133" s="378">
        <v>378990</v>
      </c>
      <c r="G2133" s="378">
        <v>57216</v>
      </c>
      <c r="H2133" s="378">
        <v>0</v>
      </c>
      <c r="I2133" s="378">
        <v>436206</v>
      </c>
      <c r="J2133" s="384">
        <f t="shared" si="38"/>
        <v>8</v>
      </c>
    </row>
    <row r="2134" spans="1:10" ht="15" customHeight="1" x14ac:dyDescent="0.25">
      <c r="A2134" s="380">
        <v>52053601</v>
      </c>
      <c r="B2134" s="381" t="s">
        <v>315</v>
      </c>
      <c r="C2134" s="381" t="s">
        <v>106</v>
      </c>
      <c r="D2134" s="381" t="s">
        <v>1204</v>
      </c>
      <c r="E2134" s="381" t="s">
        <v>1205</v>
      </c>
      <c r="F2134" s="378">
        <v>187312</v>
      </c>
      <c r="G2134" s="378">
        <v>140484</v>
      </c>
      <c r="H2134" s="378">
        <v>0</v>
      </c>
      <c r="I2134" s="378">
        <v>327796</v>
      </c>
      <c r="J2134" s="384">
        <f t="shared" si="38"/>
        <v>8</v>
      </c>
    </row>
    <row r="2135" spans="1:10" ht="15" customHeight="1" x14ac:dyDescent="0.25">
      <c r="A2135" s="380">
        <v>52053601</v>
      </c>
      <c r="B2135" s="381" t="s">
        <v>315</v>
      </c>
      <c r="C2135" s="381" t="s">
        <v>106</v>
      </c>
      <c r="D2135" s="381" t="s">
        <v>1231</v>
      </c>
      <c r="E2135" s="381" t="s">
        <v>1232</v>
      </c>
      <c r="F2135" s="378">
        <v>122596</v>
      </c>
      <c r="G2135" s="378">
        <v>0</v>
      </c>
      <c r="H2135" s="378">
        <v>0</v>
      </c>
      <c r="I2135" s="378">
        <v>122596</v>
      </c>
      <c r="J2135" s="384">
        <f t="shared" si="38"/>
        <v>8</v>
      </c>
    </row>
    <row r="2136" spans="1:10" ht="15" customHeight="1" x14ac:dyDescent="0.25">
      <c r="A2136" s="380">
        <v>52053601</v>
      </c>
      <c r="B2136" s="381" t="s">
        <v>315</v>
      </c>
      <c r="C2136" s="381" t="s">
        <v>106</v>
      </c>
      <c r="D2136" s="381" t="s">
        <v>788</v>
      </c>
      <c r="E2136" s="381" t="s">
        <v>789</v>
      </c>
      <c r="F2136" s="378">
        <v>1287638</v>
      </c>
      <c r="G2136" s="378">
        <v>216524</v>
      </c>
      <c r="H2136" s="378">
        <v>0</v>
      </c>
      <c r="I2136" s="378">
        <v>1504162</v>
      </c>
      <c r="J2136" s="384">
        <f t="shared" si="38"/>
        <v>8</v>
      </c>
    </row>
    <row r="2137" spans="1:10" ht="15" customHeight="1" x14ac:dyDescent="0.25">
      <c r="A2137" s="380">
        <v>52053601</v>
      </c>
      <c r="B2137" s="381" t="s">
        <v>315</v>
      </c>
      <c r="C2137" s="381" t="s">
        <v>106</v>
      </c>
      <c r="D2137" s="381" t="s">
        <v>1206</v>
      </c>
      <c r="E2137" s="381" t="s">
        <v>1207</v>
      </c>
      <c r="F2137" s="378">
        <v>673204</v>
      </c>
      <c r="G2137" s="378">
        <v>139379</v>
      </c>
      <c r="H2137" s="378">
        <v>0</v>
      </c>
      <c r="I2137" s="378">
        <v>812583</v>
      </c>
      <c r="J2137" s="384">
        <f t="shared" si="38"/>
        <v>8</v>
      </c>
    </row>
    <row r="2138" spans="1:10" ht="15" customHeight="1" x14ac:dyDescent="0.25">
      <c r="A2138" s="380">
        <v>52053601</v>
      </c>
      <c r="B2138" s="381" t="s">
        <v>315</v>
      </c>
      <c r="C2138" s="381" t="s">
        <v>106</v>
      </c>
      <c r="D2138" s="381" t="s">
        <v>1088</v>
      </c>
      <c r="E2138" s="381" t="s">
        <v>1089</v>
      </c>
      <c r="F2138" s="378">
        <v>414572</v>
      </c>
      <c r="G2138" s="378">
        <v>14023</v>
      </c>
      <c r="H2138" s="378">
        <v>0</v>
      </c>
      <c r="I2138" s="378">
        <v>428595</v>
      </c>
      <c r="J2138" s="384">
        <f t="shared" si="38"/>
        <v>8</v>
      </c>
    </row>
    <row r="2139" spans="1:10" ht="15" customHeight="1" x14ac:dyDescent="0.25">
      <c r="A2139" s="380">
        <v>52053601</v>
      </c>
      <c r="B2139" s="381" t="s">
        <v>315</v>
      </c>
      <c r="C2139" s="381" t="s">
        <v>106</v>
      </c>
      <c r="D2139" s="381" t="s">
        <v>776</v>
      </c>
      <c r="E2139" s="381" t="s">
        <v>777</v>
      </c>
      <c r="F2139" s="378">
        <v>937019</v>
      </c>
      <c r="G2139" s="378">
        <v>168289</v>
      </c>
      <c r="H2139" s="378">
        <v>0</v>
      </c>
      <c r="I2139" s="378">
        <v>1105308</v>
      </c>
      <c r="J2139" s="384">
        <f t="shared" si="38"/>
        <v>8</v>
      </c>
    </row>
    <row r="2140" spans="1:10" ht="15" customHeight="1" x14ac:dyDescent="0.25">
      <c r="A2140" s="380">
        <v>52053601</v>
      </c>
      <c r="B2140" s="381" t="s">
        <v>315</v>
      </c>
      <c r="C2140" s="381" t="s">
        <v>106</v>
      </c>
      <c r="D2140" s="381" t="s">
        <v>790</v>
      </c>
      <c r="E2140" s="381" t="s">
        <v>791</v>
      </c>
      <c r="F2140" s="378">
        <v>846200</v>
      </c>
      <c r="G2140" s="378">
        <v>128726</v>
      </c>
      <c r="H2140" s="378">
        <v>0</v>
      </c>
      <c r="I2140" s="378">
        <v>974926</v>
      </c>
      <c r="J2140" s="384">
        <f t="shared" si="38"/>
        <v>8</v>
      </c>
    </row>
    <row r="2141" spans="1:10" ht="15" customHeight="1" x14ac:dyDescent="0.25">
      <c r="A2141" s="380">
        <v>52053601</v>
      </c>
      <c r="B2141" s="381" t="s">
        <v>315</v>
      </c>
      <c r="C2141" s="381" t="s">
        <v>106</v>
      </c>
      <c r="D2141" s="381" t="s">
        <v>1233</v>
      </c>
      <c r="E2141" s="381" t="s">
        <v>1234</v>
      </c>
      <c r="F2141" s="378">
        <v>547266</v>
      </c>
      <c r="G2141" s="378">
        <v>0</v>
      </c>
      <c r="H2141" s="378">
        <v>0</v>
      </c>
      <c r="I2141" s="378">
        <v>547266</v>
      </c>
      <c r="J2141" s="384">
        <f t="shared" si="38"/>
        <v>8</v>
      </c>
    </row>
    <row r="2142" spans="1:10" ht="15" customHeight="1" x14ac:dyDescent="0.25">
      <c r="A2142" s="380">
        <v>52053601</v>
      </c>
      <c r="B2142" s="381" t="s">
        <v>315</v>
      </c>
      <c r="C2142" s="381" t="s">
        <v>106</v>
      </c>
      <c r="D2142" s="381" t="s">
        <v>1235</v>
      </c>
      <c r="E2142" s="381" t="s">
        <v>1236</v>
      </c>
      <c r="F2142" s="378">
        <v>67646</v>
      </c>
      <c r="G2142" s="378">
        <v>0</v>
      </c>
      <c r="H2142" s="378">
        <v>0</v>
      </c>
      <c r="I2142" s="378">
        <v>67646</v>
      </c>
      <c r="J2142" s="384">
        <f t="shared" si="38"/>
        <v>8</v>
      </c>
    </row>
    <row r="2143" spans="1:10" ht="15" customHeight="1" x14ac:dyDescent="0.25">
      <c r="A2143" s="380">
        <v>52053601</v>
      </c>
      <c r="B2143" s="381" t="s">
        <v>315</v>
      </c>
      <c r="C2143" s="381" t="s">
        <v>106</v>
      </c>
      <c r="D2143" s="381" t="s">
        <v>1208</v>
      </c>
      <c r="E2143" s="381" t="s">
        <v>1209</v>
      </c>
      <c r="F2143" s="378">
        <v>845969</v>
      </c>
      <c r="G2143" s="378">
        <v>139735</v>
      </c>
      <c r="H2143" s="378">
        <v>0</v>
      </c>
      <c r="I2143" s="378">
        <v>985704</v>
      </c>
      <c r="J2143" s="384">
        <f t="shared" si="38"/>
        <v>8</v>
      </c>
    </row>
    <row r="2144" spans="1:10" ht="15" customHeight="1" x14ac:dyDescent="0.25">
      <c r="A2144" s="380">
        <v>52053601</v>
      </c>
      <c r="B2144" s="381" t="s">
        <v>315</v>
      </c>
      <c r="C2144" s="381" t="s">
        <v>106</v>
      </c>
      <c r="D2144" s="381" t="s">
        <v>1237</v>
      </c>
      <c r="E2144" s="381" t="s">
        <v>1238</v>
      </c>
      <c r="F2144" s="378">
        <v>216116</v>
      </c>
      <c r="G2144" s="378">
        <v>162087</v>
      </c>
      <c r="H2144" s="378">
        <v>0</v>
      </c>
      <c r="I2144" s="378">
        <v>378203</v>
      </c>
      <c r="J2144" s="384">
        <f t="shared" si="38"/>
        <v>8</v>
      </c>
    </row>
    <row r="2145" spans="1:10" ht="15" customHeight="1" x14ac:dyDescent="0.25">
      <c r="A2145" s="380">
        <v>52053601</v>
      </c>
      <c r="B2145" s="381" t="s">
        <v>315</v>
      </c>
      <c r="C2145" s="381" t="s">
        <v>106</v>
      </c>
      <c r="D2145" s="381" t="s">
        <v>1239</v>
      </c>
      <c r="E2145" s="381" t="s">
        <v>1240</v>
      </c>
      <c r="F2145" s="378">
        <v>807398</v>
      </c>
      <c r="G2145" s="378">
        <v>0</v>
      </c>
      <c r="H2145" s="378">
        <v>0</v>
      </c>
      <c r="I2145" s="378">
        <v>807398</v>
      </c>
      <c r="J2145" s="384">
        <f t="shared" si="38"/>
        <v>8</v>
      </c>
    </row>
    <row r="2146" spans="1:10" ht="15" customHeight="1" x14ac:dyDescent="0.25">
      <c r="A2146" s="380">
        <v>52053601</v>
      </c>
      <c r="B2146" s="381" t="s">
        <v>315</v>
      </c>
      <c r="C2146" s="381" t="s">
        <v>106</v>
      </c>
      <c r="D2146" s="381" t="s">
        <v>1248</v>
      </c>
      <c r="E2146" s="381" t="s">
        <v>1249</v>
      </c>
      <c r="F2146" s="378">
        <v>18101</v>
      </c>
      <c r="G2146" s="378">
        <v>0</v>
      </c>
      <c r="H2146" s="378">
        <v>0</v>
      </c>
      <c r="I2146" s="378">
        <v>18101</v>
      </c>
      <c r="J2146" s="384">
        <f t="shared" si="38"/>
        <v>8</v>
      </c>
    </row>
    <row r="2147" spans="1:10" ht="15" customHeight="1" x14ac:dyDescent="0.25">
      <c r="A2147" s="380">
        <v>52053601</v>
      </c>
      <c r="B2147" s="381" t="s">
        <v>315</v>
      </c>
      <c r="C2147" s="381" t="s">
        <v>106</v>
      </c>
      <c r="D2147" s="381" t="s">
        <v>1210</v>
      </c>
      <c r="E2147" s="381" t="s">
        <v>1211</v>
      </c>
      <c r="F2147" s="378">
        <v>764687</v>
      </c>
      <c r="G2147" s="378">
        <v>125131</v>
      </c>
      <c r="H2147" s="378">
        <v>0</v>
      </c>
      <c r="I2147" s="378">
        <v>889818</v>
      </c>
      <c r="J2147" s="384">
        <f t="shared" si="38"/>
        <v>8</v>
      </c>
    </row>
    <row r="2148" spans="1:10" ht="15" customHeight="1" x14ac:dyDescent="0.25">
      <c r="A2148" s="380">
        <v>52053601</v>
      </c>
      <c r="B2148" s="381" t="s">
        <v>315</v>
      </c>
      <c r="C2148" s="381" t="s">
        <v>106</v>
      </c>
      <c r="D2148" s="381" t="s">
        <v>1090</v>
      </c>
      <c r="E2148" s="381" t="s">
        <v>1091</v>
      </c>
      <c r="F2148" s="378">
        <v>589246</v>
      </c>
      <c r="G2148" s="378">
        <v>155451</v>
      </c>
      <c r="H2148" s="378">
        <v>0</v>
      </c>
      <c r="I2148" s="378">
        <v>744697</v>
      </c>
      <c r="J2148" s="384">
        <f t="shared" si="38"/>
        <v>8</v>
      </c>
    </row>
    <row r="2149" spans="1:10" ht="15" customHeight="1" x14ac:dyDescent="0.25">
      <c r="A2149" s="380">
        <v>52053601</v>
      </c>
      <c r="B2149" s="381" t="s">
        <v>315</v>
      </c>
      <c r="C2149" s="381" t="s">
        <v>106</v>
      </c>
      <c r="D2149" s="381" t="s">
        <v>1241</v>
      </c>
      <c r="E2149" s="381" t="s">
        <v>1242</v>
      </c>
      <c r="F2149" s="378">
        <v>310235</v>
      </c>
      <c r="G2149" s="378">
        <v>135239</v>
      </c>
      <c r="H2149" s="378">
        <v>0</v>
      </c>
      <c r="I2149" s="378">
        <v>445474</v>
      </c>
      <c r="J2149" s="384">
        <f t="shared" si="38"/>
        <v>8</v>
      </c>
    </row>
    <row r="2150" spans="1:10" ht="15" customHeight="1" x14ac:dyDescent="0.25">
      <c r="A2150" s="380">
        <v>52053601</v>
      </c>
      <c r="B2150" s="381" t="s">
        <v>315</v>
      </c>
      <c r="C2150" s="381" t="s">
        <v>106</v>
      </c>
      <c r="D2150" s="381" t="s">
        <v>792</v>
      </c>
      <c r="E2150" s="381" t="s">
        <v>793</v>
      </c>
      <c r="F2150" s="378">
        <v>915987</v>
      </c>
      <c r="G2150" s="378">
        <v>188677</v>
      </c>
      <c r="H2150" s="378">
        <v>0</v>
      </c>
      <c r="I2150" s="378">
        <v>1104664</v>
      </c>
      <c r="J2150" s="384">
        <f t="shared" si="38"/>
        <v>8</v>
      </c>
    </row>
    <row r="2151" spans="1:10" ht="15" customHeight="1" x14ac:dyDescent="0.25">
      <c r="A2151" s="380">
        <v>52053601</v>
      </c>
      <c r="B2151" s="381" t="s">
        <v>315</v>
      </c>
      <c r="C2151" s="381" t="s">
        <v>106</v>
      </c>
      <c r="D2151" s="381" t="s">
        <v>794</v>
      </c>
      <c r="E2151" s="381" t="s">
        <v>795</v>
      </c>
      <c r="F2151" s="378">
        <v>790430</v>
      </c>
      <c r="G2151" s="378">
        <v>285980</v>
      </c>
      <c r="H2151" s="378">
        <v>0</v>
      </c>
      <c r="I2151" s="378">
        <v>1076410</v>
      </c>
      <c r="J2151" s="384">
        <f t="shared" si="38"/>
        <v>8</v>
      </c>
    </row>
    <row r="2152" spans="1:10" ht="15" customHeight="1" x14ac:dyDescent="0.25">
      <c r="A2152" s="380">
        <v>52053601</v>
      </c>
      <c r="B2152" s="381" t="s">
        <v>315</v>
      </c>
      <c r="C2152" s="381" t="s">
        <v>106</v>
      </c>
      <c r="D2152" s="381" t="s">
        <v>1212</v>
      </c>
      <c r="E2152" s="381" t="s">
        <v>1213</v>
      </c>
      <c r="F2152" s="378">
        <v>0</v>
      </c>
      <c r="G2152" s="378">
        <v>99214</v>
      </c>
      <c r="H2152" s="378">
        <v>0</v>
      </c>
      <c r="I2152" s="378">
        <v>99214</v>
      </c>
      <c r="J2152" s="384">
        <f t="shared" ref="J2152:J2215" si="39">+LEN(A2152)</f>
        <v>8</v>
      </c>
    </row>
    <row r="2153" spans="1:10" ht="15" customHeight="1" x14ac:dyDescent="0.25">
      <c r="A2153" s="380">
        <v>52053601</v>
      </c>
      <c r="B2153" s="381" t="s">
        <v>315</v>
      </c>
      <c r="C2153" s="381" t="s">
        <v>106</v>
      </c>
      <c r="D2153" s="381" t="s">
        <v>1092</v>
      </c>
      <c r="E2153" s="381" t="s">
        <v>1093</v>
      </c>
      <c r="F2153" s="378">
        <v>941083</v>
      </c>
      <c r="G2153" s="378">
        <v>12548</v>
      </c>
      <c r="H2153" s="378">
        <v>0</v>
      </c>
      <c r="I2153" s="378">
        <v>953631</v>
      </c>
      <c r="J2153" s="384">
        <f t="shared" si="39"/>
        <v>8</v>
      </c>
    </row>
    <row r="2154" spans="1:10" ht="15" customHeight="1" x14ac:dyDescent="0.25">
      <c r="A2154" s="380">
        <v>52053601</v>
      </c>
      <c r="B2154" s="381" t="s">
        <v>315</v>
      </c>
      <c r="C2154" s="381" t="s">
        <v>106</v>
      </c>
      <c r="D2154" s="381" t="s">
        <v>1243</v>
      </c>
      <c r="E2154" s="381" t="s">
        <v>1244</v>
      </c>
      <c r="F2154" s="378">
        <v>421863</v>
      </c>
      <c r="G2154" s="378">
        <v>0</v>
      </c>
      <c r="H2154" s="378">
        <v>0</v>
      </c>
      <c r="I2154" s="378">
        <v>421863</v>
      </c>
      <c r="J2154" s="384">
        <f t="shared" si="39"/>
        <v>8</v>
      </c>
    </row>
    <row r="2155" spans="1:10" ht="15" customHeight="1" x14ac:dyDescent="0.25">
      <c r="A2155" s="380">
        <v>52053601</v>
      </c>
      <c r="B2155" s="381" t="s">
        <v>315</v>
      </c>
      <c r="C2155" s="381" t="s">
        <v>106</v>
      </c>
      <c r="D2155" s="381" t="s">
        <v>1214</v>
      </c>
      <c r="E2155" s="381" t="s">
        <v>1489</v>
      </c>
      <c r="F2155" s="378">
        <v>994903</v>
      </c>
      <c r="G2155" s="378">
        <v>198980</v>
      </c>
      <c r="H2155" s="378">
        <v>0</v>
      </c>
      <c r="I2155" s="378">
        <v>1193883</v>
      </c>
      <c r="J2155" s="384">
        <f t="shared" si="39"/>
        <v>8</v>
      </c>
    </row>
    <row r="2156" spans="1:10" ht="15" customHeight="1" x14ac:dyDescent="0.25">
      <c r="A2156" s="380">
        <v>52053601</v>
      </c>
      <c r="B2156" s="381" t="s">
        <v>315</v>
      </c>
      <c r="C2156" s="381" t="s">
        <v>106</v>
      </c>
      <c r="D2156" s="381" t="s">
        <v>1094</v>
      </c>
      <c r="E2156" s="381" t="s">
        <v>1095</v>
      </c>
      <c r="F2156" s="378">
        <v>750743</v>
      </c>
      <c r="G2156" s="378">
        <v>126802</v>
      </c>
      <c r="H2156" s="378">
        <v>0</v>
      </c>
      <c r="I2156" s="378">
        <v>877545</v>
      </c>
      <c r="J2156" s="384">
        <f t="shared" si="39"/>
        <v>8</v>
      </c>
    </row>
    <row r="2157" spans="1:10" ht="15" customHeight="1" x14ac:dyDescent="0.25">
      <c r="A2157" s="380">
        <v>520539</v>
      </c>
      <c r="B2157" s="381" t="s">
        <v>315</v>
      </c>
      <c r="C2157" s="381" t="s">
        <v>104</v>
      </c>
      <c r="D2157" s="381" t="s">
        <v>315</v>
      </c>
      <c r="E2157" s="381" t="s">
        <v>315</v>
      </c>
      <c r="F2157" s="378">
        <v>15066669</v>
      </c>
      <c r="G2157" s="378">
        <v>3887272</v>
      </c>
      <c r="H2157" s="378">
        <v>2628</v>
      </c>
      <c r="I2157" s="378">
        <v>18951313</v>
      </c>
      <c r="J2157" s="384">
        <f t="shared" si="39"/>
        <v>6</v>
      </c>
    </row>
    <row r="2158" spans="1:10" ht="15" customHeight="1" x14ac:dyDescent="0.25">
      <c r="A2158" s="380">
        <v>52053901</v>
      </c>
      <c r="B2158" s="381" t="s">
        <v>315</v>
      </c>
      <c r="C2158" s="381" t="s">
        <v>104</v>
      </c>
      <c r="D2158" s="381" t="s">
        <v>315</v>
      </c>
      <c r="E2158" s="381" t="s">
        <v>315</v>
      </c>
      <c r="F2158" s="378">
        <v>15066669</v>
      </c>
      <c r="G2158" s="378">
        <v>3887272</v>
      </c>
      <c r="H2158" s="378">
        <v>2628</v>
      </c>
      <c r="I2158" s="378">
        <v>18951313</v>
      </c>
      <c r="J2158" s="384">
        <f t="shared" si="39"/>
        <v>8</v>
      </c>
    </row>
    <row r="2159" spans="1:10" ht="15" customHeight="1" x14ac:dyDescent="0.25">
      <c r="A2159" s="380">
        <v>52053901</v>
      </c>
      <c r="B2159" s="381" t="s">
        <v>315</v>
      </c>
      <c r="C2159" s="381" t="s">
        <v>104</v>
      </c>
      <c r="D2159" s="381" t="s">
        <v>1246</v>
      </c>
      <c r="E2159" s="381" t="s">
        <v>1247</v>
      </c>
      <c r="F2159" s="378">
        <v>3150</v>
      </c>
      <c r="G2159" s="378">
        <v>0</v>
      </c>
      <c r="H2159" s="378">
        <v>0</v>
      </c>
      <c r="I2159" s="378">
        <v>3150</v>
      </c>
      <c r="J2159" s="384">
        <f t="shared" si="39"/>
        <v>8</v>
      </c>
    </row>
    <row r="2160" spans="1:10" ht="15" customHeight="1" x14ac:dyDescent="0.25">
      <c r="A2160" s="380">
        <v>52053901</v>
      </c>
      <c r="B2160" s="381" t="s">
        <v>315</v>
      </c>
      <c r="C2160" s="381" t="s">
        <v>104</v>
      </c>
      <c r="D2160" s="381" t="s">
        <v>1194</v>
      </c>
      <c r="E2160" s="381" t="s">
        <v>1195</v>
      </c>
      <c r="F2160" s="378">
        <v>393911</v>
      </c>
      <c r="G2160" s="378">
        <v>81010</v>
      </c>
      <c r="H2160" s="378">
        <v>0</v>
      </c>
      <c r="I2160" s="378">
        <v>474921</v>
      </c>
      <c r="J2160" s="384">
        <f t="shared" si="39"/>
        <v>8</v>
      </c>
    </row>
    <row r="2161" spans="1:10" ht="15" customHeight="1" x14ac:dyDescent="0.25">
      <c r="A2161" s="380">
        <v>52053901</v>
      </c>
      <c r="B2161" s="381" t="s">
        <v>315</v>
      </c>
      <c r="C2161" s="381" t="s">
        <v>104</v>
      </c>
      <c r="D2161" s="381" t="s">
        <v>779</v>
      </c>
      <c r="E2161" s="381" t="s">
        <v>780</v>
      </c>
      <c r="F2161" s="378">
        <v>92017</v>
      </c>
      <c r="G2161" s="378">
        <v>108718</v>
      </c>
      <c r="H2161" s="378">
        <v>0</v>
      </c>
      <c r="I2161" s="378">
        <v>200735</v>
      </c>
      <c r="J2161" s="384">
        <f t="shared" si="39"/>
        <v>8</v>
      </c>
    </row>
    <row r="2162" spans="1:10" ht="15" customHeight="1" x14ac:dyDescent="0.25">
      <c r="A2162" s="380">
        <v>52053901</v>
      </c>
      <c r="B2162" s="381" t="s">
        <v>315</v>
      </c>
      <c r="C2162" s="381" t="s">
        <v>104</v>
      </c>
      <c r="D2162" s="381" t="s">
        <v>1219</v>
      </c>
      <c r="E2162" s="381" t="s">
        <v>1220</v>
      </c>
      <c r="F2162" s="378">
        <v>570888</v>
      </c>
      <c r="G2162" s="378">
        <v>0</v>
      </c>
      <c r="H2162" s="378">
        <v>0</v>
      </c>
      <c r="I2162" s="378">
        <v>570888</v>
      </c>
      <c r="J2162" s="384">
        <f t="shared" si="39"/>
        <v>8</v>
      </c>
    </row>
    <row r="2163" spans="1:10" ht="15" customHeight="1" x14ac:dyDescent="0.25">
      <c r="A2163" s="380">
        <v>52053901</v>
      </c>
      <c r="B2163" s="381" t="s">
        <v>315</v>
      </c>
      <c r="C2163" s="381" t="s">
        <v>104</v>
      </c>
      <c r="D2163" s="381" t="s">
        <v>774</v>
      </c>
      <c r="E2163" s="381" t="s">
        <v>775</v>
      </c>
      <c r="F2163" s="378">
        <v>344124</v>
      </c>
      <c r="G2163" s="378">
        <v>60086</v>
      </c>
      <c r="H2163" s="378">
        <v>0</v>
      </c>
      <c r="I2163" s="378">
        <v>404210</v>
      </c>
      <c r="J2163" s="384">
        <f t="shared" si="39"/>
        <v>8</v>
      </c>
    </row>
    <row r="2164" spans="1:10" ht="15" customHeight="1" x14ac:dyDescent="0.25">
      <c r="A2164" s="380">
        <v>52053901</v>
      </c>
      <c r="B2164" s="381" t="s">
        <v>315</v>
      </c>
      <c r="C2164" s="381" t="s">
        <v>104</v>
      </c>
      <c r="D2164" s="381" t="s">
        <v>1196</v>
      </c>
      <c r="E2164" s="381" t="s">
        <v>1197</v>
      </c>
      <c r="F2164" s="378">
        <v>400880</v>
      </c>
      <c r="G2164" s="378">
        <v>74628</v>
      </c>
      <c r="H2164" s="378">
        <v>0</v>
      </c>
      <c r="I2164" s="378">
        <v>475508</v>
      </c>
      <c r="J2164" s="384">
        <f t="shared" si="39"/>
        <v>8</v>
      </c>
    </row>
    <row r="2165" spans="1:10" ht="15" customHeight="1" x14ac:dyDescent="0.25">
      <c r="A2165" s="380">
        <v>52053901</v>
      </c>
      <c r="B2165" s="381" t="s">
        <v>315</v>
      </c>
      <c r="C2165" s="381" t="s">
        <v>104</v>
      </c>
      <c r="D2165" s="381" t="s">
        <v>1078</v>
      </c>
      <c r="E2165" s="381" t="s">
        <v>1079</v>
      </c>
      <c r="F2165" s="378">
        <v>616667</v>
      </c>
      <c r="G2165" s="378">
        <v>406250</v>
      </c>
      <c r="H2165" s="378">
        <v>0</v>
      </c>
      <c r="I2165" s="378">
        <v>1022917</v>
      </c>
      <c r="J2165" s="384">
        <f t="shared" si="39"/>
        <v>8</v>
      </c>
    </row>
    <row r="2166" spans="1:10" ht="15" customHeight="1" x14ac:dyDescent="0.25">
      <c r="A2166" s="380">
        <v>52053901</v>
      </c>
      <c r="B2166" s="381" t="s">
        <v>315</v>
      </c>
      <c r="C2166" s="381" t="s">
        <v>104</v>
      </c>
      <c r="D2166" s="381" t="s">
        <v>781</v>
      </c>
      <c r="E2166" s="381" t="s">
        <v>782</v>
      </c>
      <c r="F2166" s="378">
        <v>1073588</v>
      </c>
      <c r="G2166" s="378">
        <v>91157</v>
      </c>
      <c r="H2166" s="378">
        <v>0</v>
      </c>
      <c r="I2166" s="378">
        <v>1164745</v>
      </c>
      <c r="J2166" s="384">
        <f t="shared" si="39"/>
        <v>8</v>
      </c>
    </row>
    <row r="2167" spans="1:10" ht="15" customHeight="1" x14ac:dyDescent="0.25">
      <c r="A2167" s="380">
        <v>52053901</v>
      </c>
      <c r="B2167" s="381" t="s">
        <v>315</v>
      </c>
      <c r="C2167" s="381" t="s">
        <v>104</v>
      </c>
      <c r="D2167" s="381" t="s">
        <v>728</v>
      </c>
      <c r="E2167" s="381" t="s">
        <v>729</v>
      </c>
      <c r="F2167" s="378">
        <v>1149611</v>
      </c>
      <c r="G2167" s="378">
        <v>90652</v>
      </c>
      <c r="H2167" s="378">
        <v>0</v>
      </c>
      <c r="I2167" s="378">
        <v>1240263</v>
      </c>
      <c r="J2167" s="384">
        <f t="shared" si="39"/>
        <v>8</v>
      </c>
    </row>
    <row r="2168" spans="1:10" ht="15" customHeight="1" x14ac:dyDescent="0.25">
      <c r="A2168" s="380">
        <v>52053901</v>
      </c>
      <c r="B2168" s="381" t="s">
        <v>315</v>
      </c>
      <c r="C2168" s="381" t="s">
        <v>104</v>
      </c>
      <c r="D2168" s="381" t="s">
        <v>783</v>
      </c>
      <c r="E2168" s="381" t="s">
        <v>784</v>
      </c>
      <c r="F2168" s="378">
        <v>351218</v>
      </c>
      <c r="G2168" s="378">
        <v>72823</v>
      </c>
      <c r="H2168" s="378">
        <v>0</v>
      </c>
      <c r="I2168" s="378">
        <v>424041</v>
      </c>
      <c r="J2168" s="384">
        <f t="shared" si="39"/>
        <v>8</v>
      </c>
    </row>
    <row r="2169" spans="1:10" ht="15" customHeight="1" x14ac:dyDescent="0.25">
      <c r="A2169" s="380">
        <v>52053901</v>
      </c>
      <c r="B2169" s="381" t="s">
        <v>315</v>
      </c>
      <c r="C2169" s="381" t="s">
        <v>104</v>
      </c>
      <c r="D2169" s="381" t="s">
        <v>797</v>
      </c>
      <c r="E2169" s="381" t="s">
        <v>798</v>
      </c>
      <c r="F2169" s="378">
        <v>333973</v>
      </c>
      <c r="G2169" s="378">
        <v>62730</v>
      </c>
      <c r="H2169" s="378">
        <v>0</v>
      </c>
      <c r="I2169" s="378">
        <v>396703</v>
      </c>
      <c r="J2169" s="384">
        <f t="shared" si="39"/>
        <v>8</v>
      </c>
    </row>
    <row r="2170" spans="1:10" ht="15" customHeight="1" x14ac:dyDescent="0.25">
      <c r="A2170" s="380">
        <v>52053901</v>
      </c>
      <c r="B2170" s="381" t="s">
        <v>315</v>
      </c>
      <c r="C2170" s="381" t="s">
        <v>104</v>
      </c>
      <c r="D2170" s="381" t="s">
        <v>1221</v>
      </c>
      <c r="E2170" s="381" t="s">
        <v>1494</v>
      </c>
      <c r="F2170" s="378">
        <v>560205</v>
      </c>
      <c r="G2170" s="378">
        <v>0</v>
      </c>
      <c r="H2170" s="378">
        <v>0</v>
      </c>
      <c r="I2170" s="378">
        <v>560205</v>
      </c>
      <c r="J2170" s="384">
        <f t="shared" si="39"/>
        <v>8</v>
      </c>
    </row>
    <row r="2171" spans="1:10" ht="15" customHeight="1" x14ac:dyDescent="0.25">
      <c r="A2171" s="380">
        <v>52053901</v>
      </c>
      <c r="B2171" s="381" t="s">
        <v>315</v>
      </c>
      <c r="C2171" s="381" t="s">
        <v>104</v>
      </c>
      <c r="D2171" s="381" t="s">
        <v>1222</v>
      </c>
      <c r="E2171" s="381" t="s">
        <v>1223</v>
      </c>
      <c r="F2171" s="378">
        <v>62258</v>
      </c>
      <c r="G2171" s="378">
        <v>0</v>
      </c>
      <c r="H2171" s="378">
        <v>0</v>
      </c>
      <c r="I2171" s="378">
        <v>62258</v>
      </c>
      <c r="J2171" s="384">
        <f t="shared" si="39"/>
        <v>8</v>
      </c>
    </row>
    <row r="2172" spans="1:10" ht="15" customHeight="1" x14ac:dyDescent="0.25">
      <c r="A2172" s="380">
        <v>52053901</v>
      </c>
      <c r="B2172" s="381" t="s">
        <v>315</v>
      </c>
      <c r="C2172" s="381" t="s">
        <v>104</v>
      </c>
      <c r="D2172" s="381" t="s">
        <v>1198</v>
      </c>
      <c r="E2172" s="381" t="s">
        <v>1199</v>
      </c>
      <c r="F2172" s="378">
        <v>92474</v>
      </c>
      <c r="G2172" s="378">
        <v>65213</v>
      </c>
      <c r="H2172" s="378">
        <v>0</v>
      </c>
      <c r="I2172" s="378">
        <v>157687</v>
      </c>
      <c r="J2172" s="384">
        <f t="shared" si="39"/>
        <v>8</v>
      </c>
    </row>
    <row r="2173" spans="1:10" ht="15" customHeight="1" x14ac:dyDescent="0.25">
      <c r="A2173" s="380">
        <v>52053901</v>
      </c>
      <c r="B2173" s="381" t="s">
        <v>315</v>
      </c>
      <c r="C2173" s="381" t="s">
        <v>104</v>
      </c>
      <c r="D2173" s="381" t="s">
        <v>753</v>
      </c>
      <c r="E2173" s="381" t="s">
        <v>754</v>
      </c>
      <c r="F2173" s="378">
        <v>343688</v>
      </c>
      <c r="G2173" s="378">
        <v>0</v>
      </c>
      <c r="H2173" s="378">
        <v>0</v>
      </c>
      <c r="I2173" s="378">
        <v>343688</v>
      </c>
      <c r="J2173" s="384">
        <f t="shared" si="39"/>
        <v>8</v>
      </c>
    </row>
    <row r="2174" spans="1:10" ht="15" customHeight="1" x14ac:dyDescent="0.25">
      <c r="A2174" s="380">
        <v>52053901</v>
      </c>
      <c r="B2174" s="381" t="s">
        <v>315</v>
      </c>
      <c r="C2174" s="381" t="s">
        <v>104</v>
      </c>
      <c r="D2174" s="381" t="s">
        <v>1253</v>
      </c>
      <c r="E2174" s="381" t="s">
        <v>1254</v>
      </c>
      <c r="F2174" s="378">
        <v>0</v>
      </c>
      <c r="G2174" s="378">
        <v>763498</v>
      </c>
      <c r="H2174" s="378">
        <v>0</v>
      </c>
      <c r="I2174" s="378">
        <v>763498</v>
      </c>
      <c r="J2174" s="384">
        <f t="shared" si="39"/>
        <v>8</v>
      </c>
    </row>
    <row r="2175" spans="1:10" ht="15" customHeight="1" x14ac:dyDescent="0.25">
      <c r="A2175" s="380">
        <v>52053901</v>
      </c>
      <c r="B2175" s="381" t="s">
        <v>315</v>
      </c>
      <c r="C2175" s="381" t="s">
        <v>104</v>
      </c>
      <c r="D2175" s="381" t="s">
        <v>1200</v>
      </c>
      <c r="E2175" s="381" t="s">
        <v>1201</v>
      </c>
      <c r="F2175" s="378">
        <v>392023</v>
      </c>
      <c r="G2175" s="378">
        <v>79815</v>
      </c>
      <c r="H2175" s="378">
        <v>0</v>
      </c>
      <c r="I2175" s="378">
        <v>471838</v>
      </c>
      <c r="J2175" s="384">
        <f t="shared" si="39"/>
        <v>8</v>
      </c>
    </row>
    <row r="2176" spans="1:10" ht="15" customHeight="1" x14ac:dyDescent="0.25">
      <c r="A2176" s="380">
        <v>52053901</v>
      </c>
      <c r="B2176" s="381" t="s">
        <v>315</v>
      </c>
      <c r="C2176" s="381" t="s">
        <v>104</v>
      </c>
      <c r="D2176" s="381" t="s">
        <v>786</v>
      </c>
      <c r="E2176" s="381" t="s">
        <v>787</v>
      </c>
      <c r="F2176" s="378">
        <v>698752</v>
      </c>
      <c r="G2176" s="378">
        <v>110613</v>
      </c>
      <c r="H2176" s="378">
        <v>0</v>
      </c>
      <c r="I2176" s="378">
        <v>809365</v>
      </c>
      <c r="J2176" s="384">
        <f t="shared" si="39"/>
        <v>8</v>
      </c>
    </row>
    <row r="2177" spans="1:10" ht="15" customHeight="1" x14ac:dyDescent="0.25">
      <c r="A2177" s="380">
        <v>52053901</v>
      </c>
      <c r="B2177" s="381" t="s">
        <v>315</v>
      </c>
      <c r="C2177" s="381" t="s">
        <v>104</v>
      </c>
      <c r="D2177" s="381" t="s">
        <v>1224</v>
      </c>
      <c r="E2177" s="381" t="s">
        <v>1225</v>
      </c>
      <c r="F2177" s="378">
        <v>327054</v>
      </c>
      <c r="G2177" s="378">
        <v>81923</v>
      </c>
      <c r="H2177" s="378">
        <v>0</v>
      </c>
      <c r="I2177" s="378">
        <v>408977</v>
      </c>
      <c r="J2177" s="384">
        <f t="shared" si="39"/>
        <v>8</v>
      </c>
    </row>
    <row r="2178" spans="1:10" ht="15" customHeight="1" x14ac:dyDescent="0.25">
      <c r="A2178" s="380">
        <v>52053901</v>
      </c>
      <c r="B2178" s="381" t="s">
        <v>315</v>
      </c>
      <c r="C2178" s="381" t="s">
        <v>104</v>
      </c>
      <c r="D2178" s="381" t="s">
        <v>1226</v>
      </c>
      <c r="E2178" s="381" t="s">
        <v>1227</v>
      </c>
      <c r="F2178" s="378">
        <v>21117</v>
      </c>
      <c r="G2178" s="378">
        <v>0</v>
      </c>
      <c r="H2178" s="378">
        <v>0</v>
      </c>
      <c r="I2178" s="378">
        <v>21117</v>
      </c>
      <c r="J2178" s="384">
        <f t="shared" si="39"/>
        <v>8</v>
      </c>
    </row>
    <row r="2179" spans="1:10" ht="15" customHeight="1" x14ac:dyDescent="0.25">
      <c r="A2179" s="380">
        <v>52053901</v>
      </c>
      <c r="B2179" s="381" t="s">
        <v>315</v>
      </c>
      <c r="C2179" s="381" t="s">
        <v>104</v>
      </c>
      <c r="D2179" s="381" t="s">
        <v>1202</v>
      </c>
      <c r="E2179" s="381" t="s">
        <v>1203</v>
      </c>
      <c r="F2179" s="378">
        <v>76117</v>
      </c>
      <c r="G2179" s="378">
        <v>76310</v>
      </c>
      <c r="H2179" s="378">
        <v>0</v>
      </c>
      <c r="I2179" s="378">
        <v>152427</v>
      </c>
      <c r="J2179" s="384">
        <f t="shared" si="39"/>
        <v>8</v>
      </c>
    </row>
    <row r="2180" spans="1:10" ht="15" customHeight="1" x14ac:dyDescent="0.25">
      <c r="A2180" s="380">
        <v>52053901</v>
      </c>
      <c r="B2180" s="381" t="s">
        <v>315</v>
      </c>
      <c r="C2180" s="381" t="s">
        <v>104</v>
      </c>
      <c r="D2180" s="381" t="s">
        <v>1228</v>
      </c>
      <c r="E2180" s="381" t="s">
        <v>1229</v>
      </c>
      <c r="F2180" s="378">
        <v>79551</v>
      </c>
      <c r="G2180" s="378">
        <v>43805</v>
      </c>
      <c r="H2180" s="378">
        <v>0</v>
      </c>
      <c r="I2180" s="378">
        <v>123356</v>
      </c>
      <c r="J2180" s="384">
        <f t="shared" si="39"/>
        <v>8</v>
      </c>
    </row>
    <row r="2181" spans="1:10" ht="15" customHeight="1" x14ac:dyDescent="0.25">
      <c r="A2181" s="380">
        <v>52053901</v>
      </c>
      <c r="B2181" s="381" t="s">
        <v>315</v>
      </c>
      <c r="C2181" s="381" t="s">
        <v>104</v>
      </c>
      <c r="D2181" s="381" t="s">
        <v>1086</v>
      </c>
      <c r="E2181" s="381" t="s">
        <v>1087</v>
      </c>
      <c r="F2181" s="378">
        <v>484603</v>
      </c>
      <c r="G2181" s="378">
        <v>71351</v>
      </c>
      <c r="H2181" s="378">
        <v>0</v>
      </c>
      <c r="I2181" s="378">
        <v>555954</v>
      </c>
      <c r="J2181" s="384">
        <f t="shared" si="39"/>
        <v>8</v>
      </c>
    </row>
    <row r="2182" spans="1:10" ht="15" customHeight="1" x14ac:dyDescent="0.25">
      <c r="A2182" s="380">
        <v>52053901</v>
      </c>
      <c r="B2182" s="381" t="s">
        <v>315</v>
      </c>
      <c r="C2182" s="381" t="s">
        <v>104</v>
      </c>
      <c r="D2182" s="381" t="s">
        <v>404</v>
      </c>
      <c r="E2182" s="381" t="s">
        <v>1230</v>
      </c>
      <c r="F2182" s="378">
        <v>92621</v>
      </c>
      <c r="G2182" s="378">
        <v>65124</v>
      </c>
      <c r="H2182" s="378">
        <v>0</v>
      </c>
      <c r="I2182" s="378">
        <v>157745</v>
      </c>
      <c r="J2182" s="384">
        <f t="shared" si="39"/>
        <v>8</v>
      </c>
    </row>
    <row r="2183" spans="1:10" ht="15" customHeight="1" x14ac:dyDescent="0.25">
      <c r="A2183" s="380">
        <v>52053901</v>
      </c>
      <c r="B2183" s="381" t="s">
        <v>315</v>
      </c>
      <c r="C2183" s="381" t="s">
        <v>104</v>
      </c>
      <c r="D2183" s="381" t="s">
        <v>1204</v>
      </c>
      <c r="E2183" s="381" t="s">
        <v>1205</v>
      </c>
      <c r="F2183" s="378">
        <v>82545</v>
      </c>
      <c r="G2183" s="378">
        <v>64503</v>
      </c>
      <c r="H2183" s="378">
        <v>0</v>
      </c>
      <c r="I2183" s="378">
        <v>147048</v>
      </c>
      <c r="J2183" s="384">
        <f t="shared" si="39"/>
        <v>8</v>
      </c>
    </row>
    <row r="2184" spans="1:10" ht="15" customHeight="1" x14ac:dyDescent="0.25">
      <c r="A2184" s="380">
        <v>52053901</v>
      </c>
      <c r="B2184" s="381" t="s">
        <v>315</v>
      </c>
      <c r="C2184" s="381" t="s">
        <v>104</v>
      </c>
      <c r="D2184" s="381" t="s">
        <v>1231</v>
      </c>
      <c r="E2184" s="381" t="s">
        <v>1232</v>
      </c>
      <c r="F2184" s="378">
        <v>68438</v>
      </c>
      <c r="G2184" s="378">
        <v>0</v>
      </c>
      <c r="H2184" s="378">
        <v>0</v>
      </c>
      <c r="I2184" s="378">
        <v>68438</v>
      </c>
      <c r="J2184" s="384">
        <f t="shared" si="39"/>
        <v>8</v>
      </c>
    </row>
    <row r="2185" spans="1:10" ht="15" customHeight="1" x14ac:dyDescent="0.25">
      <c r="A2185" s="380">
        <v>52053901</v>
      </c>
      <c r="B2185" s="381" t="s">
        <v>315</v>
      </c>
      <c r="C2185" s="381" t="s">
        <v>104</v>
      </c>
      <c r="D2185" s="381" t="s">
        <v>788</v>
      </c>
      <c r="E2185" s="381" t="s">
        <v>789</v>
      </c>
      <c r="F2185" s="378">
        <v>161388</v>
      </c>
      <c r="G2185" s="378">
        <v>134021</v>
      </c>
      <c r="H2185" s="378">
        <v>0</v>
      </c>
      <c r="I2185" s="378">
        <v>295409</v>
      </c>
      <c r="J2185" s="384">
        <f t="shared" si="39"/>
        <v>8</v>
      </c>
    </row>
    <row r="2186" spans="1:10" ht="15" customHeight="1" x14ac:dyDescent="0.25">
      <c r="A2186" s="380">
        <v>52053901</v>
      </c>
      <c r="B2186" s="381" t="s">
        <v>315</v>
      </c>
      <c r="C2186" s="381" t="s">
        <v>104</v>
      </c>
      <c r="D2186" s="381" t="s">
        <v>1206</v>
      </c>
      <c r="E2186" s="381" t="s">
        <v>1207</v>
      </c>
      <c r="F2186" s="378">
        <v>303269</v>
      </c>
      <c r="G2186" s="378">
        <v>79945</v>
      </c>
      <c r="H2186" s="378">
        <v>0</v>
      </c>
      <c r="I2186" s="378">
        <v>383214</v>
      </c>
      <c r="J2186" s="384">
        <f t="shared" si="39"/>
        <v>8</v>
      </c>
    </row>
    <row r="2187" spans="1:10" ht="15" customHeight="1" x14ac:dyDescent="0.25">
      <c r="A2187" s="380">
        <v>52053901</v>
      </c>
      <c r="B2187" s="381" t="s">
        <v>315</v>
      </c>
      <c r="C2187" s="381" t="s">
        <v>104</v>
      </c>
      <c r="D2187" s="381" t="s">
        <v>1088</v>
      </c>
      <c r="E2187" s="381" t="s">
        <v>1089</v>
      </c>
      <c r="F2187" s="378">
        <v>177962</v>
      </c>
      <c r="G2187" s="378">
        <v>0</v>
      </c>
      <c r="H2187" s="378">
        <v>2628</v>
      </c>
      <c r="I2187" s="378">
        <v>175334</v>
      </c>
      <c r="J2187" s="384">
        <f t="shared" si="39"/>
        <v>8</v>
      </c>
    </row>
    <row r="2188" spans="1:10" ht="15" customHeight="1" x14ac:dyDescent="0.25">
      <c r="A2188" s="380">
        <v>52053901</v>
      </c>
      <c r="B2188" s="381" t="s">
        <v>315</v>
      </c>
      <c r="C2188" s="381" t="s">
        <v>104</v>
      </c>
      <c r="D2188" s="381" t="s">
        <v>776</v>
      </c>
      <c r="E2188" s="381" t="s">
        <v>777</v>
      </c>
      <c r="F2188" s="378">
        <v>465083</v>
      </c>
      <c r="G2188" s="378">
        <v>92609</v>
      </c>
      <c r="H2188" s="378">
        <v>0</v>
      </c>
      <c r="I2188" s="378">
        <v>557692</v>
      </c>
      <c r="J2188" s="384">
        <f t="shared" si="39"/>
        <v>8</v>
      </c>
    </row>
    <row r="2189" spans="1:10" ht="15" customHeight="1" x14ac:dyDescent="0.25">
      <c r="A2189" s="380">
        <v>52053901</v>
      </c>
      <c r="B2189" s="381" t="s">
        <v>315</v>
      </c>
      <c r="C2189" s="381" t="s">
        <v>104</v>
      </c>
      <c r="D2189" s="381" t="s">
        <v>790</v>
      </c>
      <c r="E2189" s="381" t="s">
        <v>791</v>
      </c>
      <c r="F2189" s="378">
        <v>383657</v>
      </c>
      <c r="G2189" s="378">
        <v>86952</v>
      </c>
      <c r="H2189" s="378">
        <v>0</v>
      </c>
      <c r="I2189" s="378">
        <v>470609</v>
      </c>
      <c r="J2189" s="384">
        <f t="shared" si="39"/>
        <v>8</v>
      </c>
    </row>
    <row r="2190" spans="1:10" ht="15" customHeight="1" x14ac:dyDescent="0.25">
      <c r="A2190" s="380">
        <v>52053901</v>
      </c>
      <c r="B2190" s="381" t="s">
        <v>315</v>
      </c>
      <c r="C2190" s="381" t="s">
        <v>104</v>
      </c>
      <c r="D2190" s="381" t="s">
        <v>1233</v>
      </c>
      <c r="E2190" s="381" t="s">
        <v>1234</v>
      </c>
      <c r="F2190" s="378">
        <v>249410</v>
      </c>
      <c r="G2190" s="378">
        <v>0</v>
      </c>
      <c r="H2190" s="378">
        <v>0</v>
      </c>
      <c r="I2190" s="378">
        <v>249410</v>
      </c>
      <c r="J2190" s="384">
        <f t="shared" si="39"/>
        <v>8</v>
      </c>
    </row>
    <row r="2191" spans="1:10" ht="15" customHeight="1" x14ac:dyDescent="0.25">
      <c r="A2191" s="380">
        <v>52053901</v>
      </c>
      <c r="B2191" s="381" t="s">
        <v>315</v>
      </c>
      <c r="C2191" s="381" t="s">
        <v>104</v>
      </c>
      <c r="D2191" s="381" t="s">
        <v>1235</v>
      </c>
      <c r="E2191" s="381" t="s">
        <v>1236</v>
      </c>
      <c r="F2191" s="378">
        <v>44921</v>
      </c>
      <c r="G2191" s="378">
        <v>0</v>
      </c>
      <c r="H2191" s="378">
        <v>0</v>
      </c>
      <c r="I2191" s="378">
        <v>44921</v>
      </c>
      <c r="J2191" s="384">
        <f t="shared" si="39"/>
        <v>8</v>
      </c>
    </row>
    <row r="2192" spans="1:10" ht="15" customHeight="1" x14ac:dyDescent="0.25">
      <c r="A2192" s="380">
        <v>52053901</v>
      </c>
      <c r="B2192" s="381" t="s">
        <v>315</v>
      </c>
      <c r="C2192" s="381" t="s">
        <v>104</v>
      </c>
      <c r="D2192" s="381" t="s">
        <v>1208</v>
      </c>
      <c r="E2192" s="381" t="s">
        <v>1209</v>
      </c>
      <c r="F2192" s="378">
        <v>364992</v>
      </c>
      <c r="G2192" s="378">
        <v>75143</v>
      </c>
      <c r="H2192" s="378">
        <v>0</v>
      </c>
      <c r="I2192" s="378">
        <v>440135</v>
      </c>
      <c r="J2192" s="384">
        <f t="shared" si="39"/>
        <v>8</v>
      </c>
    </row>
    <row r="2193" spans="1:10" ht="15" customHeight="1" x14ac:dyDescent="0.25">
      <c r="A2193" s="380">
        <v>52053901</v>
      </c>
      <c r="B2193" s="381" t="s">
        <v>315</v>
      </c>
      <c r="C2193" s="381" t="s">
        <v>104</v>
      </c>
      <c r="D2193" s="381" t="s">
        <v>1237</v>
      </c>
      <c r="E2193" s="381" t="s">
        <v>1238</v>
      </c>
      <c r="F2193" s="378">
        <v>97502</v>
      </c>
      <c r="G2193" s="378">
        <v>82181</v>
      </c>
      <c r="H2193" s="378">
        <v>0</v>
      </c>
      <c r="I2193" s="378">
        <v>179683</v>
      </c>
      <c r="J2193" s="384">
        <f t="shared" si="39"/>
        <v>8</v>
      </c>
    </row>
    <row r="2194" spans="1:10" ht="15" customHeight="1" x14ac:dyDescent="0.25">
      <c r="A2194" s="380">
        <v>52053901</v>
      </c>
      <c r="B2194" s="381" t="s">
        <v>315</v>
      </c>
      <c r="C2194" s="381" t="s">
        <v>104</v>
      </c>
      <c r="D2194" s="381" t="s">
        <v>1239</v>
      </c>
      <c r="E2194" s="381" t="s">
        <v>1240</v>
      </c>
      <c r="F2194" s="378">
        <v>364279</v>
      </c>
      <c r="G2194" s="378">
        <v>0</v>
      </c>
      <c r="H2194" s="378">
        <v>0</v>
      </c>
      <c r="I2194" s="378">
        <v>364279</v>
      </c>
      <c r="J2194" s="384">
        <f t="shared" si="39"/>
        <v>8</v>
      </c>
    </row>
    <row r="2195" spans="1:10" ht="15" customHeight="1" x14ac:dyDescent="0.25">
      <c r="A2195" s="380">
        <v>52053901</v>
      </c>
      <c r="B2195" s="381" t="s">
        <v>315</v>
      </c>
      <c r="C2195" s="381" t="s">
        <v>104</v>
      </c>
      <c r="D2195" s="381" t="s">
        <v>1248</v>
      </c>
      <c r="E2195" s="381" t="s">
        <v>1249</v>
      </c>
      <c r="F2195" s="378">
        <v>4855</v>
      </c>
      <c r="G2195" s="378">
        <v>0</v>
      </c>
      <c r="H2195" s="378">
        <v>0</v>
      </c>
      <c r="I2195" s="378">
        <v>4855</v>
      </c>
      <c r="J2195" s="384">
        <f t="shared" si="39"/>
        <v>8</v>
      </c>
    </row>
    <row r="2196" spans="1:10" ht="15" customHeight="1" x14ac:dyDescent="0.25">
      <c r="A2196" s="380">
        <v>52053901</v>
      </c>
      <c r="B2196" s="381" t="s">
        <v>315</v>
      </c>
      <c r="C2196" s="381" t="s">
        <v>104</v>
      </c>
      <c r="D2196" s="381" t="s">
        <v>1210</v>
      </c>
      <c r="E2196" s="381" t="s">
        <v>1211</v>
      </c>
      <c r="F2196" s="378">
        <v>367909</v>
      </c>
      <c r="G2196" s="378">
        <v>68369</v>
      </c>
      <c r="H2196" s="378">
        <v>0</v>
      </c>
      <c r="I2196" s="378">
        <v>436278</v>
      </c>
      <c r="J2196" s="384">
        <f t="shared" si="39"/>
        <v>8</v>
      </c>
    </row>
    <row r="2197" spans="1:10" ht="15" customHeight="1" x14ac:dyDescent="0.25">
      <c r="A2197" s="380">
        <v>52053901</v>
      </c>
      <c r="B2197" s="381" t="s">
        <v>315</v>
      </c>
      <c r="C2197" s="381" t="s">
        <v>104</v>
      </c>
      <c r="D2197" s="381" t="s">
        <v>1090</v>
      </c>
      <c r="E2197" s="381" t="s">
        <v>1091</v>
      </c>
      <c r="F2197" s="378">
        <v>487516</v>
      </c>
      <c r="G2197" s="378">
        <v>100668</v>
      </c>
      <c r="H2197" s="378">
        <v>0</v>
      </c>
      <c r="I2197" s="378">
        <v>588184</v>
      </c>
      <c r="J2197" s="384">
        <f t="shared" si="39"/>
        <v>8</v>
      </c>
    </row>
    <row r="2198" spans="1:10" ht="15" customHeight="1" x14ac:dyDescent="0.25">
      <c r="A2198" s="380">
        <v>52053901</v>
      </c>
      <c r="B2198" s="381" t="s">
        <v>315</v>
      </c>
      <c r="C2198" s="381" t="s">
        <v>104</v>
      </c>
      <c r="D2198" s="381" t="s">
        <v>1241</v>
      </c>
      <c r="E2198" s="381" t="s">
        <v>1242</v>
      </c>
      <c r="F2198" s="378">
        <v>135903</v>
      </c>
      <c r="G2198" s="378">
        <v>68105</v>
      </c>
      <c r="H2198" s="378">
        <v>0</v>
      </c>
      <c r="I2198" s="378">
        <v>204008</v>
      </c>
      <c r="J2198" s="384">
        <f t="shared" si="39"/>
        <v>8</v>
      </c>
    </row>
    <row r="2199" spans="1:10" ht="15" customHeight="1" x14ac:dyDescent="0.25">
      <c r="A2199" s="380">
        <v>52053901</v>
      </c>
      <c r="B2199" s="381" t="s">
        <v>315</v>
      </c>
      <c r="C2199" s="381" t="s">
        <v>104</v>
      </c>
      <c r="D2199" s="381" t="s">
        <v>792</v>
      </c>
      <c r="E2199" s="381" t="s">
        <v>793</v>
      </c>
      <c r="F2199" s="378">
        <v>547240</v>
      </c>
      <c r="G2199" s="378">
        <v>88324</v>
      </c>
      <c r="H2199" s="378">
        <v>0</v>
      </c>
      <c r="I2199" s="378">
        <v>635564</v>
      </c>
      <c r="J2199" s="384">
        <f t="shared" si="39"/>
        <v>8</v>
      </c>
    </row>
    <row r="2200" spans="1:10" ht="15" customHeight="1" x14ac:dyDescent="0.25">
      <c r="A2200" s="380">
        <v>52053901</v>
      </c>
      <c r="B2200" s="381" t="s">
        <v>315</v>
      </c>
      <c r="C2200" s="381" t="s">
        <v>104</v>
      </c>
      <c r="D2200" s="381" t="s">
        <v>794</v>
      </c>
      <c r="E2200" s="381" t="s">
        <v>795</v>
      </c>
      <c r="F2200" s="378">
        <v>155187</v>
      </c>
      <c r="G2200" s="378">
        <v>346048</v>
      </c>
      <c r="H2200" s="378">
        <v>0</v>
      </c>
      <c r="I2200" s="378">
        <v>501235</v>
      </c>
      <c r="J2200" s="384">
        <f t="shared" si="39"/>
        <v>8</v>
      </c>
    </row>
    <row r="2201" spans="1:10" ht="15" customHeight="1" x14ac:dyDescent="0.25">
      <c r="A2201" s="380">
        <v>52053901</v>
      </c>
      <c r="B2201" s="381" t="s">
        <v>315</v>
      </c>
      <c r="C2201" s="381" t="s">
        <v>104</v>
      </c>
      <c r="D2201" s="381" t="s">
        <v>1212</v>
      </c>
      <c r="E2201" s="381" t="s">
        <v>1213</v>
      </c>
      <c r="F2201" s="378">
        <v>0</v>
      </c>
      <c r="G2201" s="378">
        <v>43496</v>
      </c>
      <c r="H2201" s="378">
        <v>0</v>
      </c>
      <c r="I2201" s="378">
        <v>43496</v>
      </c>
      <c r="J2201" s="384">
        <f t="shared" si="39"/>
        <v>8</v>
      </c>
    </row>
    <row r="2202" spans="1:10" ht="15" customHeight="1" x14ac:dyDescent="0.25">
      <c r="A2202" s="380">
        <v>52053901</v>
      </c>
      <c r="B2202" s="381" t="s">
        <v>315</v>
      </c>
      <c r="C2202" s="381" t="s">
        <v>104</v>
      </c>
      <c r="D2202" s="381" t="s">
        <v>1092</v>
      </c>
      <c r="E2202" s="381" t="s">
        <v>1093</v>
      </c>
      <c r="F2202" s="378">
        <v>495850</v>
      </c>
      <c r="G2202" s="378">
        <v>5489</v>
      </c>
      <c r="H2202" s="378">
        <v>0</v>
      </c>
      <c r="I2202" s="378">
        <v>501339</v>
      </c>
      <c r="J2202" s="384">
        <f t="shared" si="39"/>
        <v>8</v>
      </c>
    </row>
    <row r="2203" spans="1:10" ht="15" customHeight="1" x14ac:dyDescent="0.25">
      <c r="A2203" s="380">
        <v>52053901</v>
      </c>
      <c r="B2203" s="381" t="s">
        <v>315</v>
      </c>
      <c r="C2203" s="381" t="s">
        <v>104</v>
      </c>
      <c r="D2203" s="381" t="s">
        <v>1243</v>
      </c>
      <c r="E2203" s="381" t="s">
        <v>1244</v>
      </c>
      <c r="F2203" s="378">
        <v>189477</v>
      </c>
      <c r="G2203" s="378">
        <v>0</v>
      </c>
      <c r="H2203" s="378">
        <v>0</v>
      </c>
      <c r="I2203" s="378">
        <v>189477</v>
      </c>
      <c r="J2203" s="384">
        <f t="shared" si="39"/>
        <v>8</v>
      </c>
    </row>
    <row r="2204" spans="1:10" ht="15" customHeight="1" x14ac:dyDescent="0.25">
      <c r="A2204" s="380">
        <v>52053901</v>
      </c>
      <c r="B2204" s="381" t="s">
        <v>315</v>
      </c>
      <c r="C2204" s="381" t="s">
        <v>104</v>
      </c>
      <c r="D2204" s="381" t="s">
        <v>1214</v>
      </c>
      <c r="E2204" s="381" t="s">
        <v>1489</v>
      </c>
      <c r="F2204" s="378">
        <v>938715</v>
      </c>
      <c r="G2204" s="378">
        <v>91157</v>
      </c>
      <c r="H2204" s="378">
        <v>0</v>
      </c>
      <c r="I2204" s="378">
        <v>1029872</v>
      </c>
      <c r="J2204" s="384">
        <f t="shared" si="39"/>
        <v>8</v>
      </c>
    </row>
    <row r="2205" spans="1:10" ht="15" customHeight="1" x14ac:dyDescent="0.25">
      <c r="A2205" s="380">
        <v>52053901</v>
      </c>
      <c r="B2205" s="381" t="s">
        <v>315</v>
      </c>
      <c r="C2205" s="381" t="s">
        <v>104</v>
      </c>
      <c r="D2205" s="381" t="s">
        <v>1094</v>
      </c>
      <c r="E2205" s="381" t="s">
        <v>1095</v>
      </c>
      <c r="F2205" s="378">
        <v>420081</v>
      </c>
      <c r="G2205" s="378">
        <v>54556</v>
      </c>
      <c r="H2205" s="378">
        <v>0</v>
      </c>
      <c r="I2205" s="378">
        <v>474637</v>
      </c>
      <c r="J2205" s="384">
        <f t="shared" si="39"/>
        <v>8</v>
      </c>
    </row>
    <row r="2206" spans="1:10" ht="15" customHeight="1" x14ac:dyDescent="0.25">
      <c r="A2206" s="380">
        <v>520545</v>
      </c>
      <c r="B2206" s="381" t="s">
        <v>315</v>
      </c>
      <c r="C2206" s="381" t="s">
        <v>1323</v>
      </c>
      <c r="D2206" s="381" t="s">
        <v>315</v>
      </c>
      <c r="E2206" s="381" t="s">
        <v>315</v>
      </c>
      <c r="F2206" s="378">
        <v>2717000</v>
      </c>
      <c r="G2206" s="378">
        <v>400000</v>
      </c>
      <c r="H2206" s="378">
        <v>0</v>
      </c>
      <c r="I2206" s="378">
        <v>3117000</v>
      </c>
      <c r="J2206" s="384">
        <f t="shared" si="39"/>
        <v>6</v>
      </c>
    </row>
    <row r="2207" spans="1:10" ht="15" customHeight="1" x14ac:dyDescent="0.25">
      <c r="A2207" s="380">
        <v>52054502</v>
      </c>
      <c r="B2207" s="381" t="s">
        <v>321</v>
      </c>
      <c r="C2207" s="381" t="s">
        <v>1324</v>
      </c>
      <c r="D2207" s="381" t="s">
        <v>315</v>
      </c>
      <c r="E2207" s="381" t="s">
        <v>315</v>
      </c>
      <c r="F2207" s="378">
        <v>2717000</v>
      </c>
      <c r="G2207" s="378">
        <v>400000</v>
      </c>
      <c r="H2207" s="378">
        <v>0</v>
      </c>
      <c r="I2207" s="378">
        <v>3117000</v>
      </c>
      <c r="J2207" s="384">
        <f t="shared" si="39"/>
        <v>8</v>
      </c>
    </row>
    <row r="2208" spans="1:10" ht="15" customHeight="1" x14ac:dyDescent="0.25">
      <c r="A2208" s="380">
        <v>52054502</v>
      </c>
      <c r="B2208" s="381" t="s">
        <v>321</v>
      </c>
      <c r="C2208" s="381" t="s">
        <v>1324</v>
      </c>
      <c r="D2208" s="381" t="s">
        <v>1078</v>
      </c>
      <c r="E2208" s="381" t="s">
        <v>1079</v>
      </c>
      <c r="F2208" s="378">
        <v>1360000</v>
      </c>
      <c r="G2208" s="378">
        <v>400000</v>
      </c>
      <c r="H2208" s="378">
        <v>0</v>
      </c>
      <c r="I2208" s="378">
        <v>1760000</v>
      </c>
      <c r="J2208" s="384">
        <f t="shared" si="39"/>
        <v>8</v>
      </c>
    </row>
    <row r="2209" spans="1:10" ht="15" customHeight="1" x14ac:dyDescent="0.25">
      <c r="A2209" s="380">
        <v>52054502</v>
      </c>
      <c r="B2209" s="381" t="s">
        <v>321</v>
      </c>
      <c r="C2209" s="381" t="s">
        <v>1324</v>
      </c>
      <c r="D2209" s="381" t="s">
        <v>1092</v>
      </c>
      <c r="E2209" s="381" t="s">
        <v>1093</v>
      </c>
      <c r="F2209" s="378">
        <v>1357000</v>
      </c>
      <c r="G2209" s="378">
        <v>0</v>
      </c>
      <c r="H2209" s="378">
        <v>0</v>
      </c>
      <c r="I2209" s="378">
        <v>1357000</v>
      </c>
      <c r="J2209" s="384">
        <f t="shared" si="39"/>
        <v>8</v>
      </c>
    </row>
    <row r="2210" spans="1:10" ht="15" customHeight="1" x14ac:dyDescent="0.25">
      <c r="A2210" s="380">
        <v>520548</v>
      </c>
      <c r="B2210" s="381" t="s">
        <v>315</v>
      </c>
      <c r="C2210" s="381" t="s">
        <v>1325</v>
      </c>
      <c r="D2210" s="381" t="s">
        <v>315</v>
      </c>
      <c r="E2210" s="381" t="s">
        <v>315</v>
      </c>
      <c r="F2210" s="378">
        <v>14530641</v>
      </c>
      <c r="G2210" s="378">
        <v>3075863</v>
      </c>
      <c r="H2210" s="378">
        <v>0</v>
      </c>
      <c r="I2210" s="378">
        <v>17606504</v>
      </c>
      <c r="J2210" s="384">
        <f t="shared" si="39"/>
        <v>6</v>
      </c>
    </row>
    <row r="2211" spans="1:10" ht="15" customHeight="1" x14ac:dyDescent="0.25">
      <c r="A2211" s="380">
        <v>52054801</v>
      </c>
      <c r="B2211" s="381" t="s">
        <v>315</v>
      </c>
      <c r="C2211" s="381" t="s">
        <v>1325</v>
      </c>
      <c r="D2211" s="381" t="s">
        <v>315</v>
      </c>
      <c r="E2211" s="381" t="s">
        <v>315</v>
      </c>
      <c r="F2211" s="378">
        <v>4500000</v>
      </c>
      <c r="G2211" s="378">
        <v>1250000</v>
      </c>
      <c r="H2211" s="378">
        <v>0</v>
      </c>
      <c r="I2211" s="378">
        <v>5750000</v>
      </c>
      <c r="J2211" s="384">
        <f t="shared" si="39"/>
        <v>8</v>
      </c>
    </row>
    <row r="2212" spans="1:10" ht="15" customHeight="1" x14ac:dyDescent="0.25">
      <c r="A2212" s="380">
        <v>52054801</v>
      </c>
      <c r="B2212" s="381" t="s">
        <v>315</v>
      </c>
      <c r="C2212" s="381" t="s">
        <v>1325</v>
      </c>
      <c r="D2212" s="381" t="s">
        <v>1078</v>
      </c>
      <c r="E2212" s="381" t="s">
        <v>1079</v>
      </c>
      <c r="F2212" s="378">
        <v>4500000</v>
      </c>
      <c r="G2212" s="378">
        <v>1250000</v>
      </c>
      <c r="H2212" s="378">
        <v>0</v>
      </c>
      <c r="I2212" s="378">
        <v>5750000</v>
      </c>
      <c r="J2212" s="384">
        <f t="shared" si="39"/>
        <v>8</v>
      </c>
    </row>
    <row r="2213" spans="1:10" ht="15" customHeight="1" x14ac:dyDescent="0.25">
      <c r="A2213" s="380">
        <v>52054802</v>
      </c>
      <c r="B2213" s="381" t="s">
        <v>315</v>
      </c>
      <c r="C2213" s="381" t="s">
        <v>1326</v>
      </c>
      <c r="D2213" s="381" t="s">
        <v>315</v>
      </c>
      <c r="E2213" s="381" t="s">
        <v>315</v>
      </c>
      <c r="F2213" s="378">
        <v>10030641</v>
      </c>
      <c r="G2213" s="378">
        <v>1825863</v>
      </c>
      <c r="H2213" s="378">
        <v>0</v>
      </c>
      <c r="I2213" s="378">
        <v>11856504</v>
      </c>
      <c r="J2213" s="384">
        <f t="shared" si="39"/>
        <v>8</v>
      </c>
    </row>
    <row r="2214" spans="1:10" ht="15" customHeight="1" x14ac:dyDescent="0.25">
      <c r="A2214" s="380">
        <v>52054802</v>
      </c>
      <c r="B2214" s="381" t="s">
        <v>315</v>
      </c>
      <c r="C2214" s="381" t="s">
        <v>1326</v>
      </c>
      <c r="D2214" s="381" t="s">
        <v>1246</v>
      </c>
      <c r="E2214" s="381" t="s">
        <v>1247</v>
      </c>
      <c r="F2214" s="378">
        <v>60000</v>
      </c>
      <c r="G2214" s="378">
        <v>0</v>
      </c>
      <c r="H2214" s="378">
        <v>0</v>
      </c>
      <c r="I2214" s="378">
        <v>60000</v>
      </c>
      <c r="J2214" s="384">
        <f t="shared" si="39"/>
        <v>8</v>
      </c>
    </row>
    <row r="2215" spans="1:10" ht="15" customHeight="1" x14ac:dyDescent="0.25">
      <c r="A2215" s="380">
        <v>52054802</v>
      </c>
      <c r="B2215" s="381" t="s">
        <v>315</v>
      </c>
      <c r="C2215" s="381" t="s">
        <v>1326</v>
      </c>
      <c r="D2215" s="381" t="s">
        <v>1194</v>
      </c>
      <c r="E2215" s="381" t="s">
        <v>1195</v>
      </c>
      <c r="F2215" s="378">
        <v>120000</v>
      </c>
      <c r="G2215" s="378">
        <v>120000</v>
      </c>
      <c r="H2215" s="378">
        <v>0</v>
      </c>
      <c r="I2215" s="378">
        <v>240000</v>
      </c>
      <c r="J2215" s="384">
        <f t="shared" si="39"/>
        <v>8</v>
      </c>
    </row>
    <row r="2216" spans="1:10" ht="15" customHeight="1" x14ac:dyDescent="0.25">
      <c r="A2216" s="380">
        <v>52054802</v>
      </c>
      <c r="B2216" s="381" t="s">
        <v>315</v>
      </c>
      <c r="C2216" s="381" t="s">
        <v>1326</v>
      </c>
      <c r="D2216" s="381" t="s">
        <v>774</v>
      </c>
      <c r="E2216" s="381" t="s">
        <v>775</v>
      </c>
      <c r="F2216" s="378">
        <v>120000</v>
      </c>
      <c r="G2216" s="378">
        <v>0</v>
      </c>
      <c r="H2216" s="378">
        <v>0</v>
      </c>
      <c r="I2216" s="378">
        <v>120000</v>
      </c>
      <c r="J2216" s="384">
        <f t="shared" ref="J2216:J2279" si="40">+LEN(A2216)</f>
        <v>8</v>
      </c>
    </row>
    <row r="2217" spans="1:10" ht="15" customHeight="1" x14ac:dyDescent="0.25">
      <c r="A2217" s="380">
        <v>52054802</v>
      </c>
      <c r="B2217" s="381" t="s">
        <v>315</v>
      </c>
      <c r="C2217" s="381" t="s">
        <v>1326</v>
      </c>
      <c r="D2217" s="381" t="s">
        <v>1196</v>
      </c>
      <c r="E2217" s="381" t="s">
        <v>1197</v>
      </c>
      <c r="F2217" s="378">
        <v>120000</v>
      </c>
      <c r="G2217" s="378">
        <v>60000</v>
      </c>
      <c r="H2217" s="378">
        <v>0</v>
      </c>
      <c r="I2217" s="378">
        <v>180000</v>
      </c>
      <c r="J2217" s="384">
        <f t="shared" si="40"/>
        <v>8</v>
      </c>
    </row>
    <row r="2218" spans="1:10" ht="15" customHeight="1" x14ac:dyDescent="0.25">
      <c r="A2218" s="380">
        <v>52054802</v>
      </c>
      <c r="B2218" s="381" t="s">
        <v>315</v>
      </c>
      <c r="C2218" s="381" t="s">
        <v>1326</v>
      </c>
      <c r="D2218" s="381" t="s">
        <v>781</v>
      </c>
      <c r="E2218" s="381" t="s">
        <v>782</v>
      </c>
      <c r="F2218" s="378">
        <v>1023641</v>
      </c>
      <c r="G2218" s="378">
        <v>75417</v>
      </c>
      <c r="H2218" s="378">
        <v>0</v>
      </c>
      <c r="I2218" s="378">
        <v>1099058</v>
      </c>
      <c r="J2218" s="384">
        <f t="shared" si="40"/>
        <v>8</v>
      </c>
    </row>
    <row r="2219" spans="1:10" ht="15" customHeight="1" x14ac:dyDescent="0.25">
      <c r="A2219" s="380">
        <v>52054802</v>
      </c>
      <c r="B2219" s="381" t="s">
        <v>315</v>
      </c>
      <c r="C2219" s="381" t="s">
        <v>1326</v>
      </c>
      <c r="D2219" s="381" t="s">
        <v>728</v>
      </c>
      <c r="E2219" s="381" t="s">
        <v>729</v>
      </c>
      <c r="F2219" s="378">
        <v>0</v>
      </c>
      <c r="G2219" s="378">
        <v>10446</v>
      </c>
      <c r="H2219" s="378">
        <v>0</v>
      </c>
      <c r="I2219" s="378">
        <v>10446</v>
      </c>
      <c r="J2219" s="384">
        <f t="shared" si="40"/>
        <v>8</v>
      </c>
    </row>
    <row r="2220" spans="1:10" ht="15" customHeight="1" x14ac:dyDescent="0.25">
      <c r="A2220" s="380">
        <v>52054802</v>
      </c>
      <c r="B2220" s="381" t="s">
        <v>315</v>
      </c>
      <c r="C2220" s="381" t="s">
        <v>1326</v>
      </c>
      <c r="D2220" s="381" t="s">
        <v>783</v>
      </c>
      <c r="E2220" s="381" t="s">
        <v>784</v>
      </c>
      <c r="F2220" s="378">
        <v>240000</v>
      </c>
      <c r="G2220" s="378">
        <v>72000</v>
      </c>
      <c r="H2220" s="378">
        <v>0</v>
      </c>
      <c r="I2220" s="378">
        <v>312000</v>
      </c>
      <c r="J2220" s="384">
        <f t="shared" si="40"/>
        <v>8</v>
      </c>
    </row>
    <row r="2221" spans="1:10" ht="15" customHeight="1" x14ac:dyDescent="0.25">
      <c r="A2221" s="380">
        <v>52054802</v>
      </c>
      <c r="B2221" s="381" t="s">
        <v>315</v>
      </c>
      <c r="C2221" s="381" t="s">
        <v>1326</v>
      </c>
      <c r="D2221" s="381" t="s">
        <v>797</v>
      </c>
      <c r="E2221" s="381" t="s">
        <v>798</v>
      </c>
      <c r="F2221" s="378">
        <v>600000</v>
      </c>
      <c r="G2221" s="378">
        <v>0</v>
      </c>
      <c r="H2221" s="378">
        <v>0</v>
      </c>
      <c r="I2221" s="378">
        <v>600000</v>
      </c>
      <c r="J2221" s="384">
        <f t="shared" si="40"/>
        <v>8</v>
      </c>
    </row>
    <row r="2222" spans="1:10" ht="15" customHeight="1" x14ac:dyDescent="0.25">
      <c r="A2222" s="380">
        <v>52054802</v>
      </c>
      <c r="B2222" s="381" t="s">
        <v>315</v>
      </c>
      <c r="C2222" s="381" t="s">
        <v>1326</v>
      </c>
      <c r="D2222" s="381" t="s">
        <v>1221</v>
      </c>
      <c r="E2222" s="381" t="s">
        <v>1494</v>
      </c>
      <c r="F2222" s="378">
        <v>240000</v>
      </c>
      <c r="G2222" s="378">
        <v>0</v>
      </c>
      <c r="H2222" s="378">
        <v>0</v>
      </c>
      <c r="I2222" s="378">
        <v>240000</v>
      </c>
      <c r="J2222" s="384">
        <f t="shared" si="40"/>
        <v>8</v>
      </c>
    </row>
    <row r="2223" spans="1:10" ht="15" customHeight="1" x14ac:dyDescent="0.25">
      <c r="A2223" s="380">
        <v>52054802</v>
      </c>
      <c r="B2223" s="381" t="s">
        <v>315</v>
      </c>
      <c r="C2223" s="381" t="s">
        <v>1326</v>
      </c>
      <c r="D2223" s="381" t="s">
        <v>1198</v>
      </c>
      <c r="E2223" s="381" t="s">
        <v>1199</v>
      </c>
      <c r="F2223" s="378">
        <v>0</v>
      </c>
      <c r="G2223" s="378">
        <v>60000</v>
      </c>
      <c r="H2223" s="378">
        <v>0</v>
      </c>
      <c r="I2223" s="378">
        <v>60000</v>
      </c>
      <c r="J2223" s="384">
        <f t="shared" si="40"/>
        <v>8</v>
      </c>
    </row>
    <row r="2224" spans="1:10" ht="15" customHeight="1" x14ac:dyDescent="0.25">
      <c r="A2224" s="380">
        <v>52054802</v>
      </c>
      <c r="B2224" s="381" t="s">
        <v>315</v>
      </c>
      <c r="C2224" s="381" t="s">
        <v>1326</v>
      </c>
      <c r="D2224" s="381" t="s">
        <v>785</v>
      </c>
      <c r="E2224" s="381" t="s">
        <v>1469</v>
      </c>
      <c r="F2224" s="378">
        <v>176666</v>
      </c>
      <c r="G2224" s="378">
        <v>0</v>
      </c>
      <c r="H2224" s="378">
        <v>0</v>
      </c>
      <c r="I2224" s="378">
        <v>176666</v>
      </c>
      <c r="J2224" s="384">
        <f t="shared" si="40"/>
        <v>8</v>
      </c>
    </row>
    <row r="2225" spans="1:10" ht="15" customHeight="1" x14ac:dyDescent="0.25">
      <c r="A2225" s="380">
        <v>52054802</v>
      </c>
      <c r="B2225" s="381" t="s">
        <v>315</v>
      </c>
      <c r="C2225" s="381" t="s">
        <v>1326</v>
      </c>
      <c r="D2225" s="381" t="s">
        <v>1200</v>
      </c>
      <c r="E2225" s="381" t="s">
        <v>1201</v>
      </c>
      <c r="F2225" s="378">
        <v>360000</v>
      </c>
      <c r="G2225" s="378">
        <v>96000</v>
      </c>
      <c r="H2225" s="378">
        <v>0</v>
      </c>
      <c r="I2225" s="378">
        <v>456000</v>
      </c>
      <c r="J2225" s="384">
        <f t="shared" si="40"/>
        <v>8</v>
      </c>
    </row>
    <row r="2226" spans="1:10" ht="15" customHeight="1" x14ac:dyDescent="0.25">
      <c r="A2226" s="380">
        <v>52054802</v>
      </c>
      <c r="B2226" s="381" t="s">
        <v>315</v>
      </c>
      <c r="C2226" s="381" t="s">
        <v>1326</v>
      </c>
      <c r="D2226" s="381" t="s">
        <v>786</v>
      </c>
      <c r="E2226" s="381" t="s">
        <v>787</v>
      </c>
      <c r="F2226" s="378">
        <v>150000</v>
      </c>
      <c r="G2226" s="378">
        <v>0</v>
      </c>
      <c r="H2226" s="378">
        <v>0</v>
      </c>
      <c r="I2226" s="378">
        <v>150000</v>
      </c>
      <c r="J2226" s="384">
        <f t="shared" si="40"/>
        <v>8</v>
      </c>
    </row>
    <row r="2227" spans="1:10" ht="15" customHeight="1" x14ac:dyDescent="0.25">
      <c r="A2227" s="380">
        <v>52054802</v>
      </c>
      <c r="B2227" s="381" t="s">
        <v>315</v>
      </c>
      <c r="C2227" s="381" t="s">
        <v>1326</v>
      </c>
      <c r="D2227" s="381" t="s">
        <v>1224</v>
      </c>
      <c r="E2227" s="381" t="s">
        <v>1225</v>
      </c>
      <c r="F2227" s="378">
        <v>240000</v>
      </c>
      <c r="G2227" s="378">
        <v>60000</v>
      </c>
      <c r="H2227" s="378">
        <v>0</v>
      </c>
      <c r="I2227" s="378">
        <v>300000</v>
      </c>
      <c r="J2227" s="384">
        <f t="shared" si="40"/>
        <v>8</v>
      </c>
    </row>
    <row r="2228" spans="1:10" ht="15" customHeight="1" x14ac:dyDescent="0.25">
      <c r="A2228" s="380">
        <v>52054802</v>
      </c>
      <c r="B2228" s="381" t="s">
        <v>315</v>
      </c>
      <c r="C2228" s="381" t="s">
        <v>1326</v>
      </c>
      <c r="D2228" s="381" t="s">
        <v>1226</v>
      </c>
      <c r="E2228" s="381" t="s">
        <v>1227</v>
      </c>
      <c r="F2228" s="378">
        <v>120000</v>
      </c>
      <c r="G2228" s="378">
        <v>0</v>
      </c>
      <c r="H2228" s="378">
        <v>0</v>
      </c>
      <c r="I2228" s="378">
        <v>120000</v>
      </c>
      <c r="J2228" s="384">
        <f t="shared" si="40"/>
        <v>8</v>
      </c>
    </row>
    <row r="2229" spans="1:10" ht="15" customHeight="1" x14ac:dyDescent="0.25">
      <c r="A2229" s="380">
        <v>52054802</v>
      </c>
      <c r="B2229" s="381" t="s">
        <v>315</v>
      </c>
      <c r="C2229" s="381" t="s">
        <v>1326</v>
      </c>
      <c r="D2229" s="381" t="s">
        <v>1202</v>
      </c>
      <c r="E2229" s="381" t="s">
        <v>1203</v>
      </c>
      <c r="F2229" s="378">
        <v>96000</v>
      </c>
      <c r="G2229" s="378">
        <v>0</v>
      </c>
      <c r="H2229" s="378">
        <v>0</v>
      </c>
      <c r="I2229" s="378">
        <v>96000</v>
      </c>
      <c r="J2229" s="384">
        <f t="shared" si="40"/>
        <v>8</v>
      </c>
    </row>
    <row r="2230" spans="1:10" ht="15" customHeight="1" x14ac:dyDescent="0.25">
      <c r="A2230" s="380">
        <v>52054802</v>
      </c>
      <c r="B2230" s="381" t="s">
        <v>315</v>
      </c>
      <c r="C2230" s="381" t="s">
        <v>1326</v>
      </c>
      <c r="D2230" s="381" t="s">
        <v>1228</v>
      </c>
      <c r="E2230" s="381" t="s">
        <v>1229</v>
      </c>
      <c r="F2230" s="378">
        <v>220000</v>
      </c>
      <c r="G2230" s="378">
        <v>0</v>
      </c>
      <c r="H2230" s="378">
        <v>0</v>
      </c>
      <c r="I2230" s="378">
        <v>220000</v>
      </c>
      <c r="J2230" s="384">
        <f t="shared" si="40"/>
        <v>8</v>
      </c>
    </row>
    <row r="2231" spans="1:10" ht="15" customHeight="1" x14ac:dyDescent="0.25">
      <c r="A2231" s="380">
        <v>52054802</v>
      </c>
      <c r="B2231" s="381" t="s">
        <v>315</v>
      </c>
      <c r="C2231" s="381" t="s">
        <v>1326</v>
      </c>
      <c r="D2231" s="381" t="s">
        <v>1086</v>
      </c>
      <c r="E2231" s="381" t="s">
        <v>1087</v>
      </c>
      <c r="F2231" s="378">
        <v>180000</v>
      </c>
      <c r="G2231" s="378">
        <v>36000</v>
      </c>
      <c r="H2231" s="378">
        <v>0</v>
      </c>
      <c r="I2231" s="378">
        <v>216000</v>
      </c>
      <c r="J2231" s="384">
        <f t="shared" si="40"/>
        <v>8</v>
      </c>
    </row>
    <row r="2232" spans="1:10" ht="15" customHeight="1" x14ac:dyDescent="0.25">
      <c r="A2232" s="380">
        <v>52054802</v>
      </c>
      <c r="B2232" s="381" t="s">
        <v>315</v>
      </c>
      <c r="C2232" s="381" t="s">
        <v>1326</v>
      </c>
      <c r="D2232" s="381" t="s">
        <v>404</v>
      </c>
      <c r="E2232" s="381" t="s">
        <v>1230</v>
      </c>
      <c r="F2232" s="378">
        <v>196000</v>
      </c>
      <c r="G2232" s="378">
        <v>0</v>
      </c>
      <c r="H2232" s="378">
        <v>0</v>
      </c>
      <c r="I2232" s="378">
        <v>196000</v>
      </c>
      <c r="J2232" s="384">
        <f t="shared" si="40"/>
        <v>8</v>
      </c>
    </row>
    <row r="2233" spans="1:10" ht="15" customHeight="1" x14ac:dyDescent="0.25">
      <c r="A2233" s="380">
        <v>52054802</v>
      </c>
      <c r="B2233" s="381" t="s">
        <v>315</v>
      </c>
      <c r="C2233" s="381" t="s">
        <v>1326</v>
      </c>
      <c r="D2233" s="381" t="s">
        <v>1231</v>
      </c>
      <c r="E2233" s="381" t="s">
        <v>1232</v>
      </c>
      <c r="F2233" s="378">
        <v>120000</v>
      </c>
      <c r="G2233" s="378">
        <v>0</v>
      </c>
      <c r="H2233" s="378">
        <v>0</v>
      </c>
      <c r="I2233" s="378">
        <v>120000</v>
      </c>
      <c r="J2233" s="384">
        <f t="shared" si="40"/>
        <v>8</v>
      </c>
    </row>
    <row r="2234" spans="1:10" ht="15" customHeight="1" x14ac:dyDescent="0.25">
      <c r="A2234" s="380">
        <v>52054802</v>
      </c>
      <c r="B2234" s="381" t="s">
        <v>315</v>
      </c>
      <c r="C2234" s="381" t="s">
        <v>1326</v>
      </c>
      <c r="D2234" s="381" t="s">
        <v>788</v>
      </c>
      <c r="E2234" s="381" t="s">
        <v>789</v>
      </c>
      <c r="F2234" s="378">
        <v>450000</v>
      </c>
      <c r="G2234" s="378">
        <v>300000</v>
      </c>
      <c r="H2234" s="378">
        <v>0</v>
      </c>
      <c r="I2234" s="378">
        <v>750000</v>
      </c>
      <c r="J2234" s="384">
        <f t="shared" si="40"/>
        <v>8</v>
      </c>
    </row>
    <row r="2235" spans="1:10" ht="15" customHeight="1" x14ac:dyDescent="0.25">
      <c r="A2235" s="380">
        <v>52054802</v>
      </c>
      <c r="B2235" s="381" t="s">
        <v>315</v>
      </c>
      <c r="C2235" s="381" t="s">
        <v>1326</v>
      </c>
      <c r="D2235" s="381" t="s">
        <v>1206</v>
      </c>
      <c r="E2235" s="381" t="s">
        <v>1207</v>
      </c>
      <c r="F2235" s="378">
        <v>80000</v>
      </c>
      <c r="G2235" s="378">
        <v>120000</v>
      </c>
      <c r="H2235" s="378">
        <v>0</v>
      </c>
      <c r="I2235" s="378">
        <v>200000</v>
      </c>
      <c r="J2235" s="384">
        <f t="shared" si="40"/>
        <v>8</v>
      </c>
    </row>
    <row r="2236" spans="1:10" ht="15" customHeight="1" x14ac:dyDescent="0.25">
      <c r="A2236" s="380">
        <v>52054802</v>
      </c>
      <c r="B2236" s="381" t="s">
        <v>315</v>
      </c>
      <c r="C2236" s="381" t="s">
        <v>1326</v>
      </c>
      <c r="D2236" s="381" t="s">
        <v>776</v>
      </c>
      <c r="E2236" s="381" t="s">
        <v>777</v>
      </c>
      <c r="F2236" s="378">
        <v>450000</v>
      </c>
      <c r="G2236" s="378">
        <v>0</v>
      </c>
      <c r="H2236" s="378">
        <v>0</v>
      </c>
      <c r="I2236" s="378">
        <v>450000</v>
      </c>
      <c r="J2236" s="384">
        <f t="shared" si="40"/>
        <v>8</v>
      </c>
    </row>
    <row r="2237" spans="1:10" ht="15" customHeight="1" x14ac:dyDescent="0.25">
      <c r="A2237" s="380">
        <v>52054802</v>
      </c>
      <c r="B2237" s="381" t="s">
        <v>315</v>
      </c>
      <c r="C2237" s="381" t="s">
        <v>1326</v>
      </c>
      <c r="D2237" s="381" t="s">
        <v>790</v>
      </c>
      <c r="E2237" s="381" t="s">
        <v>791</v>
      </c>
      <c r="F2237" s="378">
        <v>120000</v>
      </c>
      <c r="G2237" s="378">
        <v>120000</v>
      </c>
      <c r="H2237" s="378">
        <v>0</v>
      </c>
      <c r="I2237" s="378">
        <v>240000</v>
      </c>
      <c r="J2237" s="384">
        <f t="shared" si="40"/>
        <v>8</v>
      </c>
    </row>
    <row r="2238" spans="1:10" ht="15" customHeight="1" x14ac:dyDescent="0.25">
      <c r="A2238" s="380">
        <v>52054802</v>
      </c>
      <c r="B2238" s="381" t="s">
        <v>315</v>
      </c>
      <c r="C2238" s="381" t="s">
        <v>1326</v>
      </c>
      <c r="D2238" s="381" t="s">
        <v>1233</v>
      </c>
      <c r="E2238" s="381" t="s">
        <v>1234</v>
      </c>
      <c r="F2238" s="378">
        <v>656668</v>
      </c>
      <c r="G2238" s="378">
        <v>0</v>
      </c>
      <c r="H2238" s="378">
        <v>0</v>
      </c>
      <c r="I2238" s="378">
        <v>656668</v>
      </c>
      <c r="J2238" s="384">
        <f t="shared" si="40"/>
        <v>8</v>
      </c>
    </row>
    <row r="2239" spans="1:10" ht="15" customHeight="1" x14ac:dyDescent="0.25">
      <c r="A2239" s="380">
        <v>52054802</v>
      </c>
      <c r="B2239" s="381" t="s">
        <v>315</v>
      </c>
      <c r="C2239" s="381" t="s">
        <v>1326</v>
      </c>
      <c r="D2239" s="381" t="s">
        <v>1235</v>
      </c>
      <c r="E2239" s="381" t="s">
        <v>1236</v>
      </c>
      <c r="F2239" s="378">
        <v>120000</v>
      </c>
      <c r="G2239" s="378">
        <v>0</v>
      </c>
      <c r="H2239" s="378">
        <v>0</v>
      </c>
      <c r="I2239" s="378">
        <v>120000</v>
      </c>
      <c r="J2239" s="384">
        <f t="shared" si="40"/>
        <v>8</v>
      </c>
    </row>
    <row r="2240" spans="1:10" ht="15" customHeight="1" x14ac:dyDescent="0.25">
      <c r="A2240" s="380">
        <v>52054802</v>
      </c>
      <c r="B2240" s="381" t="s">
        <v>315</v>
      </c>
      <c r="C2240" s="381" t="s">
        <v>1326</v>
      </c>
      <c r="D2240" s="381" t="s">
        <v>1208</v>
      </c>
      <c r="E2240" s="381" t="s">
        <v>1209</v>
      </c>
      <c r="F2240" s="378">
        <v>240000</v>
      </c>
      <c r="G2240" s="378">
        <v>120000</v>
      </c>
      <c r="H2240" s="378">
        <v>0</v>
      </c>
      <c r="I2240" s="378">
        <v>360000</v>
      </c>
      <c r="J2240" s="384">
        <f t="shared" si="40"/>
        <v>8</v>
      </c>
    </row>
    <row r="2241" spans="1:10" ht="15" customHeight="1" x14ac:dyDescent="0.25">
      <c r="A2241" s="380">
        <v>52054802</v>
      </c>
      <c r="B2241" s="381" t="s">
        <v>315</v>
      </c>
      <c r="C2241" s="381" t="s">
        <v>1326</v>
      </c>
      <c r="D2241" s="381" t="s">
        <v>1237</v>
      </c>
      <c r="E2241" s="381" t="s">
        <v>1238</v>
      </c>
      <c r="F2241" s="378">
        <v>0</v>
      </c>
      <c r="G2241" s="378">
        <v>120000</v>
      </c>
      <c r="H2241" s="378">
        <v>0</v>
      </c>
      <c r="I2241" s="378">
        <v>120000</v>
      </c>
      <c r="J2241" s="384">
        <f t="shared" si="40"/>
        <v>8</v>
      </c>
    </row>
    <row r="2242" spans="1:10" ht="15" customHeight="1" x14ac:dyDescent="0.25">
      <c r="A2242" s="380">
        <v>52054802</v>
      </c>
      <c r="B2242" s="381" t="s">
        <v>315</v>
      </c>
      <c r="C2242" s="381" t="s">
        <v>1326</v>
      </c>
      <c r="D2242" s="381" t="s">
        <v>1239</v>
      </c>
      <c r="E2242" s="381" t="s">
        <v>1240</v>
      </c>
      <c r="F2242" s="378">
        <v>360000</v>
      </c>
      <c r="G2242" s="378">
        <v>0</v>
      </c>
      <c r="H2242" s="378">
        <v>0</v>
      </c>
      <c r="I2242" s="378">
        <v>360000</v>
      </c>
      <c r="J2242" s="384">
        <f t="shared" si="40"/>
        <v>8</v>
      </c>
    </row>
    <row r="2243" spans="1:10" ht="15" customHeight="1" x14ac:dyDescent="0.25">
      <c r="A2243" s="380">
        <v>52054802</v>
      </c>
      <c r="B2243" s="381" t="s">
        <v>315</v>
      </c>
      <c r="C2243" s="381" t="s">
        <v>1326</v>
      </c>
      <c r="D2243" s="381" t="s">
        <v>1248</v>
      </c>
      <c r="E2243" s="381" t="s">
        <v>1249</v>
      </c>
      <c r="F2243" s="378">
        <v>296666</v>
      </c>
      <c r="G2243" s="378">
        <v>0</v>
      </c>
      <c r="H2243" s="378">
        <v>0</v>
      </c>
      <c r="I2243" s="378">
        <v>296666</v>
      </c>
      <c r="J2243" s="384">
        <f t="shared" si="40"/>
        <v>8</v>
      </c>
    </row>
    <row r="2244" spans="1:10" ht="15" customHeight="1" x14ac:dyDescent="0.25">
      <c r="A2244" s="380">
        <v>52054802</v>
      </c>
      <c r="B2244" s="381" t="s">
        <v>315</v>
      </c>
      <c r="C2244" s="381" t="s">
        <v>1326</v>
      </c>
      <c r="D2244" s="381" t="s">
        <v>1210</v>
      </c>
      <c r="E2244" s="381" t="s">
        <v>1211</v>
      </c>
      <c r="F2244" s="378">
        <v>600000</v>
      </c>
      <c r="G2244" s="378">
        <v>0</v>
      </c>
      <c r="H2244" s="378">
        <v>0</v>
      </c>
      <c r="I2244" s="378">
        <v>600000</v>
      </c>
      <c r="J2244" s="384">
        <f t="shared" si="40"/>
        <v>8</v>
      </c>
    </row>
    <row r="2245" spans="1:10" ht="15" customHeight="1" x14ac:dyDescent="0.25">
      <c r="A2245" s="380">
        <v>52054802</v>
      </c>
      <c r="B2245" s="381" t="s">
        <v>315</v>
      </c>
      <c r="C2245" s="381" t="s">
        <v>1326</v>
      </c>
      <c r="D2245" s="381" t="s">
        <v>1090</v>
      </c>
      <c r="E2245" s="381" t="s">
        <v>1091</v>
      </c>
      <c r="F2245" s="378">
        <v>0</v>
      </c>
      <c r="G2245" s="378">
        <v>150000</v>
      </c>
      <c r="H2245" s="378">
        <v>0</v>
      </c>
      <c r="I2245" s="378">
        <v>150000</v>
      </c>
      <c r="J2245" s="384">
        <f t="shared" si="40"/>
        <v>8</v>
      </c>
    </row>
    <row r="2246" spans="1:10" ht="15" customHeight="1" x14ac:dyDescent="0.25">
      <c r="A2246" s="380">
        <v>52054802</v>
      </c>
      <c r="B2246" s="381" t="s">
        <v>315</v>
      </c>
      <c r="C2246" s="381" t="s">
        <v>1326</v>
      </c>
      <c r="D2246" s="381" t="s">
        <v>1241</v>
      </c>
      <c r="E2246" s="381" t="s">
        <v>1242</v>
      </c>
      <c r="F2246" s="378">
        <v>120000</v>
      </c>
      <c r="G2246" s="378">
        <v>96000</v>
      </c>
      <c r="H2246" s="378">
        <v>0</v>
      </c>
      <c r="I2246" s="378">
        <v>216000</v>
      </c>
      <c r="J2246" s="384">
        <f t="shared" si="40"/>
        <v>8</v>
      </c>
    </row>
    <row r="2247" spans="1:10" ht="15" customHeight="1" x14ac:dyDescent="0.25">
      <c r="A2247" s="380">
        <v>52054802</v>
      </c>
      <c r="B2247" s="381" t="s">
        <v>315</v>
      </c>
      <c r="C2247" s="381" t="s">
        <v>1326</v>
      </c>
      <c r="D2247" s="381" t="s">
        <v>792</v>
      </c>
      <c r="E2247" s="381" t="s">
        <v>793</v>
      </c>
      <c r="F2247" s="378">
        <v>300000</v>
      </c>
      <c r="G2247" s="378">
        <v>90000</v>
      </c>
      <c r="H2247" s="378">
        <v>0</v>
      </c>
      <c r="I2247" s="378">
        <v>390000</v>
      </c>
      <c r="J2247" s="384">
        <f t="shared" si="40"/>
        <v>8</v>
      </c>
    </row>
    <row r="2248" spans="1:10" ht="15" customHeight="1" x14ac:dyDescent="0.25">
      <c r="A2248" s="380">
        <v>52054802</v>
      </c>
      <c r="B2248" s="381" t="s">
        <v>315</v>
      </c>
      <c r="C2248" s="381" t="s">
        <v>1326</v>
      </c>
      <c r="D2248" s="381" t="s">
        <v>794</v>
      </c>
      <c r="E2248" s="381" t="s">
        <v>795</v>
      </c>
      <c r="F2248" s="378">
        <v>750000</v>
      </c>
      <c r="G2248" s="378">
        <v>0</v>
      </c>
      <c r="H2248" s="378">
        <v>0</v>
      </c>
      <c r="I2248" s="378">
        <v>750000</v>
      </c>
      <c r="J2248" s="384">
        <f t="shared" si="40"/>
        <v>8</v>
      </c>
    </row>
    <row r="2249" spans="1:10" ht="15" customHeight="1" x14ac:dyDescent="0.25">
      <c r="A2249" s="380">
        <v>52054802</v>
      </c>
      <c r="B2249" s="381" t="s">
        <v>315</v>
      </c>
      <c r="C2249" s="381" t="s">
        <v>1326</v>
      </c>
      <c r="D2249" s="381" t="s">
        <v>1243</v>
      </c>
      <c r="E2249" s="381" t="s">
        <v>1244</v>
      </c>
      <c r="F2249" s="378">
        <v>385000</v>
      </c>
      <c r="G2249" s="378">
        <v>0</v>
      </c>
      <c r="H2249" s="378">
        <v>0</v>
      </c>
      <c r="I2249" s="378">
        <v>385000</v>
      </c>
      <c r="J2249" s="384">
        <f t="shared" si="40"/>
        <v>8</v>
      </c>
    </row>
    <row r="2250" spans="1:10" ht="15" customHeight="1" x14ac:dyDescent="0.25">
      <c r="A2250" s="380">
        <v>52054802</v>
      </c>
      <c r="B2250" s="381" t="s">
        <v>315</v>
      </c>
      <c r="C2250" s="381" t="s">
        <v>1326</v>
      </c>
      <c r="D2250" s="381" t="s">
        <v>1214</v>
      </c>
      <c r="E2250" s="381" t="s">
        <v>1489</v>
      </c>
      <c r="F2250" s="378">
        <v>600000</v>
      </c>
      <c r="G2250" s="378">
        <v>120000</v>
      </c>
      <c r="H2250" s="378">
        <v>0</v>
      </c>
      <c r="I2250" s="378">
        <v>720000</v>
      </c>
      <c r="J2250" s="384">
        <f t="shared" si="40"/>
        <v>8</v>
      </c>
    </row>
    <row r="2251" spans="1:10" ht="15" customHeight="1" x14ac:dyDescent="0.25">
      <c r="A2251" s="380">
        <v>52054802</v>
      </c>
      <c r="B2251" s="381" t="s">
        <v>315</v>
      </c>
      <c r="C2251" s="381" t="s">
        <v>1326</v>
      </c>
      <c r="D2251" s="381" t="s">
        <v>1094</v>
      </c>
      <c r="E2251" s="381" t="s">
        <v>1095</v>
      </c>
      <c r="F2251" s="378">
        <v>120000</v>
      </c>
      <c r="G2251" s="378">
        <v>0</v>
      </c>
      <c r="H2251" s="378">
        <v>0</v>
      </c>
      <c r="I2251" s="378">
        <v>120000</v>
      </c>
      <c r="J2251" s="384">
        <f t="shared" si="40"/>
        <v>8</v>
      </c>
    </row>
    <row r="2252" spans="1:10" ht="15" customHeight="1" x14ac:dyDescent="0.25">
      <c r="A2252" s="380">
        <v>520551</v>
      </c>
      <c r="B2252" s="381" t="s">
        <v>315</v>
      </c>
      <c r="C2252" s="381" t="s">
        <v>1327</v>
      </c>
      <c r="D2252" s="381" t="s">
        <v>315</v>
      </c>
      <c r="E2252" s="381" t="s">
        <v>315</v>
      </c>
      <c r="F2252" s="378">
        <v>10100051</v>
      </c>
      <c r="G2252" s="378">
        <v>0</v>
      </c>
      <c r="H2252" s="378">
        <v>0</v>
      </c>
      <c r="I2252" s="378">
        <v>10100051</v>
      </c>
      <c r="J2252" s="384">
        <f t="shared" si="40"/>
        <v>6</v>
      </c>
    </row>
    <row r="2253" spans="1:10" ht="15" customHeight="1" x14ac:dyDescent="0.25">
      <c r="A2253" s="380">
        <v>52055101</v>
      </c>
      <c r="B2253" s="381" t="s">
        <v>315</v>
      </c>
      <c r="C2253" s="381" t="s">
        <v>1327</v>
      </c>
      <c r="D2253" s="381" t="s">
        <v>315</v>
      </c>
      <c r="E2253" s="381" t="s">
        <v>315</v>
      </c>
      <c r="F2253" s="378">
        <v>10100051</v>
      </c>
      <c r="G2253" s="378">
        <v>0</v>
      </c>
      <c r="H2253" s="378">
        <v>0</v>
      </c>
      <c r="I2253" s="378">
        <v>10100051</v>
      </c>
      <c r="J2253" s="384">
        <f t="shared" si="40"/>
        <v>8</v>
      </c>
    </row>
    <row r="2254" spans="1:10" ht="15" customHeight="1" x14ac:dyDescent="0.25">
      <c r="A2254" s="380">
        <v>52055101</v>
      </c>
      <c r="B2254" s="381" t="s">
        <v>315</v>
      </c>
      <c r="C2254" s="381" t="s">
        <v>1327</v>
      </c>
      <c r="D2254" s="381" t="s">
        <v>429</v>
      </c>
      <c r="E2254" s="381" t="s">
        <v>430</v>
      </c>
      <c r="F2254" s="378">
        <v>9833500</v>
      </c>
      <c r="G2254" s="378">
        <v>0</v>
      </c>
      <c r="H2254" s="378">
        <v>0</v>
      </c>
      <c r="I2254" s="378">
        <v>9833500</v>
      </c>
      <c r="J2254" s="384">
        <f t="shared" si="40"/>
        <v>8</v>
      </c>
    </row>
    <row r="2255" spans="1:10" ht="15" customHeight="1" x14ac:dyDescent="0.25">
      <c r="A2255" s="380">
        <v>52055101</v>
      </c>
      <c r="B2255" s="381" t="s">
        <v>315</v>
      </c>
      <c r="C2255" s="381" t="s">
        <v>1327</v>
      </c>
      <c r="D2255" s="381" t="s">
        <v>1168</v>
      </c>
      <c r="E2255" s="381" t="s">
        <v>1169</v>
      </c>
      <c r="F2255" s="378">
        <v>216405</v>
      </c>
      <c r="G2255" s="378">
        <v>0</v>
      </c>
      <c r="H2255" s="378">
        <v>0</v>
      </c>
      <c r="I2255" s="378">
        <v>216405</v>
      </c>
      <c r="J2255" s="384">
        <f t="shared" si="40"/>
        <v>8</v>
      </c>
    </row>
    <row r="2256" spans="1:10" ht="15" customHeight="1" x14ac:dyDescent="0.25">
      <c r="A2256" s="380">
        <v>52055101</v>
      </c>
      <c r="B2256" s="381" t="s">
        <v>315</v>
      </c>
      <c r="C2256" s="381" t="s">
        <v>1327</v>
      </c>
      <c r="D2256" s="381" t="s">
        <v>1019</v>
      </c>
      <c r="E2256" s="381" t="s">
        <v>1020</v>
      </c>
      <c r="F2256" s="378">
        <v>15126</v>
      </c>
      <c r="G2256" s="378">
        <v>0</v>
      </c>
      <c r="H2256" s="378">
        <v>0</v>
      </c>
      <c r="I2256" s="378">
        <v>15126</v>
      </c>
      <c r="J2256" s="384">
        <f t="shared" si="40"/>
        <v>8</v>
      </c>
    </row>
    <row r="2257" spans="1:10" ht="15" customHeight="1" x14ac:dyDescent="0.25">
      <c r="A2257" s="380">
        <v>52055101</v>
      </c>
      <c r="B2257" s="381" t="s">
        <v>315</v>
      </c>
      <c r="C2257" s="381" t="s">
        <v>1327</v>
      </c>
      <c r="D2257" s="381" t="s">
        <v>1174</v>
      </c>
      <c r="E2257" s="381" t="s">
        <v>1175</v>
      </c>
      <c r="F2257" s="378">
        <v>35020</v>
      </c>
      <c r="G2257" s="378">
        <v>0</v>
      </c>
      <c r="H2257" s="378">
        <v>0</v>
      </c>
      <c r="I2257" s="378">
        <v>35020</v>
      </c>
      <c r="J2257" s="384">
        <f t="shared" si="40"/>
        <v>8</v>
      </c>
    </row>
    <row r="2258" spans="1:10" ht="15" customHeight="1" x14ac:dyDescent="0.25">
      <c r="A2258" s="380">
        <v>520563</v>
      </c>
      <c r="B2258" s="381" t="s">
        <v>315</v>
      </c>
      <c r="C2258" s="381" t="s">
        <v>1328</v>
      </c>
      <c r="D2258" s="381" t="s">
        <v>315</v>
      </c>
      <c r="E2258" s="381" t="s">
        <v>315</v>
      </c>
      <c r="F2258" s="378">
        <v>55008</v>
      </c>
      <c r="G2258" s="378">
        <v>0</v>
      </c>
      <c r="H2258" s="378">
        <v>0</v>
      </c>
      <c r="I2258" s="378">
        <v>55008</v>
      </c>
      <c r="J2258" s="384">
        <f t="shared" si="40"/>
        <v>6</v>
      </c>
    </row>
    <row r="2259" spans="1:10" ht="15" customHeight="1" x14ac:dyDescent="0.25">
      <c r="A2259" s="380">
        <v>52056301</v>
      </c>
      <c r="B2259" s="381" t="s">
        <v>315</v>
      </c>
      <c r="C2259" s="381" t="s">
        <v>1328</v>
      </c>
      <c r="D2259" s="381" t="s">
        <v>315</v>
      </c>
      <c r="E2259" s="381" t="s">
        <v>315</v>
      </c>
      <c r="F2259" s="378">
        <v>55008</v>
      </c>
      <c r="G2259" s="378">
        <v>0</v>
      </c>
      <c r="H2259" s="378">
        <v>0</v>
      </c>
      <c r="I2259" s="378">
        <v>55008</v>
      </c>
      <c r="J2259" s="384">
        <f t="shared" si="40"/>
        <v>8</v>
      </c>
    </row>
    <row r="2260" spans="1:10" ht="15" customHeight="1" x14ac:dyDescent="0.25">
      <c r="A2260" s="380">
        <v>52056301</v>
      </c>
      <c r="B2260" s="381" t="s">
        <v>315</v>
      </c>
      <c r="C2260" s="381" t="s">
        <v>1328</v>
      </c>
      <c r="D2260" s="381" t="s">
        <v>1006</v>
      </c>
      <c r="E2260" s="381" t="s">
        <v>1007</v>
      </c>
      <c r="F2260" s="378">
        <v>55008</v>
      </c>
      <c r="G2260" s="378">
        <v>0</v>
      </c>
      <c r="H2260" s="378">
        <v>0</v>
      </c>
      <c r="I2260" s="378">
        <v>55008</v>
      </c>
      <c r="J2260" s="384">
        <f t="shared" si="40"/>
        <v>8</v>
      </c>
    </row>
    <row r="2261" spans="1:10" ht="15" customHeight="1" x14ac:dyDescent="0.25">
      <c r="A2261" s="380">
        <v>520584</v>
      </c>
      <c r="B2261" s="381" t="s">
        <v>315</v>
      </c>
      <c r="C2261" s="381" t="s">
        <v>1329</v>
      </c>
      <c r="D2261" s="381" t="s">
        <v>315</v>
      </c>
      <c r="E2261" s="381" t="s">
        <v>315</v>
      </c>
      <c r="F2261" s="378">
        <v>2033258</v>
      </c>
      <c r="G2261" s="378">
        <v>338113</v>
      </c>
      <c r="H2261" s="378">
        <v>0</v>
      </c>
      <c r="I2261" s="378">
        <v>2371371</v>
      </c>
      <c r="J2261" s="384">
        <f t="shared" si="40"/>
        <v>6</v>
      </c>
    </row>
    <row r="2262" spans="1:10" ht="15" customHeight="1" x14ac:dyDescent="0.25">
      <c r="A2262" s="380">
        <v>52058401</v>
      </c>
      <c r="B2262" s="381" t="s">
        <v>315</v>
      </c>
      <c r="C2262" s="381" t="s">
        <v>1329</v>
      </c>
      <c r="D2262" s="381" t="s">
        <v>315</v>
      </c>
      <c r="E2262" s="381" t="s">
        <v>315</v>
      </c>
      <c r="F2262" s="378">
        <v>2033258</v>
      </c>
      <c r="G2262" s="378">
        <v>338113</v>
      </c>
      <c r="H2262" s="378">
        <v>0</v>
      </c>
      <c r="I2262" s="378">
        <v>2371371</v>
      </c>
      <c r="J2262" s="384">
        <f t="shared" si="40"/>
        <v>8</v>
      </c>
    </row>
    <row r="2263" spans="1:10" ht="15" customHeight="1" x14ac:dyDescent="0.25">
      <c r="A2263" s="380">
        <v>52058401</v>
      </c>
      <c r="B2263" s="381" t="s">
        <v>315</v>
      </c>
      <c r="C2263" s="381" t="s">
        <v>1329</v>
      </c>
      <c r="D2263" s="381" t="s">
        <v>1112</v>
      </c>
      <c r="E2263" s="381" t="s">
        <v>1478</v>
      </c>
      <c r="F2263" s="378">
        <v>7382</v>
      </c>
      <c r="G2263" s="378">
        <v>0</v>
      </c>
      <c r="H2263" s="378">
        <v>0</v>
      </c>
      <c r="I2263" s="378">
        <v>7382</v>
      </c>
      <c r="J2263" s="384">
        <f t="shared" si="40"/>
        <v>8</v>
      </c>
    </row>
    <row r="2264" spans="1:10" ht="15" customHeight="1" x14ac:dyDescent="0.25">
      <c r="A2264" s="380">
        <v>52058401</v>
      </c>
      <c r="B2264" s="381" t="s">
        <v>315</v>
      </c>
      <c r="C2264" s="381" t="s">
        <v>1329</v>
      </c>
      <c r="D2264" s="381" t="s">
        <v>1131</v>
      </c>
      <c r="E2264" s="381" t="s">
        <v>1132</v>
      </c>
      <c r="F2264" s="378">
        <v>19286</v>
      </c>
      <c r="G2264" s="378">
        <v>0</v>
      </c>
      <c r="H2264" s="378">
        <v>0</v>
      </c>
      <c r="I2264" s="378">
        <v>19286</v>
      </c>
      <c r="J2264" s="384">
        <f t="shared" si="40"/>
        <v>8</v>
      </c>
    </row>
    <row r="2265" spans="1:10" ht="15" customHeight="1" x14ac:dyDescent="0.25">
      <c r="A2265" s="380">
        <v>52058401</v>
      </c>
      <c r="B2265" s="381" t="s">
        <v>315</v>
      </c>
      <c r="C2265" s="381" t="s">
        <v>1329</v>
      </c>
      <c r="D2265" s="381" t="s">
        <v>1135</v>
      </c>
      <c r="E2265" s="381" t="s">
        <v>1136</v>
      </c>
      <c r="F2265" s="378">
        <v>8131</v>
      </c>
      <c r="G2265" s="378">
        <v>0</v>
      </c>
      <c r="H2265" s="378">
        <v>0</v>
      </c>
      <c r="I2265" s="378">
        <v>8131</v>
      </c>
      <c r="J2265" s="384">
        <f t="shared" si="40"/>
        <v>8</v>
      </c>
    </row>
    <row r="2266" spans="1:10" ht="15" customHeight="1" x14ac:dyDescent="0.25">
      <c r="A2266" s="380">
        <v>52058401</v>
      </c>
      <c r="B2266" s="381" t="s">
        <v>315</v>
      </c>
      <c r="C2266" s="381" t="s">
        <v>1329</v>
      </c>
      <c r="D2266" s="381" t="s">
        <v>1141</v>
      </c>
      <c r="E2266" s="381" t="s">
        <v>1142</v>
      </c>
      <c r="F2266" s="378">
        <v>65079</v>
      </c>
      <c r="G2266" s="378">
        <v>0</v>
      </c>
      <c r="H2266" s="378">
        <v>0</v>
      </c>
      <c r="I2266" s="378">
        <v>65079</v>
      </c>
      <c r="J2266" s="384">
        <f t="shared" si="40"/>
        <v>8</v>
      </c>
    </row>
    <row r="2267" spans="1:10" ht="15" customHeight="1" x14ac:dyDescent="0.25">
      <c r="A2267" s="380">
        <v>52058401</v>
      </c>
      <c r="B2267" s="381" t="s">
        <v>315</v>
      </c>
      <c r="C2267" s="381" t="s">
        <v>1329</v>
      </c>
      <c r="D2267" s="381" t="s">
        <v>987</v>
      </c>
      <c r="E2267" s="381" t="s">
        <v>988</v>
      </c>
      <c r="F2267" s="378">
        <v>415014</v>
      </c>
      <c r="G2267" s="378">
        <v>92050</v>
      </c>
      <c r="H2267" s="378">
        <v>0</v>
      </c>
      <c r="I2267" s="378">
        <v>507064</v>
      </c>
      <c r="J2267" s="384">
        <f t="shared" si="40"/>
        <v>8</v>
      </c>
    </row>
    <row r="2268" spans="1:10" ht="15" customHeight="1" x14ac:dyDescent="0.25">
      <c r="A2268" s="380">
        <v>52058401</v>
      </c>
      <c r="B2268" s="381" t="s">
        <v>315</v>
      </c>
      <c r="C2268" s="381" t="s">
        <v>1329</v>
      </c>
      <c r="D2268" s="381" t="s">
        <v>669</v>
      </c>
      <c r="E2268" s="381" t="s">
        <v>1143</v>
      </c>
      <c r="F2268" s="378">
        <v>58739</v>
      </c>
      <c r="G2268" s="378">
        <v>0</v>
      </c>
      <c r="H2268" s="378">
        <v>0</v>
      </c>
      <c r="I2268" s="378">
        <v>58739</v>
      </c>
      <c r="J2268" s="384">
        <f t="shared" si="40"/>
        <v>8</v>
      </c>
    </row>
    <row r="2269" spans="1:10" ht="15" customHeight="1" x14ac:dyDescent="0.25">
      <c r="A2269" s="380">
        <v>52058401</v>
      </c>
      <c r="B2269" s="381" t="s">
        <v>315</v>
      </c>
      <c r="C2269" s="381" t="s">
        <v>1329</v>
      </c>
      <c r="D2269" s="381" t="s">
        <v>1004</v>
      </c>
      <c r="E2269" s="381" t="s">
        <v>1005</v>
      </c>
      <c r="F2269" s="378">
        <v>1417676</v>
      </c>
      <c r="G2269" s="378">
        <v>246063</v>
      </c>
      <c r="H2269" s="378">
        <v>0</v>
      </c>
      <c r="I2269" s="378">
        <v>1663739</v>
      </c>
      <c r="J2269" s="384">
        <f t="shared" si="40"/>
        <v>8</v>
      </c>
    </row>
    <row r="2270" spans="1:10" ht="15" customHeight="1" x14ac:dyDescent="0.25">
      <c r="A2270" s="380">
        <v>52058401</v>
      </c>
      <c r="B2270" s="381" t="s">
        <v>315</v>
      </c>
      <c r="C2270" s="381" t="s">
        <v>1329</v>
      </c>
      <c r="D2270" s="381" t="s">
        <v>1164</v>
      </c>
      <c r="E2270" s="381" t="s">
        <v>1165</v>
      </c>
      <c r="F2270" s="378">
        <v>5000</v>
      </c>
      <c r="G2270" s="378">
        <v>0</v>
      </c>
      <c r="H2270" s="378">
        <v>0</v>
      </c>
      <c r="I2270" s="378">
        <v>5000</v>
      </c>
      <c r="J2270" s="384">
        <f t="shared" si="40"/>
        <v>8</v>
      </c>
    </row>
    <row r="2271" spans="1:10" ht="15" customHeight="1" x14ac:dyDescent="0.25">
      <c r="A2271" s="380">
        <v>52058401</v>
      </c>
      <c r="B2271" s="381" t="s">
        <v>315</v>
      </c>
      <c r="C2271" s="381" t="s">
        <v>1329</v>
      </c>
      <c r="D2271" s="381" t="s">
        <v>1184</v>
      </c>
      <c r="E2271" s="381" t="s">
        <v>1185</v>
      </c>
      <c r="F2271" s="378">
        <v>36951</v>
      </c>
      <c r="G2271" s="378">
        <v>0</v>
      </c>
      <c r="H2271" s="378">
        <v>0</v>
      </c>
      <c r="I2271" s="378">
        <v>36951</v>
      </c>
      <c r="J2271" s="384">
        <f t="shared" si="40"/>
        <v>8</v>
      </c>
    </row>
    <row r="2272" spans="1:10" ht="15" customHeight="1" x14ac:dyDescent="0.25">
      <c r="A2272" s="380">
        <v>520595</v>
      </c>
      <c r="B2272" s="381" t="s">
        <v>315</v>
      </c>
      <c r="C2272" s="381" t="s">
        <v>238</v>
      </c>
      <c r="D2272" s="381" t="s">
        <v>315</v>
      </c>
      <c r="E2272" s="381" t="s">
        <v>315</v>
      </c>
      <c r="F2272" s="378">
        <v>454084</v>
      </c>
      <c r="G2272" s="378">
        <v>2018593</v>
      </c>
      <c r="H2272" s="378">
        <v>0</v>
      </c>
      <c r="I2272" s="378">
        <v>2472677</v>
      </c>
      <c r="J2272" s="384">
        <f t="shared" si="40"/>
        <v>6</v>
      </c>
    </row>
    <row r="2273" spans="1:10" ht="15" customHeight="1" x14ac:dyDescent="0.25">
      <c r="A2273" s="380">
        <v>52059501</v>
      </c>
      <c r="B2273" s="381" t="s">
        <v>315</v>
      </c>
      <c r="C2273" s="381" t="s">
        <v>1330</v>
      </c>
      <c r="D2273" s="381" t="s">
        <v>315</v>
      </c>
      <c r="E2273" s="381" t="s">
        <v>315</v>
      </c>
      <c r="F2273" s="378">
        <v>454084</v>
      </c>
      <c r="G2273" s="378">
        <v>96868</v>
      </c>
      <c r="H2273" s="378">
        <v>0</v>
      </c>
      <c r="I2273" s="378">
        <v>550952</v>
      </c>
      <c r="J2273" s="384">
        <f t="shared" si="40"/>
        <v>8</v>
      </c>
    </row>
    <row r="2274" spans="1:10" ht="15" customHeight="1" x14ac:dyDescent="0.25">
      <c r="A2274" s="380">
        <v>52059501</v>
      </c>
      <c r="B2274" s="381" t="s">
        <v>315</v>
      </c>
      <c r="C2274" s="381" t="s">
        <v>1330</v>
      </c>
      <c r="D2274" s="381" t="s">
        <v>1246</v>
      </c>
      <c r="E2274" s="381" t="s">
        <v>1247</v>
      </c>
      <c r="F2274" s="378">
        <v>2562</v>
      </c>
      <c r="G2274" s="378">
        <v>0</v>
      </c>
      <c r="H2274" s="378">
        <v>0</v>
      </c>
      <c r="I2274" s="378">
        <v>2562</v>
      </c>
      <c r="J2274" s="384">
        <f t="shared" si="40"/>
        <v>8</v>
      </c>
    </row>
    <row r="2275" spans="1:10" ht="15" customHeight="1" x14ac:dyDescent="0.25">
      <c r="A2275" s="380">
        <v>52059501</v>
      </c>
      <c r="B2275" s="381" t="s">
        <v>315</v>
      </c>
      <c r="C2275" s="381" t="s">
        <v>1330</v>
      </c>
      <c r="D2275" s="381" t="s">
        <v>779</v>
      </c>
      <c r="E2275" s="381" t="s">
        <v>780</v>
      </c>
      <c r="F2275" s="378">
        <v>6100</v>
      </c>
      <c r="G2275" s="378">
        <v>6100</v>
      </c>
      <c r="H2275" s="378">
        <v>0</v>
      </c>
      <c r="I2275" s="378">
        <v>12200</v>
      </c>
      <c r="J2275" s="384">
        <f t="shared" si="40"/>
        <v>8</v>
      </c>
    </row>
    <row r="2276" spans="1:10" ht="15" customHeight="1" x14ac:dyDescent="0.25">
      <c r="A2276" s="380">
        <v>52059501</v>
      </c>
      <c r="B2276" s="381" t="s">
        <v>315</v>
      </c>
      <c r="C2276" s="381" t="s">
        <v>1330</v>
      </c>
      <c r="D2276" s="381" t="s">
        <v>1219</v>
      </c>
      <c r="E2276" s="381" t="s">
        <v>1220</v>
      </c>
      <c r="F2276" s="378">
        <v>2562</v>
      </c>
      <c r="G2276" s="378">
        <v>0</v>
      </c>
      <c r="H2276" s="378">
        <v>0</v>
      </c>
      <c r="I2276" s="378">
        <v>2562</v>
      </c>
      <c r="J2276" s="384">
        <f t="shared" si="40"/>
        <v>8</v>
      </c>
    </row>
    <row r="2277" spans="1:10" ht="15" customHeight="1" x14ac:dyDescent="0.25">
      <c r="A2277" s="380">
        <v>52059501</v>
      </c>
      <c r="B2277" s="381" t="s">
        <v>315</v>
      </c>
      <c r="C2277" s="381" t="s">
        <v>1330</v>
      </c>
      <c r="D2277" s="381" t="s">
        <v>774</v>
      </c>
      <c r="E2277" s="381" t="s">
        <v>775</v>
      </c>
      <c r="F2277" s="378">
        <v>12810</v>
      </c>
      <c r="G2277" s="378">
        <v>2562</v>
      </c>
      <c r="H2277" s="378">
        <v>0</v>
      </c>
      <c r="I2277" s="378">
        <v>15372</v>
      </c>
      <c r="J2277" s="384">
        <f t="shared" si="40"/>
        <v>8</v>
      </c>
    </row>
    <row r="2278" spans="1:10" ht="15" customHeight="1" x14ac:dyDescent="0.25">
      <c r="A2278" s="380">
        <v>52059501</v>
      </c>
      <c r="B2278" s="381" t="s">
        <v>315</v>
      </c>
      <c r="C2278" s="381" t="s">
        <v>1330</v>
      </c>
      <c r="D2278" s="381" t="s">
        <v>781</v>
      </c>
      <c r="E2278" s="381" t="s">
        <v>782</v>
      </c>
      <c r="F2278" s="378">
        <v>30500</v>
      </c>
      <c r="G2278" s="378">
        <v>6100</v>
      </c>
      <c r="H2278" s="378">
        <v>0</v>
      </c>
      <c r="I2278" s="378">
        <v>36600</v>
      </c>
      <c r="J2278" s="384">
        <f t="shared" si="40"/>
        <v>8</v>
      </c>
    </row>
    <row r="2279" spans="1:10" ht="15" customHeight="1" x14ac:dyDescent="0.25">
      <c r="A2279" s="380">
        <v>52059501</v>
      </c>
      <c r="B2279" s="381" t="s">
        <v>315</v>
      </c>
      <c r="C2279" s="381" t="s">
        <v>1330</v>
      </c>
      <c r="D2279" s="381" t="s">
        <v>728</v>
      </c>
      <c r="E2279" s="381" t="s">
        <v>729</v>
      </c>
      <c r="F2279" s="378">
        <v>30500</v>
      </c>
      <c r="G2279" s="378">
        <v>6100</v>
      </c>
      <c r="H2279" s="378">
        <v>0</v>
      </c>
      <c r="I2279" s="378">
        <v>36600</v>
      </c>
      <c r="J2279" s="384">
        <f t="shared" si="40"/>
        <v>8</v>
      </c>
    </row>
    <row r="2280" spans="1:10" ht="15" customHeight="1" x14ac:dyDescent="0.25">
      <c r="A2280" s="380">
        <v>52059501</v>
      </c>
      <c r="B2280" s="381" t="s">
        <v>315</v>
      </c>
      <c r="C2280" s="381" t="s">
        <v>1330</v>
      </c>
      <c r="D2280" s="381" t="s">
        <v>783</v>
      </c>
      <c r="E2280" s="381" t="s">
        <v>784</v>
      </c>
      <c r="F2280" s="378">
        <v>12810</v>
      </c>
      <c r="G2280" s="378">
        <v>2562</v>
      </c>
      <c r="H2280" s="378">
        <v>0</v>
      </c>
      <c r="I2280" s="378">
        <v>15372</v>
      </c>
      <c r="J2280" s="384">
        <f t="shared" ref="J2280:J2343" si="41">+LEN(A2280)</f>
        <v>8</v>
      </c>
    </row>
    <row r="2281" spans="1:10" ht="15" customHeight="1" x14ac:dyDescent="0.25">
      <c r="A2281" s="380">
        <v>52059501</v>
      </c>
      <c r="B2281" s="381" t="s">
        <v>315</v>
      </c>
      <c r="C2281" s="381" t="s">
        <v>1330</v>
      </c>
      <c r="D2281" s="381" t="s">
        <v>1221</v>
      </c>
      <c r="E2281" s="381" t="s">
        <v>1494</v>
      </c>
      <c r="F2281" s="378">
        <v>12810</v>
      </c>
      <c r="G2281" s="378">
        <v>0</v>
      </c>
      <c r="H2281" s="378">
        <v>0</v>
      </c>
      <c r="I2281" s="378">
        <v>12810</v>
      </c>
      <c r="J2281" s="384">
        <f t="shared" si="41"/>
        <v>8</v>
      </c>
    </row>
    <row r="2282" spans="1:10" ht="15" customHeight="1" x14ac:dyDescent="0.25">
      <c r="A2282" s="380">
        <v>52059501</v>
      </c>
      <c r="B2282" s="381" t="s">
        <v>315</v>
      </c>
      <c r="C2282" s="381" t="s">
        <v>1330</v>
      </c>
      <c r="D2282" s="381" t="s">
        <v>753</v>
      </c>
      <c r="E2282" s="381" t="s">
        <v>754</v>
      </c>
      <c r="F2282" s="378">
        <v>2562</v>
      </c>
      <c r="G2282" s="378">
        <v>0</v>
      </c>
      <c r="H2282" s="378">
        <v>0</v>
      </c>
      <c r="I2282" s="378">
        <v>2562</v>
      </c>
      <c r="J2282" s="384">
        <f t="shared" si="41"/>
        <v>8</v>
      </c>
    </row>
    <row r="2283" spans="1:10" ht="15" customHeight="1" x14ac:dyDescent="0.25">
      <c r="A2283" s="380">
        <v>52059501</v>
      </c>
      <c r="B2283" s="381" t="s">
        <v>315</v>
      </c>
      <c r="C2283" s="381" t="s">
        <v>1330</v>
      </c>
      <c r="D2283" s="381" t="s">
        <v>1200</v>
      </c>
      <c r="E2283" s="381" t="s">
        <v>1201</v>
      </c>
      <c r="F2283" s="378">
        <v>12810</v>
      </c>
      <c r="G2283" s="378">
        <v>2562</v>
      </c>
      <c r="H2283" s="378">
        <v>0</v>
      </c>
      <c r="I2283" s="378">
        <v>15372</v>
      </c>
      <c r="J2283" s="384">
        <f t="shared" si="41"/>
        <v>8</v>
      </c>
    </row>
    <row r="2284" spans="1:10" ht="15" customHeight="1" x14ac:dyDescent="0.25">
      <c r="A2284" s="380">
        <v>52059501</v>
      </c>
      <c r="B2284" s="381" t="s">
        <v>315</v>
      </c>
      <c r="C2284" s="381" t="s">
        <v>1330</v>
      </c>
      <c r="D2284" s="381" t="s">
        <v>786</v>
      </c>
      <c r="E2284" s="381" t="s">
        <v>787</v>
      </c>
      <c r="F2284" s="378">
        <v>30500</v>
      </c>
      <c r="G2284" s="378">
        <v>6100</v>
      </c>
      <c r="H2284" s="378">
        <v>0</v>
      </c>
      <c r="I2284" s="378">
        <v>36600</v>
      </c>
      <c r="J2284" s="384">
        <f t="shared" si="41"/>
        <v>8</v>
      </c>
    </row>
    <row r="2285" spans="1:10" ht="15" customHeight="1" x14ac:dyDescent="0.25">
      <c r="A2285" s="380">
        <v>52059501</v>
      </c>
      <c r="B2285" s="381" t="s">
        <v>315</v>
      </c>
      <c r="C2285" s="381" t="s">
        <v>1330</v>
      </c>
      <c r="D2285" s="381" t="s">
        <v>1224</v>
      </c>
      <c r="E2285" s="381" t="s">
        <v>1225</v>
      </c>
      <c r="F2285" s="378">
        <v>12810</v>
      </c>
      <c r="G2285" s="378">
        <v>2562</v>
      </c>
      <c r="H2285" s="378">
        <v>0</v>
      </c>
      <c r="I2285" s="378">
        <v>15372</v>
      </c>
      <c r="J2285" s="384">
        <f t="shared" si="41"/>
        <v>8</v>
      </c>
    </row>
    <row r="2286" spans="1:10" ht="15" customHeight="1" x14ac:dyDescent="0.25">
      <c r="A2286" s="380">
        <v>52059501</v>
      </c>
      <c r="B2286" s="381" t="s">
        <v>315</v>
      </c>
      <c r="C2286" s="381" t="s">
        <v>1330</v>
      </c>
      <c r="D2286" s="381" t="s">
        <v>1226</v>
      </c>
      <c r="E2286" s="381" t="s">
        <v>1227</v>
      </c>
      <c r="F2286" s="378">
        <v>2562</v>
      </c>
      <c r="G2286" s="378">
        <v>0</v>
      </c>
      <c r="H2286" s="378">
        <v>0</v>
      </c>
      <c r="I2286" s="378">
        <v>2562</v>
      </c>
      <c r="J2286" s="384">
        <f t="shared" si="41"/>
        <v>8</v>
      </c>
    </row>
    <row r="2287" spans="1:10" ht="15" customHeight="1" x14ac:dyDescent="0.25">
      <c r="A2287" s="380">
        <v>52059501</v>
      </c>
      <c r="B2287" s="381" t="s">
        <v>315</v>
      </c>
      <c r="C2287" s="381" t="s">
        <v>1330</v>
      </c>
      <c r="D2287" s="381" t="s">
        <v>1202</v>
      </c>
      <c r="E2287" s="381" t="s">
        <v>1203</v>
      </c>
      <c r="F2287" s="378">
        <v>2562</v>
      </c>
      <c r="G2287" s="378">
        <v>2562</v>
      </c>
      <c r="H2287" s="378">
        <v>0</v>
      </c>
      <c r="I2287" s="378">
        <v>5124</v>
      </c>
      <c r="J2287" s="384">
        <f t="shared" si="41"/>
        <v>8</v>
      </c>
    </row>
    <row r="2288" spans="1:10" ht="15" customHeight="1" x14ac:dyDescent="0.25">
      <c r="A2288" s="380">
        <v>52059501</v>
      </c>
      <c r="B2288" s="381" t="s">
        <v>315</v>
      </c>
      <c r="C2288" s="381" t="s">
        <v>1330</v>
      </c>
      <c r="D2288" s="381" t="s">
        <v>1228</v>
      </c>
      <c r="E2288" s="381" t="s">
        <v>1229</v>
      </c>
      <c r="F2288" s="378">
        <v>6100</v>
      </c>
      <c r="G2288" s="378">
        <v>6100</v>
      </c>
      <c r="H2288" s="378">
        <v>0</v>
      </c>
      <c r="I2288" s="378">
        <v>12200</v>
      </c>
      <c r="J2288" s="384">
        <f t="shared" si="41"/>
        <v>8</v>
      </c>
    </row>
    <row r="2289" spans="1:10" ht="15" customHeight="1" x14ac:dyDescent="0.25">
      <c r="A2289" s="380">
        <v>52059501</v>
      </c>
      <c r="B2289" s="381" t="s">
        <v>315</v>
      </c>
      <c r="C2289" s="381" t="s">
        <v>1330</v>
      </c>
      <c r="D2289" s="381" t="s">
        <v>1086</v>
      </c>
      <c r="E2289" s="381" t="s">
        <v>1087</v>
      </c>
      <c r="F2289" s="378">
        <v>12810</v>
      </c>
      <c r="G2289" s="378">
        <v>2562</v>
      </c>
      <c r="H2289" s="378">
        <v>0</v>
      </c>
      <c r="I2289" s="378">
        <v>15372</v>
      </c>
      <c r="J2289" s="384">
        <f t="shared" si="41"/>
        <v>8</v>
      </c>
    </row>
    <row r="2290" spans="1:10" ht="15" customHeight="1" x14ac:dyDescent="0.25">
      <c r="A2290" s="380">
        <v>52059501</v>
      </c>
      <c r="B2290" s="381" t="s">
        <v>315</v>
      </c>
      <c r="C2290" s="381" t="s">
        <v>1330</v>
      </c>
      <c r="D2290" s="381" t="s">
        <v>404</v>
      </c>
      <c r="E2290" s="381" t="s">
        <v>1230</v>
      </c>
      <c r="F2290" s="378">
        <v>5124</v>
      </c>
      <c r="G2290" s="378">
        <v>2562</v>
      </c>
      <c r="H2290" s="378">
        <v>0</v>
      </c>
      <c r="I2290" s="378">
        <v>7686</v>
      </c>
      <c r="J2290" s="384">
        <f t="shared" si="41"/>
        <v>8</v>
      </c>
    </row>
    <row r="2291" spans="1:10" ht="15" customHeight="1" x14ac:dyDescent="0.25">
      <c r="A2291" s="380">
        <v>52059501</v>
      </c>
      <c r="B2291" s="381" t="s">
        <v>315</v>
      </c>
      <c r="C2291" s="381" t="s">
        <v>1330</v>
      </c>
      <c r="D2291" s="381" t="s">
        <v>1231</v>
      </c>
      <c r="E2291" s="381" t="s">
        <v>1232</v>
      </c>
      <c r="F2291" s="378">
        <v>2562</v>
      </c>
      <c r="G2291" s="378">
        <v>0</v>
      </c>
      <c r="H2291" s="378">
        <v>0</v>
      </c>
      <c r="I2291" s="378">
        <v>2562</v>
      </c>
      <c r="J2291" s="384">
        <f t="shared" si="41"/>
        <v>8</v>
      </c>
    </row>
    <row r="2292" spans="1:10" ht="15" customHeight="1" x14ac:dyDescent="0.25">
      <c r="A2292" s="380">
        <v>52059501</v>
      </c>
      <c r="B2292" s="381" t="s">
        <v>315</v>
      </c>
      <c r="C2292" s="381" t="s">
        <v>1330</v>
      </c>
      <c r="D2292" s="381" t="s">
        <v>1206</v>
      </c>
      <c r="E2292" s="381" t="s">
        <v>1207</v>
      </c>
      <c r="F2292" s="378">
        <v>10248</v>
      </c>
      <c r="G2292" s="378">
        <v>2562</v>
      </c>
      <c r="H2292" s="378">
        <v>0</v>
      </c>
      <c r="I2292" s="378">
        <v>12810</v>
      </c>
      <c r="J2292" s="384">
        <f t="shared" si="41"/>
        <v>8</v>
      </c>
    </row>
    <row r="2293" spans="1:10" ht="15" customHeight="1" x14ac:dyDescent="0.25">
      <c r="A2293" s="380">
        <v>52059501</v>
      </c>
      <c r="B2293" s="381" t="s">
        <v>315</v>
      </c>
      <c r="C2293" s="381" t="s">
        <v>1330</v>
      </c>
      <c r="D2293" s="381" t="s">
        <v>1088</v>
      </c>
      <c r="E2293" s="381" t="s">
        <v>1089</v>
      </c>
      <c r="F2293" s="378">
        <v>7686</v>
      </c>
      <c r="G2293" s="378">
        <v>2562</v>
      </c>
      <c r="H2293" s="378">
        <v>0</v>
      </c>
      <c r="I2293" s="378">
        <v>10248</v>
      </c>
      <c r="J2293" s="384">
        <f t="shared" si="41"/>
        <v>8</v>
      </c>
    </row>
    <row r="2294" spans="1:10" ht="15" customHeight="1" x14ac:dyDescent="0.25">
      <c r="A2294" s="380">
        <v>52059501</v>
      </c>
      <c r="B2294" s="381" t="s">
        <v>315</v>
      </c>
      <c r="C2294" s="381" t="s">
        <v>1330</v>
      </c>
      <c r="D2294" s="381" t="s">
        <v>776</v>
      </c>
      <c r="E2294" s="381" t="s">
        <v>777</v>
      </c>
      <c r="F2294" s="378">
        <v>12810</v>
      </c>
      <c r="G2294" s="378">
        <v>2562</v>
      </c>
      <c r="H2294" s="378">
        <v>0</v>
      </c>
      <c r="I2294" s="378">
        <v>15372</v>
      </c>
      <c r="J2294" s="384">
        <f t="shared" si="41"/>
        <v>8</v>
      </c>
    </row>
    <row r="2295" spans="1:10" ht="15" customHeight="1" x14ac:dyDescent="0.25">
      <c r="A2295" s="380">
        <v>52059501</v>
      </c>
      <c r="B2295" s="381" t="s">
        <v>315</v>
      </c>
      <c r="C2295" s="381" t="s">
        <v>1330</v>
      </c>
      <c r="D2295" s="381" t="s">
        <v>790</v>
      </c>
      <c r="E2295" s="381" t="s">
        <v>791</v>
      </c>
      <c r="F2295" s="378">
        <v>12810</v>
      </c>
      <c r="G2295" s="378">
        <v>2562</v>
      </c>
      <c r="H2295" s="378">
        <v>0</v>
      </c>
      <c r="I2295" s="378">
        <v>15372</v>
      </c>
      <c r="J2295" s="384">
        <f t="shared" si="41"/>
        <v>8</v>
      </c>
    </row>
    <row r="2296" spans="1:10" ht="15" customHeight="1" x14ac:dyDescent="0.25">
      <c r="A2296" s="380">
        <v>52059501</v>
      </c>
      <c r="B2296" s="381" t="s">
        <v>315</v>
      </c>
      <c r="C2296" s="381" t="s">
        <v>1330</v>
      </c>
      <c r="D2296" s="381" t="s">
        <v>1233</v>
      </c>
      <c r="E2296" s="381" t="s">
        <v>1234</v>
      </c>
      <c r="F2296" s="378">
        <v>10248</v>
      </c>
      <c r="G2296" s="378">
        <v>0</v>
      </c>
      <c r="H2296" s="378">
        <v>0</v>
      </c>
      <c r="I2296" s="378">
        <v>10248</v>
      </c>
      <c r="J2296" s="384">
        <f t="shared" si="41"/>
        <v>8</v>
      </c>
    </row>
    <row r="2297" spans="1:10" ht="15" customHeight="1" x14ac:dyDescent="0.25">
      <c r="A2297" s="380">
        <v>52059501</v>
      </c>
      <c r="B2297" s="381" t="s">
        <v>315</v>
      </c>
      <c r="C2297" s="381" t="s">
        <v>1330</v>
      </c>
      <c r="D2297" s="381" t="s">
        <v>1235</v>
      </c>
      <c r="E2297" s="381" t="s">
        <v>1236</v>
      </c>
      <c r="F2297" s="378">
        <v>2562</v>
      </c>
      <c r="G2297" s="378">
        <v>0</v>
      </c>
      <c r="H2297" s="378">
        <v>0</v>
      </c>
      <c r="I2297" s="378">
        <v>2562</v>
      </c>
      <c r="J2297" s="384">
        <f t="shared" si="41"/>
        <v>8</v>
      </c>
    </row>
    <row r="2298" spans="1:10" ht="15" customHeight="1" x14ac:dyDescent="0.25">
      <c r="A2298" s="380">
        <v>52059501</v>
      </c>
      <c r="B2298" s="381" t="s">
        <v>315</v>
      </c>
      <c r="C2298" s="381" t="s">
        <v>1330</v>
      </c>
      <c r="D2298" s="381" t="s">
        <v>1239</v>
      </c>
      <c r="E2298" s="381" t="s">
        <v>1240</v>
      </c>
      <c r="F2298" s="378">
        <v>12810</v>
      </c>
      <c r="G2298" s="378">
        <v>0</v>
      </c>
      <c r="H2298" s="378">
        <v>0</v>
      </c>
      <c r="I2298" s="378">
        <v>12810</v>
      </c>
      <c r="J2298" s="384">
        <f t="shared" si="41"/>
        <v>8</v>
      </c>
    </row>
    <row r="2299" spans="1:10" ht="15" customHeight="1" x14ac:dyDescent="0.25">
      <c r="A2299" s="380">
        <v>52059501</v>
      </c>
      <c r="B2299" s="381" t="s">
        <v>315</v>
      </c>
      <c r="C2299" s="381" t="s">
        <v>1330</v>
      </c>
      <c r="D2299" s="381" t="s">
        <v>1248</v>
      </c>
      <c r="E2299" s="381" t="s">
        <v>1249</v>
      </c>
      <c r="F2299" s="378">
        <v>2562</v>
      </c>
      <c r="G2299" s="378">
        <v>0</v>
      </c>
      <c r="H2299" s="378">
        <v>0</v>
      </c>
      <c r="I2299" s="378">
        <v>2562</v>
      </c>
      <c r="J2299" s="384">
        <f t="shared" si="41"/>
        <v>8</v>
      </c>
    </row>
    <row r="2300" spans="1:10" ht="15" customHeight="1" x14ac:dyDescent="0.25">
      <c r="A2300" s="380">
        <v>52059501</v>
      </c>
      <c r="B2300" s="381" t="s">
        <v>315</v>
      </c>
      <c r="C2300" s="381" t="s">
        <v>1330</v>
      </c>
      <c r="D2300" s="381" t="s">
        <v>1210</v>
      </c>
      <c r="E2300" s="381" t="s">
        <v>1211</v>
      </c>
      <c r="F2300" s="378">
        <v>12810</v>
      </c>
      <c r="G2300" s="378">
        <v>2562</v>
      </c>
      <c r="H2300" s="378">
        <v>0</v>
      </c>
      <c r="I2300" s="378">
        <v>15372</v>
      </c>
      <c r="J2300" s="384">
        <f t="shared" si="41"/>
        <v>8</v>
      </c>
    </row>
    <row r="2301" spans="1:10" ht="15" customHeight="1" x14ac:dyDescent="0.25">
      <c r="A2301" s="380">
        <v>52059501</v>
      </c>
      <c r="B2301" s="381" t="s">
        <v>315</v>
      </c>
      <c r="C2301" s="381" t="s">
        <v>1330</v>
      </c>
      <c r="D2301" s="381" t="s">
        <v>1090</v>
      </c>
      <c r="E2301" s="381" t="s">
        <v>1091</v>
      </c>
      <c r="F2301" s="378">
        <v>18300</v>
      </c>
      <c r="G2301" s="378">
        <v>6100</v>
      </c>
      <c r="H2301" s="378">
        <v>0</v>
      </c>
      <c r="I2301" s="378">
        <v>24400</v>
      </c>
      <c r="J2301" s="384">
        <f t="shared" si="41"/>
        <v>8</v>
      </c>
    </row>
    <row r="2302" spans="1:10" ht="15" customHeight="1" x14ac:dyDescent="0.25">
      <c r="A2302" s="380">
        <v>52059501</v>
      </c>
      <c r="B2302" s="381" t="s">
        <v>315</v>
      </c>
      <c r="C2302" s="381" t="s">
        <v>1330</v>
      </c>
      <c r="D2302" s="381" t="s">
        <v>1241</v>
      </c>
      <c r="E2302" s="381" t="s">
        <v>1242</v>
      </c>
      <c r="F2302" s="378">
        <v>5124</v>
      </c>
      <c r="G2302" s="378">
        <v>2562</v>
      </c>
      <c r="H2302" s="378">
        <v>0</v>
      </c>
      <c r="I2302" s="378">
        <v>7686</v>
      </c>
      <c r="J2302" s="384">
        <f t="shared" si="41"/>
        <v>8</v>
      </c>
    </row>
    <row r="2303" spans="1:10" ht="15" customHeight="1" x14ac:dyDescent="0.25">
      <c r="A2303" s="380">
        <v>52059501</v>
      </c>
      <c r="B2303" s="381" t="s">
        <v>315</v>
      </c>
      <c r="C2303" s="381" t="s">
        <v>1330</v>
      </c>
      <c r="D2303" s="381" t="s">
        <v>792</v>
      </c>
      <c r="E2303" s="381" t="s">
        <v>793</v>
      </c>
      <c r="F2303" s="378">
        <v>30500</v>
      </c>
      <c r="G2303" s="378">
        <v>6100</v>
      </c>
      <c r="H2303" s="378">
        <v>0</v>
      </c>
      <c r="I2303" s="378">
        <v>36600</v>
      </c>
      <c r="J2303" s="384">
        <f t="shared" si="41"/>
        <v>8</v>
      </c>
    </row>
    <row r="2304" spans="1:10" ht="15" customHeight="1" x14ac:dyDescent="0.25">
      <c r="A2304" s="380">
        <v>52059501</v>
      </c>
      <c r="B2304" s="381" t="s">
        <v>315</v>
      </c>
      <c r="C2304" s="381" t="s">
        <v>1330</v>
      </c>
      <c r="D2304" s="381" t="s">
        <v>794</v>
      </c>
      <c r="E2304" s="381" t="s">
        <v>795</v>
      </c>
      <c r="F2304" s="378">
        <v>30500</v>
      </c>
      <c r="G2304" s="378">
        <v>6100</v>
      </c>
      <c r="H2304" s="378">
        <v>0</v>
      </c>
      <c r="I2304" s="378">
        <v>36600</v>
      </c>
      <c r="J2304" s="384">
        <f t="shared" si="41"/>
        <v>8</v>
      </c>
    </row>
    <row r="2305" spans="1:10" ht="15" customHeight="1" x14ac:dyDescent="0.25">
      <c r="A2305" s="380">
        <v>52059501</v>
      </c>
      <c r="B2305" s="381" t="s">
        <v>315</v>
      </c>
      <c r="C2305" s="381" t="s">
        <v>1330</v>
      </c>
      <c r="D2305" s="381" t="s">
        <v>1092</v>
      </c>
      <c r="E2305" s="381" t="s">
        <v>1093</v>
      </c>
      <c r="F2305" s="378">
        <v>30500</v>
      </c>
      <c r="G2305" s="378">
        <v>6100</v>
      </c>
      <c r="H2305" s="378">
        <v>0</v>
      </c>
      <c r="I2305" s="378">
        <v>36600</v>
      </c>
      <c r="J2305" s="384">
        <f t="shared" si="41"/>
        <v>8</v>
      </c>
    </row>
    <row r="2306" spans="1:10" ht="15" customHeight="1" x14ac:dyDescent="0.25">
      <c r="A2306" s="380">
        <v>52059501</v>
      </c>
      <c r="B2306" s="381" t="s">
        <v>315</v>
      </c>
      <c r="C2306" s="381" t="s">
        <v>1330</v>
      </c>
      <c r="D2306" s="381" t="s">
        <v>1243</v>
      </c>
      <c r="E2306" s="381" t="s">
        <v>1244</v>
      </c>
      <c r="F2306" s="378">
        <v>10248</v>
      </c>
      <c r="G2306" s="378">
        <v>0</v>
      </c>
      <c r="H2306" s="378">
        <v>0</v>
      </c>
      <c r="I2306" s="378">
        <v>10248</v>
      </c>
      <c r="J2306" s="384">
        <f t="shared" si="41"/>
        <v>8</v>
      </c>
    </row>
    <row r="2307" spans="1:10" ht="15" customHeight="1" x14ac:dyDescent="0.25">
      <c r="A2307" s="380">
        <v>52059501</v>
      </c>
      <c r="B2307" s="381" t="s">
        <v>315</v>
      </c>
      <c r="C2307" s="381" t="s">
        <v>1330</v>
      </c>
      <c r="D2307" s="381" t="s">
        <v>1214</v>
      </c>
      <c r="E2307" s="381" t="s">
        <v>1489</v>
      </c>
      <c r="F2307" s="378">
        <v>30500</v>
      </c>
      <c r="G2307" s="378">
        <v>6100</v>
      </c>
      <c r="H2307" s="378">
        <v>0</v>
      </c>
      <c r="I2307" s="378">
        <v>36600</v>
      </c>
      <c r="J2307" s="384">
        <f t="shared" si="41"/>
        <v>8</v>
      </c>
    </row>
    <row r="2308" spans="1:10" ht="15" customHeight="1" x14ac:dyDescent="0.25">
      <c r="A2308" s="380">
        <v>52059501</v>
      </c>
      <c r="B2308" s="381" t="s">
        <v>315</v>
      </c>
      <c r="C2308" s="381" t="s">
        <v>1330</v>
      </c>
      <c r="D2308" s="381" t="s">
        <v>1094</v>
      </c>
      <c r="E2308" s="381" t="s">
        <v>1095</v>
      </c>
      <c r="F2308" s="378">
        <v>12810</v>
      </c>
      <c r="G2308" s="378">
        <v>2562</v>
      </c>
      <c r="H2308" s="378">
        <v>0</v>
      </c>
      <c r="I2308" s="378">
        <v>15372</v>
      </c>
      <c r="J2308" s="384">
        <f t="shared" si="41"/>
        <v>8</v>
      </c>
    </row>
    <row r="2309" spans="1:10" ht="15" customHeight="1" x14ac:dyDescent="0.25">
      <c r="A2309" s="380">
        <v>52059506</v>
      </c>
      <c r="B2309" s="381" t="s">
        <v>321</v>
      </c>
      <c r="C2309" s="381" t="s">
        <v>1331</v>
      </c>
      <c r="D2309" s="381" t="s">
        <v>315</v>
      </c>
      <c r="E2309" s="381" t="s">
        <v>315</v>
      </c>
      <c r="F2309" s="378">
        <v>0</v>
      </c>
      <c r="G2309" s="378">
        <v>1921725</v>
      </c>
      <c r="H2309" s="378">
        <v>0</v>
      </c>
      <c r="I2309" s="378">
        <v>1921725</v>
      </c>
      <c r="J2309" s="384">
        <f t="shared" si="41"/>
        <v>8</v>
      </c>
    </row>
    <row r="2310" spans="1:10" ht="15" customHeight="1" x14ac:dyDescent="0.25">
      <c r="A2310" s="380">
        <v>52059506</v>
      </c>
      <c r="B2310" s="381" t="s">
        <v>321</v>
      </c>
      <c r="C2310" s="381" t="s">
        <v>1331</v>
      </c>
      <c r="D2310" s="381" t="s">
        <v>688</v>
      </c>
      <c r="E2310" s="381" t="s">
        <v>689</v>
      </c>
      <c r="F2310" s="378">
        <v>0</v>
      </c>
      <c r="G2310" s="378">
        <v>1921725</v>
      </c>
      <c r="H2310" s="378">
        <v>0</v>
      </c>
      <c r="I2310" s="378">
        <v>1921725</v>
      </c>
      <c r="J2310" s="384">
        <f t="shared" si="41"/>
        <v>8</v>
      </c>
    </row>
    <row r="2311" spans="1:10" ht="15" customHeight="1" x14ac:dyDescent="0.25">
      <c r="A2311" s="380">
        <v>5210</v>
      </c>
      <c r="B2311" s="381" t="s">
        <v>315</v>
      </c>
      <c r="C2311" s="381" t="s">
        <v>188</v>
      </c>
      <c r="D2311" s="381" t="s">
        <v>315</v>
      </c>
      <c r="E2311" s="381" t="s">
        <v>315</v>
      </c>
      <c r="F2311" s="378">
        <v>93005610</v>
      </c>
      <c r="G2311" s="378">
        <v>28024563</v>
      </c>
      <c r="H2311" s="378">
        <v>0</v>
      </c>
      <c r="I2311" s="378">
        <v>121030173</v>
      </c>
      <c r="J2311" s="384">
        <f t="shared" si="41"/>
        <v>4</v>
      </c>
    </row>
    <row r="2312" spans="1:10" ht="15" customHeight="1" x14ac:dyDescent="0.25">
      <c r="A2312" s="380">
        <v>521045</v>
      </c>
      <c r="B2312" s="381" t="s">
        <v>315</v>
      </c>
      <c r="C2312" s="381" t="s">
        <v>1332</v>
      </c>
      <c r="D2312" s="381" t="s">
        <v>315</v>
      </c>
      <c r="E2312" s="381" t="s">
        <v>315</v>
      </c>
      <c r="F2312" s="378">
        <v>84553604</v>
      </c>
      <c r="G2312" s="378">
        <v>25797118</v>
      </c>
      <c r="H2312" s="378">
        <v>0</v>
      </c>
      <c r="I2312" s="378">
        <v>110350722</v>
      </c>
      <c r="J2312" s="384">
        <f t="shared" si="41"/>
        <v>6</v>
      </c>
    </row>
    <row r="2313" spans="1:10" ht="15" customHeight="1" x14ac:dyDescent="0.25">
      <c r="A2313" s="380">
        <v>52104501</v>
      </c>
      <c r="B2313" s="381" t="s">
        <v>315</v>
      </c>
      <c r="C2313" s="381" t="s">
        <v>1332</v>
      </c>
      <c r="D2313" s="381" t="s">
        <v>315</v>
      </c>
      <c r="E2313" s="381" t="s">
        <v>315</v>
      </c>
      <c r="F2313" s="378">
        <v>81303604</v>
      </c>
      <c r="G2313" s="378">
        <v>25645857</v>
      </c>
      <c r="H2313" s="378">
        <v>0</v>
      </c>
      <c r="I2313" s="378">
        <v>106949461</v>
      </c>
      <c r="J2313" s="384">
        <f t="shared" si="41"/>
        <v>8</v>
      </c>
    </row>
    <row r="2314" spans="1:10" ht="15" customHeight="1" x14ac:dyDescent="0.25">
      <c r="A2314" s="380">
        <v>52104501</v>
      </c>
      <c r="B2314" s="381" t="s">
        <v>315</v>
      </c>
      <c r="C2314" s="381" t="s">
        <v>1332</v>
      </c>
      <c r="D2314" s="381" t="s">
        <v>1009</v>
      </c>
      <c r="E2314" s="381" t="s">
        <v>1010</v>
      </c>
      <c r="F2314" s="378">
        <v>77552604</v>
      </c>
      <c r="G2314" s="378">
        <v>25645857</v>
      </c>
      <c r="H2314" s="378">
        <v>0</v>
      </c>
      <c r="I2314" s="378">
        <v>103198461</v>
      </c>
      <c r="J2314" s="384">
        <f t="shared" si="41"/>
        <v>8</v>
      </c>
    </row>
    <row r="2315" spans="1:10" ht="15" customHeight="1" x14ac:dyDescent="0.25">
      <c r="A2315" s="380">
        <v>52104501</v>
      </c>
      <c r="B2315" s="381" t="s">
        <v>315</v>
      </c>
      <c r="C2315" s="381" t="s">
        <v>1332</v>
      </c>
      <c r="D2315" s="381" t="s">
        <v>1030</v>
      </c>
      <c r="E2315" s="381" t="s">
        <v>1031</v>
      </c>
      <c r="F2315" s="378">
        <v>3751000</v>
      </c>
      <c r="G2315" s="378">
        <v>0</v>
      </c>
      <c r="H2315" s="378">
        <v>0</v>
      </c>
      <c r="I2315" s="378">
        <v>3751000</v>
      </c>
      <c r="J2315" s="384">
        <f t="shared" si="41"/>
        <v>8</v>
      </c>
    </row>
    <row r="2316" spans="1:10" ht="15" customHeight="1" x14ac:dyDescent="0.25">
      <c r="A2316" s="380">
        <v>52104502</v>
      </c>
      <c r="B2316" s="381" t="s">
        <v>315</v>
      </c>
      <c r="C2316" s="381" t="s">
        <v>1333</v>
      </c>
      <c r="D2316" s="381" t="s">
        <v>315</v>
      </c>
      <c r="E2316" s="381" t="s">
        <v>315</v>
      </c>
      <c r="F2316" s="378">
        <v>3250000</v>
      </c>
      <c r="G2316" s="378">
        <v>151261</v>
      </c>
      <c r="H2316" s="378">
        <v>0</v>
      </c>
      <c r="I2316" s="378">
        <v>3401261</v>
      </c>
      <c r="J2316" s="384">
        <f t="shared" si="41"/>
        <v>8</v>
      </c>
    </row>
    <row r="2317" spans="1:10" ht="15" customHeight="1" x14ac:dyDescent="0.25">
      <c r="A2317" s="380">
        <v>52104502</v>
      </c>
      <c r="B2317" s="381" t="s">
        <v>315</v>
      </c>
      <c r="C2317" s="381" t="s">
        <v>1333</v>
      </c>
      <c r="D2317" s="381" t="s">
        <v>1107</v>
      </c>
      <c r="E2317" s="381" t="s">
        <v>1108</v>
      </c>
      <c r="F2317" s="378">
        <v>0</v>
      </c>
      <c r="G2317" s="378">
        <v>151261</v>
      </c>
      <c r="H2317" s="378">
        <v>0</v>
      </c>
      <c r="I2317" s="378">
        <v>151261</v>
      </c>
      <c r="J2317" s="384">
        <f t="shared" si="41"/>
        <v>8</v>
      </c>
    </row>
    <row r="2318" spans="1:10" ht="15" customHeight="1" x14ac:dyDescent="0.25">
      <c r="A2318" s="380">
        <v>52104502</v>
      </c>
      <c r="B2318" s="381" t="s">
        <v>315</v>
      </c>
      <c r="C2318" s="381" t="s">
        <v>1333</v>
      </c>
      <c r="D2318" s="381" t="s">
        <v>668</v>
      </c>
      <c r="E2318" s="381" t="s">
        <v>1028</v>
      </c>
      <c r="F2318" s="378">
        <v>3250000</v>
      </c>
      <c r="G2318" s="378">
        <v>0</v>
      </c>
      <c r="H2318" s="378">
        <v>0</v>
      </c>
      <c r="I2318" s="378">
        <v>3250000</v>
      </c>
      <c r="J2318" s="384">
        <f t="shared" si="41"/>
        <v>8</v>
      </c>
    </row>
    <row r="2319" spans="1:10" ht="15" customHeight="1" x14ac:dyDescent="0.25">
      <c r="A2319" s="380">
        <v>521095</v>
      </c>
      <c r="B2319" s="381" t="s">
        <v>315</v>
      </c>
      <c r="C2319" s="381" t="s">
        <v>238</v>
      </c>
      <c r="D2319" s="381" t="s">
        <v>315</v>
      </c>
      <c r="E2319" s="381" t="s">
        <v>315</v>
      </c>
      <c r="F2319" s="378">
        <v>8452006</v>
      </c>
      <c r="G2319" s="378">
        <v>2227445</v>
      </c>
      <c r="H2319" s="378">
        <v>0</v>
      </c>
      <c r="I2319" s="378">
        <v>10679451</v>
      </c>
      <c r="J2319" s="384">
        <f t="shared" si="41"/>
        <v>6</v>
      </c>
    </row>
    <row r="2320" spans="1:10" ht="15" customHeight="1" x14ac:dyDescent="0.25">
      <c r="A2320" s="380">
        <v>52109501</v>
      </c>
      <c r="B2320" s="381" t="s">
        <v>315</v>
      </c>
      <c r="C2320" s="381" t="s">
        <v>238</v>
      </c>
      <c r="D2320" s="381" t="s">
        <v>315</v>
      </c>
      <c r="E2320" s="381" t="s">
        <v>315</v>
      </c>
      <c r="F2320" s="378">
        <v>0</v>
      </c>
      <c r="G2320" s="378">
        <v>165000</v>
      </c>
      <c r="H2320" s="378">
        <v>0</v>
      </c>
      <c r="I2320" s="378">
        <v>165000</v>
      </c>
      <c r="J2320" s="384">
        <f t="shared" si="41"/>
        <v>8</v>
      </c>
    </row>
    <row r="2321" spans="1:10" ht="15" customHeight="1" x14ac:dyDescent="0.25">
      <c r="A2321" s="380">
        <v>52109501</v>
      </c>
      <c r="B2321" s="381" t="s">
        <v>315</v>
      </c>
      <c r="C2321" s="381" t="s">
        <v>238</v>
      </c>
      <c r="D2321" s="381" t="s">
        <v>963</v>
      </c>
      <c r="E2321" s="381" t="s">
        <v>964</v>
      </c>
      <c r="F2321" s="378">
        <v>0</v>
      </c>
      <c r="G2321" s="378">
        <v>80000</v>
      </c>
      <c r="H2321" s="378">
        <v>0</v>
      </c>
      <c r="I2321" s="378">
        <v>80000</v>
      </c>
      <c r="J2321" s="384">
        <f t="shared" si="41"/>
        <v>8</v>
      </c>
    </row>
    <row r="2322" spans="1:10" ht="15" customHeight="1" x14ac:dyDescent="0.25">
      <c r="A2322" s="380">
        <v>52109501</v>
      </c>
      <c r="B2322" s="381" t="s">
        <v>315</v>
      </c>
      <c r="C2322" s="381" t="s">
        <v>238</v>
      </c>
      <c r="D2322" s="381" t="s">
        <v>1025</v>
      </c>
      <c r="E2322" s="381" t="s">
        <v>1026</v>
      </c>
      <c r="F2322" s="378">
        <v>0</v>
      </c>
      <c r="G2322" s="378">
        <v>85000</v>
      </c>
      <c r="H2322" s="378">
        <v>0</v>
      </c>
      <c r="I2322" s="378">
        <v>85000</v>
      </c>
      <c r="J2322" s="384">
        <f t="shared" si="41"/>
        <v>8</v>
      </c>
    </row>
    <row r="2323" spans="1:10" ht="15" customHeight="1" x14ac:dyDescent="0.25">
      <c r="A2323" s="380">
        <v>52109502</v>
      </c>
      <c r="B2323" s="381" t="s">
        <v>315</v>
      </c>
      <c r="C2323" s="381" t="s">
        <v>1334</v>
      </c>
      <c r="D2323" s="381" t="s">
        <v>315</v>
      </c>
      <c r="E2323" s="381" t="s">
        <v>315</v>
      </c>
      <c r="F2323" s="378">
        <v>8452006</v>
      </c>
      <c r="G2323" s="378">
        <v>2062445</v>
      </c>
      <c r="H2323" s="378">
        <v>0</v>
      </c>
      <c r="I2323" s="378">
        <v>10514451</v>
      </c>
      <c r="J2323" s="384">
        <f t="shared" si="41"/>
        <v>8</v>
      </c>
    </row>
    <row r="2324" spans="1:10" ht="15" customHeight="1" x14ac:dyDescent="0.25">
      <c r="A2324" s="380">
        <v>52109502</v>
      </c>
      <c r="B2324" s="381" t="s">
        <v>315</v>
      </c>
      <c r="C2324" s="381" t="s">
        <v>1334</v>
      </c>
      <c r="D2324" s="381" t="s">
        <v>978</v>
      </c>
      <c r="E2324" s="381" t="s">
        <v>979</v>
      </c>
      <c r="F2324" s="378">
        <v>5390006</v>
      </c>
      <c r="G2324" s="378">
        <v>1429645</v>
      </c>
      <c r="H2324" s="378">
        <v>0</v>
      </c>
      <c r="I2324" s="378">
        <v>6819651</v>
      </c>
      <c r="J2324" s="384">
        <f t="shared" si="41"/>
        <v>8</v>
      </c>
    </row>
    <row r="2325" spans="1:10" ht="15" customHeight="1" x14ac:dyDescent="0.25">
      <c r="A2325" s="380">
        <v>52109502</v>
      </c>
      <c r="B2325" s="381" t="s">
        <v>315</v>
      </c>
      <c r="C2325" s="381" t="s">
        <v>1334</v>
      </c>
      <c r="D2325" s="381" t="s">
        <v>1023</v>
      </c>
      <c r="E2325" s="381" t="s">
        <v>1024</v>
      </c>
      <c r="F2325" s="378">
        <v>3062000</v>
      </c>
      <c r="G2325" s="378">
        <v>632800</v>
      </c>
      <c r="H2325" s="378">
        <v>0</v>
      </c>
      <c r="I2325" s="378">
        <v>3694800</v>
      </c>
      <c r="J2325" s="384">
        <f t="shared" si="41"/>
        <v>8</v>
      </c>
    </row>
    <row r="2326" spans="1:10" ht="15" customHeight="1" x14ac:dyDescent="0.25">
      <c r="A2326" s="380">
        <v>5215</v>
      </c>
      <c r="B2326" s="381" t="s">
        <v>315</v>
      </c>
      <c r="C2326" s="381" t="s">
        <v>189</v>
      </c>
      <c r="D2326" s="381" t="s">
        <v>315</v>
      </c>
      <c r="E2326" s="381" t="s">
        <v>315</v>
      </c>
      <c r="F2326" s="378">
        <v>44037180</v>
      </c>
      <c r="G2326" s="378">
        <v>7525420.9000000004</v>
      </c>
      <c r="H2326" s="378">
        <v>0</v>
      </c>
      <c r="I2326" s="378">
        <v>51562600.899999999</v>
      </c>
      <c r="J2326" s="384">
        <f t="shared" si="41"/>
        <v>4</v>
      </c>
    </row>
    <row r="2327" spans="1:10" ht="15" customHeight="1" x14ac:dyDescent="0.25">
      <c r="A2327" s="380">
        <v>521505</v>
      </c>
      <c r="B2327" s="381" t="s">
        <v>315</v>
      </c>
      <c r="C2327" s="381" t="s">
        <v>481</v>
      </c>
      <c r="D2327" s="381" t="s">
        <v>315</v>
      </c>
      <c r="E2327" s="381" t="s">
        <v>315</v>
      </c>
      <c r="F2327" s="378">
        <v>31226700</v>
      </c>
      <c r="G2327" s="378">
        <v>7525420.9000000004</v>
      </c>
      <c r="H2327" s="378">
        <v>0</v>
      </c>
      <c r="I2327" s="378">
        <v>38752120.899999999</v>
      </c>
      <c r="J2327" s="384">
        <f t="shared" si="41"/>
        <v>6</v>
      </c>
    </row>
    <row r="2328" spans="1:10" ht="15" customHeight="1" x14ac:dyDescent="0.25">
      <c r="A2328" s="380">
        <v>52150501</v>
      </c>
      <c r="B2328" s="381" t="s">
        <v>315</v>
      </c>
      <c r="C2328" s="381" t="s">
        <v>481</v>
      </c>
      <c r="D2328" s="381" t="s">
        <v>315</v>
      </c>
      <c r="E2328" s="381" t="s">
        <v>315</v>
      </c>
      <c r="F2328" s="378">
        <v>12655000</v>
      </c>
      <c r="G2328" s="378">
        <v>2531000</v>
      </c>
      <c r="H2328" s="378">
        <v>0</v>
      </c>
      <c r="I2328" s="378">
        <v>15186000</v>
      </c>
      <c r="J2328" s="384">
        <f t="shared" si="41"/>
        <v>8</v>
      </c>
    </row>
    <row r="2329" spans="1:10" ht="15" customHeight="1" x14ac:dyDescent="0.25">
      <c r="A2329" s="380">
        <v>52150501</v>
      </c>
      <c r="B2329" s="381" t="s">
        <v>315</v>
      </c>
      <c r="C2329" s="381" t="s">
        <v>481</v>
      </c>
      <c r="D2329" s="381" t="s">
        <v>991</v>
      </c>
      <c r="E2329" s="381" t="s">
        <v>992</v>
      </c>
      <c r="F2329" s="378">
        <v>12655000</v>
      </c>
      <c r="G2329" s="378">
        <v>2531000</v>
      </c>
      <c r="H2329" s="378">
        <v>0</v>
      </c>
      <c r="I2329" s="378">
        <v>15186000</v>
      </c>
      <c r="J2329" s="384">
        <f t="shared" si="41"/>
        <v>8</v>
      </c>
    </row>
    <row r="2330" spans="1:10" ht="15" customHeight="1" x14ac:dyDescent="0.25">
      <c r="A2330" s="380">
        <v>52150502</v>
      </c>
      <c r="B2330" s="381" t="s">
        <v>321</v>
      </c>
      <c r="C2330" s="381" t="s">
        <v>1335</v>
      </c>
      <c r="D2330" s="381" t="s">
        <v>315</v>
      </c>
      <c r="E2330" s="381" t="s">
        <v>315</v>
      </c>
      <c r="F2330" s="378">
        <v>0</v>
      </c>
      <c r="G2330" s="378">
        <v>1752180</v>
      </c>
      <c r="H2330" s="378">
        <v>0</v>
      </c>
      <c r="I2330" s="378">
        <v>1752180</v>
      </c>
      <c r="J2330" s="384">
        <f t="shared" si="41"/>
        <v>8</v>
      </c>
    </row>
    <row r="2331" spans="1:10" ht="15" customHeight="1" x14ac:dyDescent="0.25">
      <c r="A2331" s="380">
        <v>52150502</v>
      </c>
      <c r="B2331" s="381" t="s">
        <v>321</v>
      </c>
      <c r="C2331" s="381" t="s">
        <v>1335</v>
      </c>
      <c r="D2331" s="381" t="s">
        <v>982</v>
      </c>
      <c r="E2331" s="381" t="s">
        <v>1478</v>
      </c>
      <c r="F2331" s="378">
        <v>0</v>
      </c>
      <c r="G2331" s="378">
        <v>1752180</v>
      </c>
      <c r="H2331" s="378">
        <v>0</v>
      </c>
      <c r="I2331" s="378">
        <v>1752180</v>
      </c>
      <c r="J2331" s="384">
        <f t="shared" si="41"/>
        <v>8</v>
      </c>
    </row>
    <row r="2332" spans="1:10" ht="15" customHeight="1" x14ac:dyDescent="0.25">
      <c r="A2332" s="380">
        <v>52150503</v>
      </c>
      <c r="B2332" s="381" t="s">
        <v>321</v>
      </c>
      <c r="C2332" s="381" t="s">
        <v>1336</v>
      </c>
      <c r="D2332" s="381" t="s">
        <v>315</v>
      </c>
      <c r="E2332" s="381" t="s">
        <v>315</v>
      </c>
      <c r="F2332" s="378">
        <v>16418000</v>
      </c>
      <c r="G2332" s="378">
        <v>3242240.9</v>
      </c>
      <c r="H2332" s="378">
        <v>0</v>
      </c>
      <c r="I2332" s="378">
        <v>19660240.899999999</v>
      </c>
      <c r="J2332" s="384">
        <f t="shared" si="41"/>
        <v>8</v>
      </c>
    </row>
    <row r="2333" spans="1:10" ht="15" customHeight="1" x14ac:dyDescent="0.25">
      <c r="A2333" s="380">
        <v>52150503</v>
      </c>
      <c r="B2333" s="381" t="s">
        <v>321</v>
      </c>
      <c r="C2333" s="381" t="s">
        <v>1336</v>
      </c>
      <c r="D2333" s="381" t="s">
        <v>678</v>
      </c>
      <c r="E2333" s="381" t="s">
        <v>679</v>
      </c>
      <c r="F2333" s="378">
        <v>14933000</v>
      </c>
      <c r="G2333" s="378">
        <v>3242240.9</v>
      </c>
      <c r="H2333" s="378">
        <v>0</v>
      </c>
      <c r="I2333" s="378">
        <v>18175240.899999999</v>
      </c>
      <c r="J2333" s="384">
        <f t="shared" si="41"/>
        <v>8</v>
      </c>
    </row>
    <row r="2334" spans="1:10" ht="15" customHeight="1" x14ac:dyDescent="0.25">
      <c r="A2334" s="380">
        <v>52150503</v>
      </c>
      <c r="B2334" s="381" t="s">
        <v>321</v>
      </c>
      <c r="C2334" s="381" t="s">
        <v>1336</v>
      </c>
      <c r="D2334" s="381" t="s">
        <v>989</v>
      </c>
      <c r="E2334" s="381" t="s">
        <v>990</v>
      </c>
      <c r="F2334" s="378">
        <v>1485000</v>
      </c>
      <c r="G2334" s="378">
        <v>0</v>
      </c>
      <c r="H2334" s="378">
        <v>0</v>
      </c>
      <c r="I2334" s="378">
        <v>1485000</v>
      </c>
      <c r="J2334" s="384">
        <f t="shared" si="41"/>
        <v>8</v>
      </c>
    </row>
    <row r="2335" spans="1:10" ht="15" customHeight="1" x14ac:dyDescent="0.25">
      <c r="A2335" s="380">
        <v>52150504</v>
      </c>
      <c r="B2335" s="381" t="s">
        <v>321</v>
      </c>
      <c r="C2335" s="381" t="s">
        <v>1337</v>
      </c>
      <c r="D2335" s="381" t="s">
        <v>315</v>
      </c>
      <c r="E2335" s="381" t="s">
        <v>315</v>
      </c>
      <c r="F2335" s="378">
        <v>2153700</v>
      </c>
      <c r="G2335" s="378">
        <v>0</v>
      </c>
      <c r="H2335" s="378">
        <v>0</v>
      </c>
      <c r="I2335" s="378">
        <v>2153700</v>
      </c>
      <c r="J2335" s="384">
        <f t="shared" si="41"/>
        <v>8</v>
      </c>
    </row>
    <row r="2336" spans="1:10" ht="15" customHeight="1" x14ac:dyDescent="0.25">
      <c r="A2336" s="380">
        <v>52150504</v>
      </c>
      <c r="B2336" s="381" t="s">
        <v>321</v>
      </c>
      <c r="C2336" s="381" t="s">
        <v>1337</v>
      </c>
      <c r="D2336" s="381" t="s">
        <v>678</v>
      </c>
      <c r="E2336" s="381" t="s">
        <v>679</v>
      </c>
      <c r="F2336" s="378">
        <v>2153700</v>
      </c>
      <c r="G2336" s="378">
        <v>0</v>
      </c>
      <c r="H2336" s="378">
        <v>0</v>
      </c>
      <c r="I2336" s="378">
        <v>2153700</v>
      </c>
      <c r="J2336" s="384">
        <f t="shared" si="41"/>
        <v>8</v>
      </c>
    </row>
    <row r="2337" spans="1:10" ht="15" customHeight="1" x14ac:dyDescent="0.25">
      <c r="A2337" s="380">
        <v>521515</v>
      </c>
      <c r="B2337" s="381" t="s">
        <v>321</v>
      </c>
      <c r="C2337" s="381" t="s">
        <v>1338</v>
      </c>
      <c r="D2337" s="381" t="s">
        <v>315</v>
      </c>
      <c r="E2337" s="381" t="s">
        <v>315</v>
      </c>
      <c r="F2337" s="378">
        <v>12784578</v>
      </c>
      <c r="G2337" s="378">
        <v>0</v>
      </c>
      <c r="H2337" s="378">
        <v>0</v>
      </c>
      <c r="I2337" s="378">
        <v>12784578</v>
      </c>
      <c r="J2337" s="384">
        <f t="shared" si="41"/>
        <v>6</v>
      </c>
    </row>
    <row r="2338" spans="1:10" ht="15" customHeight="1" x14ac:dyDescent="0.25">
      <c r="A2338" s="380">
        <v>52151505</v>
      </c>
      <c r="B2338" s="381" t="s">
        <v>321</v>
      </c>
      <c r="C2338" s="381" t="s">
        <v>1339</v>
      </c>
      <c r="D2338" s="381" t="s">
        <v>315</v>
      </c>
      <c r="E2338" s="381" t="s">
        <v>315</v>
      </c>
      <c r="F2338" s="378">
        <v>12784578</v>
      </c>
      <c r="G2338" s="378">
        <v>0</v>
      </c>
      <c r="H2338" s="378">
        <v>0</v>
      </c>
      <c r="I2338" s="378">
        <v>12784578</v>
      </c>
      <c r="J2338" s="384">
        <f t="shared" si="41"/>
        <v>8</v>
      </c>
    </row>
    <row r="2339" spans="1:10" ht="15" customHeight="1" x14ac:dyDescent="0.25">
      <c r="A2339" s="380">
        <v>52151505</v>
      </c>
      <c r="B2339" s="381" t="s">
        <v>321</v>
      </c>
      <c r="C2339" s="381" t="s">
        <v>1339</v>
      </c>
      <c r="D2339" s="381" t="s">
        <v>1340</v>
      </c>
      <c r="E2339" s="381" t="s">
        <v>1341</v>
      </c>
      <c r="F2339" s="378">
        <v>8991184</v>
      </c>
      <c r="G2339" s="378">
        <v>0</v>
      </c>
      <c r="H2339" s="378">
        <v>0</v>
      </c>
      <c r="I2339" s="378">
        <v>8991184</v>
      </c>
      <c r="J2339" s="384">
        <f t="shared" si="41"/>
        <v>8</v>
      </c>
    </row>
    <row r="2340" spans="1:10" ht="15" customHeight="1" x14ac:dyDescent="0.25">
      <c r="A2340" s="380">
        <v>52151505</v>
      </c>
      <c r="B2340" s="381" t="s">
        <v>321</v>
      </c>
      <c r="C2340" s="381" t="s">
        <v>1339</v>
      </c>
      <c r="D2340" s="381" t="s">
        <v>989</v>
      </c>
      <c r="E2340" s="381" t="s">
        <v>990</v>
      </c>
      <c r="F2340" s="378">
        <v>3793394</v>
      </c>
      <c r="G2340" s="378">
        <v>0</v>
      </c>
      <c r="H2340" s="378">
        <v>0</v>
      </c>
      <c r="I2340" s="378">
        <v>3793394</v>
      </c>
      <c r="J2340" s="384">
        <f t="shared" si="41"/>
        <v>8</v>
      </c>
    </row>
    <row r="2341" spans="1:10" ht="15" customHeight="1" x14ac:dyDescent="0.25">
      <c r="A2341" s="380">
        <v>521575</v>
      </c>
      <c r="B2341" s="381" t="s">
        <v>315</v>
      </c>
      <c r="C2341" s="381" t="s">
        <v>1342</v>
      </c>
      <c r="D2341" s="381" t="s">
        <v>315</v>
      </c>
      <c r="E2341" s="381" t="s">
        <v>315</v>
      </c>
      <c r="F2341" s="378">
        <v>25902</v>
      </c>
      <c r="G2341" s="378">
        <v>0</v>
      </c>
      <c r="H2341" s="378">
        <v>0</v>
      </c>
      <c r="I2341" s="378">
        <v>25902</v>
      </c>
      <c r="J2341" s="384">
        <f t="shared" si="41"/>
        <v>6</v>
      </c>
    </row>
    <row r="2342" spans="1:10" ht="15" customHeight="1" x14ac:dyDescent="0.25">
      <c r="A2342" s="380">
        <v>52157501</v>
      </c>
      <c r="B2342" s="381" t="s">
        <v>315</v>
      </c>
      <c r="C2342" s="381" t="s">
        <v>1342</v>
      </c>
      <c r="D2342" s="381" t="s">
        <v>315</v>
      </c>
      <c r="E2342" s="381" t="s">
        <v>315</v>
      </c>
      <c r="F2342" s="378">
        <v>25902</v>
      </c>
      <c r="G2342" s="378">
        <v>0</v>
      </c>
      <c r="H2342" s="378">
        <v>0</v>
      </c>
      <c r="I2342" s="378">
        <v>25902</v>
      </c>
      <c r="J2342" s="384">
        <f t="shared" si="41"/>
        <v>8</v>
      </c>
    </row>
    <row r="2343" spans="1:10" ht="15" customHeight="1" x14ac:dyDescent="0.25">
      <c r="A2343" s="380">
        <v>52157501</v>
      </c>
      <c r="B2343" s="381" t="s">
        <v>315</v>
      </c>
      <c r="C2343" s="381" t="s">
        <v>1342</v>
      </c>
      <c r="D2343" s="381" t="s">
        <v>391</v>
      </c>
      <c r="E2343" s="381" t="s">
        <v>392</v>
      </c>
      <c r="F2343" s="378">
        <v>25902</v>
      </c>
      <c r="G2343" s="378">
        <v>0</v>
      </c>
      <c r="H2343" s="378">
        <v>0</v>
      </c>
      <c r="I2343" s="378">
        <v>25902</v>
      </c>
      <c r="J2343" s="384">
        <f t="shared" si="41"/>
        <v>8</v>
      </c>
    </row>
    <row r="2344" spans="1:10" ht="15" customHeight="1" x14ac:dyDescent="0.25">
      <c r="A2344" s="380">
        <v>5220</v>
      </c>
      <c r="B2344" s="381" t="s">
        <v>315</v>
      </c>
      <c r="C2344" s="381" t="s">
        <v>190</v>
      </c>
      <c r="D2344" s="381" t="s">
        <v>315</v>
      </c>
      <c r="E2344" s="381" t="s">
        <v>315</v>
      </c>
      <c r="F2344" s="378">
        <v>328964955</v>
      </c>
      <c r="G2344" s="378">
        <v>65083597</v>
      </c>
      <c r="H2344" s="378">
        <v>0</v>
      </c>
      <c r="I2344" s="378">
        <v>394048552</v>
      </c>
      <c r="J2344" s="384">
        <f t="shared" ref="J2344:J2407" si="42">+LEN(A2344)</f>
        <v>4</v>
      </c>
    </row>
    <row r="2345" spans="1:10" ht="15" customHeight="1" x14ac:dyDescent="0.25">
      <c r="A2345" s="380">
        <v>522010</v>
      </c>
      <c r="B2345" s="381" t="s">
        <v>315</v>
      </c>
      <c r="C2345" s="381" t="s">
        <v>482</v>
      </c>
      <c r="D2345" s="381" t="s">
        <v>315</v>
      </c>
      <c r="E2345" s="381" t="s">
        <v>315</v>
      </c>
      <c r="F2345" s="378">
        <v>328964955</v>
      </c>
      <c r="G2345" s="378">
        <v>65083597</v>
      </c>
      <c r="H2345" s="378">
        <v>0</v>
      </c>
      <c r="I2345" s="378">
        <v>394048552</v>
      </c>
      <c r="J2345" s="384">
        <f t="shared" si="42"/>
        <v>6</v>
      </c>
    </row>
    <row r="2346" spans="1:10" ht="15" customHeight="1" x14ac:dyDescent="0.25">
      <c r="A2346" s="380">
        <v>52201001</v>
      </c>
      <c r="B2346" s="381" t="s">
        <v>315</v>
      </c>
      <c r="C2346" s="381" t="s">
        <v>482</v>
      </c>
      <c r="D2346" s="381" t="s">
        <v>315</v>
      </c>
      <c r="E2346" s="381" t="s">
        <v>315</v>
      </c>
      <c r="F2346" s="378">
        <v>328964955</v>
      </c>
      <c r="G2346" s="378">
        <v>65083597</v>
      </c>
      <c r="H2346" s="378">
        <v>0</v>
      </c>
      <c r="I2346" s="378">
        <v>394048552</v>
      </c>
      <c r="J2346" s="384">
        <f t="shared" si="42"/>
        <v>8</v>
      </c>
    </row>
    <row r="2347" spans="1:10" ht="15" customHeight="1" x14ac:dyDescent="0.25">
      <c r="A2347" s="380">
        <v>52201001</v>
      </c>
      <c r="B2347" s="381" t="s">
        <v>315</v>
      </c>
      <c r="C2347" s="381" t="s">
        <v>482</v>
      </c>
      <c r="D2347" s="381" t="s">
        <v>957</v>
      </c>
      <c r="E2347" s="381" t="s">
        <v>958</v>
      </c>
      <c r="F2347" s="378">
        <v>19690195</v>
      </c>
      <c r="G2347" s="378">
        <v>4300339</v>
      </c>
      <c r="H2347" s="378">
        <v>0</v>
      </c>
      <c r="I2347" s="378">
        <v>23990534</v>
      </c>
      <c r="J2347" s="384">
        <f t="shared" si="42"/>
        <v>8</v>
      </c>
    </row>
    <row r="2348" spans="1:10" ht="15" customHeight="1" x14ac:dyDescent="0.25">
      <c r="A2348" s="380">
        <v>52201001</v>
      </c>
      <c r="B2348" s="381" t="s">
        <v>315</v>
      </c>
      <c r="C2348" s="381" t="s">
        <v>482</v>
      </c>
      <c r="D2348" s="381" t="s">
        <v>1038</v>
      </c>
      <c r="E2348" s="381" t="s">
        <v>1039</v>
      </c>
      <c r="F2348" s="378">
        <v>39717519</v>
      </c>
      <c r="G2348" s="378">
        <v>7630565</v>
      </c>
      <c r="H2348" s="378">
        <v>0</v>
      </c>
      <c r="I2348" s="378">
        <v>47348084</v>
      </c>
      <c r="J2348" s="384">
        <f t="shared" si="42"/>
        <v>8</v>
      </c>
    </row>
    <row r="2349" spans="1:10" ht="15" customHeight="1" x14ac:dyDescent="0.25">
      <c r="A2349" s="380">
        <v>52201001</v>
      </c>
      <c r="B2349" s="381" t="s">
        <v>315</v>
      </c>
      <c r="C2349" s="381" t="s">
        <v>482</v>
      </c>
      <c r="D2349" s="381" t="s">
        <v>968</v>
      </c>
      <c r="E2349" s="381" t="s">
        <v>969</v>
      </c>
      <c r="F2349" s="378">
        <v>19690195</v>
      </c>
      <c r="G2349" s="378">
        <v>4300339</v>
      </c>
      <c r="H2349" s="378">
        <v>0</v>
      </c>
      <c r="I2349" s="378">
        <v>23990534</v>
      </c>
      <c r="J2349" s="384">
        <f t="shared" si="42"/>
        <v>8</v>
      </c>
    </row>
    <row r="2350" spans="1:10" ht="15" customHeight="1" x14ac:dyDescent="0.25">
      <c r="A2350" s="380">
        <v>52201001</v>
      </c>
      <c r="B2350" s="381" t="s">
        <v>315</v>
      </c>
      <c r="C2350" s="381" t="s">
        <v>482</v>
      </c>
      <c r="D2350" s="381" t="s">
        <v>734</v>
      </c>
      <c r="E2350" s="381" t="s">
        <v>735</v>
      </c>
      <c r="F2350" s="378">
        <v>7502000</v>
      </c>
      <c r="G2350" s="378">
        <v>0</v>
      </c>
      <c r="H2350" s="378">
        <v>0</v>
      </c>
      <c r="I2350" s="378">
        <v>7502000</v>
      </c>
      <c r="J2350" s="384">
        <f t="shared" si="42"/>
        <v>8</v>
      </c>
    </row>
    <row r="2351" spans="1:10" ht="15" customHeight="1" x14ac:dyDescent="0.25">
      <c r="A2351" s="380">
        <v>52201001</v>
      </c>
      <c r="B2351" s="381" t="s">
        <v>315</v>
      </c>
      <c r="C2351" s="381" t="s">
        <v>482</v>
      </c>
      <c r="D2351" s="381" t="s">
        <v>1103</v>
      </c>
      <c r="E2351" s="381" t="s">
        <v>1104</v>
      </c>
      <c r="F2351" s="378">
        <v>17909250</v>
      </c>
      <c r="G2351" s="378">
        <v>3581850</v>
      </c>
      <c r="H2351" s="378">
        <v>0</v>
      </c>
      <c r="I2351" s="378">
        <v>21491100</v>
      </c>
      <c r="J2351" s="384">
        <f t="shared" si="42"/>
        <v>8</v>
      </c>
    </row>
    <row r="2352" spans="1:10" ht="15" customHeight="1" x14ac:dyDescent="0.25">
      <c r="A2352" s="380">
        <v>52201001</v>
      </c>
      <c r="B2352" s="381" t="s">
        <v>315</v>
      </c>
      <c r="C2352" s="381" t="s">
        <v>482</v>
      </c>
      <c r="D2352" s="381" t="s">
        <v>715</v>
      </c>
      <c r="E2352" s="381" t="s">
        <v>716</v>
      </c>
      <c r="F2352" s="378">
        <v>1127235</v>
      </c>
      <c r="G2352" s="378">
        <v>204462</v>
      </c>
      <c r="H2352" s="378">
        <v>0</v>
      </c>
      <c r="I2352" s="378">
        <v>1331697</v>
      </c>
      <c r="J2352" s="384">
        <f t="shared" si="42"/>
        <v>8</v>
      </c>
    </row>
    <row r="2353" spans="1:10" ht="15" customHeight="1" x14ac:dyDescent="0.25">
      <c r="A2353" s="380">
        <v>52201001</v>
      </c>
      <c r="B2353" s="381" t="s">
        <v>315</v>
      </c>
      <c r="C2353" s="381" t="s">
        <v>482</v>
      </c>
      <c r="D2353" s="381" t="s">
        <v>1054</v>
      </c>
      <c r="E2353" s="381" t="s">
        <v>1055</v>
      </c>
      <c r="F2353" s="378">
        <v>27008815</v>
      </c>
      <c r="G2353" s="378">
        <v>5401763</v>
      </c>
      <c r="H2353" s="378">
        <v>0</v>
      </c>
      <c r="I2353" s="378">
        <v>32410578</v>
      </c>
      <c r="J2353" s="384">
        <f t="shared" si="42"/>
        <v>8</v>
      </c>
    </row>
    <row r="2354" spans="1:10" ht="15" customHeight="1" x14ac:dyDescent="0.25">
      <c r="A2354" s="380">
        <v>52201001</v>
      </c>
      <c r="B2354" s="381" t="s">
        <v>315</v>
      </c>
      <c r="C2354" s="381" t="s">
        <v>482</v>
      </c>
      <c r="D2354" s="381" t="s">
        <v>983</v>
      </c>
      <c r="E2354" s="381" t="s">
        <v>984</v>
      </c>
      <c r="F2354" s="378">
        <v>61458510</v>
      </c>
      <c r="G2354" s="378">
        <v>12380202</v>
      </c>
      <c r="H2354" s="378">
        <v>0</v>
      </c>
      <c r="I2354" s="378">
        <v>73838712</v>
      </c>
      <c r="J2354" s="384">
        <f t="shared" si="42"/>
        <v>8</v>
      </c>
    </row>
    <row r="2355" spans="1:10" ht="15" customHeight="1" x14ac:dyDescent="0.25">
      <c r="A2355" s="380">
        <v>52201001</v>
      </c>
      <c r="B2355" s="381" t="s">
        <v>315</v>
      </c>
      <c r="C2355" s="381" t="s">
        <v>482</v>
      </c>
      <c r="D2355" s="381" t="s">
        <v>995</v>
      </c>
      <c r="E2355" s="381" t="s">
        <v>996</v>
      </c>
      <c r="F2355" s="378">
        <v>64332</v>
      </c>
      <c r="G2355" s="378">
        <v>16083</v>
      </c>
      <c r="H2355" s="378">
        <v>0</v>
      </c>
      <c r="I2355" s="378">
        <v>80415</v>
      </c>
      <c r="J2355" s="384">
        <f t="shared" si="42"/>
        <v>8</v>
      </c>
    </row>
    <row r="2356" spans="1:10" ht="15" customHeight="1" x14ac:dyDescent="0.25">
      <c r="A2356" s="380">
        <v>52201001</v>
      </c>
      <c r="B2356" s="381" t="s">
        <v>315</v>
      </c>
      <c r="C2356" s="381" t="s">
        <v>482</v>
      </c>
      <c r="D2356" s="381" t="s">
        <v>1056</v>
      </c>
      <c r="E2356" s="381" t="s">
        <v>1057</v>
      </c>
      <c r="F2356" s="378">
        <v>41786965</v>
      </c>
      <c r="G2356" s="378">
        <v>8357393</v>
      </c>
      <c r="H2356" s="378">
        <v>0</v>
      </c>
      <c r="I2356" s="378">
        <v>50144358</v>
      </c>
      <c r="J2356" s="384">
        <f t="shared" si="42"/>
        <v>8</v>
      </c>
    </row>
    <row r="2357" spans="1:10" ht="15" customHeight="1" x14ac:dyDescent="0.25">
      <c r="A2357" s="380">
        <v>52201001</v>
      </c>
      <c r="B2357" s="381" t="s">
        <v>315</v>
      </c>
      <c r="C2357" s="381" t="s">
        <v>482</v>
      </c>
      <c r="D2357" s="381" t="s">
        <v>1058</v>
      </c>
      <c r="E2357" s="381" t="s">
        <v>1059</v>
      </c>
      <c r="F2357" s="378">
        <v>51220580</v>
      </c>
      <c r="G2357" s="378">
        <v>10244116</v>
      </c>
      <c r="H2357" s="378">
        <v>0</v>
      </c>
      <c r="I2357" s="378">
        <v>61464696</v>
      </c>
      <c r="J2357" s="384">
        <f t="shared" si="42"/>
        <v>8</v>
      </c>
    </row>
    <row r="2358" spans="1:10" ht="15" customHeight="1" x14ac:dyDescent="0.25">
      <c r="A2358" s="380">
        <v>52201001</v>
      </c>
      <c r="B2358" s="381" t="s">
        <v>315</v>
      </c>
      <c r="C2358" s="381" t="s">
        <v>482</v>
      </c>
      <c r="D2358" s="381" t="s">
        <v>1000</v>
      </c>
      <c r="E2358" s="381" t="s">
        <v>1479</v>
      </c>
      <c r="F2358" s="378">
        <v>2071840</v>
      </c>
      <c r="G2358" s="378">
        <v>1035920</v>
      </c>
      <c r="H2358" s="378">
        <v>0</v>
      </c>
      <c r="I2358" s="378">
        <v>3107760</v>
      </c>
      <c r="J2358" s="384">
        <f t="shared" si="42"/>
        <v>8</v>
      </c>
    </row>
    <row r="2359" spans="1:10" ht="15" customHeight="1" x14ac:dyDescent="0.25">
      <c r="A2359" s="380">
        <v>52201001</v>
      </c>
      <c r="B2359" s="381" t="s">
        <v>315</v>
      </c>
      <c r="C2359" s="381" t="s">
        <v>482</v>
      </c>
      <c r="D2359" s="381" t="s">
        <v>761</v>
      </c>
      <c r="E2359" s="381" t="s">
        <v>762</v>
      </c>
      <c r="F2359" s="378">
        <v>39717519</v>
      </c>
      <c r="G2359" s="378">
        <v>7630565</v>
      </c>
      <c r="H2359" s="378">
        <v>0</v>
      </c>
      <c r="I2359" s="378">
        <v>47348084</v>
      </c>
      <c r="J2359" s="384">
        <f t="shared" si="42"/>
        <v>8</v>
      </c>
    </row>
    <row r="2360" spans="1:10" ht="15" customHeight="1" x14ac:dyDescent="0.25">
      <c r="A2360" s="380">
        <v>5225</v>
      </c>
      <c r="B2360" s="381" t="s">
        <v>315</v>
      </c>
      <c r="C2360" s="381" t="s">
        <v>191</v>
      </c>
      <c r="D2360" s="381" t="s">
        <v>315</v>
      </c>
      <c r="E2360" s="381" t="s">
        <v>315</v>
      </c>
      <c r="F2360" s="378">
        <v>61955842</v>
      </c>
      <c r="G2360" s="378">
        <v>12011502</v>
      </c>
      <c r="H2360" s="378">
        <v>0</v>
      </c>
      <c r="I2360" s="378">
        <v>73967344</v>
      </c>
      <c r="J2360" s="384">
        <f t="shared" si="42"/>
        <v>4</v>
      </c>
    </row>
    <row r="2361" spans="1:10" ht="15" customHeight="1" x14ac:dyDescent="0.25">
      <c r="A2361" s="380">
        <v>522510</v>
      </c>
      <c r="B2361" s="381" t="s">
        <v>315</v>
      </c>
      <c r="C2361" s="381" t="s">
        <v>483</v>
      </c>
      <c r="D2361" s="381" t="s">
        <v>315</v>
      </c>
      <c r="E2361" s="381" t="s">
        <v>315</v>
      </c>
      <c r="F2361" s="378">
        <v>61955842</v>
      </c>
      <c r="G2361" s="378">
        <v>12011502</v>
      </c>
      <c r="H2361" s="378">
        <v>0</v>
      </c>
      <c r="I2361" s="378">
        <v>73967344</v>
      </c>
      <c r="J2361" s="384">
        <f t="shared" si="42"/>
        <v>6</v>
      </c>
    </row>
    <row r="2362" spans="1:10" ht="15" customHeight="1" x14ac:dyDescent="0.25">
      <c r="A2362" s="380">
        <v>52251001</v>
      </c>
      <c r="B2362" s="381" t="s">
        <v>315</v>
      </c>
      <c r="C2362" s="381" t="s">
        <v>483</v>
      </c>
      <c r="D2362" s="381" t="s">
        <v>315</v>
      </c>
      <c r="E2362" s="381" t="s">
        <v>315</v>
      </c>
      <c r="F2362" s="378">
        <v>61955842</v>
      </c>
      <c r="G2362" s="378">
        <v>12011502</v>
      </c>
      <c r="H2362" s="378">
        <v>0</v>
      </c>
      <c r="I2362" s="378">
        <v>73967344</v>
      </c>
      <c r="J2362" s="384">
        <f t="shared" si="42"/>
        <v>8</v>
      </c>
    </row>
    <row r="2363" spans="1:10" ht="15" customHeight="1" x14ac:dyDescent="0.25">
      <c r="A2363" s="380">
        <v>52251001</v>
      </c>
      <c r="B2363" s="381" t="s">
        <v>315</v>
      </c>
      <c r="C2363" s="381" t="s">
        <v>483</v>
      </c>
      <c r="D2363" s="381" t="s">
        <v>923</v>
      </c>
      <c r="E2363" s="381" t="s">
        <v>924</v>
      </c>
      <c r="F2363" s="378">
        <v>21737234</v>
      </c>
      <c r="G2363" s="378">
        <v>4531837</v>
      </c>
      <c r="H2363" s="378">
        <v>0</v>
      </c>
      <c r="I2363" s="378">
        <v>26269071</v>
      </c>
      <c r="J2363" s="384">
        <f t="shared" si="42"/>
        <v>8</v>
      </c>
    </row>
    <row r="2364" spans="1:10" ht="15" customHeight="1" x14ac:dyDescent="0.25">
      <c r="A2364" s="380">
        <v>52251001</v>
      </c>
      <c r="B2364" s="381" t="s">
        <v>315</v>
      </c>
      <c r="C2364" s="381" t="s">
        <v>483</v>
      </c>
      <c r="D2364" s="381" t="s">
        <v>972</v>
      </c>
      <c r="E2364" s="381" t="s">
        <v>973</v>
      </c>
      <c r="F2364" s="378">
        <v>1653082</v>
      </c>
      <c r="G2364" s="378">
        <v>330616</v>
      </c>
      <c r="H2364" s="378">
        <v>0</v>
      </c>
      <c r="I2364" s="378">
        <v>1983698</v>
      </c>
      <c r="J2364" s="384">
        <f t="shared" si="42"/>
        <v>8</v>
      </c>
    </row>
    <row r="2365" spans="1:10" ht="15" customHeight="1" x14ac:dyDescent="0.25">
      <c r="A2365" s="380">
        <v>52251001</v>
      </c>
      <c r="B2365" s="381" t="s">
        <v>315</v>
      </c>
      <c r="C2365" s="381" t="s">
        <v>483</v>
      </c>
      <c r="D2365" s="381" t="s">
        <v>1103</v>
      </c>
      <c r="E2365" s="381" t="s">
        <v>1104</v>
      </c>
      <c r="F2365" s="378">
        <v>2112181</v>
      </c>
      <c r="G2365" s="378">
        <v>422436</v>
      </c>
      <c r="H2365" s="378">
        <v>0</v>
      </c>
      <c r="I2365" s="378">
        <v>2534617</v>
      </c>
      <c r="J2365" s="384">
        <f t="shared" si="42"/>
        <v>8</v>
      </c>
    </row>
    <row r="2366" spans="1:10" ht="15" customHeight="1" x14ac:dyDescent="0.25">
      <c r="A2366" s="380">
        <v>52251001</v>
      </c>
      <c r="B2366" s="381" t="s">
        <v>315</v>
      </c>
      <c r="C2366" s="381" t="s">
        <v>483</v>
      </c>
      <c r="D2366" s="381" t="s">
        <v>995</v>
      </c>
      <c r="E2366" s="381" t="s">
        <v>996</v>
      </c>
      <c r="F2366" s="378">
        <v>16083</v>
      </c>
      <c r="G2366" s="378">
        <v>0</v>
      </c>
      <c r="H2366" s="378">
        <v>0</v>
      </c>
      <c r="I2366" s="378">
        <v>16083</v>
      </c>
      <c r="J2366" s="384">
        <f t="shared" si="42"/>
        <v>8</v>
      </c>
    </row>
    <row r="2367" spans="1:10" ht="15" customHeight="1" x14ac:dyDescent="0.25">
      <c r="A2367" s="380">
        <v>52251001</v>
      </c>
      <c r="B2367" s="381" t="s">
        <v>315</v>
      </c>
      <c r="C2367" s="381" t="s">
        <v>483</v>
      </c>
      <c r="D2367" s="381" t="s">
        <v>1056</v>
      </c>
      <c r="E2367" s="381" t="s">
        <v>1057</v>
      </c>
      <c r="F2367" s="378">
        <v>2741638</v>
      </c>
      <c r="G2367" s="378">
        <v>545499</v>
      </c>
      <c r="H2367" s="378">
        <v>0</v>
      </c>
      <c r="I2367" s="378">
        <v>3287137</v>
      </c>
      <c r="J2367" s="384">
        <f t="shared" si="42"/>
        <v>8</v>
      </c>
    </row>
    <row r="2368" spans="1:10" ht="15" customHeight="1" x14ac:dyDescent="0.25">
      <c r="A2368" s="380">
        <v>52251001</v>
      </c>
      <c r="B2368" s="381" t="s">
        <v>315</v>
      </c>
      <c r="C2368" s="381" t="s">
        <v>483</v>
      </c>
      <c r="D2368" s="381" t="s">
        <v>1058</v>
      </c>
      <c r="E2368" s="381" t="s">
        <v>1059</v>
      </c>
      <c r="F2368" s="378">
        <v>2513476</v>
      </c>
      <c r="G2368" s="378">
        <v>507070</v>
      </c>
      <c r="H2368" s="378">
        <v>0</v>
      </c>
      <c r="I2368" s="378">
        <v>3020546</v>
      </c>
      <c r="J2368" s="384">
        <f t="shared" si="42"/>
        <v>8</v>
      </c>
    </row>
    <row r="2369" spans="1:10" ht="15" customHeight="1" x14ac:dyDescent="0.25">
      <c r="A2369" s="380">
        <v>52251001</v>
      </c>
      <c r="B2369" s="381" t="s">
        <v>315</v>
      </c>
      <c r="C2369" s="381" t="s">
        <v>483</v>
      </c>
      <c r="D2369" s="381" t="s">
        <v>1000</v>
      </c>
      <c r="E2369" s="381" t="s">
        <v>1479</v>
      </c>
      <c r="F2369" s="378">
        <v>3107760</v>
      </c>
      <c r="G2369" s="378">
        <v>0</v>
      </c>
      <c r="H2369" s="378">
        <v>0</v>
      </c>
      <c r="I2369" s="378">
        <v>3107760</v>
      </c>
      <c r="J2369" s="384">
        <f t="shared" si="42"/>
        <v>8</v>
      </c>
    </row>
    <row r="2370" spans="1:10" ht="15" customHeight="1" x14ac:dyDescent="0.25">
      <c r="A2370" s="380">
        <v>52251001</v>
      </c>
      <c r="B2370" s="381" t="s">
        <v>315</v>
      </c>
      <c r="C2370" s="381" t="s">
        <v>483</v>
      </c>
      <c r="D2370" s="381" t="s">
        <v>918</v>
      </c>
      <c r="E2370" s="381" t="s">
        <v>919</v>
      </c>
      <c r="F2370" s="378">
        <v>8417009</v>
      </c>
      <c r="G2370" s="378">
        <v>1681072</v>
      </c>
      <c r="H2370" s="378">
        <v>0</v>
      </c>
      <c r="I2370" s="378">
        <v>10098081</v>
      </c>
      <c r="J2370" s="384">
        <f t="shared" si="42"/>
        <v>8</v>
      </c>
    </row>
    <row r="2371" spans="1:10" ht="15" customHeight="1" x14ac:dyDescent="0.25">
      <c r="A2371" s="380">
        <v>52251001</v>
      </c>
      <c r="B2371" s="381" t="s">
        <v>315</v>
      </c>
      <c r="C2371" s="381" t="s">
        <v>483</v>
      </c>
      <c r="D2371" s="381" t="s">
        <v>1013</v>
      </c>
      <c r="E2371" s="381" t="s">
        <v>1014</v>
      </c>
      <c r="F2371" s="378">
        <v>9863185</v>
      </c>
      <c r="G2371" s="378">
        <v>1972638</v>
      </c>
      <c r="H2371" s="378">
        <v>0</v>
      </c>
      <c r="I2371" s="378">
        <v>11835823</v>
      </c>
      <c r="J2371" s="384">
        <f t="shared" si="42"/>
        <v>8</v>
      </c>
    </row>
    <row r="2372" spans="1:10" ht="15" customHeight="1" x14ac:dyDescent="0.25">
      <c r="A2372" s="380">
        <v>52251001</v>
      </c>
      <c r="B2372" s="381" t="s">
        <v>315</v>
      </c>
      <c r="C2372" s="381" t="s">
        <v>483</v>
      </c>
      <c r="D2372" s="381" t="s">
        <v>1017</v>
      </c>
      <c r="E2372" s="381" t="s">
        <v>1018</v>
      </c>
      <c r="F2372" s="378">
        <v>9794194</v>
      </c>
      <c r="G2372" s="378">
        <v>2020334</v>
      </c>
      <c r="H2372" s="378">
        <v>0</v>
      </c>
      <c r="I2372" s="378">
        <v>11814528</v>
      </c>
      <c r="J2372" s="384">
        <f t="shared" si="42"/>
        <v>8</v>
      </c>
    </row>
    <row r="2373" spans="1:10" ht="15" customHeight="1" x14ac:dyDescent="0.25">
      <c r="A2373" s="380">
        <v>5230</v>
      </c>
      <c r="B2373" s="381" t="s">
        <v>315</v>
      </c>
      <c r="C2373" s="381" t="s">
        <v>192</v>
      </c>
      <c r="D2373" s="381" t="s">
        <v>315</v>
      </c>
      <c r="E2373" s="381" t="s">
        <v>315</v>
      </c>
      <c r="F2373" s="378">
        <v>10729971</v>
      </c>
      <c r="G2373" s="378">
        <v>0</v>
      </c>
      <c r="H2373" s="378">
        <v>0</v>
      </c>
      <c r="I2373" s="378">
        <v>10729971</v>
      </c>
      <c r="J2373" s="384">
        <f t="shared" si="42"/>
        <v>4</v>
      </c>
    </row>
    <row r="2374" spans="1:10" ht="15" customHeight="1" x14ac:dyDescent="0.25">
      <c r="A2374" s="380">
        <v>523010</v>
      </c>
      <c r="B2374" s="381" t="s">
        <v>315</v>
      </c>
      <c r="C2374" s="381" t="s">
        <v>1343</v>
      </c>
      <c r="D2374" s="381" t="s">
        <v>315</v>
      </c>
      <c r="E2374" s="381" t="s">
        <v>315</v>
      </c>
      <c r="F2374" s="378">
        <v>9611507</v>
      </c>
      <c r="G2374" s="378">
        <v>0</v>
      </c>
      <c r="H2374" s="378">
        <v>0</v>
      </c>
      <c r="I2374" s="378">
        <v>9611507</v>
      </c>
      <c r="J2374" s="384">
        <f t="shared" si="42"/>
        <v>6</v>
      </c>
    </row>
    <row r="2375" spans="1:10" ht="15" customHeight="1" x14ac:dyDescent="0.25">
      <c r="A2375" s="380">
        <v>52301001</v>
      </c>
      <c r="B2375" s="381" t="s">
        <v>315</v>
      </c>
      <c r="C2375" s="381" t="s">
        <v>1343</v>
      </c>
      <c r="D2375" s="381" t="s">
        <v>315</v>
      </c>
      <c r="E2375" s="381" t="s">
        <v>315</v>
      </c>
      <c r="F2375" s="378">
        <v>9611507</v>
      </c>
      <c r="G2375" s="378">
        <v>0</v>
      </c>
      <c r="H2375" s="378">
        <v>0</v>
      </c>
      <c r="I2375" s="378">
        <v>9611507</v>
      </c>
      <c r="J2375" s="384">
        <f t="shared" si="42"/>
        <v>8</v>
      </c>
    </row>
    <row r="2376" spans="1:10" ht="15" customHeight="1" x14ac:dyDescent="0.25">
      <c r="A2376" s="380">
        <v>52301001</v>
      </c>
      <c r="B2376" s="381" t="s">
        <v>315</v>
      </c>
      <c r="C2376" s="381" t="s">
        <v>1343</v>
      </c>
      <c r="D2376" s="381" t="s">
        <v>980</v>
      </c>
      <c r="E2376" s="381" t="s">
        <v>981</v>
      </c>
      <c r="F2376" s="378">
        <v>9611507</v>
      </c>
      <c r="G2376" s="378">
        <v>0</v>
      </c>
      <c r="H2376" s="378">
        <v>0</v>
      </c>
      <c r="I2376" s="378">
        <v>9611507</v>
      </c>
      <c r="J2376" s="384">
        <f t="shared" si="42"/>
        <v>8</v>
      </c>
    </row>
    <row r="2377" spans="1:10" ht="15" customHeight="1" x14ac:dyDescent="0.25">
      <c r="A2377" s="380">
        <v>523095</v>
      </c>
      <c r="B2377" s="381" t="s">
        <v>315</v>
      </c>
      <c r="C2377" s="381" t="s">
        <v>238</v>
      </c>
      <c r="D2377" s="381" t="s">
        <v>315</v>
      </c>
      <c r="E2377" s="381" t="s">
        <v>315</v>
      </c>
      <c r="F2377" s="378">
        <v>1118464</v>
      </c>
      <c r="G2377" s="378">
        <v>0</v>
      </c>
      <c r="H2377" s="378">
        <v>0</v>
      </c>
      <c r="I2377" s="378">
        <v>1118464</v>
      </c>
      <c r="J2377" s="384">
        <f t="shared" si="42"/>
        <v>6</v>
      </c>
    </row>
    <row r="2378" spans="1:10" ht="15" customHeight="1" x14ac:dyDescent="0.25">
      <c r="A2378" s="380">
        <v>52309501</v>
      </c>
      <c r="B2378" s="381" t="s">
        <v>315</v>
      </c>
      <c r="C2378" s="381" t="s">
        <v>238</v>
      </c>
      <c r="D2378" s="381" t="s">
        <v>315</v>
      </c>
      <c r="E2378" s="381" t="s">
        <v>315</v>
      </c>
      <c r="F2378" s="378">
        <v>1118464</v>
      </c>
      <c r="G2378" s="378">
        <v>0</v>
      </c>
      <c r="H2378" s="378">
        <v>0</v>
      </c>
      <c r="I2378" s="378">
        <v>1118464</v>
      </c>
      <c r="J2378" s="384">
        <f t="shared" si="42"/>
        <v>8</v>
      </c>
    </row>
    <row r="2379" spans="1:10" ht="15" customHeight="1" x14ac:dyDescent="0.25">
      <c r="A2379" s="380">
        <v>52309501</v>
      </c>
      <c r="B2379" s="381" t="s">
        <v>315</v>
      </c>
      <c r="C2379" s="381" t="s">
        <v>238</v>
      </c>
      <c r="D2379" s="381" t="s">
        <v>1105</v>
      </c>
      <c r="E2379" s="381" t="s">
        <v>1106</v>
      </c>
      <c r="F2379" s="378">
        <v>1118464</v>
      </c>
      <c r="G2379" s="378">
        <v>0</v>
      </c>
      <c r="H2379" s="378">
        <v>0</v>
      </c>
      <c r="I2379" s="378">
        <v>1118464</v>
      </c>
      <c r="J2379" s="384">
        <f t="shared" si="42"/>
        <v>8</v>
      </c>
    </row>
    <row r="2380" spans="1:10" ht="15" customHeight="1" x14ac:dyDescent="0.25">
      <c r="A2380" s="380">
        <v>5235</v>
      </c>
      <c r="B2380" s="381" t="s">
        <v>315</v>
      </c>
      <c r="C2380" s="381" t="s">
        <v>193</v>
      </c>
      <c r="D2380" s="381" t="s">
        <v>315</v>
      </c>
      <c r="E2380" s="381" t="s">
        <v>315</v>
      </c>
      <c r="F2380" s="378">
        <v>222468906</v>
      </c>
      <c r="G2380" s="378">
        <v>63056432</v>
      </c>
      <c r="H2380" s="378">
        <v>6000</v>
      </c>
      <c r="I2380" s="378">
        <v>285519338</v>
      </c>
      <c r="J2380" s="384">
        <f t="shared" si="42"/>
        <v>4</v>
      </c>
    </row>
    <row r="2381" spans="1:10" ht="15" customHeight="1" x14ac:dyDescent="0.25">
      <c r="A2381" s="380">
        <v>523505</v>
      </c>
      <c r="B2381" s="381" t="s">
        <v>315</v>
      </c>
      <c r="C2381" s="381" t="s">
        <v>1344</v>
      </c>
      <c r="D2381" s="381" t="s">
        <v>315</v>
      </c>
      <c r="E2381" s="381" t="s">
        <v>315</v>
      </c>
      <c r="F2381" s="378">
        <v>4066965</v>
      </c>
      <c r="G2381" s="378">
        <v>571470</v>
      </c>
      <c r="H2381" s="378">
        <v>0</v>
      </c>
      <c r="I2381" s="378">
        <v>4638435</v>
      </c>
      <c r="J2381" s="384">
        <f t="shared" si="42"/>
        <v>6</v>
      </c>
    </row>
    <row r="2382" spans="1:10" ht="15" customHeight="1" x14ac:dyDescent="0.25">
      <c r="A2382" s="380">
        <v>52350501</v>
      </c>
      <c r="B2382" s="381" t="s">
        <v>315</v>
      </c>
      <c r="C2382" s="381" t="s">
        <v>1344</v>
      </c>
      <c r="D2382" s="381" t="s">
        <v>315</v>
      </c>
      <c r="E2382" s="381" t="s">
        <v>315</v>
      </c>
      <c r="F2382" s="378">
        <v>4066965</v>
      </c>
      <c r="G2382" s="378">
        <v>571470</v>
      </c>
      <c r="H2382" s="378">
        <v>0</v>
      </c>
      <c r="I2382" s="378">
        <v>4638435</v>
      </c>
      <c r="J2382" s="384">
        <f t="shared" si="42"/>
        <v>8</v>
      </c>
    </row>
    <row r="2383" spans="1:10" ht="15" customHeight="1" x14ac:dyDescent="0.25">
      <c r="A2383" s="380">
        <v>52350501</v>
      </c>
      <c r="B2383" s="381" t="s">
        <v>315</v>
      </c>
      <c r="C2383" s="381" t="s">
        <v>1344</v>
      </c>
      <c r="D2383" s="381" t="s">
        <v>923</v>
      </c>
      <c r="E2383" s="381" t="s">
        <v>924</v>
      </c>
      <c r="F2383" s="378">
        <v>147856</v>
      </c>
      <c r="G2383" s="378">
        <v>32062</v>
      </c>
      <c r="H2383" s="378">
        <v>0</v>
      </c>
      <c r="I2383" s="378">
        <v>179918</v>
      </c>
      <c r="J2383" s="384">
        <f t="shared" si="42"/>
        <v>8</v>
      </c>
    </row>
    <row r="2384" spans="1:10" ht="15" customHeight="1" x14ac:dyDescent="0.25">
      <c r="A2384" s="380">
        <v>52350501</v>
      </c>
      <c r="B2384" s="381" t="s">
        <v>315</v>
      </c>
      <c r="C2384" s="381" t="s">
        <v>1344</v>
      </c>
      <c r="D2384" s="381" t="s">
        <v>972</v>
      </c>
      <c r="E2384" s="381" t="s">
        <v>973</v>
      </c>
      <c r="F2384" s="378">
        <v>1254027</v>
      </c>
      <c r="G2384" s="378">
        <v>212083</v>
      </c>
      <c r="H2384" s="378">
        <v>0</v>
      </c>
      <c r="I2384" s="378">
        <v>1466110</v>
      </c>
      <c r="J2384" s="384">
        <f t="shared" si="42"/>
        <v>8</v>
      </c>
    </row>
    <row r="2385" spans="1:10" ht="15" customHeight="1" x14ac:dyDescent="0.25">
      <c r="A2385" s="380">
        <v>52350501</v>
      </c>
      <c r="B2385" s="381" t="s">
        <v>315</v>
      </c>
      <c r="C2385" s="381" t="s">
        <v>1344</v>
      </c>
      <c r="D2385" s="381" t="s">
        <v>340</v>
      </c>
      <c r="E2385" s="381" t="s">
        <v>341</v>
      </c>
      <c r="F2385" s="378">
        <v>2593303</v>
      </c>
      <c r="G2385" s="378">
        <v>310786</v>
      </c>
      <c r="H2385" s="378">
        <v>0</v>
      </c>
      <c r="I2385" s="378">
        <v>2904089</v>
      </c>
      <c r="J2385" s="384">
        <f t="shared" si="42"/>
        <v>8</v>
      </c>
    </row>
    <row r="2386" spans="1:10" ht="15" customHeight="1" x14ac:dyDescent="0.25">
      <c r="A2386" s="380">
        <v>52350501</v>
      </c>
      <c r="B2386" s="381" t="s">
        <v>315</v>
      </c>
      <c r="C2386" s="381" t="s">
        <v>1344</v>
      </c>
      <c r="D2386" s="381" t="s">
        <v>993</v>
      </c>
      <c r="E2386" s="381" t="s">
        <v>994</v>
      </c>
      <c r="F2386" s="378">
        <v>71779</v>
      </c>
      <c r="G2386" s="378">
        <v>16539</v>
      </c>
      <c r="H2386" s="378">
        <v>0</v>
      </c>
      <c r="I2386" s="378">
        <v>88318</v>
      </c>
      <c r="J2386" s="384">
        <f t="shared" si="42"/>
        <v>8</v>
      </c>
    </row>
    <row r="2387" spans="1:10" ht="15" customHeight="1" x14ac:dyDescent="0.25">
      <c r="A2387" s="380">
        <v>523510</v>
      </c>
      <c r="B2387" s="381" t="s">
        <v>315</v>
      </c>
      <c r="C2387" s="381" t="s">
        <v>670</v>
      </c>
      <c r="D2387" s="381" t="s">
        <v>315</v>
      </c>
      <c r="E2387" s="381" t="s">
        <v>315</v>
      </c>
      <c r="F2387" s="378">
        <v>16505437</v>
      </c>
      <c r="G2387" s="378">
        <v>11763103</v>
      </c>
      <c r="H2387" s="378">
        <v>0</v>
      </c>
      <c r="I2387" s="378">
        <v>28268540</v>
      </c>
      <c r="J2387" s="384">
        <f t="shared" si="42"/>
        <v>6</v>
      </c>
    </row>
    <row r="2388" spans="1:10" ht="15" customHeight="1" x14ac:dyDescent="0.25">
      <c r="A2388" s="380">
        <v>52351001</v>
      </c>
      <c r="B2388" s="381" t="s">
        <v>315</v>
      </c>
      <c r="C2388" s="381" t="s">
        <v>670</v>
      </c>
      <c r="D2388" s="381" t="s">
        <v>315</v>
      </c>
      <c r="E2388" s="381" t="s">
        <v>315</v>
      </c>
      <c r="F2388" s="378">
        <v>15474068</v>
      </c>
      <c r="G2388" s="378">
        <v>10891761</v>
      </c>
      <c r="H2388" s="378">
        <v>0</v>
      </c>
      <c r="I2388" s="378">
        <v>26365829</v>
      </c>
      <c r="J2388" s="384">
        <f t="shared" si="42"/>
        <v>8</v>
      </c>
    </row>
    <row r="2389" spans="1:10" ht="15" customHeight="1" x14ac:dyDescent="0.25">
      <c r="A2389" s="380">
        <v>52351001</v>
      </c>
      <c r="B2389" s="381" t="s">
        <v>315</v>
      </c>
      <c r="C2389" s="381" t="s">
        <v>670</v>
      </c>
      <c r="D2389" s="381" t="s">
        <v>987</v>
      </c>
      <c r="E2389" s="381" t="s">
        <v>988</v>
      </c>
      <c r="F2389" s="378">
        <v>15474068</v>
      </c>
      <c r="G2389" s="378">
        <v>10891761</v>
      </c>
      <c r="H2389" s="378">
        <v>0</v>
      </c>
      <c r="I2389" s="378">
        <v>26365829</v>
      </c>
      <c r="J2389" s="384">
        <f t="shared" si="42"/>
        <v>8</v>
      </c>
    </row>
    <row r="2390" spans="1:10" ht="15" customHeight="1" x14ac:dyDescent="0.25">
      <c r="A2390" s="380">
        <v>52351002</v>
      </c>
      <c r="B2390" s="381" t="s">
        <v>315</v>
      </c>
      <c r="C2390" s="381" t="s">
        <v>1345</v>
      </c>
      <c r="D2390" s="381" t="s">
        <v>315</v>
      </c>
      <c r="E2390" s="381" t="s">
        <v>315</v>
      </c>
      <c r="F2390" s="378">
        <v>1031369</v>
      </c>
      <c r="G2390" s="378">
        <v>871342</v>
      </c>
      <c r="H2390" s="378">
        <v>0</v>
      </c>
      <c r="I2390" s="378">
        <v>1902711</v>
      </c>
      <c r="J2390" s="384">
        <f t="shared" si="42"/>
        <v>8</v>
      </c>
    </row>
    <row r="2391" spans="1:10" ht="15" customHeight="1" x14ac:dyDescent="0.25">
      <c r="A2391" s="380">
        <v>52351002</v>
      </c>
      <c r="B2391" s="381" t="s">
        <v>315</v>
      </c>
      <c r="C2391" s="381" t="s">
        <v>1345</v>
      </c>
      <c r="D2391" s="381" t="s">
        <v>987</v>
      </c>
      <c r="E2391" s="381" t="s">
        <v>988</v>
      </c>
      <c r="F2391" s="378">
        <v>1031369</v>
      </c>
      <c r="G2391" s="378">
        <v>871342</v>
      </c>
      <c r="H2391" s="378">
        <v>0</v>
      </c>
      <c r="I2391" s="378">
        <v>1902711</v>
      </c>
      <c r="J2391" s="384">
        <f t="shared" si="42"/>
        <v>8</v>
      </c>
    </row>
    <row r="2392" spans="1:10" ht="15" customHeight="1" x14ac:dyDescent="0.25">
      <c r="A2392" s="380">
        <v>523520</v>
      </c>
      <c r="B2392" s="381" t="s">
        <v>315</v>
      </c>
      <c r="C2392" s="381" t="s">
        <v>484</v>
      </c>
      <c r="D2392" s="381" t="s">
        <v>315</v>
      </c>
      <c r="E2392" s="381" t="s">
        <v>315</v>
      </c>
      <c r="F2392" s="378">
        <v>17259424</v>
      </c>
      <c r="G2392" s="378">
        <v>4254395</v>
      </c>
      <c r="H2392" s="378">
        <v>0</v>
      </c>
      <c r="I2392" s="378">
        <v>21513819</v>
      </c>
      <c r="J2392" s="384">
        <f t="shared" si="42"/>
        <v>6</v>
      </c>
    </row>
    <row r="2393" spans="1:10" ht="15" customHeight="1" x14ac:dyDescent="0.25">
      <c r="A2393" s="380">
        <v>52352001</v>
      </c>
      <c r="B2393" s="381" t="s">
        <v>315</v>
      </c>
      <c r="C2393" s="381" t="s">
        <v>484</v>
      </c>
      <c r="D2393" s="381" t="s">
        <v>315</v>
      </c>
      <c r="E2393" s="381" t="s">
        <v>315</v>
      </c>
      <c r="F2393" s="378">
        <v>17259424</v>
      </c>
      <c r="G2393" s="378">
        <v>4254395</v>
      </c>
      <c r="H2393" s="378">
        <v>0</v>
      </c>
      <c r="I2393" s="378">
        <v>21513819</v>
      </c>
      <c r="J2393" s="384">
        <f t="shared" si="42"/>
        <v>8</v>
      </c>
    </row>
    <row r="2394" spans="1:10" ht="15" customHeight="1" x14ac:dyDescent="0.25">
      <c r="A2394" s="380">
        <v>52352001</v>
      </c>
      <c r="B2394" s="381" t="s">
        <v>315</v>
      </c>
      <c r="C2394" s="381" t="s">
        <v>484</v>
      </c>
      <c r="D2394" s="381" t="s">
        <v>498</v>
      </c>
      <c r="E2394" s="381" t="s">
        <v>1102</v>
      </c>
      <c r="F2394" s="378">
        <v>287500</v>
      </c>
      <c r="G2394" s="378">
        <v>432864</v>
      </c>
      <c r="H2394" s="378">
        <v>0</v>
      </c>
      <c r="I2394" s="378">
        <v>720364</v>
      </c>
      <c r="J2394" s="384">
        <f t="shared" si="42"/>
        <v>8</v>
      </c>
    </row>
    <row r="2395" spans="1:10" ht="15" customHeight="1" x14ac:dyDescent="0.25">
      <c r="A2395" s="380">
        <v>52352001</v>
      </c>
      <c r="B2395" s="381" t="s">
        <v>315</v>
      </c>
      <c r="C2395" s="381" t="s">
        <v>484</v>
      </c>
      <c r="D2395" s="381" t="s">
        <v>1001</v>
      </c>
      <c r="E2395" s="381" t="s">
        <v>1002</v>
      </c>
      <c r="F2395" s="378">
        <v>541256</v>
      </c>
      <c r="G2395" s="378">
        <v>134829</v>
      </c>
      <c r="H2395" s="378">
        <v>0</v>
      </c>
      <c r="I2395" s="378">
        <v>676085</v>
      </c>
      <c r="J2395" s="384">
        <f t="shared" si="42"/>
        <v>8</v>
      </c>
    </row>
    <row r="2396" spans="1:10" ht="15" customHeight="1" x14ac:dyDescent="0.25">
      <c r="A2396" s="380">
        <v>52352001</v>
      </c>
      <c r="B2396" s="381" t="s">
        <v>315</v>
      </c>
      <c r="C2396" s="381" t="s">
        <v>484</v>
      </c>
      <c r="D2396" s="381" t="s">
        <v>412</v>
      </c>
      <c r="E2396" s="381" t="s">
        <v>1003</v>
      </c>
      <c r="F2396" s="378">
        <v>14791068</v>
      </c>
      <c r="G2396" s="378">
        <v>3186702</v>
      </c>
      <c r="H2396" s="378">
        <v>0</v>
      </c>
      <c r="I2396" s="378">
        <v>17977770</v>
      </c>
      <c r="J2396" s="384">
        <f t="shared" si="42"/>
        <v>8</v>
      </c>
    </row>
    <row r="2397" spans="1:10" ht="15" customHeight="1" x14ac:dyDescent="0.25">
      <c r="A2397" s="380">
        <v>52352001</v>
      </c>
      <c r="B2397" s="381" t="s">
        <v>315</v>
      </c>
      <c r="C2397" s="381" t="s">
        <v>484</v>
      </c>
      <c r="D2397" s="381" t="s">
        <v>1049</v>
      </c>
      <c r="E2397" s="381" t="s">
        <v>1050</v>
      </c>
      <c r="F2397" s="378">
        <v>249600</v>
      </c>
      <c r="G2397" s="378">
        <v>0</v>
      </c>
      <c r="H2397" s="378">
        <v>0</v>
      </c>
      <c r="I2397" s="378">
        <v>249600</v>
      </c>
      <c r="J2397" s="384">
        <f t="shared" si="42"/>
        <v>8</v>
      </c>
    </row>
    <row r="2398" spans="1:10" ht="15" customHeight="1" x14ac:dyDescent="0.25">
      <c r="A2398" s="380">
        <v>52352001</v>
      </c>
      <c r="B2398" s="381" t="s">
        <v>315</v>
      </c>
      <c r="C2398" s="381" t="s">
        <v>484</v>
      </c>
      <c r="D2398" s="381" t="s">
        <v>1011</v>
      </c>
      <c r="E2398" s="381" t="s">
        <v>1012</v>
      </c>
      <c r="F2398" s="378">
        <v>1300000</v>
      </c>
      <c r="G2398" s="378">
        <v>500000</v>
      </c>
      <c r="H2398" s="378">
        <v>0</v>
      </c>
      <c r="I2398" s="378">
        <v>1800000</v>
      </c>
      <c r="J2398" s="384">
        <f t="shared" si="42"/>
        <v>8</v>
      </c>
    </row>
    <row r="2399" spans="1:10" ht="15" customHeight="1" x14ac:dyDescent="0.25">
      <c r="A2399" s="380">
        <v>52352001</v>
      </c>
      <c r="B2399" s="381" t="s">
        <v>315</v>
      </c>
      <c r="C2399" s="381" t="s">
        <v>484</v>
      </c>
      <c r="D2399" s="381" t="s">
        <v>1015</v>
      </c>
      <c r="E2399" s="381" t="s">
        <v>1016</v>
      </c>
      <c r="F2399" s="378">
        <v>90000</v>
      </c>
      <c r="G2399" s="378">
        <v>0</v>
      </c>
      <c r="H2399" s="378">
        <v>0</v>
      </c>
      <c r="I2399" s="378">
        <v>90000</v>
      </c>
      <c r="J2399" s="384">
        <f t="shared" si="42"/>
        <v>8</v>
      </c>
    </row>
    <row r="2400" spans="1:10" ht="15" customHeight="1" x14ac:dyDescent="0.25">
      <c r="A2400" s="380">
        <v>523525</v>
      </c>
      <c r="B2400" s="381" t="s">
        <v>315</v>
      </c>
      <c r="C2400" s="381" t="s">
        <v>485</v>
      </c>
      <c r="D2400" s="381" t="s">
        <v>315</v>
      </c>
      <c r="E2400" s="381" t="s">
        <v>315</v>
      </c>
      <c r="F2400" s="378">
        <v>6632782</v>
      </c>
      <c r="G2400" s="378">
        <v>1328927</v>
      </c>
      <c r="H2400" s="378">
        <v>0</v>
      </c>
      <c r="I2400" s="378">
        <v>7961709</v>
      </c>
      <c r="J2400" s="384">
        <f t="shared" si="42"/>
        <v>6</v>
      </c>
    </row>
    <row r="2401" spans="1:10" ht="15" customHeight="1" x14ac:dyDescent="0.25">
      <c r="A2401" s="380">
        <v>52352501</v>
      </c>
      <c r="B2401" s="381" t="s">
        <v>315</v>
      </c>
      <c r="C2401" s="381" t="s">
        <v>485</v>
      </c>
      <c r="D2401" s="381" t="s">
        <v>315</v>
      </c>
      <c r="E2401" s="381" t="s">
        <v>315</v>
      </c>
      <c r="F2401" s="378">
        <v>6632782</v>
      </c>
      <c r="G2401" s="378">
        <v>1328927</v>
      </c>
      <c r="H2401" s="378">
        <v>0</v>
      </c>
      <c r="I2401" s="378">
        <v>7961709</v>
      </c>
      <c r="J2401" s="384">
        <f t="shared" si="42"/>
        <v>8</v>
      </c>
    </row>
    <row r="2402" spans="1:10" ht="15" customHeight="1" x14ac:dyDescent="0.25">
      <c r="A2402" s="380">
        <v>52352501</v>
      </c>
      <c r="B2402" s="381" t="s">
        <v>315</v>
      </c>
      <c r="C2402" s="381" t="s">
        <v>485</v>
      </c>
      <c r="D2402" s="381" t="s">
        <v>340</v>
      </c>
      <c r="E2402" s="381" t="s">
        <v>341</v>
      </c>
      <c r="F2402" s="378">
        <v>6532782</v>
      </c>
      <c r="G2402" s="378">
        <v>1328927</v>
      </c>
      <c r="H2402" s="378">
        <v>0</v>
      </c>
      <c r="I2402" s="378">
        <v>7861709</v>
      </c>
      <c r="J2402" s="384">
        <f t="shared" si="42"/>
        <v>8</v>
      </c>
    </row>
    <row r="2403" spans="1:10" ht="15" customHeight="1" x14ac:dyDescent="0.25">
      <c r="A2403" s="380">
        <v>52352501</v>
      </c>
      <c r="B2403" s="381" t="s">
        <v>315</v>
      </c>
      <c r="C2403" s="381" t="s">
        <v>485</v>
      </c>
      <c r="D2403" s="381" t="s">
        <v>1013</v>
      </c>
      <c r="E2403" s="381" t="s">
        <v>1014</v>
      </c>
      <c r="F2403" s="378">
        <v>100000</v>
      </c>
      <c r="G2403" s="378">
        <v>0</v>
      </c>
      <c r="H2403" s="378">
        <v>0</v>
      </c>
      <c r="I2403" s="378">
        <v>100000</v>
      </c>
      <c r="J2403" s="384">
        <f t="shared" si="42"/>
        <v>8</v>
      </c>
    </row>
    <row r="2404" spans="1:10" ht="15" customHeight="1" x14ac:dyDescent="0.25">
      <c r="A2404" s="380">
        <v>523530</v>
      </c>
      <c r="B2404" s="381" t="s">
        <v>315</v>
      </c>
      <c r="C2404" s="381" t="s">
        <v>486</v>
      </c>
      <c r="D2404" s="381" t="s">
        <v>315</v>
      </c>
      <c r="E2404" s="381" t="s">
        <v>315</v>
      </c>
      <c r="F2404" s="378">
        <v>74667673</v>
      </c>
      <c r="G2404" s="378">
        <v>14027511</v>
      </c>
      <c r="H2404" s="378">
        <v>0</v>
      </c>
      <c r="I2404" s="378">
        <v>88695184</v>
      </c>
      <c r="J2404" s="384">
        <f t="shared" si="42"/>
        <v>6</v>
      </c>
    </row>
    <row r="2405" spans="1:10" ht="15" customHeight="1" x14ac:dyDescent="0.25">
      <c r="A2405" s="380">
        <v>52353001</v>
      </c>
      <c r="B2405" s="381" t="s">
        <v>315</v>
      </c>
      <c r="C2405" s="381" t="s">
        <v>486</v>
      </c>
      <c r="D2405" s="381" t="s">
        <v>315</v>
      </c>
      <c r="E2405" s="381" t="s">
        <v>315</v>
      </c>
      <c r="F2405" s="378">
        <v>74667673</v>
      </c>
      <c r="G2405" s="378">
        <v>14027511</v>
      </c>
      <c r="H2405" s="378">
        <v>0</v>
      </c>
      <c r="I2405" s="378">
        <v>88695184</v>
      </c>
      <c r="J2405" s="384">
        <f t="shared" si="42"/>
        <v>8</v>
      </c>
    </row>
    <row r="2406" spans="1:10" ht="15" customHeight="1" x14ac:dyDescent="0.25">
      <c r="A2406" s="380">
        <v>52353001</v>
      </c>
      <c r="B2406" s="381" t="s">
        <v>315</v>
      </c>
      <c r="C2406" s="381" t="s">
        <v>486</v>
      </c>
      <c r="D2406" s="381" t="s">
        <v>734</v>
      </c>
      <c r="E2406" s="381" t="s">
        <v>735</v>
      </c>
      <c r="F2406" s="378">
        <v>377801</v>
      </c>
      <c r="G2406" s="378">
        <v>0</v>
      </c>
      <c r="H2406" s="378">
        <v>0</v>
      </c>
      <c r="I2406" s="378">
        <v>377801</v>
      </c>
      <c r="J2406" s="384">
        <f t="shared" si="42"/>
        <v>8</v>
      </c>
    </row>
    <row r="2407" spans="1:10" ht="15" customHeight="1" x14ac:dyDescent="0.25">
      <c r="A2407" s="380">
        <v>52353001</v>
      </c>
      <c r="B2407" s="381" t="s">
        <v>315</v>
      </c>
      <c r="C2407" s="381" t="s">
        <v>486</v>
      </c>
      <c r="D2407" s="381" t="s">
        <v>976</v>
      </c>
      <c r="E2407" s="381" t="s">
        <v>977</v>
      </c>
      <c r="F2407" s="378">
        <v>10103143</v>
      </c>
      <c r="G2407" s="378">
        <v>1825610</v>
      </c>
      <c r="H2407" s="378">
        <v>0</v>
      </c>
      <c r="I2407" s="378">
        <v>11928753</v>
      </c>
      <c r="J2407" s="384">
        <f t="shared" si="42"/>
        <v>8</v>
      </c>
    </row>
    <row r="2408" spans="1:10" ht="15" customHeight="1" x14ac:dyDescent="0.25">
      <c r="A2408" s="380">
        <v>52353001</v>
      </c>
      <c r="B2408" s="381" t="s">
        <v>315</v>
      </c>
      <c r="C2408" s="381" t="s">
        <v>486</v>
      </c>
      <c r="D2408" s="381" t="s">
        <v>340</v>
      </c>
      <c r="E2408" s="381" t="s">
        <v>341</v>
      </c>
      <c r="F2408" s="378">
        <v>64186729</v>
      </c>
      <c r="G2408" s="378">
        <v>12201901</v>
      </c>
      <c r="H2408" s="378">
        <v>0</v>
      </c>
      <c r="I2408" s="378">
        <v>76388630</v>
      </c>
      <c r="J2408" s="384">
        <f t="shared" ref="J2408:J2471" si="43">+LEN(A2408)</f>
        <v>8</v>
      </c>
    </row>
    <row r="2409" spans="1:10" ht="15" customHeight="1" x14ac:dyDescent="0.25">
      <c r="A2409" s="380">
        <v>523535</v>
      </c>
      <c r="B2409" s="381" t="s">
        <v>315</v>
      </c>
      <c r="C2409" s="381" t="s">
        <v>487</v>
      </c>
      <c r="D2409" s="381" t="s">
        <v>315</v>
      </c>
      <c r="E2409" s="381" t="s">
        <v>315</v>
      </c>
      <c r="F2409" s="378">
        <v>871</v>
      </c>
      <c r="G2409" s="378">
        <v>0</v>
      </c>
      <c r="H2409" s="378">
        <v>0</v>
      </c>
      <c r="I2409" s="378">
        <v>871</v>
      </c>
      <c r="J2409" s="384">
        <f t="shared" si="43"/>
        <v>6</v>
      </c>
    </row>
    <row r="2410" spans="1:10" ht="15" customHeight="1" x14ac:dyDescent="0.25">
      <c r="A2410" s="380">
        <v>52353501</v>
      </c>
      <c r="B2410" s="381" t="s">
        <v>315</v>
      </c>
      <c r="C2410" s="381" t="s">
        <v>487</v>
      </c>
      <c r="D2410" s="381" t="s">
        <v>315</v>
      </c>
      <c r="E2410" s="381" t="s">
        <v>315</v>
      </c>
      <c r="F2410" s="378">
        <v>871</v>
      </c>
      <c r="G2410" s="378">
        <v>0</v>
      </c>
      <c r="H2410" s="378">
        <v>0</v>
      </c>
      <c r="I2410" s="378">
        <v>871</v>
      </c>
      <c r="J2410" s="384">
        <f t="shared" si="43"/>
        <v>8</v>
      </c>
    </row>
    <row r="2411" spans="1:10" ht="15" customHeight="1" x14ac:dyDescent="0.25">
      <c r="A2411" s="380">
        <v>52353501</v>
      </c>
      <c r="B2411" s="381" t="s">
        <v>315</v>
      </c>
      <c r="C2411" s="381" t="s">
        <v>487</v>
      </c>
      <c r="D2411" s="381" t="s">
        <v>391</v>
      </c>
      <c r="E2411" s="381" t="s">
        <v>392</v>
      </c>
      <c r="F2411" s="378">
        <v>871</v>
      </c>
      <c r="G2411" s="378">
        <v>0</v>
      </c>
      <c r="H2411" s="378">
        <v>0</v>
      </c>
      <c r="I2411" s="378">
        <v>871</v>
      </c>
      <c r="J2411" s="384">
        <f t="shared" si="43"/>
        <v>8</v>
      </c>
    </row>
    <row r="2412" spans="1:10" ht="15" customHeight="1" x14ac:dyDescent="0.25">
      <c r="A2412" s="380">
        <v>523550</v>
      </c>
      <c r="B2412" s="381" t="s">
        <v>315</v>
      </c>
      <c r="C2412" s="381" t="s">
        <v>434</v>
      </c>
      <c r="D2412" s="381" t="s">
        <v>315</v>
      </c>
      <c r="E2412" s="381" t="s">
        <v>315</v>
      </c>
      <c r="F2412" s="378">
        <v>18394650</v>
      </c>
      <c r="G2412" s="378">
        <v>3359115</v>
      </c>
      <c r="H2412" s="378">
        <v>6000</v>
      </c>
      <c r="I2412" s="378">
        <v>21747765</v>
      </c>
      <c r="J2412" s="384">
        <f t="shared" si="43"/>
        <v>6</v>
      </c>
    </row>
    <row r="2413" spans="1:10" ht="15" customHeight="1" x14ac:dyDescent="0.25">
      <c r="A2413" s="380">
        <v>52355001</v>
      </c>
      <c r="B2413" s="381" t="s">
        <v>315</v>
      </c>
      <c r="C2413" s="381" t="s">
        <v>434</v>
      </c>
      <c r="D2413" s="381" t="s">
        <v>315</v>
      </c>
      <c r="E2413" s="381" t="s">
        <v>315</v>
      </c>
      <c r="F2413" s="378">
        <v>18394650</v>
      </c>
      <c r="G2413" s="378">
        <v>3359115</v>
      </c>
      <c r="H2413" s="378">
        <v>6000</v>
      </c>
      <c r="I2413" s="378">
        <v>21747765</v>
      </c>
      <c r="J2413" s="384">
        <f t="shared" si="43"/>
        <v>8</v>
      </c>
    </row>
    <row r="2414" spans="1:10" ht="15" customHeight="1" x14ac:dyDescent="0.25">
      <c r="A2414" s="380">
        <v>52355001</v>
      </c>
      <c r="B2414" s="381" t="s">
        <v>315</v>
      </c>
      <c r="C2414" s="381" t="s">
        <v>434</v>
      </c>
      <c r="D2414" s="381" t="s">
        <v>738</v>
      </c>
      <c r="E2414" s="381" t="s">
        <v>739</v>
      </c>
      <c r="F2414" s="378">
        <v>440000</v>
      </c>
      <c r="G2414" s="378">
        <v>0</v>
      </c>
      <c r="H2414" s="378">
        <v>0</v>
      </c>
      <c r="I2414" s="378">
        <v>440000</v>
      </c>
      <c r="J2414" s="384">
        <f t="shared" si="43"/>
        <v>8</v>
      </c>
    </row>
    <row r="2415" spans="1:10" ht="15" customHeight="1" x14ac:dyDescent="0.25">
      <c r="A2415" s="380">
        <v>52355001</v>
      </c>
      <c r="B2415" s="381" t="s">
        <v>315</v>
      </c>
      <c r="C2415" s="381" t="s">
        <v>434</v>
      </c>
      <c r="D2415" s="381" t="s">
        <v>1346</v>
      </c>
      <c r="E2415" s="381" t="s">
        <v>1347</v>
      </c>
      <c r="F2415" s="378">
        <v>5000</v>
      </c>
      <c r="G2415" s="378">
        <v>0</v>
      </c>
      <c r="H2415" s="378">
        <v>0</v>
      </c>
      <c r="I2415" s="378">
        <v>5000</v>
      </c>
      <c r="J2415" s="384">
        <f t="shared" si="43"/>
        <v>8</v>
      </c>
    </row>
    <row r="2416" spans="1:10" ht="15" customHeight="1" x14ac:dyDescent="0.25">
      <c r="A2416" s="380">
        <v>52355001</v>
      </c>
      <c r="B2416" s="381" t="s">
        <v>315</v>
      </c>
      <c r="C2416" s="381" t="s">
        <v>434</v>
      </c>
      <c r="D2416" s="381" t="s">
        <v>1046</v>
      </c>
      <c r="E2416" s="381" t="s">
        <v>1047</v>
      </c>
      <c r="F2416" s="378">
        <v>850000</v>
      </c>
      <c r="G2416" s="378">
        <v>0</v>
      </c>
      <c r="H2416" s="378">
        <v>0</v>
      </c>
      <c r="I2416" s="378">
        <v>850000</v>
      </c>
      <c r="J2416" s="384">
        <f t="shared" si="43"/>
        <v>8</v>
      </c>
    </row>
    <row r="2417" spans="1:10" ht="15" customHeight="1" x14ac:dyDescent="0.25">
      <c r="A2417" s="380">
        <v>52355001</v>
      </c>
      <c r="B2417" s="381" t="s">
        <v>315</v>
      </c>
      <c r="C2417" s="381" t="s">
        <v>434</v>
      </c>
      <c r="D2417" s="381" t="s">
        <v>651</v>
      </c>
      <c r="E2417" s="381" t="s">
        <v>967</v>
      </c>
      <c r="F2417" s="378">
        <v>33615</v>
      </c>
      <c r="G2417" s="378">
        <v>8404</v>
      </c>
      <c r="H2417" s="378">
        <v>0</v>
      </c>
      <c r="I2417" s="378">
        <v>42019</v>
      </c>
      <c r="J2417" s="384">
        <f t="shared" si="43"/>
        <v>8</v>
      </c>
    </row>
    <row r="2418" spans="1:10" ht="15" customHeight="1" x14ac:dyDescent="0.25">
      <c r="A2418" s="380">
        <v>52355001</v>
      </c>
      <c r="B2418" s="381" t="s">
        <v>315</v>
      </c>
      <c r="C2418" s="381" t="s">
        <v>434</v>
      </c>
      <c r="D2418" s="381" t="s">
        <v>1137</v>
      </c>
      <c r="E2418" s="381" t="s">
        <v>1138</v>
      </c>
      <c r="F2418" s="378">
        <v>136100</v>
      </c>
      <c r="G2418" s="378">
        <v>0</v>
      </c>
      <c r="H2418" s="378">
        <v>0</v>
      </c>
      <c r="I2418" s="378">
        <v>136100</v>
      </c>
      <c r="J2418" s="384">
        <f t="shared" si="43"/>
        <v>8</v>
      </c>
    </row>
    <row r="2419" spans="1:10" ht="15" customHeight="1" x14ac:dyDescent="0.25">
      <c r="A2419" s="380">
        <v>52355001</v>
      </c>
      <c r="B2419" s="381" t="s">
        <v>315</v>
      </c>
      <c r="C2419" s="381" t="s">
        <v>434</v>
      </c>
      <c r="D2419" s="381" t="s">
        <v>347</v>
      </c>
      <c r="E2419" s="381" t="s">
        <v>348</v>
      </c>
      <c r="F2419" s="378">
        <v>16219713</v>
      </c>
      <c r="G2419" s="378">
        <v>3252307</v>
      </c>
      <c r="H2419" s="378">
        <v>0</v>
      </c>
      <c r="I2419" s="378">
        <v>19472020</v>
      </c>
      <c r="J2419" s="384">
        <f t="shared" si="43"/>
        <v>8</v>
      </c>
    </row>
    <row r="2420" spans="1:10" ht="15" customHeight="1" x14ac:dyDescent="0.25">
      <c r="A2420" s="380">
        <v>52355001</v>
      </c>
      <c r="B2420" s="381" t="s">
        <v>315</v>
      </c>
      <c r="C2420" s="381" t="s">
        <v>434</v>
      </c>
      <c r="D2420" s="381" t="s">
        <v>822</v>
      </c>
      <c r="E2420" s="381" t="s">
        <v>823</v>
      </c>
      <c r="F2420" s="378">
        <v>46222</v>
      </c>
      <c r="G2420" s="378">
        <v>8404</v>
      </c>
      <c r="H2420" s="378">
        <v>0</v>
      </c>
      <c r="I2420" s="378">
        <v>54626</v>
      </c>
      <c r="J2420" s="384">
        <f t="shared" si="43"/>
        <v>8</v>
      </c>
    </row>
    <row r="2421" spans="1:10" ht="15" customHeight="1" x14ac:dyDescent="0.25">
      <c r="A2421" s="380">
        <v>52355001</v>
      </c>
      <c r="B2421" s="381" t="s">
        <v>315</v>
      </c>
      <c r="C2421" s="381" t="s">
        <v>434</v>
      </c>
      <c r="D2421" s="381" t="s">
        <v>723</v>
      </c>
      <c r="E2421" s="381" t="s">
        <v>724</v>
      </c>
      <c r="F2421" s="378">
        <v>400000</v>
      </c>
      <c r="G2421" s="378">
        <v>0</v>
      </c>
      <c r="H2421" s="378">
        <v>0</v>
      </c>
      <c r="I2421" s="378">
        <v>400000</v>
      </c>
      <c r="J2421" s="384">
        <f t="shared" si="43"/>
        <v>8</v>
      </c>
    </row>
    <row r="2422" spans="1:10" ht="15" customHeight="1" x14ac:dyDescent="0.25">
      <c r="A2422" s="380">
        <v>52355001</v>
      </c>
      <c r="B2422" s="381" t="s">
        <v>315</v>
      </c>
      <c r="C2422" s="381" t="s">
        <v>434</v>
      </c>
      <c r="D2422" s="381" t="s">
        <v>665</v>
      </c>
      <c r="E2422" s="381" t="s">
        <v>824</v>
      </c>
      <c r="F2422" s="378">
        <v>264000</v>
      </c>
      <c r="G2422" s="378">
        <v>60000</v>
      </c>
      <c r="H2422" s="378">
        <v>6000</v>
      </c>
      <c r="I2422" s="378">
        <v>318000</v>
      </c>
      <c r="J2422" s="384">
        <f t="shared" si="43"/>
        <v>8</v>
      </c>
    </row>
    <row r="2423" spans="1:10" ht="15" customHeight="1" x14ac:dyDescent="0.25">
      <c r="A2423" s="380">
        <v>52355001</v>
      </c>
      <c r="B2423" s="381" t="s">
        <v>315</v>
      </c>
      <c r="C2423" s="381" t="s">
        <v>434</v>
      </c>
      <c r="D2423" s="381" t="s">
        <v>1036</v>
      </c>
      <c r="E2423" s="381" t="s">
        <v>1037</v>
      </c>
      <c r="F2423" s="378">
        <v>0</v>
      </c>
      <c r="G2423" s="378">
        <v>30000</v>
      </c>
      <c r="H2423" s="378">
        <v>0</v>
      </c>
      <c r="I2423" s="378">
        <v>30000</v>
      </c>
      <c r="J2423" s="384">
        <f t="shared" si="43"/>
        <v>8</v>
      </c>
    </row>
    <row r="2424" spans="1:10" ht="15" customHeight="1" x14ac:dyDescent="0.25">
      <c r="A2424" s="380">
        <v>523560</v>
      </c>
      <c r="B2424" s="381" t="s">
        <v>321</v>
      </c>
      <c r="C2424" s="381" t="s">
        <v>1348</v>
      </c>
      <c r="D2424" s="381" t="s">
        <v>315</v>
      </c>
      <c r="E2424" s="381" t="s">
        <v>315</v>
      </c>
      <c r="F2424" s="378">
        <v>5387192</v>
      </c>
      <c r="G2424" s="378">
        <v>7649300</v>
      </c>
      <c r="H2424" s="378">
        <v>0</v>
      </c>
      <c r="I2424" s="378">
        <v>13036492</v>
      </c>
      <c r="J2424" s="384">
        <f t="shared" si="43"/>
        <v>6</v>
      </c>
    </row>
    <row r="2425" spans="1:10" ht="15" customHeight="1" x14ac:dyDescent="0.25">
      <c r="A2425" s="380">
        <v>52356001</v>
      </c>
      <c r="B2425" s="381" t="s">
        <v>315</v>
      </c>
      <c r="C2425" s="381" t="s">
        <v>1349</v>
      </c>
      <c r="D2425" s="381" t="s">
        <v>315</v>
      </c>
      <c r="E2425" s="381" t="s">
        <v>315</v>
      </c>
      <c r="F2425" s="378">
        <v>5387192</v>
      </c>
      <c r="G2425" s="378">
        <v>7649300</v>
      </c>
      <c r="H2425" s="378">
        <v>0</v>
      </c>
      <c r="I2425" s="378">
        <v>13036492</v>
      </c>
      <c r="J2425" s="384">
        <f t="shared" si="43"/>
        <v>8</v>
      </c>
    </row>
    <row r="2426" spans="1:10" ht="15" customHeight="1" x14ac:dyDescent="0.25">
      <c r="A2426" s="380">
        <v>52356001</v>
      </c>
      <c r="B2426" s="381" t="s">
        <v>315</v>
      </c>
      <c r="C2426" s="381" t="s">
        <v>1349</v>
      </c>
      <c r="D2426" s="381" t="s">
        <v>347</v>
      </c>
      <c r="E2426" s="381" t="s">
        <v>348</v>
      </c>
      <c r="F2426" s="378">
        <v>5387192</v>
      </c>
      <c r="G2426" s="378">
        <v>7649300</v>
      </c>
      <c r="H2426" s="378">
        <v>0</v>
      </c>
      <c r="I2426" s="378">
        <v>13036492</v>
      </c>
      <c r="J2426" s="384">
        <f t="shared" si="43"/>
        <v>8</v>
      </c>
    </row>
    <row r="2427" spans="1:10" ht="15" customHeight="1" x14ac:dyDescent="0.25">
      <c r="A2427" s="380">
        <v>523565</v>
      </c>
      <c r="B2427" s="381" t="s">
        <v>315</v>
      </c>
      <c r="C2427" s="381" t="s">
        <v>488</v>
      </c>
      <c r="D2427" s="381" t="s">
        <v>315</v>
      </c>
      <c r="E2427" s="381" t="s">
        <v>315</v>
      </c>
      <c r="F2427" s="378">
        <v>718223</v>
      </c>
      <c r="G2427" s="378">
        <v>387305</v>
      </c>
      <c r="H2427" s="378">
        <v>0</v>
      </c>
      <c r="I2427" s="378">
        <v>1105528</v>
      </c>
      <c r="J2427" s="384">
        <f t="shared" si="43"/>
        <v>6</v>
      </c>
    </row>
    <row r="2428" spans="1:10" ht="15" customHeight="1" x14ac:dyDescent="0.25">
      <c r="A2428" s="380">
        <v>52356501</v>
      </c>
      <c r="B2428" s="381" t="s">
        <v>315</v>
      </c>
      <c r="C2428" s="381" t="s">
        <v>488</v>
      </c>
      <c r="D2428" s="381" t="s">
        <v>315</v>
      </c>
      <c r="E2428" s="381" t="s">
        <v>315</v>
      </c>
      <c r="F2428" s="378">
        <v>718223</v>
      </c>
      <c r="G2428" s="378">
        <v>387305</v>
      </c>
      <c r="H2428" s="378">
        <v>0</v>
      </c>
      <c r="I2428" s="378">
        <v>1105528</v>
      </c>
      <c r="J2428" s="384">
        <f t="shared" si="43"/>
        <v>8</v>
      </c>
    </row>
    <row r="2429" spans="1:10" ht="15" customHeight="1" x14ac:dyDescent="0.25">
      <c r="A2429" s="380">
        <v>52356501</v>
      </c>
      <c r="B2429" s="381" t="s">
        <v>315</v>
      </c>
      <c r="C2429" s="381" t="s">
        <v>488</v>
      </c>
      <c r="D2429" s="381" t="s">
        <v>646</v>
      </c>
      <c r="E2429" s="381" t="s">
        <v>647</v>
      </c>
      <c r="F2429" s="378">
        <v>154409</v>
      </c>
      <c r="G2429" s="378">
        <v>0</v>
      </c>
      <c r="H2429" s="378">
        <v>0</v>
      </c>
      <c r="I2429" s="378">
        <v>154409</v>
      </c>
      <c r="J2429" s="384">
        <f t="shared" si="43"/>
        <v>8</v>
      </c>
    </row>
    <row r="2430" spans="1:10" ht="15" customHeight="1" x14ac:dyDescent="0.25">
      <c r="A2430" s="380">
        <v>52356501</v>
      </c>
      <c r="B2430" s="381" t="s">
        <v>315</v>
      </c>
      <c r="C2430" s="381" t="s">
        <v>488</v>
      </c>
      <c r="D2430" s="381" t="s">
        <v>391</v>
      </c>
      <c r="E2430" s="381" t="s">
        <v>392</v>
      </c>
      <c r="F2430" s="378">
        <v>563814</v>
      </c>
      <c r="G2430" s="378">
        <v>99805</v>
      </c>
      <c r="H2430" s="378">
        <v>0</v>
      </c>
      <c r="I2430" s="378">
        <v>663619</v>
      </c>
      <c r="J2430" s="384">
        <f t="shared" si="43"/>
        <v>8</v>
      </c>
    </row>
    <row r="2431" spans="1:10" ht="15" customHeight="1" x14ac:dyDescent="0.25">
      <c r="A2431" s="380">
        <v>52356501</v>
      </c>
      <c r="B2431" s="381" t="s">
        <v>315</v>
      </c>
      <c r="C2431" s="381" t="s">
        <v>488</v>
      </c>
      <c r="D2431" s="381" t="s">
        <v>1041</v>
      </c>
      <c r="E2431" s="381" t="s">
        <v>1042</v>
      </c>
      <c r="F2431" s="378">
        <v>0</v>
      </c>
      <c r="G2431" s="378">
        <v>287500</v>
      </c>
      <c r="H2431" s="378">
        <v>0</v>
      </c>
      <c r="I2431" s="378">
        <v>287500</v>
      </c>
      <c r="J2431" s="384">
        <f t="shared" si="43"/>
        <v>8</v>
      </c>
    </row>
    <row r="2432" spans="1:10" ht="15" customHeight="1" x14ac:dyDescent="0.25">
      <c r="A2432" s="380">
        <v>523595</v>
      </c>
      <c r="B2432" s="381" t="s">
        <v>315</v>
      </c>
      <c r="C2432" s="381" t="s">
        <v>238</v>
      </c>
      <c r="D2432" s="381" t="s">
        <v>315</v>
      </c>
      <c r="E2432" s="381" t="s">
        <v>315</v>
      </c>
      <c r="F2432" s="378">
        <v>78835689</v>
      </c>
      <c r="G2432" s="378">
        <v>19715306</v>
      </c>
      <c r="H2432" s="378">
        <v>0</v>
      </c>
      <c r="I2432" s="378">
        <v>98550995</v>
      </c>
      <c r="J2432" s="384">
        <f t="shared" si="43"/>
        <v>6</v>
      </c>
    </row>
    <row r="2433" spans="1:10" ht="15" customHeight="1" x14ac:dyDescent="0.25">
      <c r="A2433" s="380">
        <v>52359503</v>
      </c>
      <c r="B2433" s="381" t="s">
        <v>321</v>
      </c>
      <c r="C2433" s="381" t="s">
        <v>1350</v>
      </c>
      <c r="D2433" s="381" t="s">
        <v>315</v>
      </c>
      <c r="E2433" s="381" t="s">
        <v>315</v>
      </c>
      <c r="F2433" s="378">
        <v>62797449</v>
      </c>
      <c r="G2433" s="378">
        <v>16825160</v>
      </c>
      <c r="H2433" s="378">
        <v>0</v>
      </c>
      <c r="I2433" s="378">
        <v>79622609</v>
      </c>
      <c r="J2433" s="384">
        <f t="shared" si="43"/>
        <v>8</v>
      </c>
    </row>
    <row r="2434" spans="1:10" ht="15" customHeight="1" x14ac:dyDescent="0.25">
      <c r="A2434" s="380">
        <v>52359503</v>
      </c>
      <c r="B2434" s="381" t="s">
        <v>321</v>
      </c>
      <c r="C2434" s="381" t="s">
        <v>1350</v>
      </c>
      <c r="D2434" s="381" t="s">
        <v>1038</v>
      </c>
      <c r="E2434" s="381" t="s">
        <v>1039</v>
      </c>
      <c r="F2434" s="378">
        <v>20219102</v>
      </c>
      <c r="G2434" s="378">
        <v>8886885</v>
      </c>
      <c r="H2434" s="378">
        <v>0</v>
      </c>
      <c r="I2434" s="378">
        <v>29105987</v>
      </c>
      <c r="J2434" s="384">
        <f t="shared" si="43"/>
        <v>8</v>
      </c>
    </row>
    <row r="2435" spans="1:10" ht="15" customHeight="1" x14ac:dyDescent="0.25">
      <c r="A2435" s="380">
        <v>52359503</v>
      </c>
      <c r="B2435" s="381" t="s">
        <v>321</v>
      </c>
      <c r="C2435" s="381" t="s">
        <v>1350</v>
      </c>
      <c r="D2435" s="381" t="s">
        <v>757</v>
      </c>
      <c r="E2435" s="381" t="s">
        <v>758</v>
      </c>
      <c r="F2435" s="378">
        <v>1889549</v>
      </c>
      <c r="G2435" s="378">
        <v>0</v>
      </c>
      <c r="H2435" s="378">
        <v>0</v>
      </c>
      <c r="I2435" s="378">
        <v>1889549</v>
      </c>
      <c r="J2435" s="384">
        <f t="shared" si="43"/>
        <v>8</v>
      </c>
    </row>
    <row r="2436" spans="1:10" ht="15" customHeight="1" x14ac:dyDescent="0.25">
      <c r="A2436" s="380">
        <v>52359503</v>
      </c>
      <c r="B2436" s="381" t="s">
        <v>321</v>
      </c>
      <c r="C2436" s="381" t="s">
        <v>1350</v>
      </c>
      <c r="D2436" s="381" t="s">
        <v>1040</v>
      </c>
      <c r="E2436" s="381" t="s">
        <v>750</v>
      </c>
      <c r="F2436" s="378">
        <v>7972183</v>
      </c>
      <c r="G2436" s="378">
        <v>1984569</v>
      </c>
      <c r="H2436" s="378">
        <v>0</v>
      </c>
      <c r="I2436" s="378">
        <v>9956752</v>
      </c>
      <c r="J2436" s="384">
        <f t="shared" si="43"/>
        <v>8</v>
      </c>
    </row>
    <row r="2437" spans="1:10" ht="15" customHeight="1" x14ac:dyDescent="0.25">
      <c r="A2437" s="380">
        <v>52359503</v>
      </c>
      <c r="B2437" s="381" t="s">
        <v>321</v>
      </c>
      <c r="C2437" s="381" t="s">
        <v>1350</v>
      </c>
      <c r="D2437" s="381" t="s">
        <v>347</v>
      </c>
      <c r="E2437" s="381" t="s">
        <v>348</v>
      </c>
      <c r="F2437" s="378">
        <v>14284560</v>
      </c>
      <c r="G2437" s="378">
        <v>0</v>
      </c>
      <c r="H2437" s="378">
        <v>0</v>
      </c>
      <c r="I2437" s="378">
        <v>14284560</v>
      </c>
      <c r="J2437" s="384">
        <f t="shared" si="43"/>
        <v>8</v>
      </c>
    </row>
    <row r="2438" spans="1:10" ht="15" customHeight="1" x14ac:dyDescent="0.25">
      <c r="A2438" s="380">
        <v>52359503</v>
      </c>
      <c r="B2438" s="381" t="s">
        <v>321</v>
      </c>
      <c r="C2438" s="381" t="s">
        <v>1350</v>
      </c>
      <c r="D2438" s="381" t="s">
        <v>761</v>
      </c>
      <c r="E2438" s="381" t="s">
        <v>762</v>
      </c>
      <c r="F2438" s="378">
        <v>18432055</v>
      </c>
      <c r="G2438" s="378">
        <v>5953706</v>
      </c>
      <c r="H2438" s="378">
        <v>0</v>
      </c>
      <c r="I2438" s="378">
        <v>24385761</v>
      </c>
      <c r="J2438" s="384">
        <f t="shared" si="43"/>
        <v>8</v>
      </c>
    </row>
    <row r="2439" spans="1:10" ht="15" customHeight="1" x14ac:dyDescent="0.25">
      <c r="A2439" s="380">
        <v>52359504</v>
      </c>
      <c r="B2439" s="381" t="s">
        <v>321</v>
      </c>
      <c r="C2439" s="381" t="s">
        <v>771</v>
      </c>
      <c r="D2439" s="381" t="s">
        <v>315</v>
      </c>
      <c r="E2439" s="381" t="s">
        <v>315</v>
      </c>
      <c r="F2439" s="378">
        <v>4494637</v>
      </c>
      <c r="G2439" s="378">
        <v>0</v>
      </c>
      <c r="H2439" s="378">
        <v>0</v>
      </c>
      <c r="I2439" s="378">
        <v>4494637</v>
      </c>
      <c r="J2439" s="384">
        <f t="shared" si="43"/>
        <v>8</v>
      </c>
    </row>
    <row r="2440" spans="1:10" ht="15" customHeight="1" x14ac:dyDescent="0.25">
      <c r="A2440" s="380">
        <v>52359504</v>
      </c>
      <c r="B2440" s="381" t="s">
        <v>321</v>
      </c>
      <c r="C2440" s="381" t="s">
        <v>771</v>
      </c>
      <c r="D2440" s="381" t="s">
        <v>723</v>
      </c>
      <c r="E2440" s="381" t="s">
        <v>724</v>
      </c>
      <c r="F2440" s="378">
        <v>4494637</v>
      </c>
      <c r="G2440" s="378">
        <v>0</v>
      </c>
      <c r="H2440" s="378">
        <v>0</v>
      </c>
      <c r="I2440" s="378">
        <v>4494637</v>
      </c>
      <c r="J2440" s="384">
        <f t="shared" si="43"/>
        <v>8</v>
      </c>
    </row>
    <row r="2441" spans="1:10" ht="15" customHeight="1" x14ac:dyDescent="0.25">
      <c r="A2441" s="380">
        <v>52359505</v>
      </c>
      <c r="B2441" s="381" t="s">
        <v>321</v>
      </c>
      <c r="C2441" s="381" t="s">
        <v>1351</v>
      </c>
      <c r="D2441" s="381" t="s">
        <v>315</v>
      </c>
      <c r="E2441" s="381" t="s">
        <v>315</v>
      </c>
      <c r="F2441" s="378">
        <v>3429603</v>
      </c>
      <c r="G2441" s="378">
        <v>1398883</v>
      </c>
      <c r="H2441" s="378">
        <v>0</v>
      </c>
      <c r="I2441" s="378">
        <v>4828486</v>
      </c>
      <c r="J2441" s="384">
        <f t="shared" si="43"/>
        <v>8</v>
      </c>
    </row>
    <row r="2442" spans="1:10" ht="15" customHeight="1" x14ac:dyDescent="0.25">
      <c r="A2442" s="380">
        <v>52359505</v>
      </c>
      <c r="B2442" s="381" t="s">
        <v>321</v>
      </c>
      <c r="C2442" s="381" t="s">
        <v>1351</v>
      </c>
      <c r="D2442" s="381" t="s">
        <v>717</v>
      </c>
      <c r="E2442" s="381" t="s">
        <v>718</v>
      </c>
      <c r="F2442" s="378">
        <v>3429603</v>
      </c>
      <c r="G2442" s="378">
        <v>1398883</v>
      </c>
      <c r="H2442" s="378">
        <v>0</v>
      </c>
      <c r="I2442" s="378">
        <v>4828486</v>
      </c>
      <c r="J2442" s="384">
        <f t="shared" si="43"/>
        <v>8</v>
      </c>
    </row>
    <row r="2443" spans="1:10" ht="15" customHeight="1" x14ac:dyDescent="0.25">
      <c r="A2443" s="380">
        <v>52359509</v>
      </c>
      <c r="B2443" s="381" t="s">
        <v>321</v>
      </c>
      <c r="C2443" s="381" t="s">
        <v>1352</v>
      </c>
      <c r="D2443" s="381" t="s">
        <v>315</v>
      </c>
      <c r="E2443" s="381" t="s">
        <v>315</v>
      </c>
      <c r="F2443" s="378">
        <v>95000</v>
      </c>
      <c r="G2443" s="378">
        <v>0</v>
      </c>
      <c r="H2443" s="378">
        <v>0</v>
      </c>
      <c r="I2443" s="378">
        <v>95000</v>
      </c>
      <c r="J2443" s="384">
        <f t="shared" si="43"/>
        <v>8</v>
      </c>
    </row>
    <row r="2444" spans="1:10" ht="15" customHeight="1" x14ac:dyDescent="0.25">
      <c r="A2444" s="380">
        <v>52359509</v>
      </c>
      <c r="B2444" s="381" t="s">
        <v>321</v>
      </c>
      <c r="C2444" s="381" t="s">
        <v>1352</v>
      </c>
      <c r="D2444" s="381" t="s">
        <v>997</v>
      </c>
      <c r="E2444" s="381" t="s">
        <v>998</v>
      </c>
      <c r="F2444" s="378">
        <v>95000</v>
      </c>
      <c r="G2444" s="378">
        <v>0</v>
      </c>
      <c r="H2444" s="378">
        <v>0</v>
      </c>
      <c r="I2444" s="378">
        <v>95000</v>
      </c>
      <c r="J2444" s="384">
        <f t="shared" si="43"/>
        <v>8</v>
      </c>
    </row>
    <row r="2445" spans="1:10" ht="15" customHeight="1" x14ac:dyDescent="0.25">
      <c r="A2445" s="380">
        <v>52359595</v>
      </c>
      <c r="B2445" s="381" t="s">
        <v>315</v>
      </c>
      <c r="C2445" s="381" t="s">
        <v>1353</v>
      </c>
      <c r="D2445" s="381" t="s">
        <v>315</v>
      </c>
      <c r="E2445" s="381" t="s">
        <v>315</v>
      </c>
      <c r="F2445" s="378">
        <v>8019000</v>
      </c>
      <c r="G2445" s="378">
        <v>1491263</v>
      </c>
      <c r="H2445" s="378">
        <v>0</v>
      </c>
      <c r="I2445" s="378">
        <v>9510263</v>
      </c>
      <c r="J2445" s="384">
        <f t="shared" si="43"/>
        <v>8</v>
      </c>
    </row>
    <row r="2446" spans="1:10" ht="15" customHeight="1" x14ac:dyDescent="0.25">
      <c r="A2446" s="380">
        <v>52359595</v>
      </c>
      <c r="B2446" s="381" t="s">
        <v>315</v>
      </c>
      <c r="C2446" s="381" t="s">
        <v>1353</v>
      </c>
      <c r="D2446" s="381" t="s">
        <v>1354</v>
      </c>
      <c r="E2446" s="381" t="s">
        <v>1355</v>
      </c>
      <c r="F2446" s="378">
        <v>35000</v>
      </c>
      <c r="G2446" s="378">
        <v>0</v>
      </c>
      <c r="H2446" s="378">
        <v>0</v>
      </c>
      <c r="I2446" s="378">
        <v>35000</v>
      </c>
      <c r="J2446" s="384">
        <f t="shared" si="43"/>
        <v>8</v>
      </c>
    </row>
    <row r="2447" spans="1:10" ht="15" customHeight="1" x14ac:dyDescent="0.25">
      <c r="A2447" s="380">
        <v>52359595</v>
      </c>
      <c r="B2447" s="381" t="s">
        <v>315</v>
      </c>
      <c r="C2447" s="381" t="s">
        <v>1353</v>
      </c>
      <c r="D2447" s="381" t="s">
        <v>347</v>
      </c>
      <c r="E2447" s="381" t="s">
        <v>348</v>
      </c>
      <c r="F2447" s="378">
        <v>3440000</v>
      </c>
      <c r="G2447" s="378">
        <v>0</v>
      </c>
      <c r="H2447" s="378">
        <v>0</v>
      </c>
      <c r="I2447" s="378">
        <v>3440000</v>
      </c>
      <c r="J2447" s="384">
        <f t="shared" si="43"/>
        <v>8</v>
      </c>
    </row>
    <row r="2448" spans="1:10" ht="15" customHeight="1" x14ac:dyDescent="0.25">
      <c r="A2448" s="380">
        <v>52359595</v>
      </c>
      <c r="B2448" s="381" t="s">
        <v>315</v>
      </c>
      <c r="C2448" s="381" t="s">
        <v>1353</v>
      </c>
      <c r="D2448" s="381" t="s">
        <v>650</v>
      </c>
      <c r="E2448" s="381" t="s">
        <v>999</v>
      </c>
      <c r="F2448" s="378">
        <v>4144000</v>
      </c>
      <c r="G2448" s="378">
        <v>896000</v>
      </c>
      <c r="H2448" s="378">
        <v>0</v>
      </c>
      <c r="I2448" s="378">
        <v>5040000</v>
      </c>
      <c r="J2448" s="384">
        <f t="shared" si="43"/>
        <v>8</v>
      </c>
    </row>
    <row r="2449" spans="1:10" ht="15" customHeight="1" x14ac:dyDescent="0.25">
      <c r="A2449" s="380">
        <v>52359595</v>
      </c>
      <c r="B2449" s="381" t="s">
        <v>315</v>
      </c>
      <c r="C2449" s="381" t="s">
        <v>1353</v>
      </c>
      <c r="D2449" s="381" t="s">
        <v>1011</v>
      </c>
      <c r="E2449" s="381" t="s">
        <v>1012</v>
      </c>
      <c r="F2449" s="378">
        <v>400000</v>
      </c>
      <c r="G2449" s="378">
        <v>0</v>
      </c>
      <c r="H2449" s="378">
        <v>0</v>
      </c>
      <c r="I2449" s="378">
        <v>400000</v>
      </c>
      <c r="J2449" s="384">
        <f t="shared" si="43"/>
        <v>8</v>
      </c>
    </row>
    <row r="2450" spans="1:10" ht="15" customHeight="1" x14ac:dyDescent="0.25">
      <c r="A2450" s="380">
        <v>52359595</v>
      </c>
      <c r="B2450" s="381" t="s">
        <v>315</v>
      </c>
      <c r="C2450" s="381" t="s">
        <v>1353</v>
      </c>
      <c r="D2450" s="381" t="s">
        <v>1036</v>
      </c>
      <c r="E2450" s="381" t="s">
        <v>1037</v>
      </c>
      <c r="F2450" s="378">
        <v>0</v>
      </c>
      <c r="G2450" s="378">
        <v>595263</v>
      </c>
      <c r="H2450" s="378">
        <v>0</v>
      </c>
      <c r="I2450" s="378">
        <v>595263</v>
      </c>
      <c r="J2450" s="384">
        <f t="shared" si="43"/>
        <v>8</v>
      </c>
    </row>
    <row r="2451" spans="1:10" ht="15" customHeight="1" x14ac:dyDescent="0.25">
      <c r="A2451" s="380">
        <v>5240</v>
      </c>
      <c r="B2451" s="381" t="s">
        <v>315</v>
      </c>
      <c r="C2451" s="381" t="s">
        <v>194</v>
      </c>
      <c r="D2451" s="381" t="s">
        <v>315</v>
      </c>
      <c r="E2451" s="381" t="s">
        <v>315</v>
      </c>
      <c r="F2451" s="378">
        <v>6130119</v>
      </c>
      <c r="G2451" s="378">
        <v>0</v>
      </c>
      <c r="H2451" s="378">
        <v>0</v>
      </c>
      <c r="I2451" s="378">
        <v>6130119</v>
      </c>
      <c r="J2451" s="384">
        <f t="shared" si="43"/>
        <v>4</v>
      </c>
    </row>
    <row r="2452" spans="1:10" ht="15" customHeight="1" x14ac:dyDescent="0.25">
      <c r="A2452" s="380">
        <v>524015</v>
      </c>
      <c r="B2452" s="381" t="s">
        <v>315</v>
      </c>
      <c r="C2452" s="381" t="s">
        <v>671</v>
      </c>
      <c r="D2452" s="381" t="s">
        <v>315</v>
      </c>
      <c r="E2452" s="381" t="s">
        <v>315</v>
      </c>
      <c r="F2452" s="378">
        <v>6130119</v>
      </c>
      <c r="G2452" s="378">
        <v>0</v>
      </c>
      <c r="H2452" s="378">
        <v>0</v>
      </c>
      <c r="I2452" s="378">
        <v>6130119</v>
      </c>
      <c r="J2452" s="384">
        <f t="shared" si="43"/>
        <v>6</v>
      </c>
    </row>
    <row r="2453" spans="1:10" ht="15" customHeight="1" x14ac:dyDescent="0.25">
      <c r="A2453" s="380">
        <v>52401501</v>
      </c>
      <c r="B2453" s="381" t="s">
        <v>315</v>
      </c>
      <c r="C2453" s="381" t="s">
        <v>671</v>
      </c>
      <c r="D2453" s="381" t="s">
        <v>315</v>
      </c>
      <c r="E2453" s="381" t="s">
        <v>315</v>
      </c>
      <c r="F2453" s="378">
        <v>6130119</v>
      </c>
      <c r="G2453" s="378">
        <v>0</v>
      </c>
      <c r="H2453" s="378">
        <v>0</v>
      </c>
      <c r="I2453" s="378">
        <v>6130119</v>
      </c>
      <c r="J2453" s="384">
        <f t="shared" si="43"/>
        <v>8</v>
      </c>
    </row>
    <row r="2454" spans="1:10" ht="15" customHeight="1" x14ac:dyDescent="0.25">
      <c r="A2454" s="380">
        <v>52401501</v>
      </c>
      <c r="B2454" s="381" t="s">
        <v>315</v>
      </c>
      <c r="C2454" s="381" t="s">
        <v>671</v>
      </c>
      <c r="D2454" s="381" t="s">
        <v>666</v>
      </c>
      <c r="E2454" s="381" t="s">
        <v>667</v>
      </c>
      <c r="F2454" s="378">
        <v>779400</v>
      </c>
      <c r="G2454" s="378">
        <v>0</v>
      </c>
      <c r="H2454" s="378">
        <v>0</v>
      </c>
      <c r="I2454" s="378">
        <v>779400</v>
      </c>
      <c r="J2454" s="384">
        <f t="shared" si="43"/>
        <v>8</v>
      </c>
    </row>
    <row r="2455" spans="1:10" ht="15" customHeight="1" x14ac:dyDescent="0.25">
      <c r="A2455" s="380">
        <v>52401501</v>
      </c>
      <c r="B2455" s="381" t="s">
        <v>315</v>
      </c>
      <c r="C2455" s="381" t="s">
        <v>671</v>
      </c>
      <c r="D2455" s="381" t="s">
        <v>1124</v>
      </c>
      <c r="E2455" s="381" t="s">
        <v>1101</v>
      </c>
      <c r="F2455" s="378">
        <v>198319</v>
      </c>
      <c r="G2455" s="378">
        <v>0</v>
      </c>
      <c r="H2455" s="378">
        <v>0</v>
      </c>
      <c r="I2455" s="378">
        <v>198319</v>
      </c>
      <c r="J2455" s="384">
        <f t="shared" si="43"/>
        <v>8</v>
      </c>
    </row>
    <row r="2456" spans="1:10" ht="15" customHeight="1" x14ac:dyDescent="0.25">
      <c r="A2456" s="380">
        <v>52401501</v>
      </c>
      <c r="B2456" s="381" t="s">
        <v>315</v>
      </c>
      <c r="C2456" s="381" t="s">
        <v>671</v>
      </c>
      <c r="D2456" s="381" t="s">
        <v>472</v>
      </c>
      <c r="E2456" s="381" t="s">
        <v>473</v>
      </c>
      <c r="F2456" s="378">
        <v>5152400</v>
      </c>
      <c r="G2456" s="378">
        <v>0</v>
      </c>
      <c r="H2456" s="378">
        <v>0</v>
      </c>
      <c r="I2456" s="378">
        <v>5152400</v>
      </c>
      <c r="J2456" s="384">
        <f t="shared" si="43"/>
        <v>8</v>
      </c>
    </row>
    <row r="2457" spans="1:10" ht="15" customHeight="1" x14ac:dyDescent="0.25">
      <c r="A2457" s="380">
        <v>5245</v>
      </c>
      <c r="B2457" s="381" t="s">
        <v>315</v>
      </c>
      <c r="C2457" s="381" t="s">
        <v>235</v>
      </c>
      <c r="D2457" s="381" t="s">
        <v>315</v>
      </c>
      <c r="E2457" s="381" t="s">
        <v>315</v>
      </c>
      <c r="F2457" s="378">
        <v>12257103</v>
      </c>
      <c r="G2457" s="378">
        <v>2795343</v>
      </c>
      <c r="H2457" s="378">
        <v>0</v>
      </c>
      <c r="I2457" s="378">
        <v>15052446</v>
      </c>
      <c r="J2457" s="384">
        <f t="shared" si="43"/>
        <v>4</v>
      </c>
    </row>
    <row r="2458" spans="1:10" ht="15" customHeight="1" x14ac:dyDescent="0.25">
      <c r="A2458" s="380">
        <v>524515</v>
      </c>
      <c r="B2458" s="381" t="s">
        <v>315</v>
      </c>
      <c r="C2458" s="381" t="s">
        <v>41</v>
      </c>
      <c r="D2458" s="381" t="s">
        <v>315</v>
      </c>
      <c r="E2458" s="381" t="s">
        <v>315</v>
      </c>
      <c r="F2458" s="378">
        <v>11980279</v>
      </c>
      <c r="G2458" s="378">
        <v>2795343</v>
      </c>
      <c r="H2458" s="378">
        <v>0</v>
      </c>
      <c r="I2458" s="378">
        <v>14775622</v>
      </c>
      <c r="J2458" s="384">
        <f t="shared" si="43"/>
        <v>6</v>
      </c>
    </row>
    <row r="2459" spans="1:10" ht="15" customHeight="1" x14ac:dyDescent="0.25">
      <c r="A2459" s="380">
        <v>52451501</v>
      </c>
      <c r="B2459" s="381" t="s">
        <v>315</v>
      </c>
      <c r="C2459" s="381" t="s">
        <v>41</v>
      </c>
      <c r="D2459" s="381" t="s">
        <v>315</v>
      </c>
      <c r="E2459" s="381" t="s">
        <v>315</v>
      </c>
      <c r="F2459" s="378">
        <v>11980279</v>
      </c>
      <c r="G2459" s="378">
        <v>2795343</v>
      </c>
      <c r="H2459" s="378">
        <v>0</v>
      </c>
      <c r="I2459" s="378">
        <v>14775622</v>
      </c>
      <c r="J2459" s="384">
        <f t="shared" si="43"/>
        <v>8</v>
      </c>
    </row>
    <row r="2460" spans="1:10" ht="15" customHeight="1" x14ac:dyDescent="0.25">
      <c r="A2460" s="380">
        <v>52451501</v>
      </c>
      <c r="B2460" s="381" t="s">
        <v>315</v>
      </c>
      <c r="C2460" s="381" t="s">
        <v>41</v>
      </c>
      <c r="D2460" s="381" t="s">
        <v>965</v>
      </c>
      <c r="E2460" s="381" t="s">
        <v>966</v>
      </c>
      <c r="F2460" s="378">
        <v>6440000</v>
      </c>
      <c r="G2460" s="378">
        <v>1300000</v>
      </c>
      <c r="H2460" s="378">
        <v>0</v>
      </c>
      <c r="I2460" s="378">
        <v>7740000</v>
      </c>
      <c r="J2460" s="384">
        <f t="shared" si="43"/>
        <v>8</v>
      </c>
    </row>
    <row r="2461" spans="1:10" ht="15" customHeight="1" x14ac:dyDescent="0.25">
      <c r="A2461" s="380">
        <v>52451501</v>
      </c>
      <c r="B2461" s="381" t="s">
        <v>315</v>
      </c>
      <c r="C2461" s="381" t="s">
        <v>41</v>
      </c>
      <c r="D2461" s="381" t="s">
        <v>732</v>
      </c>
      <c r="E2461" s="381" t="s">
        <v>733</v>
      </c>
      <c r="F2461" s="378">
        <v>1600000</v>
      </c>
      <c r="G2461" s="378">
        <v>905000</v>
      </c>
      <c r="H2461" s="378">
        <v>0</v>
      </c>
      <c r="I2461" s="378">
        <v>2505000</v>
      </c>
      <c r="J2461" s="384">
        <f t="shared" si="43"/>
        <v>8</v>
      </c>
    </row>
    <row r="2462" spans="1:10" ht="15" customHeight="1" x14ac:dyDescent="0.25">
      <c r="A2462" s="380">
        <v>52451501</v>
      </c>
      <c r="B2462" s="381" t="s">
        <v>315</v>
      </c>
      <c r="C2462" s="381" t="s">
        <v>41</v>
      </c>
      <c r="D2462" s="381" t="s">
        <v>395</v>
      </c>
      <c r="E2462" s="381" t="s">
        <v>860</v>
      </c>
      <c r="F2462" s="378">
        <v>0</v>
      </c>
      <c r="G2462" s="378">
        <v>150343</v>
      </c>
      <c r="H2462" s="378">
        <v>0</v>
      </c>
      <c r="I2462" s="378">
        <v>150343</v>
      </c>
      <c r="J2462" s="384">
        <f t="shared" si="43"/>
        <v>8</v>
      </c>
    </row>
    <row r="2463" spans="1:10" ht="15" customHeight="1" x14ac:dyDescent="0.25">
      <c r="A2463" s="380">
        <v>52451501</v>
      </c>
      <c r="B2463" s="381" t="s">
        <v>315</v>
      </c>
      <c r="C2463" s="381" t="s">
        <v>41</v>
      </c>
      <c r="D2463" s="381" t="s">
        <v>361</v>
      </c>
      <c r="E2463" s="381" t="s">
        <v>1123</v>
      </c>
      <c r="F2463" s="378">
        <v>52269</v>
      </c>
      <c r="G2463" s="378">
        <v>0</v>
      </c>
      <c r="H2463" s="378">
        <v>0</v>
      </c>
      <c r="I2463" s="378">
        <v>52269</v>
      </c>
      <c r="J2463" s="384">
        <f t="shared" si="43"/>
        <v>8</v>
      </c>
    </row>
    <row r="2464" spans="1:10" ht="15" customHeight="1" x14ac:dyDescent="0.25">
      <c r="A2464" s="380">
        <v>52451501</v>
      </c>
      <c r="B2464" s="381" t="s">
        <v>315</v>
      </c>
      <c r="C2464" s="381" t="s">
        <v>41</v>
      </c>
      <c r="D2464" s="381" t="s">
        <v>399</v>
      </c>
      <c r="E2464" s="381" t="s">
        <v>863</v>
      </c>
      <c r="F2464" s="378">
        <v>306000</v>
      </c>
      <c r="G2464" s="378">
        <v>0</v>
      </c>
      <c r="H2464" s="378">
        <v>0</v>
      </c>
      <c r="I2464" s="378">
        <v>306000</v>
      </c>
      <c r="J2464" s="384">
        <f t="shared" si="43"/>
        <v>8</v>
      </c>
    </row>
    <row r="2465" spans="1:10" ht="15" customHeight="1" x14ac:dyDescent="0.25">
      <c r="A2465" s="380">
        <v>52451501</v>
      </c>
      <c r="B2465" s="381" t="s">
        <v>315</v>
      </c>
      <c r="C2465" s="381" t="s">
        <v>41</v>
      </c>
      <c r="D2465" s="381" t="s">
        <v>1162</v>
      </c>
      <c r="E2465" s="381" t="s">
        <v>1163</v>
      </c>
      <c r="F2465" s="378">
        <v>121500</v>
      </c>
      <c r="G2465" s="378">
        <v>0</v>
      </c>
      <c r="H2465" s="378">
        <v>0</v>
      </c>
      <c r="I2465" s="378">
        <v>121500</v>
      </c>
      <c r="J2465" s="384">
        <f t="shared" si="43"/>
        <v>8</v>
      </c>
    </row>
    <row r="2466" spans="1:10" ht="15" customHeight="1" x14ac:dyDescent="0.25">
      <c r="A2466" s="380">
        <v>52451501</v>
      </c>
      <c r="B2466" s="381" t="s">
        <v>315</v>
      </c>
      <c r="C2466" s="381" t="s">
        <v>41</v>
      </c>
      <c r="D2466" s="381" t="s">
        <v>1015</v>
      </c>
      <c r="E2466" s="381" t="s">
        <v>1016</v>
      </c>
      <c r="F2466" s="378">
        <v>848510</v>
      </c>
      <c r="G2466" s="378">
        <v>440000</v>
      </c>
      <c r="H2466" s="378">
        <v>0</v>
      </c>
      <c r="I2466" s="378">
        <v>1288510</v>
      </c>
      <c r="J2466" s="384">
        <f t="shared" si="43"/>
        <v>8</v>
      </c>
    </row>
    <row r="2467" spans="1:10" ht="15" customHeight="1" x14ac:dyDescent="0.25">
      <c r="A2467" s="380">
        <v>52451501</v>
      </c>
      <c r="B2467" s="381" t="s">
        <v>315</v>
      </c>
      <c r="C2467" s="381" t="s">
        <v>41</v>
      </c>
      <c r="D2467" s="381" t="s">
        <v>675</v>
      </c>
      <c r="E2467" s="381" t="s">
        <v>736</v>
      </c>
      <c r="F2467" s="378">
        <v>120000</v>
      </c>
      <c r="G2467" s="378">
        <v>0</v>
      </c>
      <c r="H2467" s="378">
        <v>0</v>
      </c>
      <c r="I2467" s="378">
        <v>120000</v>
      </c>
      <c r="J2467" s="384">
        <f t="shared" si="43"/>
        <v>8</v>
      </c>
    </row>
    <row r="2468" spans="1:10" ht="15" customHeight="1" x14ac:dyDescent="0.25">
      <c r="A2468" s="380">
        <v>52451501</v>
      </c>
      <c r="B2468" s="381" t="s">
        <v>315</v>
      </c>
      <c r="C2468" s="381" t="s">
        <v>41</v>
      </c>
      <c r="D2468" s="381" t="s">
        <v>1021</v>
      </c>
      <c r="E2468" s="381" t="s">
        <v>1022</v>
      </c>
      <c r="F2468" s="378">
        <v>2042000</v>
      </c>
      <c r="G2468" s="378">
        <v>0</v>
      </c>
      <c r="H2468" s="378">
        <v>0</v>
      </c>
      <c r="I2468" s="378">
        <v>2042000</v>
      </c>
      <c r="J2468" s="384">
        <f t="shared" si="43"/>
        <v>8</v>
      </c>
    </row>
    <row r="2469" spans="1:10" ht="15" customHeight="1" x14ac:dyDescent="0.25">
      <c r="A2469" s="380">
        <v>52451501</v>
      </c>
      <c r="B2469" s="381" t="s">
        <v>315</v>
      </c>
      <c r="C2469" s="381" t="s">
        <v>41</v>
      </c>
      <c r="D2469" s="381" t="s">
        <v>1043</v>
      </c>
      <c r="E2469" s="381" t="s">
        <v>1044</v>
      </c>
      <c r="F2469" s="378">
        <v>450000</v>
      </c>
      <c r="G2469" s="378">
        <v>0</v>
      </c>
      <c r="H2469" s="378">
        <v>0</v>
      </c>
      <c r="I2469" s="378">
        <v>450000</v>
      </c>
      <c r="J2469" s="384">
        <f t="shared" si="43"/>
        <v>8</v>
      </c>
    </row>
    <row r="2470" spans="1:10" ht="15" customHeight="1" x14ac:dyDescent="0.25">
      <c r="A2470" s="380">
        <v>524595</v>
      </c>
      <c r="B2470" s="381" t="s">
        <v>315</v>
      </c>
      <c r="C2470" s="381" t="s">
        <v>238</v>
      </c>
      <c r="D2470" s="381" t="s">
        <v>315</v>
      </c>
      <c r="E2470" s="381" t="s">
        <v>315</v>
      </c>
      <c r="F2470" s="378">
        <v>276824</v>
      </c>
      <c r="G2470" s="378">
        <v>0</v>
      </c>
      <c r="H2470" s="378">
        <v>0</v>
      </c>
      <c r="I2470" s="378">
        <v>276824</v>
      </c>
      <c r="J2470" s="384">
        <f t="shared" si="43"/>
        <v>6</v>
      </c>
    </row>
    <row r="2471" spans="1:10" ht="15" customHeight="1" x14ac:dyDescent="0.25">
      <c r="A2471" s="380">
        <v>52459595</v>
      </c>
      <c r="B2471" s="381" t="s">
        <v>315</v>
      </c>
      <c r="C2471" s="381" t="s">
        <v>238</v>
      </c>
      <c r="D2471" s="381" t="s">
        <v>315</v>
      </c>
      <c r="E2471" s="381" t="s">
        <v>315</v>
      </c>
      <c r="F2471" s="378">
        <v>276824</v>
      </c>
      <c r="G2471" s="378">
        <v>0</v>
      </c>
      <c r="H2471" s="378">
        <v>0</v>
      </c>
      <c r="I2471" s="378">
        <v>276824</v>
      </c>
      <c r="J2471" s="384">
        <f t="shared" si="43"/>
        <v>8</v>
      </c>
    </row>
    <row r="2472" spans="1:10" ht="15" customHeight="1" x14ac:dyDescent="0.25">
      <c r="A2472" s="380">
        <v>52459595</v>
      </c>
      <c r="B2472" s="381" t="s">
        <v>315</v>
      </c>
      <c r="C2472" s="381" t="s">
        <v>238</v>
      </c>
      <c r="D2472" s="381" t="s">
        <v>1356</v>
      </c>
      <c r="E2472" s="381" t="s">
        <v>1357</v>
      </c>
      <c r="F2472" s="378">
        <v>8000</v>
      </c>
      <c r="G2472" s="378">
        <v>0</v>
      </c>
      <c r="H2472" s="378">
        <v>0</v>
      </c>
      <c r="I2472" s="378">
        <v>8000</v>
      </c>
      <c r="J2472" s="384">
        <f t="shared" ref="J2472:J2535" si="44">+LEN(A2472)</f>
        <v>8</v>
      </c>
    </row>
    <row r="2473" spans="1:10" ht="15" customHeight="1" x14ac:dyDescent="0.25">
      <c r="A2473" s="380">
        <v>52459595</v>
      </c>
      <c r="B2473" s="381" t="s">
        <v>315</v>
      </c>
      <c r="C2473" s="381" t="s">
        <v>238</v>
      </c>
      <c r="D2473" s="381" t="s">
        <v>361</v>
      </c>
      <c r="E2473" s="381" t="s">
        <v>1123</v>
      </c>
      <c r="F2473" s="378">
        <v>252017</v>
      </c>
      <c r="G2473" s="378">
        <v>0</v>
      </c>
      <c r="H2473" s="378">
        <v>0</v>
      </c>
      <c r="I2473" s="378">
        <v>252017</v>
      </c>
      <c r="J2473" s="384">
        <f t="shared" si="44"/>
        <v>8</v>
      </c>
    </row>
    <row r="2474" spans="1:10" ht="15" customHeight="1" x14ac:dyDescent="0.25">
      <c r="A2474" s="380">
        <v>52459595</v>
      </c>
      <c r="B2474" s="381" t="s">
        <v>315</v>
      </c>
      <c r="C2474" s="381" t="s">
        <v>238</v>
      </c>
      <c r="D2474" s="381" t="s">
        <v>1164</v>
      </c>
      <c r="E2474" s="381" t="s">
        <v>1165</v>
      </c>
      <c r="F2474" s="378">
        <v>16807</v>
      </c>
      <c r="G2474" s="378">
        <v>0</v>
      </c>
      <c r="H2474" s="378">
        <v>0</v>
      </c>
      <c r="I2474" s="378">
        <v>16807</v>
      </c>
      <c r="J2474" s="384">
        <f t="shared" si="44"/>
        <v>8</v>
      </c>
    </row>
    <row r="2475" spans="1:10" ht="15" customHeight="1" x14ac:dyDescent="0.25">
      <c r="A2475" s="380">
        <v>5250</v>
      </c>
      <c r="B2475" s="381" t="s">
        <v>315</v>
      </c>
      <c r="C2475" s="381" t="s">
        <v>1358</v>
      </c>
      <c r="D2475" s="381" t="s">
        <v>315</v>
      </c>
      <c r="E2475" s="381" t="s">
        <v>315</v>
      </c>
      <c r="F2475" s="378">
        <v>12104779</v>
      </c>
      <c r="G2475" s="378">
        <v>1387000</v>
      </c>
      <c r="H2475" s="378">
        <v>0</v>
      </c>
      <c r="I2475" s="378">
        <v>13491779</v>
      </c>
      <c r="J2475" s="384">
        <f t="shared" si="44"/>
        <v>4</v>
      </c>
    </row>
    <row r="2476" spans="1:10" ht="15" customHeight="1" x14ac:dyDescent="0.25">
      <c r="A2476" s="380">
        <v>525005</v>
      </c>
      <c r="B2476" s="381" t="s">
        <v>315</v>
      </c>
      <c r="C2476" s="381" t="s">
        <v>682</v>
      </c>
      <c r="D2476" s="381" t="s">
        <v>315</v>
      </c>
      <c r="E2476" s="381" t="s">
        <v>315</v>
      </c>
      <c r="F2476" s="378">
        <v>131890</v>
      </c>
      <c r="G2476" s="378">
        <v>0</v>
      </c>
      <c r="H2476" s="378">
        <v>0</v>
      </c>
      <c r="I2476" s="378">
        <v>131890</v>
      </c>
      <c r="J2476" s="384">
        <f t="shared" si="44"/>
        <v>6</v>
      </c>
    </row>
    <row r="2477" spans="1:10" ht="15" customHeight="1" x14ac:dyDescent="0.25">
      <c r="A2477" s="380">
        <v>52500501</v>
      </c>
      <c r="B2477" s="381" t="s">
        <v>315</v>
      </c>
      <c r="C2477" s="381" t="s">
        <v>682</v>
      </c>
      <c r="D2477" s="381" t="s">
        <v>315</v>
      </c>
      <c r="E2477" s="381" t="s">
        <v>315</v>
      </c>
      <c r="F2477" s="378">
        <v>131890</v>
      </c>
      <c r="G2477" s="378">
        <v>0</v>
      </c>
      <c r="H2477" s="378">
        <v>0</v>
      </c>
      <c r="I2477" s="378">
        <v>131890</v>
      </c>
      <c r="J2477" s="384">
        <f t="shared" si="44"/>
        <v>8</v>
      </c>
    </row>
    <row r="2478" spans="1:10" ht="15" customHeight="1" x14ac:dyDescent="0.25">
      <c r="A2478" s="380">
        <v>52500501</v>
      </c>
      <c r="B2478" s="381" t="s">
        <v>315</v>
      </c>
      <c r="C2478" s="381" t="s">
        <v>682</v>
      </c>
      <c r="D2478" s="381" t="s">
        <v>1133</v>
      </c>
      <c r="E2478" s="381" t="s">
        <v>1134</v>
      </c>
      <c r="F2478" s="378">
        <v>5840</v>
      </c>
      <c r="G2478" s="378">
        <v>0</v>
      </c>
      <c r="H2478" s="378">
        <v>0</v>
      </c>
      <c r="I2478" s="378">
        <v>5840</v>
      </c>
      <c r="J2478" s="384">
        <f t="shared" si="44"/>
        <v>8</v>
      </c>
    </row>
    <row r="2479" spans="1:10" ht="15" customHeight="1" x14ac:dyDescent="0.25">
      <c r="A2479" s="380">
        <v>52500501</v>
      </c>
      <c r="B2479" s="381" t="s">
        <v>315</v>
      </c>
      <c r="C2479" s="381" t="s">
        <v>682</v>
      </c>
      <c r="D2479" s="381" t="s">
        <v>365</v>
      </c>
      <c r="E2479" s="381" t="s">
        <v>366</v>
      </c>
      <c r="F2479" s="378">
        <v>33529</v>
      </c>
      <c r="G2479" s="378">
        <v>0</v>
      </c>
      <c r="H2479" s="378">
        <v>0</v>
      </c>
      <c r="I2479" s="378">
        <v>33529</v>
      </c>
      <c r="J2479" s="384">
        <f t="shared" si="44"/>
        <v>8</v>
      </c>
    </row>
    <row r="2480" spans="1:10" ht="15" customHeight="1" x14ac:dyDescent="0.25">
      <c r="A2480" s="380">
        <v>52500501</v>
      </c>
      <c r="B2480" s="381" t="s">
        <v>315</v>
      </c>
      <c r="C2480" s="381" t="s">
        <v>682</v>
      </c>
      <c r="D2480" s="381" t="s">
        <v>1187</v>
      </c>
      <c r="E2480" s="381" t="s">
        <v>1188</v>
      </c>
      <c r="F2480" s="378">
        <v>92521</v>
      </c>
      <c r="G2480" s="378">
        <v>0</v>
      </c>
      <c r="H2480" s="378">
        <v>0</v>
      </c>
      <c r="I2480" s="378">
        <v>92521</v>
      </c>
      <c r="J2480" s="384">
        <f t="shared" si="44"/>
        <v>8</v>
      </c>
    </row>
    <row r="2481" spans="1:10" ht="15" customHeight="1" x14ac:dyDescent="0.25">
      <c r="A2481" s="380">
        <v>525010</v>
      </c>
      <c r="B2481" s="381" t="s">
        <v>315</v>
      </c>
      <c r="C2481" s="381" t="s">
        <v>639</v>
      </c>
      <c r="D2481" s="381" t="s">
        <v>315</v>
      </c>
      <c r="E2481" s="381" t="s">
        <v>315</v>
      </c>
      <c r="F2481" s="378">
        <v>0</v>
      </c>
      <c r="G2481" s="378">
        <v>90000</v>
      </c>
      <c r="H2481" s="378">
        <v>0</v>
      </c>
      <c r="I2481" s="378">
        <v>90000</v>
      </c>
      <c r="J2481" s="384">
        <f t="shared" si="44"/>
        <v>6</v>
      </c>
    </row>
    <row r="2482" spans="1:10" ht="15" customHeight="1" x14ac:dyDescent="0.25">
      <c r="A2482" s="380">
        <v>52501001</v>
      </c>
      <c r="B2482" s="381" t="s">
        <v>315</v>
      </c>
      <c r="C2482" s="381" t="s">
        <v>639</v>
      </c>
      <c r="D2482" s="381" t="s">
        <v>315</v>
      </c>
      <c r="E2482" s="381" t="s">
        <v>315</v>
      </c>
      <c r="F2482" s="378">
        <v>0</v>
      </c>
      <c r="G2482" s="378">
        <v>90000</v>
      </c>
      <c r="H2482" s="378">
        <v>0</v>
      </c>
      <c r="I2482" s="378">
        <v>90000</v>
      </c>
      <c r="J2482" s="384">
        <f t="shared" si="44"/>
        <v>8</v>
      </c>
    </row>
    <row r="2483" spans="1:10" ht="15" customHeight="1" x14ac:dyDescent="0.25">
      <c r="A2483" s="380">
        <v>52501001</v>
      </c>
      <c r="B2483" s="381" t="s">
        <v>315</v>
      </c>
      <c r="C2483" s="381" t="s">
        <v>639</v>
      </c>
      <c r="D2483" s="381" t="s">
        <v>1359</v>
      </c>
      <c r="E2483" s="381" t="s">
        <v>1360</v>
      </c>
      <c r="F2483" s="378">
        <v>0</v>
      </c>
      <c r="G2483" s="378">
        <v>90000</v>
      </c>
      <c r="H2483" s="378">
        <v>0</v>
      </c>
      <c r="I2483" s="378">
        <v>90000</v>
      </c>
      <c r="J2483" s="384">
        <f t="shared" si="44"/>
        <v>8</v>
      </c>
    </row>
    <row r="2484" spans="1:10" ht="15" customHeight="1" x14ac:dyDescent="0.25">
      <c r="A2484" s="380">
        <v>525015</v>
      </c>
      <c r="B2484" s="381" t="s">
        <v>315</v>
      </c>
      <c r="C2484" s="381" t="s">
        <v>683</v>
      </c>
      <c r="D2484" s="381" t="s">
        <v>315</v>
      </c>
      <c r="E2484" s="381" t="s">
        <v>315</v>
      </c>
      <c r="F2484" s="378">
        <v>2034105</v>
      </c>
      <c r="G2484" s="378">
        <v>1197000</v>
      </c>
      <c r="H2484" s="378">
        <v>0</v>
      </c>
      <c r="I2484" s="378">
        <v>3231105</v>
      </c>
      <c r="J2484" s="384">
        <f t="shared" si="44"/>
        <v>6</v>
      </c>
    </row>
    <row r="2485" spans="1:10" ht="15" customHeight="1" x14ac:dyDescent="0.25">
      <c r="A2485" s="380">
        <v>52501501</v>
      </c>
      <c r="B2485" s="381" t="s">
        <v>315</v>
      </c>
      <c r="C2485" s="381" t="s">
        <v>683</v>
      </c>
      <c r="D2485" s="381" t="s">
        <v>315</v>
      </c>
      <c r="E2485" s="381" t="s">
        <v>315</v>
      </c>
      <c r="F2485" s="378">
        <v>2034105</v>
      </c>
      <c r="G2485" s="378">
        <v>1197000</v>
      </c>
      <c r="H2485" s="378">
        <v>0</v>
      </c>
      <c r="I2485" s="378">
        <v>3231105</v>
      </c>
      <c r="J2485" s="384">
        <f t="shared" si="44"/>
        <v>8</v>
      </c>
    </row>
    <row r="2486" spans="1:10" ht="15" customHeight="1" x14ac:dyDescent="0.25">
      <c r="A2486" s="380">
        <v>52501501</v>
      </c>
      <c r="B2486" s="381" t="s">
        <v>315</v>
      </c>
      <c r="C2486" s="381" t="s">
        <v>683</v>
      </c>
      <c r="D2486" s="381" t="s">
        <v>959</v>
      </c>
      <c r="E2486" s="381" t="s">
        <v>960</v>
      </c>
      <c r="F2486" s="378">
        <v>10084</v>
      </c>
      <c r="G2486" s="378">
        <v>0</v>
      </c>
      <c r="H2486" s="378">
        <v>0</v>
      </c>
      <c r="I2486" s="378">
        <v>10084</v>
      </c>
      <c r="J2486" s="384">
        <f t="shared" si="44"/>
        <v>8</v>
      </c>
    </row>
    <row r="2487" spans="1:10" ht="15" customHeight="1" x14ac:dyDescent="0.25">
      <c r="A2487" s="380">
        <v>52501501</v>
      </c>
      <c r="B2487" s="381" t="s">
        <v>315</v>
      </c>
      <c r="C2487" s="381" t="s">
        <v>683</v>
      </c>
      <c r="D2487" s="381" t="s">
        <v>1361</v>
      </c>
      <c r="E2487" s="381" t="s">
        <v>1362</v>
      </c>
      <c r="F2487" s="378">
        <v>400000</v>
      </c>
      <c r="G2487" s="378">
        <v>0</v>
      </c>
      <c r="H2487" s="378">
        <v>0</v>
      </c>
      <c r="I2487" s="378">
        <v>400000</v>
      </c>
      <c r="J2487" s="384">
        <f t="shared" si="44"/>
        <v>8</v>
      </c>
    </row>
    <row r="2488" spans="1:10" ht="15" customHeight="1" x14ac:dyDescent="0.25">
      <c r="A2488" s="380">
        <v>52501501</v>
      </c>
      <c r="B2488" s="381" t="s">
        <v>315</v>
      </c>
      <c r="C2488" s="381" t="s">
        <v>683</v>
      </c>
      <c r="D2488" s="381" t="s">
        <v>1118</v>
      </c>
      <c r="E2488" s="381" t="s">
        <v>1119</v>
      </c>
      <c r="F2488" s="378">
        <v>12336</v>
      </c>
      <c r="G2488" s="378">
        <v>0</v>
      </c>
      <c r="H2488" s="378">
        <v>0</v>
      </c>
      <c r="I2488" s="378">
        <v>12336</v>
      </c>
      <c r="J2488" s="384">
        <f t="shared" si="44"/>
        <v>8</v>
      </c>
    </row>
    <row r="2489" spans="1:10" ht="15" customHeight="1" x14ac:dyDescent="0.25">
      <c r="A2489" s="380">
        <v>52501501</v>
      </c>
      <c r="B2489" s="381" t="s">
        <v>315</v>
      </c>
      <c r="C2489" s="381" t="s">
        <v>683</v>
      </c>
      <c r="D2489" s="381" t="s">
        <v>884</v>
      </c>
      <c r="E2489" s="381" t="s">
        <v>885</v>
      </c>
      <c r="F2489" s="378">
        <v>845000</v>
      </c>
      <c r="G2489" s="378">
        <v>680000</v>
      </c>
      <c r="H2489" s="378">
        <v>0</v>
      </c>
      <c r="I2489" s="378">
        <v>1525000</v>
      </c>
      <c r="J2489" s="384">
        <f t="shared" si="44"/>
        <v>8</v>
      </c>
    </row>
    <row r="2490" spans="1:10" ht="15" customHeight="1" x14ac:dyDescent="0.25">
      <c r="A2490" s="380">
        <v>52501501</v>
      </c>
      <c r="B2490" s="381" t="s">
        <v>315</v>
      </c>
      <c r="C2490" s="381" t="s">
        <v>683</v>
      </c>
      <c r="D2490" s="381" t="s">
        <v>1120</v>
      </c>
      <c r="E2490" s="381" t="s">
        <v>1478</v>
      </c>
      <c r="F2490" s="378">
        <v>82185</v>
      </c>
      <c r="G2490" s="378">
        <v>0</v>
      </c>
      <c r="H2490" s="378">
        <v>0</v>
      </c>
      <c r="I2490" s="378">
        <v>82185</v>
      </c>
      <c r="J2490" s="384">
        <f t="shared" si="44"/>
        <v>8</v>
      </c>
    </row>
    <row r="2491" spans="1:10" ht="15" customHeight="1" x14ac:dyDescent="0.25">
      <c r="A2491" s="380">
        <v>52501501</v>
      </c>
      <c r="B2491" s="381" t="s">
        <v>315</v>
      </c>
      <c r="C2491" s="381" t="s">
        <v>683</v>
      </c>
      <c r="D2491" s="381" t="s">
        <v>361</v>
      </c>
      <c r="E2491" s="381" t="s">
        <v>1123</v>
      </c>
      <c r="F2491" s="378">
        <v>238698</v>
      </c>
      <c r="G2491" s="378">
        <v>0</v>
      </c>
      <c r="H2491" s="378">
        <v>0</v>
      </c>
      <c r="I2491" s="378">
        <v>238698</v>
      </c>
      <c r="J2491" s="384">
        <f t="shared" si="44"/>
        <v>8</v>
      </c>
    </row>
    <row r="2492" spans="1:10" ht="15" customHeight="1" x14ac:dyDescent="0.25">
      <c r="A2492" s="380">
        <v>52501501</v>
      </c>
      <c r="B2492" s="381" t="s">
        <v>315</v>
      </c>
      <c r="C2492" s="381" t="s">
        <v>683</v>
      </c>
      <c r="D2492" s="381" t="s">
        <v>1170</v>
      </c>
      <c r="E2492" s="381" t="s">
        <v>1171</v>
      </c>
      <c r="F2492" s="378">
        <v>103802</v>
      </c>
      <c r="G2492" s="378">
        <v>0</v>
      </c>
      <c r="H2492" s="378">
        <v>0</v>
      </c>
      <c r="I2492" s="378">
        <v>103802</v>
      </c>
      <c r="J2492" s="384">
        <f t="shared" si="44"/>
        <v>8</v>
      </c>
    </row>
    <row r="2493" spans="1:10" ht="15" customHeight="1" x14ac:dyDescent="0.25">
      <c r="A2493" s="380">
        <v>52501501</v>
      </c>
      <c r="B2493" s="381" t="s">
        <v>315</v>
      </c>
      <c r="C2493" s="381" t="s">
        <v>683</v>
      </c>
      <c r="D2493" s="381" t="s">
        <v>1363</v>
      </c>
      <c r="E2493" s="381" t="s">
        <v>1364</v>
      </c>
      <c r="F2493" s="378">
        <v>185000</v>
      </c>
      <c r="G2493" s="378">
        <v>0</v>
      </c>
      <c r="H2493" s="378">
        <v>0</v>
      </c>
      <c r="I2493" s="378">
        <v>185000</v>
      </c>
      <c r="J2493" s="384">
        <f t="shared" si="44"/>
        <v>8</v>
      </c>
    </row>
    <row r="2494" spans="1:10" ht="15" customHeight="1" x14ac:dyDescent="0.25">
      <c r="A2494" s="380">
        <v>52501501</v>
      </c>
      <c r="B2494" s="381" t="s">
        <v>315</v>
      </c>
      <c r="C2494" s="381" t="s">
        <v>683</v>
      </c>
      <c r="D2494" s="381" t="s">
        <v>1021</v>
      </c>
      <c r="E2494" s="381" t="s">
        <v>1022</v>
      </c>
      <c r="F2494" s="378">
        <v>157000</v>
      </c>
      <c r="G2494" s="378">
        <v>0</v>
      </c>
      <c r="H2494" s="378">
        <v>0</v>
      </c>
      <c r="I2494" s="378">
        <v>157000</v>
      </c>
      <c r="J2494" s="384">
        <f t="shared" si="44"/>
        <v>8</v>
      </c>
    </row>
    <row r="2495" spans="1:10" ht="15" customHeight="1" x14ac:dyDescent="0.25">
      <c r="A2495" s="380">
        <v>52501501</v>
      </c>
      <c r="B2495" s="381" t="s">
        <v>315</v>
      </c>
      <c r="C2495" s="381" t="s">
        <v>683</v>
      </c>
      <c r="D2495" s="381" t="s">
        <v>1365</v>
      </c>
      <c r="E2495" s="381" t="s">
        <v>1366</v>
      </c>
      <c r="F2495" s="378">
        <v>0</v>
      </c>
      <c r="G2495" s="378">
        <v>517000</v>
      </c>
      <c r="H2495" s="378">
        <v>0</v>
      </c>
      <c r="I2495" s="378">
        <v>517000</v>
      </c>
      <c r="J2495" s="384">
        <f t="shared" si="44"/>
        <v>8</v>
      </c>
    </row>
    <row r="2496" spans="1:10" ht="15" customHeight="1" x14ac:dyDescent="0.25">
      <c r="A2496" s="380">
        <v>525095</v>
      </c>
      <c r="B2496" s="381" t="s">
        <v>315</v>
      </c>
      <c r="C2496" s="381" t="s">
        <v>1367</v>
      </c>
      <c r="D2496" s="381" t="s">
        <v>315</v>
      </c>
      <c r="E2496" s="381" t="s">
        <v>315</v>
      </c>
      <c r="F2496" s="378">
        <v>9938784</v>
      </c>
      <c r="G2496" s="378">
        <v>100000</v>
      </c>
      <c r="H2496" s="378">
        <v>0</v>
      </c>
      <c r="I2496" s="378">
        <v>10038784</v>
      </c>
      <c r="J2496" s="384">
        <f t="shared" si="44"/>
        <v>6</v>
      </c>
    </row>
    <row r="2497" spans="1:10" ht="15" customHeight="1" x14ac:dyDescent="0.25">
      <c r="A2497" s="380">
        <v>52509505</v>
      </c>
      <c r="B2497" s="381" t="s">
        <v>315</v>
      </c>
      <c r="C2497" s="381" t="s">
        <v>1368</v>
      </c>
      <c r="D2497" s="381" t="s">
        <v>315</v>
      </c>
      <c r="E2497" s="381" t="s">
        <v>315</v>
      </c>
      <c r="F2497" s="378">
        <v>2164450</v>
      </c>
      <c r="G2497" s="378">
        <v>0</v>
      </c>
      <c r="H2497" s="378">
        <v>0</v>
      </c>
      <c r="I2497" s="378">
        <v>2164450</v>
      </c>
      <c r="J2497" s="384">
        <f t="shared" si="44"/>
        <v>8</v>
      </c>
    </row>
    <row r="2498" spans="1:10" ht="15" customHeight="1" x14ac:dyDescent="0.25">
      <c r="A2498" s="380">
        <v>52509505</v>
      </c>
      <c r="B2498" s="381" t="s">
        <v>315</v>
      </c>
      <c r="C2498" s="381" t="s">
        <v>1368</v>
      </c>
      <c r="D2498" s="381" t="s">
        <v>675</v>
      </c>
      <c r="E2498" s="381" t="s">
        <v>736</v>
      </c>
      <c r="F2498" s="378">
        <v>2164450</v>
      </c>
      <c r="G2498" s="378">
        <v>0</v>
      </c>
      <c r="H2498" s="378">
        <v>0</v>
      </c>
      <c r="I2498" s="378">
        <v>2164450</v>
      </c>
      <c r="J2498" s="384">
        <f t="shared" si="44"/>
        <v>8</v>
      </c>
    </row>
    <row r="2499" spans="1:10" ht="15" customHeight="1" x14ac:dyDescent="0.25">
      <c r="A2499" s="380">
        <v>52509595</v>
      </c>
      <c r="B2499" s="381" t="s">
        <v>315</v>
      </c>
      <c r="C2499" s="381" t="s">
        <v>1367</v>
      </c>
      <c r="D2499" s="381" t="s">
        <v>315</v>
      </c>
      <c r="E2499" s="381" t="s">
        <v>315</v>
      </c>
      <c r="F2499" s="378">
        <v>7774334</v>
      </c>
      <c r="G2499" s="378">
        <v>100000</v>
      </c>
      <c r="H2499" s="378">
        <v>0</v>
      </c>
      <c r="I2499" s="378">
        <v>7874334</v>
      </c>
      <c r="J2499" s="384">
        <f t="shared" si="44"/>
        <v>8</v>
      </c>
    </row>
    <row r="2500" spans="1:10" ht="15" customHeight="1" x14ac:dyDescent="0.25">
      <c r="A2500" s="380">
        <v>52509595</v>
      </c>
      <c r="B2500" s="381" t="s">
        <v>315</v>
      </c>
      <c r="C2500" s="381" t="s">
        <v>1367</v>
      </c>
      <c r="D2500" s="381" t="s">
        <v>1034</v>
      </c>
      <c r="E2500" s="381" t="s">
        <v>1035</v>
      </c>
      <c r="F2500" s="378">
        <v>1800000</v>
      </c>
      <c r="G2500" s="378">
        <v>0</v>
      </c>
      <c r="H2500" s="378">
        <v>0</v>
      </c>
      <c r="I2500" s="378">
        <v>1800000</v>
      </c>
      <c r="J2500" s="384">
        <f t="shared" si="44"/>
        <v>8</v>
      </c>
    </row>
    <row r="2501" spans="1:10" ht="15" customHeight="1" x14ac:dyDescent="0.25">
      <c r="A2501" s="380">
        <v>52509595</v>
      </c>
      <c r="B2501" s="381" t="s">
        <v>315</v>
      </c>
      <c r="C2501" s="381" t="s">
        <v>1367</v>
      </c>
      <c r="D2501" s="381" t="s">
        <v>959</v>
      </c>
      <c r="E2501" s="381" t="s">
        <v>960</v>
      </c>
      <c r="F2501" s="378">
        <v>36134</v>
      </c>
      <c r="G2501" s="378">
        <v>0</v>
      </c>
      <c r="H2501" s="378">
        <v>0</v>
      </c>
      <c r="I2501" s="378">
        <v>36134</v>
      </c>
      <c r="J2501" s="384">
        <f t="shared" si="44"/>
        <v>8</v>
      </c>
    </row>
    <row r="2502" spans="1:10" ht="15" customHeight="1" x14ac:dyDescent="0.25">
      <c r="A2502" s="380">
        <v>52509595</v>
      </c>
      <c r="B2502" s="381" t="s">
        <v>315</v>
      </c>
      <c r="C2502" s="381" t="s">
        <v>1367</v>
      </c>
      <c r="D2502" s="381" t="s">
        <v>884</v>
      </c>
      <c r="E2502" s="381" t="s">
        <v>885</v>
      </c>
      <c r="F2502" s="378">
        <v>0</v>
      </c>
      <c r="G2502" s="378">
        <v>100000</v>
      </c>
      <c r="H2502" s="378">
        <v>0</v>
      </c>
      <c r="I2502" s="378">
        <v>100000</v>
      </c>
      <c r="J2502" s="384">
        <f t="shared" si="44"/>
        <v>8</v>
      </c>
    </row>
    <row r="2503" spans="1:10" ht="15" customHeight="1" x14ac:dyDescent="0.25">
      <c r="A2503" s="380">
        <v>52509595</v>
      </c>
      <c r="B2503" s="381" t="s">
        <v>315</v>
      </c>
      <c r="C2503" s="381" t="s">
        <v>1367</v>
      </c>
      <c r="D2503" s="381" t="s">
        <v>402</v>
      </c>
      <c r="E2503" s="381" t="s">
        <v>890</v>
      </c>
      <c r="F2503" s="378">
        <v>5938200</v>
      </c>
      <c r="G2503" s="378">
        <v>0</v>
      </c>
      <c r="H2503" s="378">
        <v>0</v>
      </c>
      <c r="I2503" s="378">
        <v>5938200</v>
      </c>
      <c r="J2503" s="384">
        <f t="shared" si="44"/>
        <v>8</v>
      </c>
    </row>
    <row r="2504" spans="1:10" ht="15" customHeight="1" x14ac:dyDescent="0.25">
      <c r="A2504" s="380">
        <v>5260</v>
      </c>
      <c r="B2504" s="381" t="s">
        <v>315</v>
      </c>
      <c r="C2504" s="381" t="s">
        <v>405</v>
      </c>
      <c r="D2504" s="381" t="s">
        <v>315</v>
      </c>
      <c r="E2504" s="381" t="s">
        <v>315</v>
      </c>
      <c r="F2504" s="378">
        <v>4591061.6500000004</v>
      </c>
      <c r="G2504" s="378">
        <v>889567.65</v>
      </c>
      <c r="H2504" s="378">
        <v>0</v>
      </c>
      <c r="I2504" s="378">
        <v>5480629.2999999998</v>
      </c>
      <c r="J2504" s="384">
        <f t="shared" si="44"/>
        <v>4</v>
      </c>
    </row>
    <row r="2505" spans="1:10" ht="15" customHeight="1" x14ac:dyDescent="0.25">
      <c r="A2505" s="380">
        <v>526005</v>
      </c>
      <c r="B2505" s="381" t="s">
        <v>321</v>
      </c>
      <c r="C2505" s="381" t="s">
        <v>482</v>
      </c>
      <c r="D2505" s="381" t="s">
        <v>315</v>
      </c>
      <c r="E2505" s="381" t="s">
        <v>315</v>
      </c>
      <c r="F2505" s="378">
        <v>2551387.65</v>
      </c>
      <c r="G2505" s="378">
        <v>487067.65</v>
      </c>
      <c r="H2505" s="378">
        <v>0</v>
      </c>
      <c r="I2505" s="378">
        <v>3038455.3</v>
      </c>
      <c r="J2505" s="384">
        <f t="shared" si="44"/>
        <v>6</v>
      </c>
    </row>
    <row r="2506" spans="1:10" ht="15" customHeight="1" x14ac:dyDescent="0.25">
      <c r="A2506" s="380">
        <v>526005</v>
      </c>
      <c r="B2506" s="381" t="s">
        <v>321</v>
      </c>
      <c r="C2506" s="381" t="s">
        <v>482</v>
      </c>
      <c r="D2506" s="381" t="s">
        <v>837</v>
      </c>
      <c r="E2506" s="381" t="s">
        <v>838</v>
      </c>
      <c r="F2506" s="378">
        <v>2551387.65</v>
      </c>
      <c r="G2506" s="378">
        <v>487067.65</v>
      </c>
      <c r="H2506" s="378">
        <v>0</v>
      </c>
      <c r="I2506" s="378">
        <v>3038455.3</v>
      </c>
      <c r="J2506" s="384">
        <f t="shared" si="44"/>
        <v>6</v>
      </c>
    </row>
    <row r="2507" spans="1:10" ht="15" customHeight="1" x14ac:dyDescent="0.25">
      <c r="A2507" s="380">
        <v>526010</v>
      </c>
      <c r="B2507" s="381" t="s">
        <v>315</v>
      </c>
      <c r="C2507" s="381" t="s">
        <v>41</v>
      </c>
      <c r="D2507" s="381" t="s">
        <v>315</v>
      </c>
      <c r="E2507" s="381" t="s">
        <v>315</v>
      </c>
      <c r="F2507" s="378">
        <v>1052860</v>
      </c>
      <c r="G2507" s="378">
        <v>210572</v>
      </c>
      <c r="H2507" s="378">
        <v>0</v>
      </c>
      <c r="I2507" s="378">
        <v>1263432</v>
      </c>
      <c r="J2507" s="384">
        <f t="shared" si="44"/>
        <v>6</v>
      </c>
    </row>
    <row r="2508" spans="1:10" ht="15" customHeight="1" x14ac:dyDescent="0.25">
      <c r="A2508" s="380">
        <v>52601001</v>
      </c>
      <c r="B2508" s="381" t="s">
        <v>315</v>
      </c>
      <c r="C2508" s="381" t="s">
        <v>41</v>
      </c>
      <c r="D2508" s="381" t="s">
        <v>315</v>
      </c>
      <c r="E2508" s="381" t="s">
        <v>315</v>
      </c>
      <c r="F2508" s="378">
        <v>1052860</v>
      </c>
      <c r="G2508" s="378">
        <v>210572</v>
      </c>
      <c r="H2508" s="378">
        <v>0</v>
      </c>
      <c r="I2508" s="378">
        <v>1263432</v>
      </c>
      <c r="J2508" s="384">
        <f t="shared" si="44"/>
        <v>8</v>
      </c>
    </row>
    <row r="2509" spans="1:10" ht="15" customHeight="1" x14ac:dyDescent="0.25">
      <c r="A2509" s="380">
        <v>52601001</v>
      </c>
      <c r="B2509" s="381" t="s">
        <v>315</v>
      </c>
      <c r="C2509" s="381" t="s">
        <v>41</v>
      </c>
      <c r="D2509" s="381" t="s">
        <v>837</v>
      </c>
      <c r="E2509" s="381" t="s">
        <v>838</v>
      </c>
      <c r="F2509" s="378">
        <v>1052860</v>
      </c>
      <c r="G2509" s="378">
        <v>210572</v>
      </c>
      <c r="H2509" s="378">
        <v>0</v>
      </c>
      <c r="I2509" s="378">
        <v>1263432</v>
      </c>
      <c r="J2509" s="384">
        <f t="shared" si="44"/>
        <v>8</v>
      </c>
    </row>
    <row r="2510" spans="1:10" ht="15" customHeight="1" x14ac:dyDescent="0.25">
      <c r="A2510" s="380">
        <v>526015</v>
      </c>
      <c r="B2510" s="381" t="s">
        <v>315</v>
      </c>
      <c r="C2510" s="381" t="s">
        <v>43</v>
      </c>
      <c r="D2510" s="381" t="s">
        <v>315</v>
      </c>
      <c r="E2510" s="381" t="s">
        <v>315</v>
      </c>
      <c r="F2510" s="378">
        <v>723760</v>
      </c>
      <c r="G2510" s="378">
        <v>144752</v>
      </c>
      <c r="H2510" s="378">
        <v>0</v>
      </c>
      <c r="I2510" s="378">
        <v>868512</v>
      </c>
      <c r="J2510" s="384">
        <f t="shared" si="44"/>
        <v>6</v>
      </c>
    </row>
    <row r="2511" spans="1:10" ht="15" customHeight="1" x14ac:dyDescent="0.25">
      <c r="A2511" s="380">
        <v>52601501</v>
      </c>
      <c r="B2511" s="381" t="s">
        <v>315</v>
      </c>
      <c r="C2511" s="381" t="s">
        <v>43</v>
      </c>
      <c r="D2511" s="381" t="s">
        <v>315</v>
      </c>
      <c r="E2511" s="381" t="s">
        <v>315</v>
      </c>
      <c r="F2511" s="378">
        <v>723760</v>
      </c>
      <c r="G2511" s="378">
        <v>144752</v>
      </c>
      <c r="H2511" s="378">
        <v>0</v>
      </c>
      <c r="I2511" s="378">
        <v>868512</v>
      </c>
      <c r="J2511" s="384">
        <f t="shared" si="44"/>
        <v>8</v>
      </c>
    </row>
    <row r="2512" spans="1:10" ht="15" customHeight="1" x14ac:dyDescent="0.25">
      <c r="A2512" s="380">
        <v>52601501</v>
      </c>
      <c r="B2512" s="381" t="s">
        <v>315</v>
      </c>
      <c r="C2512" s="381" t="s">
        <v>43</v>
      </c>
      <c r="D2512" s="381" t="s">
        <v>837</v>
      </c>
      <c r="E2512" s="381" t="s">
        <v>838</v>
      </c>
      <c r="F2512" s="378">
        <v>723760</v>
      </c>
      <c r="G2512" s="378">
        <v>144752</v>
      </c>
      <c r="H2512" s="378">
        <v>0</v>
      </c>
      <c r="I2512" s="378">
        <v>868512</v>
      </c>
      <c r="J2512" s="384">
        <f t="shared" si="44"/>
        <v>8</v>
      </c>
    </row>
    <row r="2513" spans="1:10" ht="15" customHeight="1" x14ac:dyDescent="0.25">
      <c r="A2513" s="380">
        <v>526020</v>
      </c>
      <c r="B2513" s="381" t="s">
        <v>315</v>
      </c>
      <c r="C2513" s="381" t="s">
        <v>1369</v>
      </c>
      <c r="D2513" s="381" t="s">
        <v>315</v>
      </c>
      <c r="E2513" s="381" t="s">
        <v>315</v>
      </c>
      <c r="F2513" s="378">
        <v>263054</v>
      </c>
      <c r="G2513" s="378">
        <v>47176</v>
      </c>
      <c r="H2513" s="378">
        <v>0</v>
      </c>
      <c r="I2513" s="378">
        <v>310230</v>
      </c>
      <c r="J2513" s="384">
        <f t="shared" si="44"/>
        <v>6</v>
      </c>
    </row>
    <row r="2514" spans="1:10" ht="15" customHeight="1" x14ac:dyDescent="0.25">
      <c r="A2514" s="380">
        <v>52602001</v>
      </c>
      <c r="B2514" s="381" t="s">
        <v>315</v>
      </c>
      <c r="C2514" s="381" t="s">
        <v>1369</v>
      </c>
      <c r="D2514" s="381" t="s">
        <v>315</v>
      </c>
      <c r="E2514" s="381" t="s">
        <v>315</v>
      </c>
      <c r="F2514" s="378">
        <v>263054</v>
      </c>
      <c r="G2514" s="378">
        <v>47176</v>
      </c>
      <c r="H2514" s="378">
        <v>0</v>
      </c>
      <c r="I2514" s="378">
        <v>310230</v>
      </c>
      <c r="J2514" s="384">
        <f t="shared" si="44"/>
        <v>8</v>
      </c>
    </row>
    <row r="2515" spans="1:10" ht="15" customHeight="1" x14ac:dyDescent="0.25">
      <c r="A2515" s="380">
        <v>52602001</v>
      </c>
      <c r="B2515" s="381" t="s">
        <v>315</v>
      </c>
      <c r="C2515" s="381" t="s">
        <v>1369</v>
      </c>
      <c r="D2515" s="381" t="s">
        <v>837</v>
      </c>
      <c r="E2515" s="381" t="s">
        <v>838</v>
      </c>
      <c r="F2515" s="378">
        <v>263054</v>
      </c>
      <c r="G2515" s="378">
        <v>47176</v>
      </c>
      <c r="H2515" s="378">
        <v>0</v>
      </c>
      <c r="I2515" s="378">
        <v>310230</v>
      </c>
      <c r="J2515" s="384">
        <f t="shared" si="44"/>
        <v>8</v>
      </c>
    </row>
    <row r="2516" spans="1:10" ht="15" customHeight="1" x14ac:dyDescent="0.25">
      <c r="A2516" s="380">
        <v>5295</v>
      </c>
      <c r="B2516" s="381" t="s">
        <v>315</v>
      </c>
      <c r="C2516" s="381" t="s">
        <v>199</v>
      </c>
      <c r="D2516" s="381" t="s">
        <v>315</v>
      </c>
      <c r="E2516" s="381" t="s">
        <v>315</v>
      </c>
      <c r="F2516" s="378">
        <v>23647196</v>
      </c>
      <c r="G2516" s="378">
        <v>4505059</v>
      </c>
      <c r="H2516" s="378">
        <v>530000</v>
      </c>
      <c r="I2516" s="378">
        <v>27622255</v>
      </c>
      <c r="J2516" s="384">
        <f t="shared" si="44"/>
        <v>4</v>
      </c>
    </row>
    <row r="2517" spans="1:10" ht="15" customHeight="1" x14ac:dyDescent="0.25">
      <c r="A2517" s="380">
        <v>529525</v>
      </c>
      <c r="B2517" s="381" t="s">
        <v>315</v>
      </c>
      <c r="C2517" s="381" t="s">
        <v>1370</v>
      </c>
      <c r="D2517" s="381" t="s">
        <v>315</v>
      </c>
      <c r="E2517" s="381" t="s">
        <v>315</v>
      </c>
      <c r="F2517" s="378">
        <v>6201475</v>
      </c>
      <c r="G2517" s="378">
        <v>1421205</v>
      </c>
      <c r="H2517" s="378">
        <v>0</v>
      </c>
      <c r="I2517" s="378">
        <v>7622680</v>
      </c>
      <c r="J2517" s="384">
        <f t="shared" si="44"/>
        <v>6</v>
      </c>
    </row>
    <row r="2518" spans="1:10" ht="15" customHeight="1" x14ac:dyDescent="0.25">
      <c r="A2518" s="380">
        <v>52952502</v>
      </c>
      <c r="B2518" s="381" t="s">
        <v>315</v>
      </c>
      <c r="C2518" s="381" t="s">
        <v>1371</v>
      </c>
      <c r="D2518" s="381" t="s">
        <v>315</v>
      </c>
      <c r="E2518" s="381" t="s">
        <v>315</v>
      </c>
      <c r="F2518" s="378">
        <v>6201475</v>
      </c>
      <c r="G2518" s="378">
        <v>1421205</v>
      </c>
      <c r="H2518" s="378">
        <v>0</v>
      </c>
      <c r="I2518" s="378">
        <v>7622680</v>
      </c>
      <c r="J2518" s="384">
        <f t="shared" si="44"/>
        <v>8</v>
      </c>
    </row>
    <row r="2519" spans="1:10" ht="15" customHeight="1" x14ac:dyDescent="0.25">
      <c r="A2519" s="380">
        <v>52952502</v>
      </c>
      <c r="B2519" s="381" t="s">
        <v>315</v>
      </c>
      <c r="C2519" s="381" t="s">
        <v>1371</v>
      </c>
      <c r="D2519" s="381" t="s">
        <v>651</v>
      </c>
      <c r="E2519" s="381" t="s">
        <v>967</v>
      </c>
      <c r="F2519" s="378">
        <v>411091</v>
      </c>
      <c r="G2519" s="378">
        <v>86722</v>
      </c>
      <c r="H2519" s="378">
        <v>0</v>
      </c>
      <c r="I2519" s="378">
        <v>497813</v>
      </c>
      <c r="J2519" s="384">
        <f t="shared" si="44"/>
        <v>8</v>
      </c>
    </row>
    <row r="2520" spans="1:10" ht="15" customHeight="1" x14ac:dyDescent="0.25">
      <c r="A2520" s="380">
        <v>52952502</v>
      </c>
      <c r="B2520" s="381" t="s">
        <v>315</v>
      </c>
      <c r="C2520" s="381" t="s">
        <v>1371</v>
      </c>
      <c r="D2520" s="381" t="s">
        <v>361</v>
      </c>
      <c r="E2520" s="381" t="s">
        <v>1123</v>
      </c>
      <c r="F2520" s="378">
        <v>96218</v>
      </c>
      <c r="G2520" s="378">
        <v>0</v>
      </c>
      <c r="H2520" s="378">
        <v>0</v>
      </c>
      <c r="I2520" s="378">
        <v>96218</v>
      </c>
      <c r="J2520" s="384">
        <f t="shared" si="44"/>
        <v>8</v>
      </c>
    </row>
    <row r="2521" spans="1:10" ht="15" customHeight="1" x14ac:dyDescent="0.25">
      <c r="A2521" s="380">
        <v>52952502</v>
      </c>
      <c r="B2521" s="381" t="s">
        <v>315</v>
      </c>
      <c r="C2521" s="381" t="s">
        <v>1371</v>
      </c>
      <c r="D2521" s="381" t="s">
        <v>399</v>
      </c>
      <c r="E2521" s="381" t="s">
        <v>863</v>
      </c>
      <c r="F2521" s="378">
        <v>57800</v>
      </c>
      <c r="G2521" s="378">
        <v>0</v>
      </c>
      <c r="H2521" s="378">
        <v>0</v>
      </c>
      <c r="I2521" s="378">
        <v>57800</v>
      </c>
      <c r="J2521" s="384">
        <f t="shared" si="44"/>
        <v>8</v>
      </c>
    </row>
    <row r="2522" spans="1:10" ht="15" customHeight="1" x14ac:dyDescent="0.25">
      <c r="A2522" s="380">
        <v>52952502</v>
      </c>
      <c r="B2522" s="381" t="s">
        <v>315</v>
      </c>
      <c r="C2522" s="381" t="s">
        <v>1371</v>
      </c>
      <c r="D2522" s="381" t="s">
        <v>444</v>
      </c>
      <c r="E2522" s="381" t="s">
        <v>1139</v>
      </c>
      <c r="F2522" s="378">
        <v>113193</v>
      </c>
      <c r="G2522" s="378">
        <v>0</v>
      </c>
      <c r="H2522" s="378">
        <v>0</v>
      </c>
      <c r="I2522" s="378">
        <v>113193</v>
      </c>
      <c r="J2522" s="384">
        <f t="shared" si="44"/>
        <v>8</v>
      </c>
    </row>
    <row r="2523" spans="1:10" ht="15" customHeight="1" x14ac:dyDescent="0.25">
      <c r="A2523" s="380">
        <v>52952502</v>
      </c>
      <c r="B2523" s="381" t="s">
        <v>315</v>
      </c>
      <c r="C2523" s="381" t="s">
        <v>1371</v>
      </c>
      <c r="D2523" s="381" t="s">
        <v>365</v>
      </c>
      <c r="E2523" s="381" t="s">
        <v>366</v>
      </c>
      <c r="F2523" s="378">
        <v>246871</v>
      </c>
      <c r="G2523" s="378">
        <v>23293</v>
      </c>
      <c r="H2523" s="378">
        <v>0</v>
      </c>
      <c r="I2523" s="378">
        <v>270164</v>
      </c>
      <c r="J2523" s="384">
        <f t="shared" si="44"/>
        <v>8</v>
      </c>
    </row>
    <row r="2524" spans="1:10" ht="15" customHeight="1" x14ac:dyDescent="0.25">
      <c r="A2524" s="380">
        <v>52952502</v>
      </c>
      <c r="B2524" s="381" t="s">
        <v>315</v>
      </c>
      <c r="C2524" s="381" t="s">
        <v>1371</v>
      </c>
      <c r="D2524" s="381" t="s">
        <v>375</v>
      </c>
      <c r="E2524" s="381" t="s">
        <v>817</v>
      </c>
      <c r="F2524" s="378">
        <v>3109</v>
      </c>
      <c r="G2524" s="378">
        <v>0</v>
      </c>
      <c r="H2524" s="378">
        <v>0</v>
      </c>
      <c r="I2524" s="378">
        <v>3109</v>
      </c>
      <c r="J2524" s="384">
        <f t="shared" si="44"/>
        <v>8</v>
      </c>
    </row>
    <row r="2525" spans="1:10" ht="15" customHeight="1" x14ac:dyDescent="0.25">
      <c r="A2525" s="380">
        <v>52952502</v>
      </c>
      <c r="B2525" s="381" t="s">
        <v>315</v>
      </c>
      <c r="C2525" s="381" t="s">
        <v>1371</v>
      </c>
      <c r="D2525" s="381" t="s">
        <v>431</v>
      </c>
      <c r="E2525" s="381" t="s">
        <v>432</v>
      </c>
      <c r="F2525" s="378">
        <v>5255546</v>
      </c>
      <c r="G2525" s="378">
        <v>1311190</v>
      </c>
      <c r="H2525" s="378">
        <v>0</v>
      </c>
      <c r="I2525" s="378">
        <v>6566736</v>
      </c>
      <c r="J2525" s="384">
        <f t="shared" si="44"/>
        <v>8</v>
      </c>
    </row>
    <row r="2526" spans="1:10" ht="15" customHeight="1" x14ac:dyDescent="0.25">
      <c r="A2526" s="380">
        <v>52952502</v>
      </c>
      <c r="B2526" s="381" t="s">
        <v>315</v>
      </c>
      <c r="C2526" s="381" t="s">
        <v>1371</v>
      </c>
      <c r="D2526" s="381" t="s">
        <v>389</v>
      </c>
      <c r="E2526" s="381" t="s">
        <v>821</v>
      </c>
      <c r="F2526" s="378">
        <v>17647</v>
      </c>
      <c r="G2526" s="378">
        <v>0</v>
      </c>
      <c r="H2526" s="378">
        <v>0</v>
      </c>
      <c r="I2526" s="378">
        <v>17647</v>
      </c>
      <c r="J2526" s="384">
        <f t="shared" si="44"/>
        <v>8</v>
      </c>
    </row>
    <row r="2527" spans="1:10" ht="15" customHeight="1" x14ac:dyDescent="0.25">
      <c r="A2527" s="380">
        <v>529530</v>
      </c>
      <c r="B2527" s="381" t="s">
        <v>315</v>
      </c>
      <c r="C2527" s="381" t="s">
        <v>1372</v>
      </c>
      <c r="D2527" s="381" t="s">
        <v>315</v>
      </c>
      <c r="E2527" s="381" t="s">
        <v>315</v>
      </c>
      <c r="F2527" s="378">
        <v>3406515</v>
      </c>
      <c r="G2527" s="378">
        <v>361143</v>
      </c>
      <c r="H2527" s="378">
        <v>0</v>
      </c>
      <c r="I2527" s="378">
        <v>3767658</v>
      </c>
      <c r="J2527" s="384">
        <f t="shared" si="44"/>
        <v>6</v>
      </c>
    </row>
    <row r="2528" spans="1:10" ht="15" customHeight="1" x14ac:dyDescent="0.25">
      <c r="A2528" s="380">
        <v>52953001</v>
      </c>
      <c r="B2528" s="381" t="s">
        <v>315</v>
      </c>
      <c r="C2528" s="381" t="s">
        <v>1372</v>
      </c>
      <c r="D2528" s="381" t="s">
        <v>315</v>
      </c>
      <c r="E2528" s="381" t="s">
        <v>315</v>
      </c>
      <c r="F2528" s="378">
        <v>3406515</v>
      </c>
      <c r="G2528" s="378">
        <v>361143</v>
      </c>
      <c r="H2528" s="378">
        <v>0</v>
      </c>
      <c r="I2528" s="378">
        <v>3767658</v>
      </c>
      <c r="J2528" s="384">
        <f t="shared" si="44"/>
        <v>8</v>
      </c>
    </row>
    <row r="2529" spans="1:10" ht="15" customHeight="1" x14ac:dyDescent="0.25">
      <c r="A2529" s="380">
        <v>52953001</v>
      </c>
      <c r="B2529" s="381" t="s">
        <v>315</v>
      </c>
      <c r="C2529" s="381" t="s">
        <v>1372</v>
      </c>
      <c r="D2529" s="381" t="s">
        <v>1373</v>
      </c>
      <c r="E2529" s="381" t="s">
        <v>1374</v>
      </c>
      <c r="F2529" s="378">
        <v>5500</v>
      </c>
      <c r="G2529" s="378">
        <v>0</v>
      </c>
      <c r="H2529" s="378">
        <v>0</v>
      </c>
      <c r="I2529" s="378">
        <v>5500</v>
      </c>
      <c r="J2529" s="384">
        <f t="shared" si="44"/>
        <v>8</v>
      </c>
    </row>
    <row r="2530" spans="1:10" ht="15" customHeight="1" x14ac:dyDescent="0.25">
      <c r="A2530" s="380">
        <v>52953001</v>
      </c>
      <c r="B2530" s="381" t="s">
        <v>315</v>
      </c>
      <c r="C2530" s="381" t="s">
        <v>1372</v>
      </c>
      <c r="D2530" s="381" t="s">
        <v>687</v>
      </c>
      <c r="E2530" s="381" t="s">
        <v>1115</v>
      </c>
      <c r="F2530" s="378">
        <v>307141</v>
      </c>
      <c r="G2530" s="378">
        <v>50168</v>
      </c>
      <c r="H2530" s="378">
        <v>0</v>
      </c>
      <c r="I2530" s="378">
        <v>357309</v>
      </c>
      <c r="J2530" s="384">
        <f t="shared" si="44"/>
        <v>8</v>
      </c>
    </row>
    <row r="2531" spans="1:10" ht="15" customHeight="1" x14ac:dyDescent="0.25">
      <c r="A2531" s="380">
        <v>52953001</v>
      </c>
      <c r="B2531" s="381" t="s">
        <v>315</v>
      </c>
      <c r="C2531" s="381" t="s">
        <v>1372</v>
      </c>
      <c r="D2531" s="381" t="s">
        <v>742</v>
      </c>
      <c r="E2531" s="381" t="s">
        <v>743</v>
      </c>
      <c r="F2531" s="378">
        <v>2226790</v>
      </c>
      <c r="G2531" s="378">
        <v>266000</v>
      </c>
      <c r="H2531" s="378">
        <v>0</v>
      </c>
      <c r="I2531" s="378">
        <v>2492790</v>
      </c>
      <c r="J2531" s="384">
        <f t="shared" si="44"/>
        <v>8</v>
      </c>
    </row>
    <row r="2532" spans="1:10" ht="15" customHeight="1" x14ac:dyDescent="0.25">
      <c r="A2532" s="380">
        <v>52953001</v>
      </c>
      <c r="B2532" s="381" t="s">
        <v>315</v>
      </c>
      <c r="C2532" s="381" t="s">
        <v>1372</v>
      </c>
      <c r="D2532" s="381" t="s">
        <v>640</v>
      </c>
      <c r="E2532" s="381" t="s">
        <v>1375</v>
      </c>
      <c r="F2532" s="378">
        <v>253000</v>
      </c>
      <c r="G2532" s="378">
        <v>0</v>
      </c>
      <c r="H2532" s="378">
        <v>0</v>
      </c>
      <c r="I2532" s="378">
        <v>253000</v>
      </c>
      <c r="J2532" s="384">
        <f t="shared" si="44"/>
        <v>8</v>
      </c>
    </row>
    <row r="2533" spans="1:10" ht="15" customHeight="1" x14ac:dyDescent="0.25">
      <c r="A2533" s="380">
        <v>52953001</v>
      </c>
      <c r="B2533" s="381" t="s">
        <v>315</v>
      </c>
      <c r="C2533" s="381" t="s">
        <v>1372</v>
      </c>
      <c r="D2533" s="381" t="s">
        <v>1116</v>
      </c>
      <c r="E2533" s="381" t="s">
        <v>1117</v>
      </c>
      <c r="F2533" s="378">
        <v>341743</v>
      </c>
      <c r="G2533" s="378">
        <v>29891</v>
      </c>
      <c r="H2533" s="378">
        <v>0</v>
      </c>
      <c r="I2533" s="378">
        <v>371634</v>
      </c>
      <c r="J2533" s="384">
        <f t="shared" si="44"/>
        <v>8</v>
      </c>
    </row>
    <row r="2534" spans="1:10" ht="15" customHeight="1" x14ac:dyDescent="0.25">
      <c r="A2534" s="380">
        <v>52953001</v>
      </c>
      <c r="B2534" s="381" t="s">
        <v>315</v>
      </c>
      <c r="C2534" s="381" t="s">
        <v>1372</v>
      </c>
      <c r="D2534" s="381" t="s">
        <v>1376</v>
      </c>
      <c r="E2534" s="381" t="s">
        <v>1377</v>
      </c>
      <c r="F2534" s="378">
        <v>88400</v>
      </c>
      <c r="G2534" s="378">
        <v>5000</v>
      </c>
      <c r="H2534" s="378">
        <v>0</v>
      </c>
      <c r="I2534" s="378">
        <v>93400</v>
      </c>
      <c r="J2534" s="384">
        <f t="shared" si="44"/>
        <v>8</v>
      </c>
    </row>
    <row r="2535" spans="1:10" ht="15" customHeight="1" x14ac:dyDescent="0.25">
      <c r="A2535" s="380">
        <v>52953001</v>
      </c>
      <c r="B2535" s="381" t="s">
        <v>315</v>
      </c>
      <c r="C2535" s="381" t="s">
        <v>1372</v>
      </c>
      <c r="D2535" s="381" t="s">
        <v>1121</v>
      </c>
      <c r="E2535" s="381" t="s">
        <v>1122</v>
      </c>
      <c r="F2535" s="378">
        <v>16303</v>
      </c>
      <c r="G2535" s="378">
        <v>0</v>
      </c>
      <c r="H2535" s="378">
        <v>0</v>
      </c>
      <c r="I2535" s="378">
        <v>16303</v>
      </c>
      <c r="J2535" s="384">
        <f t="shared" si="44"/>
        <v>8</v>
      </c>
    </row>
    <row r="2536" spans="1:10" ht="15" customHeight="1" x14ac:dyDescent="0.25">
      <c r="A2536" s="380">
        <v>52953001</v>
      </c>
      <c r="B2536" s="381" t="s">
        <v>315</v>
      </c>
      <c r="C2536" s="381" t="s">
        <v>1372</v>
      </c>
      <c r="D2536" s="381" t="s">
        <v>365</v>
      </c>
      <c r="E2536" s="381" t="s">
        <v>366</v>
      </c>
      <c r="F2536" s="378">
        <v>28370</v>
      </c>
      <c r="G2536" s="378">
        <v>0</v>
      </c>
      <c r="H2536" s="378">
        <v>0</v>
      </c>
      <c r="I2536" s="378">
        <v>28370</v>
      </c>
      <c r="J2536" s="384">
        <f t="shared" ref="J2536:J2599" si="45">+LEN(A2536)</f>
        <v>8</v>
      </c>
    </row>
    <row r="2537" spans="1:10" ht="15" customHeight="1" x14ac:dyDescent="0.25">
      <c r="A2537" s="380">
        <v>52953001</v>
      </c>
      <c r="B2537" s="381" t="s">
        <v>315</v>
      </c>
      <c r="C2537" s="381" t="s">
        <v>1372</v>
      </c>
      <c r="D2537" s="381" t="s">
        <v>1152</v>
      </c>
      <c r="E2537" s="381" t="s">
        <v>1153</v>
      </c>
      <c r="F2537" s="378">
        <v>23277</v>
      </c>
      <c r="G2537" s="378">
        <v>0</v>
      </c>
      <c r="H2537" s="378">
        <v>0</v>
      </c>
      <c r="I2537" s="378">
        <v>23277</v>
      </c>
      <c r="J2537" s="384">
        <f t="shared" si="45"/>
        <v>8</v>
      </c>
    </row>
    <row r="2538" spans="1:10" ht="15" customHeight="1" x14ac:dyDescent="0.25">
      <c r="A2538" s="380">
        <v>52953001</v>
      </c>
      <c r="B2538" s="381" t="s">
        <v>315</v>
      </c>
      <c r="C2538" s="381" t="s">
        <v>1372</v>
      </c>
      <c r="D2538" s="381" t="s">
        <v>1160</v>
      </c>
      <c r="E2538" s="381" t="s">
        <v>1161</v>
      </c>
      <c r="F2538" s="378">
        <v>4538</v>
      </c>
      <c r="G2538" s="378">
        <v>0</v>
      </c>
      <c r="H2538" s="378">
        <v>0</v>
      </c>
      <c r="I2538" s="378">
        <v>4538</v>
      </c>
      <c r="J2538" s="384">
        <f t="shared" si="45"/>
        <v>8</v>
      </c>
    </row>
    <row r="2539" spans="1:10" ht="15" customHeight="1" x14ac:dyDescent="0.25">
      <c r="A2539" s="380">
        <v>52953001</v>
      </c>
      <c r="B2539" s="381" t="s">
        <v>315</v>
      </c>
      <c r="C2539" s="381" t="s">
        <v>1372</v>
      </c>
      <c r="D2539" s="381" t="s">
        <v>389</v>
      </c>
      <c r="E2539" s="381" t="s">
        <v>821</v>
      </c>
      <c r="F2539" s="378">
        <v>65066</v>
      </c>
      <c r="G2539" s="378">
        <v>0</v>
      </c>
      <c r="H2539" s="378">
        <v>0</v>
      </c>
      <c r="I2539" s="378">
        <v>65066</v>
      </c>
      <c r="J2539" s="384">
        <f t="shared" si="45"/>
        <v>8</v>
      </c>
    </row>
    <row r="2540" spans="1:10" ht="15" customHeight="1" x14ac:dyDescent="0.25">
      <c r="A2540" s="380">
        <v>52953001</v>
      </c>
      <c r="B2540" s="381" t="s">
        <v>315</v>
      </c>
      <c r="C2540" s="381" t="s">
        <v>1372</v>
      </c>
      <c r="D2540" s="381" t="s">
        <v>1013</v>
      </c>
      <c r="E2540" s="381" t="s">
        <v>1014</v>
      </c>
      <c r="F2540" s="378">
        <v>10252</v>
      </c>
      <c r="G2540" s="378">
        <v>0</v>
      </c>
      <c r="H2540" s="378">
        <v>0</v>
      </c>
      <c r="I2540" s="378">
        <v>10252</v>
      </c>
      <c r="J2540" s="384">
        <f t="shared" si="45"/>
        <v>8</v>
      </c>
    </row>
    <row r="2541" spans="1:10" ht="15" customHeight="1" x14ac:dyDescent="0.25">
      <c r="A2541" s="380">
        <v>52953001</v>
      </c>
      <c r="B2541" s="381" t="s">
        <v>315</v>
      </c>
      <c r="C2541" s="381" t="s">
        <v>1372</v>
      </c>
      <c r="D2541" s="381" t="s">
        <v>1015</v>
      </c>
      <c r="E2541" s="381" t="s">
        <v>1016</v>
      </c>
      <c r="F2541" s="378">
        <v>4202</v>
      </c>
      <c r="G2541" s="378">
        <v>0</v>
      </c>
      <c r="H2541" s="378">
        <v>0</v>
      </c>
      <c r="I2541" s="378">
        <v>4202</v>
      </c>
      <c r="J2541" s="384">
        <f t="shared" si="45"/>
        <v>8</v>
      </c>
    </row>
    <row r="2542" spans="1:10" ht="15" customHeight="1" x14ac:dyDescent="0.25">
      <c r="A2542" s="380">
        <v>52953001</v>
      </c>
      <c r="B2542" s="381" t="s">
        <v>315</v>
      </c>
      <c r="C2542" s="381" t="s">
        <v>1372</v>
      </c>
      <c r="D2542" s="381" t="s">
        <v>1176</v>
      </c>
      <c r="E2542" s="381" t="s">
        <v>1177</v>
      </c>
      <c r="F2542" s="378">
        <v>31933</v>
      </c>
      <c r="G2542" s="378">
        <v>10084</v>
      </c>
      <c r="H2542" s="378">
        <v>0</v>
      </c>
      <c r="I2542" s="378">
        <v>42017</v>
      </c>
      <c r="J2542" s="384">
        <f t="shared" si="45"/>
        <v>8</v>
      </c>
    </row>
    <row r="2543" spans="1:10" ht="15" customHeight="1" x14ac:dyDescent="0.25">
      <c r="A2543" s="380">
        <v>529540</v>
      </c>
      <c r="B2543" s="381" t="s">
        <v>315</v>
      </c>
      <c r="C2543" s="381" t="s">
        <v>1378</v>
      </c>
      <c r="D2543" s="381" t="s">
        <v>315</v>
      </c>
      <c r="E2543" s="381" t="s">
        <v>315</v>
      </c>
      <c r="F2543" s="378">
        <v>229060</v>
      </c>
      <c r="G2543" s="378">
        <v>190877</v>
      </c>
      <c r="H2543" s="378">
        <v>0</v>
      </c>
      <c r="I2543" s="378">
        <v>419937</v>
      </c>
      <c r="J2543" s="384">
        <f t="shared" si="45"/>
        <v>6</v>
      </c>
    </row>
    <row r="2544" spans="1:10" ht="15" customHeight="1" x14ac:dyDescent="0.25">
      <c r="A2544" s="380">
        <v>52954001</v>
      </c>
      <c r="B2544" s="381" t="s">
        <v>315</v>
      </c>
      <c r="C2544" s="381" t="s">
        <v>1378</v>
      </c>
      <c r="D2544" s="381" t="s">
        <v>315</v>
      </c>
      <c r="E2544" s="381" t="s">
        <v>315</v>
      </c>
      <c r="F2544" s="378">
        <v>229060</v>
      </c>
      <c r="G2544" s="378">
        <v>190877</v>
      </c>
      <c r="H2544" s="378">
        <v>0</v>
      </c>
      <c r="I2544" s="378">
        <v>419937</v>
      </c>
      <c r="J2544" s="384">
        <f t="shared" si="45"/>
        <v>8</v>
      </c>
    </row>
    <row r="2545" spans="1:10" ht="15" customHeight="1" x14ac:dyDescent="0.25">
      <c r="A2545" s="380">
        <v>52954001</v>
      </c>
      <c r="B2545" s="381" t="s">
        <v>315</v>
      </c>
      <c r="C2545" s="381" t="s">
        <v>1378</v>
      </c>
      <c r="D2545" s="381" t="s">
        <v>361</v>
      </c>
      <c r="E2545" s="381" t="s">
        <v>1123</v>
      </c>
      <c r="F2545" s="378">
        <v>90588</v>
      </c>
      <c r="G2545" s="378">
        <v>0</v>
      </c>
      <c r="H2545" s="378">
        <v>0</v>
      </c>
      <c r="I2545" s="378">
        <v>90588</v>
      </c>
      <c r="J2545" s="384">
        <f t="shared" si="45"/>
        <v>8</v>
      </c>
    </row>
    <row r="2546" spans="1:10" ht="15" customHeight="1" x14ac:dyDescent="0.25">
      <c r="A2546" s="380">
        <v>52954001</v>
      </c>
      <c r="B2546" s="381" t="s">
        <v>315</v>
      </c>
      <c r="C2546" s="381" t="s">
        <v>1378</v>
      </c>
      <c r="D2546" s="381" t="s">
        <v>365</v>
      </c>
      <c r="E2546" s="381" t="s">
        <v>366</v>
      </c>
      <c r="F2546" s="378">
        <v>2100</v>
      </c>
      <c r="G2546" s="378">
        <v>1261</v>
      </c>
      <c r="H2546" s="378">
        <v>0</v>
      </c>
      <c r="I2546" s="378">
        <v>3361</v>
      </c>
      <c r="J2546" s="384">
        <f t="shared" si="45"/>
        <v>8</v>
      </c>
    </row>
    <row r="2547" spans="1:10" ht="15" customHeight="1" x14ac:dyDescent="0.25">
      <c r="A2547" s="380">
        <v>52954001</v>
      </c>
      <c r="B2547" s="381" t="s">
        <v>315</v>
      </c>
      <c r="C2547" s="381" t="s">
        <v>1378</v>
      </c>
      <c r="D2547" s="381" t="s">
        <v>371</v>
      </c>
      <c r="E2547" s="381" t="s">
        <v>816</v>
      </c>
      <c r="F2547" s="378">
        <v>445</v>
      </c>
      <c r="G2547" s="378">
        <v>0</v>
      </c>
      <c r="H2547" s="378">
        <v>0</v>
      </c>
      <c r="I2547" s="378">
        <v>445</v>
      </c>
      <c r="J2547" s="384">
        <f t="shared" si="45"/>
        <v>8</v>
      </c>
    </row>
    <row r="2548" spans="1:10" ht="15" customHeight="1" x14ac:dyDescent="0.25">
      <c r="A2548" s="380">
        <v>52954001</v>
      </c>
      <c r="B2548" s="381" t="s">
        <v>315</v>
      </c>
      <c r="C2548" s="381" t="s">
        <v>1378</v>
      </c>
      <c r="D2548" s="381" t="s">
        <v>389</v>
      </c>
      <c r="E2548" s="381" t="s">
        <v>821</v>
      </c>
      <c r="F2548" s="378">
        <v>94338</v>
      </c>
      <c r="G2548" s="378">
        <v>189216</v>
      </c>
      <c r="H2548" s="378">
        <v>0</v>
      </c>
      <c r="I2548" s="378">
        <v>283554</v>
      </c>
      <c r="J2548" s="384">
        <f t="shared" si="45"/>
        <v>8</v>
      </c>
    </row>
    <row r="2549" spans="1:10" ht="15" customHeight="1" x14ac:dyDescent="0.25">
      <c r="A2549" s="380">
        <v>52954001</v>
      </c>
      <c r="B2549" s="381" t="s">
        <v>315</v>
      </c>
      <c r="C2549" s="381" t="s">
        <v>1378</v>
      </c>
      <c r="D2549" s="381" t="s">
        <v>1172</v>
      </c>
      <c r="E2549" s="381" t="s">
        <v>1173</v>
      </c>
      <c r="F2549" s="378">
        <v>41589</v>
      </c>
      <c r="G2549" s="378">
        <v>0</v>
      </c>
      <c r="H2549" s="378">
        <v>0</v>
      </c>
      <c r="I2549" s="378">
        <v>41589</v>
      </c>
      <c r="J2549" s="384">
        <f t="shared" si="45"/>
        <v>8</v>
      </c>
    </row>
    <row r="2550" spans="1:10" ht="15" customHeight="1" x14ac:dyDescent="0.25">
      <c r="A2550" s="380">
        <v>52954001</v>
      </c>
      <c r="B2550" s="381" t="s">
        <v>315</v>
      </c>
      <c r="C2550" s="381" t="s">
        <v>1378</v>
      </c>
      <c r="D2550" s="381" t="s">
        <v>827</v>
      </c>
      <c r="E2550" s="381" t="s">
        <v>828</v>
      </c>
      <c r="F2550" s="378">
        <v>0</v>
      </c>
      <c r="G2550" s="378">
        <v>400</v>
      </c>
      <c r="H2550" s="378">
        <v>0</v>
      </c>
      <c r="I2550" s="378">
        <v>400</v>
      </c>
      <c r="J2550" s="384">
        <f t="shared" si="45"/>
        <v>8</v>
      </c>
    </row>
    <row r="2551" spans="1:10" ht="15" customHeight="1" x14ac:dyDescent="0.25">
      <c r="A2551" s="380">
        <v>529545</v>
      </c>
      <c r="B2551" s="381" t="s">
        <v>315</v>
      </c>
      <c r="C2551" s="381" t="s">
        <v>1379</v>
      </c>
      <c r="D2551" s="381" t="s">
        <v>315</v>
      </c>
      <c r="E2551" s="381" t="s">
        <v>315</v>
      </c>
      <c r="F2551" s="378">
        <v>1272053</v>
      </c>
      <c r="G2551" s="378">
        <v>377000</v>
      </c>
      <c r="H2551" s="378">
        <v>0</v>
      </c>
      <c r="I2551" s="378">
        <v>1649053</v>
      </c>
      <c r="J2551" s="384">
        <f t="shared" si="45"/>
        <v>6</v>
      </c>
    </row>
    <row r="2552" spans="1:10" ht="15" customHeight="1" x14ac:dyDescent="0.25">
      <c r="A2552" s="380">
        <v>52954501</v>
      </c>
      <c r="B2552" s="381" t="s">
        <v>315</v>
      </c>
      <c r="C2552" s="381" t="s">
        <v>1379</v>
      </c>
      <c r="D2552" s="381" t="s">
        <v>315</v>
      </c>
      <c r="E2552" s="381" t="s">
        <v>315</v>
      </c>
      <c r="F2552" s="378">
        <v>1272053</v>
      </c>
      <c r="G2552" s="378">
        <v>377000</v>
      </c>
      <c r="H2552" s="378">
        <v>0</v>
      </c>
      <c r="I2552" s="378">
        <v>1649053</v>
      </c>
      <c r="J2552" s="384">
        <f t="shared" si="45"/>
        <v>8</v>
      </c>
    </row>
    <row r="2553" spans="1:10" ht="15" customHeight="1" x14ac:dyDescent="0.25">
      <c r="A2553" s="380">
        <v>52954501</v>
      </c>
      <c r="B2553" s="381" t="s">
        <v>315</v>
      </c>
      <c r="C2553" s="381" t="s">
        <v>1379</v>
      </c>
      <c r="D2553" s="381" t="s">
        <v>399</v>
      </c>
      <c r="E2553" s="381" t="s">
        <v>863</v>
      </c>
      <c r="F2553" s="378">
        <v>66000</v>
      </c>
      <c r="G2553" s="378">
        <v>0</v>
      </c>
      <c r="H2553" s="378">
        <v>0</v>
      </c>
      <c r="I2553" s="378">
        <v>66000</v>
      </c>
      <c r="J2553" s="384">
        <f t="shared" si="45"/>
        <v>8</v>
      </c>
    </row>
    <row r="2554" spans="1:10" ht="15" customHeight="1" x14ac:dyDescent="0.25">
      <c r="A2554" s="380">
        <v>52954501</v>
      </c>
      <c r="B2554" s="381" t="s">
        <v>315</v>
      </c>
      <c r="C2554" s="381" t="s">
        <v>1379</v>
      </c>
      <c r="D2554" s="381" t="s">
        <v>746</v>
      </c>
      <c r="E2554" s="381" t="s">
        <v>1478</v>
      </c>
      <c r="F2554" s="378">
        <v>246700</v>
      </c>
      <c r="G2554" s="378">
        <v>28000</v>
      </c>
      <c r="H2554" s="378">
        <v>0</v>
      </c>
      <c r="I2554" s="378">
        <v>274700</v>
      </c>
      <c r="J2554" s="384">
        <f t="shared" si="45"/>
        <v>8</v>
      </c>
    </row>
    <row r="2555" spans="1:10" ht="15" customHeight="1" x14ac:dyDescent="0.25">
      <c r="A2555" s="380">
        <v>52954501</v>
      </c>
      <c r="B2555" s="381" t="s">
        <v>315</v>
      </c>
      <c r="C2555" s="381" t="s">
        <v>1379</v>
      </c>
      <c r="D2555" s="381" t="s">
        <v>1380</v>
      </c>
      <c r="E2555" s="381" t="s">
        <v>1381</v>
      </c>
      <c r="F2555" s="378">
        <v>3500</v>
      </c>
      <c r="G2555" s="378">
        <v>4000</v>
      </c>
      <c r="H2555" s="378">
        <v>0</v>
      </c>
      <c r="I2555" s="378">
        <v>7500</v>
      </c>
      <c r="J2555" s="384">
        <f t="shared" si="45"/>
        <v>8</v>
      </c>
    </row>
    <row r="2556" spans="1:10" ht="15" customHeight="1" x14ac:dyDescent="0.25">
      <c r="A2556" s="380">
        <v>52954501</v>
      </c>
      <c r="B2556" s="381" t="s">
        <v>315</v>
      </c>
      <c r="C2556" s="381" t="s">
        <v>1379</v>
      </c>
      <c r="D2556" s="381" t="s">
        <v>747</v>
      </c>
      <c r="E2556" s="381" t="s">
        <v>748</v>
      </c>
      <c r="F2556" s="378">
        <v>947450</v>
      </c>
      <c r="G2556" s="378">
        <v>345000</v>
      </c>
      <c r="H2556" s="378">
        <v>0</v>
      </c>
      <c r="I2556" s="378">
        <v>1292450</v>
      </c>
      <c r="J2556" s="384">
        <f t="shared" si="45"/>
        <v>8</v>
      </c>
    </row>
    <row r="2557" spans="1:10" ht="15" customHeight="1" x14ac:dyDescent="0.25">
      <c r="A2557" s="380">
        <v>52954501</v>
      </c>
      <c r="B2557" s="381" t="s">
        <v>315</v>
      </c>
      <c r="C2557" s="381" t="s">
        <v>1379</v>
      </c>
      <c r="D2557" s="381" t="s">
        <v>1013</v>
      </c>
      <c r="E2557" s="381" t="s">
        <v>1014</v>
      </c>
      <c r="F2557" s="378">
        <v>8403</v>
      </c>
      <c r="G2557" s="378">
        <v>0</v>
      </c>
      <c r="H2557" s="378">
        <v>0</v>
      </c>
      <c r="I2557" s="378">
        <v>8403</v>
      </c>
      <c r="J2557" s="384">
        <f t="shared" si="45"/>
        <v>8</v>
      </c>
    </row>
    <row r="2558" spans="1:10" ht="15" customHeight="1" x14ac:dyDescent="0.25">
      <c r="A2558" s="380">
        <v>529565</v>
      </c>
      <c r="B2558" s="381" t="s">
        <v>315</v>
      </c>
      <c r="C2558" s="381" t="s">
        <v>1382</v>
      </c>
      <c r="D2558" s="381" t="s">
        <v>315</v>
      </c>
      <c r="E2558" s="381" t="s">
        <v>315</v>
      </c>
      <c r="F2558" s="378">
        <v>717896</v>
      </c>
      <c r="G2558" s="378">
        <v>95378</v>
      </c>
      <c r="H2558" s="378">
        <v>0</v>
      </c>
      <c r="I2558" s="378">
        <v>813274</v>
      </c>
      <c r="J2558" s="384">
        <f t="shared" si="45"/>
        <v>6</v>
      </c>
    </row>
    <row r="2559" spans="1:10" ht="15" customHeight="1" x14ac:dyDescent="0.25">
      <c r="A2559" s="380">
        <v>52956501</v>
      </c>
      <c r="B2559" s="381" t="s">
        <v>315</v>
      </c>
      <c r="C2559" s="381" t="s">
        <v>1382</v>
      </c>
      <c r="D2559" s="381" t="s">
        <v>315</v>
      </c>
      <c r="E2559" s="381" t="s">
        <v>315</v>
      </c>
      <c r="F2559" s="378">
        <v>717896</v>
      </c>
      <c r="G2559" s="378">
        <v>95378</v>
      </c>
      <c r="H2559" s="378">
        <v>0</v>
      </c>
      <c r="I2559" s="378">
        <v>813274</v>
      </c>
      <c r="J2559" s="384">
        <f t="shared" si="45"/>
        <v>8</v>
      </c>
    </row>
    <row r="2560" spans="1:10" ht="15" customHeight="1" x14ac:dyDescent="0.25">
      <c r="A2560" s="380">
        <v>52956501</v>
      </c>
      <c r="B2560" s="381" t="s">
        <v>315</v>
      </c>
      <c r="C2560" s="381" t="s">
        <v>1382</v>
      </c>
      <c r="D2560" s="381" t="s">
        <v>1130</v>
      </c>
      <c r="E2560" s="381" t="s">
        <v>1478</v>
      </c>
      <c r="F2560" s="378">
        <v>47054</v>
      </c>
      <c r="G2560" s="378">
        <v>26890</v>
      </c>
      <c r="H2560" s="378">
        <v>0</v>
      </c>
      <c r="I2560" s="378">
        <v>73944</v>
      </c>
      <c r="J2560" s="384">
        <f t="shared" si="45"/>
        <v>8</v>
      </c>
    </row>
    <row r="2561" spans="1:10" ht="15" customHeight="1" x14ac:dyDescent="0.25">
      <c r="A2561" s="380">
        <v>52956501</v>
      </c>
      <c r="B2561" s="381" t="s">
        <v>315</v>
      </c>
      <c r="C2561" s="381" t="s">
        <v>1382</v>
      </c>
      <c r="D2561" s="381" t="s">
        <v>445</v>
      </c>
      <c r="E2561" s="381" t="s">
        <v>1483</v>
      </c>
      <c r="F2561" s="378">
        <v>43697</v>
      </c>
      <c r="G2561" s="378">
        <v>0</v>
      </c>
      <c r="H2561" s="378">
        <v>0</v>
      </c>
      <c r="I2561" s="378">
        <v>43697</v>
      </c>
      <c r="J2561" s="384">
        <f t="shared" si="45"/>
        <v>8</v>
      </c>
    </row>
    <row r="2562" spans="1:10" ht="15" customHeight="1" x14ac:dyDescent="0.25">
      <c r="A2562" s="380">
        <v>52956501</v>
      </c>
      <c r="B2562" s="381" t="s">
        <v>315</v>
      </c>
      <c r="C2562" s="381" t="s">
        <v>1382</v>
      </c>
      <c r="D2562" s="381" t="s">
        <v>1150</v>
      </c>
      <c r="E2562" s="381" t="s">
        <v>1151</v>
      </c>
      <c r="F2562" s="378">
        <v>145127</v>
      </c>
      <c r="G2562" s="378">
        <v>22689</v>
      </c>
      <c r="H2562" s="378">
        <v>0</v>
      </c>
      <c r="I2562" s="378">
        <v>167816</v>
      </c>
      <c r="J2562" s="384">
        <f t="shared" si="45"/>
        <v>8</v>
      </c>
    </row>
    <row r="2563" spans="1:10" ht="15" customHeight="1" x14ac:dyDescent="0.25">
      <c r="A2563" s="380">
        <v>52956501</v>
      </c>
      <c r="B2563" s="381" t="s">
        <v>315</v>
      </c>
      <c r="C2563" s="381" t="s">
        <v>1382</v>
      </c>
      <c r="D2563" s="381" t="s">
        <v>1156</v>
      </c>
      <c r="E2563" s="381" t="s">
        <v>1157</v>
      </c>
      <c r="F2563" s="378">
        <v>150410</v>
      </c>
      <c r="G2563" s="378">
        <v>16387</v>
      </c>
      <c r="H2563" s="378">
        <v>0</v>
      </c>
      <c r="I2563" s="378">
        <v>166797</v>
      </c>
      <c r="J2563" s="384">
        <f t="shared" si="45"/>
        <v>8</v>
      </c>
    </row>
    <row r="2564" spans="1:10" ht="15" customHeight="1" x14ac:dyDescent="0.25">
      <c r="A2564" s="380">
        <v>52956501</v>
      </c>
      <c r="B2564" s="381" t="s">
        <v>315</v>
      </c>
      <c r="C2564" s="381" t="s">
        <v>1382</v>
      </c>
      <c r="D2564" s="381" t="s">
        <v>1158</v>
      </c>
      <c r="E2564" s="381" t="s">
        <v>1159</v>
      </c>
      <c r="F2564" s="378">
        <v>19328</v>
      </c>
      <c r="G2564" s="378">
        <v>0</v>
      </c>
      <c r="H2564" s="378">
        <v>0</v>
      </c>
      <c r="I2564" s="378">
        <v>19328</v>
      </c>
      <c r="J2564" s="384">
        <f t="shared" si="45"/>
        <v>8</v>
      </c>
    </row>
    <row r="2565" spans="1:10" ht="15" customHeight="1" x14ac:dyDescent="0.25">
      <c r="A2565" s="380">
        <v>52956501</v>
      </c>
      <c r="B2565" s="381" t="s">
        <v>315</v>
      </c>
      <c r="C2565" s="381" t="s">
        <v>1382</v>
      </c>
      <c r="D2565" s="381" t="s">
        <v>918</v>
      </c>
      <c r="E2565" s="381" t="s">
        <v>919</v>
      </c>
      <c r="F2565" s="378">
        <v>73336</v>
      </c>
      <c r="G2565" s="378">
        <v>0</v>
      </c>
      <c r="H2565" s="378">
        <v>0</v>
      </c>
      <c r="I2565" s="378">
        <v>73336</v>
      </c>
      <c r="J2565" s="384">
        <f t="shared" si="45"/>
        <v>8</v>
      </c>
    </row>
    <row r="2566" spans="1:10" ht="15" customHeight="1" x14ac:dyDescent="0.25">
      <c r="A2566" s="380">
        <v>52956501</v>
      </c>
      <c r="B2566" s="381" t="s">
        <v>315</v>
      </c>
      <c r="C2566" s="381" t="s">
        <v>1382</v>
      </c>
      <c r="D2566" s="381" t="s">
        <v>1013</v>
      </c>
      <c r="E2566" s="381" t="s">
        <v>1014</v>
      </c>
      <c r="F2566" s="378">
        <v>238944</v>
      </c>
      <c r="G2566" s="378">
        <v>29412</v>
      </c>
      <c r="H2566" s="378">
        <v>0</v>
      </c>
      <c r="I2566" s="378">
        <v>268356</v>
      </c>
      <c r="J2566" s="384">
        <f t="shared" si="45"/>
        <v>8</v>
      </c>
    </row>
    <row r="2567" spans="1:10" ht="15" customHeight="1" x14ac:dyDescent="0.25">
      <c r="A2567" s="380">
        <v>529595</v>
      </c>
      <c r="B2567" s="381" t="s">
        <v>315</v>
      </c>
      <c r="C2567" s="381" t="s">
        <v>238</v>
      </c>
      <c r="D2567" s="381" t="s">
        <v>315</v>
      </c>
      <c r="E2567" s="381" t="s">
        <v>315</v>
      </c>
      <c r="F2567" s="378">
        <v>9280389</v>
      </c>
      <c r="G2567" s="378">
        <v>1835094</v>
      </c>
      <c r="H2567" s="378">
        <v>530000</v>
      </c>
      <c r="I2567" s="378">
        <v>10585483</v>
      </c>
      <c r="J2567" s="384">
        <f t="shared" si="45"/>
        <v>6</v>
      </c>
    </row>
    <row r="2568" spans="1:10" ht="15" customHeight="1" x14ac:dyDescent="0.25">
      <c r="A2568" s="380">
        <v>52959501</v>
      </c>
      <c r="B2568" s="381" t="s">
        <v>315</v>
      </c>
      <c r="C2568" s="381" t="s">
        <v>1383</v>
      </c>
      <c r="D2568" s="381" t="s">
        <v>315</v>
      </c>
      <c r="E2568" s="381" t="s">
        <v>315</v>
      </c>
      <c r="F2568" s="378">
        <v>1894689</v>
      </c>
      <c r="G2568" s="378">
        <v>795326</v>
      </c>
      <c r="H2568" s="378">
        <v>530000</v>
      </c>
      <c r="I2568" s="378">
        <v>2160015</v>
      </c>
      <c r="J2568" s="384">
        <f t="shared" si="45"/>
        <v>8</v>
      </c>
    </row>
    <row r="2569" spans="1:10" ht="15" customHeight="1" x14ac:dyDescent="0.25">
      <c r="A2569" s="380">
        <v>52959501</v>
      </c>
      <c r="B2569" s="381" t="s">
        <v>315</v>
      </c>
      <c r="C2569" s="381" t="s">
        <v>1383</v>
      </c>
      <c r="D2569" s="381" t="s">
        <v>742</v>
      </c>
      <c r="E2569" s="381" t="s">
        <v>743</v>
      </c>
      <c r="F2569" s="378">
        <v>560000</v>
      </c>
      <c r="G2569" s="378">
        <v>0</v>
      </c>
      <c r="H2569" s="378">
        <v>0</v>
      </c>
      <c r="I2569" s="378">
        <v>560000</v>
      </c>
      <c r="J2569" s="384">
        <f t="shared" si="45"/>
        <v>8</v>
      </c>
    </row>
    <row r="2570" spans="1:10" ht="15" customHeight="1" x14ac:dyDescent="0.25">
      <c r="A2570" s="380">
        <v>52959501</v>
      </c>
      <c r="B2570" s="381" t="s">
        <v>315</v>
      </c>
      <c r="C2570" s="381" t="s">
        <v>1383</v>
      </c>
      <c r="D2570" s="381" t="s">
        <v>744</v>
      </c>
      <c r="E2570" s="381" t="s">
        <v>745</v>
      </c>
      <c r="F2570" s="378">
        <v>330000</v>
      </c>
      <c r="G2570" s="378">
        <v>90000</v>
      </c>
      <c r="H2570" s="378">
        <v>0</v>
      </c>
      <c r="I2570" s="378">
        <v>420000</v>
      </c>
      <c r="J2570" s="384">
        <f t="shared" si="45"/>
        <v>8</v>
      </c>
    </row>
    <row r="2571" spans="1:10" ht="15" customHeight="1" x14ac:dyDescent="0.25">
      <c r="A2571" s="380">
        <v>52959501</v>
      </c>
      <c r="B2571" s="381" t="s">
        <v>315</v>
      </c>
      <c r="C2571" s="381" t="s">
        <v>1383</v>
      </c>
      <c r="D2571" s="381" t="s">
        <v>1346</v>
      </c>
      <c r="E2571" s="381" t="s">
        <v>1347</v>
      </c>
      <c r="F2571" s="378">
        <v>178500</v>
      </c>
      <c r="G2571" s="378">
        <v>0</v>
      </c>
      <c r="H2571" s="378">
        <v>0</v>
      </c>
      <c r="I2571" s="378">
        <v>178500</v>
      </c>
      <c r="J2571" s="384">
        <f t="shared" si="45"/>
        <v>8</v>
      </c>
    </row>
    <row r="2572" spans="1:10" ht="15" customHeight="1" x14ac:dyDescent="0.25">
      <c r="A2572" s="380">
        <v>52959501</v>
      </c>
      <c r="B2572" s="381" t="s">
        <v>315</v>
      </c>
      <c r="C2572" s="381" t="s">
        <v>1383</v>
      </c>
      <c r="D2572" s="381" t="s">
        <v>1384</v>
      </c>
      <c r="E2572" s="381" t="s">
        <v>1478</v>
      </c>
      <c r="F2572" s="378">
        <v>167700</v>
      </c>
      <c r="G2572" s="378">
        <v>0</v>
      </c>
      <c r="H2572" s="378">
        <v>0</v>
      </c>
      <c r="I2572" s="378">
        <v>167700</v>
      </c>
      <c r="J2572" s="384">
        <f t="shared" si="45"/>
        <v>8</v>
      </c>
    </row>
    <row r="2573" spans="1:10" ht="15" customHeight="1" x14ac:dyDescent="0.25">
      <c r="A2573" s="380">
        <v>52959501</v>
      </c>
      <c r="B2573" s="381" t="s">
        <v>315</v>
      </c>
      <c r="C2573" s="381" t="s">
        <v>1383</v>
      </c>
      <c r="D2573" s="381" t="s">
        <v>365</v>
      </c>
      <c r="E2573" s="381" t="s">
        <v>366</v>
      </c>
      <c r="F2573" s="378">
        <v>91661</v>
      </c>
      <c r="G2573" s="378">
        <v>20032</v>
      </c>
      <c r="H2573" s="378">
        <v>0</v>
      </c>
      <c r="I2573" s="378">
        <v>111693</v>
      </c>
      <c r="J2573" s="384">
        <f t="shared" si="45"/>
        <v>8</v>
      </c>
    </row>
    <row r="2574" spans="1:10" ht="15" customHeight="1" x14ac:dyDescent="0.25">
      <c r="A2574" s="380">
        <v>52959501</v>
      </c>
      <c r="B2574" s="381" t="s">
        <v>315</v>
      </c>
      <c r="C2574" s="381" t="s">
        <v>1383</v>
      </c>
      <c r="D2574" s="381" t="s">
        <v>685</v>
      </c>
      <c r="E2574" s="381" t="s">
        <v>1144</v>
      </c>
      <c r="F2574" s="378">
        <v>322101</v>
      </c>
      <c r="G2574" s="378">
        <v>0</v>
      </c>
      <c r="H2574" s="378">
        <v>0</v>
      </c>
      <c r="I2574" s="378">
        <v>322101</v>
      </c>
      <c r="J2574" s="384">
        <f t="shared" si="45"/>
        <v>8</v>
      </c>
    </row>
    <row r="2575" spans="1:10" ht="15" customHeight="1" x14ac:dyDescent="0.25">
      <c r="A2575" s="380">
        <v>52959501</v>
      </c>
      <c r="B2575" s="381" t="s">
        <v>315</v>
      </c>
      <c r="C2575" s="381" t="s">
        <v>1383</v>
      </c>
      <c r="D2575" s="381" t="s">
        <v>1154</v>
      </c>
      <c r="E2575" s="381" t="s">
        <v>1155</v>
      </c>
      <c r="F2575" s="378">
        <v>0</v>
      </c>
      <c r="G2575" s="378">
        <v>155294</v>
      </c>
      <c r="H2575" s="378">
        <v>0</v>
      </c>
      <c r="I2575" s="378">
        <v>155294</v>
      </c>
      <c r="J2575" s="384">
        <f t="shared" si="45"/>
        <v>8</v>
      </c>
    </row>
    <row r="2576" spans="1:10" ht="15" customHeight="1" x14ac:dyDescent="0.25">
      <c r="A2576" s="380">
        <v>52959501</v>
      </c>
      <c r="B2576" s="381" t="s">
        <v>315</v>
      </c>
      <c r="C2576" s="381" t="s">
        <v>1383</v>
      </c>
      <c r="D2576" s="381" t="s">
        <v>389</v>
      </c>
      <c r="E2576" s="381" t="s">
        <v>821</v>
      </c>
      <c r="F2576" s="378">
        <v>64227</v>
      </c>
      <c r="G2576" s="378">
        <v>0</v>
      </c>
      <c r="H2576" s="378">
        <v>0</v>
      </c>
      <c r="I2576" s="378">
        <v>64227</v>
      </c>
      <c r="J2576" s="384">
        <f t="shared" si="45"/>
        <v>8</v>
      </c>
    </row>
    <row r="2577" spans="1:10" ht="15" customHeight="1" x14ac:dyDescent="0.25">
      <c r="A2577" s="380">
        <v>52959501</v>
      </c>
      <c r="B2577" s="381" t="s">
        <v>315</v>
      </c>
      <c r="C2577" s="381" t="s">
        <v>1383</v>
      </c>
      <c r="D2577" s="381" t="s">
        <v>1385</v>
      </c>
      <c r="E2577" s="381" t="s">
        <v>1386</v>
      </c>
      <c r="F2577" s="378">
        <v>180500</v>
      </c>
      <c r="G2577" s="378">
        <v>0</v>
      </c>
      <c r="H2577" s="378">
        <v>0</v>
      </c>
      <c r="I2577" s="378">
        <v>180500</v>
      </c>
      <c r="J2577" s="384">
        <f t="shared" si="45"/>
        <v>8</v>
      </c>
    </row>
    <row r="2578" spans="1:10" ht="15" customHeight="1" x14ac:dyDescent="0.25">
      <c r="A2578" s="380">
        <v>52959501</v>
      </c>
      <c r="B2578" s="381" t="s">
        <v>315</v>
      </c>
      <c r="C2578" s="381" t="s">
        <v>1383</v>
      </c>
      <c r="D2578" s="381" t="s">
        <v>1109</v>
      </c>
      <c r="E2578" s="381" t="s">
        <v>1110</v>
      </c>
      <c r="F2578" s="378">
        <v>0</v>
      </c>
      <c r="G2578" s="378">
        <v>530000</v>
      </c>
      <c r="H2578" s="378">
        <v>530000</v>
      </c>
      <c r="I2578" s="378">
        <v>0</v>
      </c>
      <c r="J2578" s="384">
        <f t="shared" si="45"/>
        <v>8</v>
      </c>
    </row>
    <row r="2579" spans="1:10" ht="15" customHeight="1" x14ac:dyDescent="0.25">
      <c r="A2579" s="380">
        <v>52959506</v>
      </c>
      <c r="B2579" s="381" t="s">
        <v>315</v>
      </c>
      <c r="C2579" s="381" t="s">
        <v>1388</v>
      </c>
      <c r="D2579" s="381" t="s">
        <v>315</v>
      </c>
      <c r="E2579" s="381" t="s">
        <v>315</v>
      </c>
      <c r="F2579" s="378">
        <v>3022600</v>
      </c>
      <c r="G2579" s="378">
        <v>791700</v>
      </c>
      <c r="H2579" s="378">
        <v>0</v>
      </c>
      <c r="I2579" s="378">
        <v>3814300</v>
      </c>
      <c r="J2579" s="384">
        <f t="shared" si="45"/>
        <v>8</v>
      </c>
    </row>
    <row r="2580" spans="1:10" ht="15" customHeight="1" x14ac:dyDescent="0.25">
      <c r="A2580" s="380">
        <v>52959506</v>
      </c>
      <c r="B2580" s="381" t="s">
        <v>315</v>
      </c>
      <c r="C2580" s="381" t="s">
        <v>1388</v>
      </c>
      <c r="D2580" s="381" t="s">
        <v>740</v>
      </c>
      <c r="E2580" s="381" t="s">
        <v>741</v>
      </c>
      <c r="F2580" s="378">
        <v>3012200</v>
      </c>
      <c r="G2580" s="378">
        <v>791700</v>
      </c>
      <c r="H2580" s="378">
        <v>0</v>
      </c>
      <c r="I2580" s="378">
        <v>3803900</v>
      </c>
      <c r="J2580" s="384">
        <f t="shared" si="45"/>
        <v>8</v>
      </c>
    </row>
    <row r="2581" spans="1:10" ht="15" customHeight="1" x14ac:dyDescent="0.25">
      <c r="A2581" s="380">
        <v>52959506</v>
      </c>
      <c r="B2581" s="381" t="s">
        <v>315</v>
      </c>
      <c r="C2581" s="381" t="s">
        <v>1388</v>
      </c>
      <c r="D2581" s="381" t="s">
        <v>1113</v>
      </c>
      <c r="E2581" s="381" t="s">
        <v>1114</v>
      </c>
      <c r="F2581" s="378">
        <v>10400</v>
      </c>
      <c r="G2581" s="378">
        <v>0</v>
      </c>
      <c r="H2581" s="378">
        <v>0</v>
      </c>
      <c r="I2581" s="378">
        <v>10400</v>
      </c>
      <c r="J2581" s="384">
        <f t="shared" si="45"/>
        <v>8</v>
      </c>
    </row>
    <row r="2582" spans="1:10" ht="15" customHeight="1" x14ac:dyDescent="0.25">
      <c r="A2582" s="380">
        <v>52959508</v>
      </c>
      <c r="B2582" s="381" t="s">
        <v>321</v>
      </c>
      <c r="C2582" s="381" t="s">
        <v>1389</v>
      </c>
      <c r="D2582" s="381" t="s">
        <v>315</v>
      </c>
      <c r="E2582" s="381" t="s">
        <v>315</v>
      </c>
      <c r="F2582" s="378">
        <v>3281636</v>
      </c>
      <c r="G2582" s="378">
        <v>151983</v>
      </c>
      <c r="H2582" s="378">
        <v>0</v>
      </c>
      <c r="I2582" s="378">
        <v>3433619</v>
      </c>
      <c r="J2582" s="384">
        <f t="shared" si="45"/>
        <v>8</v>
      </c>
    </row>
    <row r="2583" spans="1:10" ht="15" customHeight="1" x14ac:dyDescent="0.25">
      <c r="A2583" s="380">
        <v>52959508</v>
      </c>
      <c r="B2583" s="381" t="s">
        <v>321</v>
      </c>
      <c r="C2583" s="381" t="s">
        <v>1389</v>
      </c>
      <c r="D2583" s="381" t="s">
        <v>361</v>
      </c>
      <c r="E2583" s="381" t="s">
        <v>1123</v>
      </c>
      <c r="F2583" s="378">
        <v>161428</v>
      </c>
      <c r="G2583" s="378">
        <v>0</v>
      </c>
      <c r="H2583" s="378">
        <v>0</v>
      </c>
      <c r="I2583" s="378">
        <v>161428</v>
      </c>
      <c r="J2583" s="384">
        <f t="shared" si="45"/>
        <v>8</v>
      </c>
    </row>
    <row r="2584" spans="1:10" ht="15" customHeight="1" x14ac:dyDescent="0.25">
      <c r="A2584" s="380">
        <v>52959508</v>
      </c>
      <c r="B2584" s="381" t="s">
        <v>321</v>
      </c>
      <c r="C2584" s="381" t="s">
        <v>1389</v>
      </c>
      <c r="D2584" s="381" t="s">
        <v>383</v>
      </c>
      <c r="E2584" s="381" t="s">
        <v>384</v>
      </c>
      <c r="F2584" s="378">
        <v>1950466</v>
      </c>
      <c r="G2584" s="378">
        <v>0</v>
      </c>
      <c r="H2584" s="378">
        <v>0</v>
      </c>
      <c r="I2584" s="378">
        <v>1950466</v>
      </c>
      <c r="J2584" s="384">
        <f t="shared" si="45"/>
        <v>8</v>
      </c>
    </row>
    <row r="2585" spans="1:10" ht="15" customHeight="1" x14ac:dyDescent="0.25">
      <c r="A2585" s="380">
        <v>52959508</v>
      </c>
      <c r="B2585" s="381" t="s">
        <v>321</v>
      </c>
      <c r="C2585" s="381" t="s">
        <v>1389</v>
      </c>
      <c r="D2585" s="381" t="s">
        <v>1133</v>
      </c>
      <c r="E2585" s="381" t="s">
        <v>1134</v>
      </c>
      <c r="F2585" s="378">
        <v>48656</v>
      </c>
      <c r="G2585" s="378">
        <v>0</v>
      </c>
      <c r="H2585" s="378">
        <v>0</v>
      </c>
      <c r="I2585" s="378">
        <v>48656</v>
      </c>
      <c r="J2585" s="384">
        <f t="shared" si="45"/>
        <v>8</v>
      </c>
    </row>
    <row r="2586" spans="1:10" ht="15" customHeight="1" x14ac:dyDescent="0.25">
      <c r="A2586" s="380">
        <v>52959508</v>
      </c>
      <c r="B2586" s="381" t="s">
        <v>321</v>
      </c>
      <c r="C2586" s="381" t="s">
        <v>1389</v>
      </c>
      <c r="D2586" s="381" t="s">
        <v>672</v>
      </c>
      <c r="E2586" s="381" t="s">
        <v>1140</v>
      </c>
      <c r="F2586" s="378">
        <v>56284</v>
      </c>
      <c r="G2586" s="378">
        <v>0</v>
      </c>
      <c r="H2586" s="378">
        <v>0</v>
      </c>
      <c r="I2586" s="378">
        <v>56284</v>
      </c>
      <c r="J2586" s="384">
        <f t="shared" si="45"/>
        <v>8</v>
      </c>
    </row>
    <row r="2587" spans="1:10" ht="15" customHeight="1" x14ac:dyDescent="0.25">
      <c r="A2587" s="380">
        <v>52959508</v>
      </c>
      <c r="B2587" s="381" t="s">
        <v>321</v>
      </c>
      <c r="C2587" s="381" t="s">
        <v>1389</v>
      </c>
      <c r="D2587" s="381" t="s">
        <v>365</v>
      </c>
      <c r="E2587" s="381" t="s">
        <v>366</v>
      </c>
      <c r="F2587" s="378">
        <v>45203</v>
      </c>
      <c r="G2587" s="378">
        <v>0</v>
      </c>
      <c r="H2587" s="378">
        <v>0</v>
      </c>
      <c r="I2587" s="378">
        <v>45203</v>
      </c>
      <c r="J2587" s="384">
        <f t="shared" si="45"/>
        <v>8</v>
      </c>
    </row>
    <row r="2588" spans="1:10" ht="15" customHeight="1" x14ac:dyDescent="0.25">
      <c r="A2588" s="380">
        <v>52959508</v>
      </c>
      <c r="B2588" s="381" t="s">
        <v>321</v>
      </c>
      <c r="C2588" s="381" t="s">
        <v>1389</v>
      </c>
      <c r="D2588" s="381" t="s">
        <v>636</v>
      </c>
      <c r="E2588" s="381" t="s">
        <v>1145</v>
      </c>
      <c r="F2588" s="378">
        <v>129105</v>
      </c>
      <c r="G2588" s="378">
        <v>0</v>
      </c>
      <c r="H2588" s="378">
        <v>0</v>
      </c>
      <c r="I2588" s="378">
        <v>129105</v>
      </c>
      <c r="J2588" s="384">
        <f t="shared" si="45"/>
        <v>8</v>
      </c>
    </row>
    <row r="2589" spans="1:10" ht="15" customHeight="1" x14ac:dyDescent="0.25">
      <c r="A2589" s="380">
        <v>52959508</v>
      </c>
      <c r="B2589" s="381" t="s">
        <v>321</v>
      </c>
      <c r="C2589" s="381" t="s">
        <v>1389</v>
      </c>
      <c r="D2589" s="381" t="s">
        <v>389</v>
      </c>
      <c r="E2589" s="381" t="s">
        <v>821</v>
      </c>
      <c r="F2589" s="378">
        <v>318730</v>
      </c>
      <c r="G2589" s="378">
        <v>151983</v>
      </c>
      <c r="H2589" s="378">
        <v>0</v>
      </c>
      <c r="I2589" s="378">
        <v>470713</v>
      </c>
      <c r="J2589" s="384">
        <f t="shared" si="45"/>
        <v>8</v>
      </c>
    </row>
    <row r="2590" spans="1:10" ht="15" customHeight="1" x14ac:dyDescent="0.25">
      <c r="A2590" s="380">
        <v>52959508</v>
      </c>
      <c r="B2590" s="381" t="s">
        <v>321</v>
      </c>
      <c r="C2590" s="381" t="s">
        <v>1389</v>
      </c>
      <c r="D2590" s="381" t="s">
        <v>1166</v>
      </c>
      <c r="E2590" s="381" t="s">
        <v>1167</v>
      </c>
      <c r="F2590" s="378">
        <v>41933</v>
      </c>
      <c r="G2590" s="378">
        <v>0</v>
      </c>
      <c r="H2590" s="378">
        <v>0</v>
      </c>
      <c r="I2590" s="378">
        <v>41933</v>
      </c>
      <c r="J2590" s="384">
        <f t="shared" si="45"/>
        <v>8</v>
      </c>
    </row>
    <row r="2591" spans="1:10" ht="15" customHeight="1" x14ac:dyDescent="0.25">
      <c r="A2591" s="380">
        <v>52959508</v>
      </c>
      <c r="B2591" s="381" t="s">
        <v>321</v>
      </c>
      <c r="C2591" s="381" t="s">
        <v>1389</v>
      </c>
      <c r="D2591" s="381" t="s">
        <v>1172</v>
      </c>
      <c r="E2591" s="381" t="s">
        <v>1173</v>
      </c>
      <c r="F2591" s="378">
        <v>11680</v>
      </c>
      <c r="G2591" s="378">
        <v>0</v>
      </c>
      <c r="H2591" s="378">
        <v>0</v>
      </c>
      <c r="I2591" s="378">
        <v>11680</v>
      </c>
      <c r="J2591" s="384">
        <f t="shared" si="45"/>
        <v>8</v>
      </c>
    </row>
    <row r="2592" spans="1:10" ht="15" customHeight="1" x14ac:dyDescent="0.25">
      <c r="A2592" s="380">
        <v>52959508</v>
      </c>
      <c r="B2592" s="381" t="s">
        <v>321</v>
      </c>
      <c r="C2592" s="381" t="s">
        <v>1389</v>
      </c>
      <c r="D2592" s="381" t="s">
        <v>1178</v>
      </c>
      <c r="E2592" s="381" t="s">
        <v>1179</v>
      </c>
      <c r="F2592" s="378">
        <v>390000</v>
      </c>
      <c r="G2592" s="378">
        <v>0</v>
      </c>
      <c r="H2592" s="378">
        <v>0</v>
      </c>
      <c r="I2592" s="378">
        <v>390000</v>
      </c>
      <c r="J2592" s="384">
        <f t="shared" si="45"/>
        <v>8</v>
      </c>
    </row>
    <row r="2593" spans="1:10" ht="15" customHeight="1" x14ac:dyDescent="0.25">
      <c r="A2593" s="380">
        <v>52959508</v>
      </c>
      <c r="B2593" s="381" t="s">
        <v>321</v>
      </c>
      <c r="C2593" s="381" t="s">
        <v>1389</v>
      </c>
      <c r="D2593" s="381" t="s">
        <v>1186</v>
      </c>
      <c r="E2593" s="381" t="s">
        <v>1494</v>
      </c>
      <c r="F2593" s="378">
        <v>128151</v>
      </c>
      <c r="G2593" s="378">
        <v>0</v>
      </c>
      <c r="H2593" s="378">
        <v>0</v>
      </c>
      <c r="I2593" s="378">
        <v>128151</v>
      </c>
      <c r="J2593" s="384">
        <f t="shared" si="45"/>
        <v>8</v>
      </c>
    </row>
    <row r="2594" spans="1:10" ht="15" customHeight="1" x14ac:dyDescent="0.25">
      <c r="A2594" s="380">
        <v>52959516</v>
      </c>
      <c r="B2594" s="381" t="s">
        <v>321</v>
      </c>
      <c r="C2594" s="381" t="s">
        <v>1392</v>
      </c>
      <c r="D2594" s="381" t="s">
        <v>315</v>
      </c>
      <c r="E2594" s="381" t="s">
        <v>315</v>
      </c>
      <c r="F2594" s="378">
        <v>300914</v>
      </c>
      <c r="G2594" s="378">
        <v>85581</v>
      </c>
      <c r="H2594" s="378">
        <v>0</v>
      </c>
      <c r="I2594" s="378">
        <v>386495</v>
      </c>
      <c r="J2594" s="384">
        <f t="shared" si="45"/>
        <v>8</v>
      </c>
    </row>
    <row r="2595" spans="1:10" ht="15" customHeight="1" x14ac:dyDescent="0.25">
      <c r="A2595" s="380">
        <v>52959516</v>
      </c>
      <c r="B2595" s="381" t="s">
        <v>321</v>
      </c>
      <c r="C2595" s="381" t="s">
        <v>1392</v>
      </c>
      <c r="D2595" s="381" t="s">
        <v>717</v>
      </c>
      <c r="E2595" s="381" t="s">
        <v>718</v>
      </c>
      <c r="F2595" s="378">
        <v>300914</v>
      </c>
      <c r="G2595" s="378">
        <v>85581</v>
      </c>
      <c r="H2595" s="378">
        <v>0</v>
      </c>
      <c r="I2595" s="378">
        <v>386495</v>
      </c>
      <c r="J2595" s="384">
        <f t="shared" si="45"/>
        <v>8</v>
      </c>
    </row>
    <row r="2596" spans="1:10" ht="15" customHeight="1" x14ac:dyDescent="0.25">
      <c r="A2596" s="380">
        <v>52959595</v>
      </c>
      <c r="B2596" s="381" t="s">
        <v>315</v>
      </c>
      <c r="C2596" s="381" t="s">
        <v>238</v>
      </c>
      <c r="D2596" s="381" t="s">
        <v>315</v>
      </c>
      <c r="E2596" s="381" t="s">
        <v>315</v>
      </c>
      <c r="F2596" s="378">
        <v>780550</v>
      </c>
      <c r="G2596" s="378">
        <v>10504</v>
      </c>
      <c r="H2596" s="378">
        <v>0</v>
      </c>
      <c r="I2596" s="378">
        <v>791054</v>
      </c>
      <c r="J2596" s="384">
        <f t="shared" si="45"/>
        <v>8</v>
      </c>
    </row>
    <row r="2597" spans="1:10" ht="15" customHeight="1" x14ac:dyDescent="0.25">
      <c r="A2597" s="380">
        <v>52959595</v>
      </c>
      <c r="B2597" s="381" t="s">
        <v>315</v>
      </c>
      <c r="C2597" s="381" t="s">
        <v>238</v>
      </c>
      <c r="D2597" s="381" t="s">
        <v>738</v>
      </c>
      <c r="E2597" s="381" t="s">
        <v>739</v>
      </c>
      <c r="F2597" s="378">
        <v>60000</v>
      </c>
      <c r="G2597" s="378">
        <v>0</v>
      </c>
      <c r="H2597" s="378">
        <v>0</v>
      </c>
      <c r="I2597" s="378">
        <v>60000</v>
      </c>
      <c r="J2597" s="384">
        <f t="shared" si="45"/>
        <v>8</v>
      </c>
    </row>
    <row r="2598" spans="1:10" ht="15" customHeight="1" x14ac:dyDescent="0.25">
      <c r="A2598" s="380">
        <v>52959595</v>
      </c>
      <c r="B2598" s="381" t="s">
        <v>315</v>
      </c>
      <c r="C2598" s="381" t="s">
        <v>238</v>
      </c>
      <c r="D2598" s="381" t="s">
        <v>1393</v>
      </c>
      <c r="E2598" s="381" t="s">
        <v>1394</v>
      </c>
      <c r="F2598" s="378">
        <v>340000</v>
      </c>
      <c r="G2598" s="378">
        <v>0</v>
      </c>
      <c r="H2598" s="378">
        <v>0</v>
      </c>
      <c r="I2598" s="378">
        <v>340000</v>
      </c>
      <c r="J2598" s="384">
        <f t="shared" si="45"/>
        <v>8</v>
      </c>
    </row>
    <row r="2599" spans="1:10" ht="15" customHeight="1" x14ac:dyDescent="0.25">
      <c r="A2599" s="380">
        <v>52959595</v>
      </c>
      <c r="B2599" s="381" t="s">
        <v>315</v>
      </c>
      <c r="C2599" s="381" t="s">
        <v>238</v>
      </c>
      <c r="D2599" s="381" t="s">
        <v>1395</v>
      </c>
      <c r="E2599" s="381" t="s">
        <v>1396</v>
      </c>
      <c r="F2599" s="378">
        <v>30000</v>
      </c>
      <c r="G2599" s="378">
        <v>0</v>
      </c>
      <c r="H2599" s="378">
        <v>0</v>
      </c>
      <c r="I2599" s="378">
        <v>30000</v>
      </c>
      <c r="J2599" s="384">
        <f t="shared" si="45"/>
        <v>8</v>
      </c>
    </row>
    <row r="2600" spans="1:10" ht="15" customHeight="1" x14ac:dyDescent="0.25">
      <c r="A2600" s="380">
        <v>52959595</v>
      </c>
      <c r="B2600" s="381" t="s">
        <v>315</v>
      </c>
      <c r="C2600" s="381" t="s">
        <v>238</v>
      </c>
      <c r="D2600" s="381" t="s">
        <v>361</v>
      </c>
      <c r="E2600" s="381" t="s">
        <v>1123</v>
      </c>
      <c r="F2600" s="378">
        <v>24900</v>
      </c>
      <c r="G2600" s="378">
        <v>10504</v>
      </c>
      <c r="H2600" s="378">
        <v>0</v>
      </c>
      <c r="I2600" s="378">
        <v>35404</v>
      </c>
      <c r="J2600" s="384">
        <f t="shared" ref="J2600:J2663" si="46">+LEN(A2600)</f>
        <v>8</v>
      </c>
    </row>
    <row r="2601" spans="1:10" ht="15" customHeight="1" x14ac:dyDescent="0.25">
      <c r="A2601" s="380">
        <v>52959595</v>
      </c>
      <c r="B2601" s="381" t="s">
        <v>315</v>
      </c>
      <c r="C2601" s="381" t="s">
        <v>238</v>
      </c>
      <c r="D2601" s="381" t="s">
        <v>997</v>
      </c>
      <c r="E2601" s="381" t="s">
        <v>998</v>
      </c>
      <c r="F2601" s="378">
        <v>99600</v>
      </c>
      <c r="G2601" s="378">
        <v>0</v>
      </c>
      <c r="H2601" s="378">
        <v>0</v>
      </c>
      <c r="I2601" s="378">
        <v>99600</v>
      </c>
      <c r="J2601" s="384">
        <f t="shared" si="46"/>
        <v>8</v>
      </c>
    </row>
    <row r="2602" spans="1:10" ht="15" customHeight="1" x14ac:dyDescent="0.25">
      <c r="A2602" s="380">
        <v>52959595</v>
      </c>
      <c r="B2602" s="381" t="s">
        <v>315</v>
      </c>
      <c r="C2602" s="381" t="s">
        <v>238</v>
      </c>
      <c r="D2602" s="381" t="s">
        <v>1148</v>
      </c>
      <c r="E2602" s="381" t="s">
        <v>1149</v>
      </c>
      <c r="F2602" s="378">
        <v>8403</v>
      </c>
      <c r="G2602" s="378">
        <v>0</v>
      </c>
      <c r="H2602" s="378">
        <v>0</v>
      </c>
      <c r="I2602" s="378">
        <v>8403</v>
      </c>
      <c r="J2602" s="384">
        <f t="shared" si="46"/>
        <v>8</v>
      </c>
    </row>
    <row r="2603" spans="1:10" ht="15" customHeight="1" x14ac:dyDescent="0.25">
      <c r="A2603" s="380">
        <v>52959595</v>
      </c>
      <c r="B2603" s="381" t="s">
        <v>315</v>
      </c>
      <c r="C2603" s="381" t="s">
        <v>238</v>
      </c>
      <c r="D2603" s="381" t="s">
        <v>1015</v>
      </c>
      <c r="E2603" s="381" t="s">
        <v>1016</v>
      </c>
      <c r="F2603" s="378">
        <v>12605</v>
      </c>
      <c r="G2603" s="378">
        <v>0</v>
      </c>
      <c r="H2603" s="378">
        <v>0</v>
      </c>
      <c r="I2603" s="378">
        <v>12605</v>
      </c>
      <c r="J2603" s="384">
        <f t="shared" si="46"/>
        <v>8</v>
      </c>
    </row>
    <row r="2604" spans="1:10" ht="15" customHeight="1" x14ac:dyDescent="0.25">
      <c r="A2604" s="380">
        <v>52959595</v>
      </c>
      <c r="B2604" s="381" t="s">
        <v>315</v>
      </c>
      <c r="C2604" s="381" t="s">
        <v>238</v>
      </c>
      <c r="D2604" s="381" t="s">
        <v>1019</v>
      </c>
      <c r="E2604" s="381" t="s">
        <v>1020</v>
      </c>
      <c r="F2604" s="378">
        <v>171429</v>
      </c>
      <c r="G2604" s="378">
        <v>0</v>
      </c>
      <c r="H2604" s="378">
        <v>0</v>
      </c>
      <c r="I2604" s="378">
        <v>171429</v>
      </c>
      <c r="J2604" s="384">
        <f t="shared" si="46"/>
        <v>8</v>
      </c>
    </row>
    <row r="2605" spans="1:10" ht="15" customHeight="1" x14ac:dyDescent="0.25">
      <c r="A2605" s="380">
        <v>52959595</v>
      </c>
      <c r="B2605" s="381" t="s">
        <v>315</v>
      </c>
      <c r="C2605" s="381" t="s">
        <v>238</v>
      </c>
      <c r="D2605" s="381" t="s">
        <v>1182</v>
      </c>
      <c r="E2605" s="381" t="s">
        <v>1183</v>
      </c>
      <c r="F2605" s="378">
        <v>33613</v>
      </c>
      <c r="G2605" s="378">
        <v>0</v>
      </c>
      <c r="H2605" s="378">
        <v>0</v>
      </c>
      <c r="I2605" s="378">
        <v>33613</v>
      </c>
      <c r="J2605" s="384">
        <f t="shared" si="46"/>
        <v>8</v>
      </c>
    </row>
    <row r="2606" spans="1:10" ht="15" customHeight="1" x14ac:dyDescent="0.25">
      <c r="A2606" s="380">
        <v>529596</v>
      </c>
      <c r="B2606" s="381" t="s">
        <v>315</v>
      </c>
      <c r="C2606" s="381" t="s">
        <v>1397</v>
      </c>
      <c r="D2606" s="381" t="s">
        <v>315</v>
      </c>
      <c r="E2606" s="381" t="s">
        <v>315</v>
      </c>
      <c r="F2606" s="378">
        <v>2539808</v>
      </c>
      <c r="G2606" s="378">
        <v>224362</v>
      </c>
      <c r="H2606" s="378">
        <v>0</v>
      </c>
      <c r="I2606" s="378">
        <v>2764170</v>
      </c>
      <c r="J2606" s="384">
        <f t="shared" si="46"/>
        <v>6</v>
      </c>
    </row>
    <row r="2607" spans="1:10" ht="15" customHeight="1" x14ac:dyDescent="0.25">
      <c r="A2607" s="380">
        <v>52959601</v>
      </c>
      <c r="B2607" s="381" t="s">
        <v>315</v>
      </c>
      <c r="C2607" s="381" t="s">
        <v>1397</v>
      </c>
      <c r="D2607" s="381" t="s">
        <v>315</v>
      </c>
      <c r="E2607" s="381" t="s">
        <v>315</v>
      </c>
      <c r="F2607" s="378">
        <v>1118598</v>
      </c>
      <c r="G2607" s="378">
        <v>224362</v>
      </c>
      <c r="H2607" s="378">
        <v>0</v>
      </c>
      <c r="I2607" s="378">
        <v>1342960</v>
      </c>
      <c r="J2607" s="384">
        <f t="shared" si="46"/>
        <v>8</v>
      </c>
    </row>
    <row r="2608" spans="1:10" ht="15" customHeight="1" x14ac:dyDescent="0.25">
      <c r="A2608" s="380">
        <v>52959601</v>
      </c>
      <c r="B2608" s="381" t="s">
        <v>315</v>
      </c>
      <c r="C2608" s="381" t="s">
        <v>1397</v>
      </c>
      <c r="D2608" s="381" t="s">
        <v>1284</v>
      </c>
      <c r="E2608" s="381" t="s">
        <v>1285</v>
      </c>
      <c r="F2608" s="378">
        <v>5300</v>
      </c>
      <c r="G2608" s="378">
        <v>0</v>
      </c>
      <c r="H2608" s="378">
        <v>0</v>
      </c>
      <c r="I2608" s="378">
        <v>5300</v>
      </c>
      <c r="J2608" s="384">
        <f t="shared" si="46"/>
        <v>8</v>
      </c>
    </row>
    <row r="2609" spans="1:10" ht="15" customHeight="1" x14ac:dyDescent="0.25">
      <c r="A2609" s="380">
        <v>52959601</v>
      </c>
      <c r="B2609" s="381" t="s">
        <v>315</v>
      </c>
      <c r="C2609" s="381" t="s">
        <v>1397</v>
      </c>
      <c r="D2609" s="381" t="s">
        <v>651</v>
      </c>
      <c r="E2609" s="381" t="s">
        <v>967</v>
      </c>
      <c r="F2609" s="378">
        <v>5000</v>
      </c>
      <c r="G2609" s="378">
        <v>0</v>
      </c>
      <c r="H2609" s="378">
        <v>0</v>
      </c>
      <c r="I2609" s="378">
        <v>5000</v>
      </c>
      <c r="J2609" s="384">
        <f t="shared" si="46"/>
        <v>8</v>
      </c>
    </row>
    <row r="2610" spans="1:10" ht="15" customHeight="1" x14ac:dyDescent="0.25">
      <c r="A2610" s="380">
        <v>52959601</v>
      </c>
      <c r="B2610" s="381" t="s">
        <v>315</v>
      </c>
      <c r="C2610" s="381" t="s">
        <v>1397</v>
      </c>
      <c r="D2610" s="381" t="s">
        <v>1116</v>
      </c>
      <c r="E2610" s="381" t="s">
        <v>1117</v>
      </c>
      <c r="F2610" s="378">
        <v>18151</v>
      </c>
      <c r="G2610" s="378">
        <v>0</v>
      </c>
      <c r="H2610" s="378">
        <v>0</v>
      </c>
      <c r="I2610" s="378">
        <v>18151</v>
      </c>
      <c r="J2610" s="384">
        <f t="shared" si="46"/>
        <v>8</v>
      </c>
    </row>
    <row r="2611" spans="1:10" ht="15" customHeight="1" x14ac:dyDescent="0.25">
      <c r="A2611" s="380">
        <v>52959601</v>
      </c>
      <c r="B2611" s="381" t="s">
        <v>315</v>
      </c>
      <c r="C2611" s="381" t="s">
        <v>1397</v>
      </c>
      <c r="D2611" s="381" t="s">
        <v>1376</v>
      </c>
      <c r="E2611" s="381" t="s">
        <v>1377</v>
      </c>
      <c r="F2611" s="378">
        <v>9900</v>
      </c>
      <c r="G2611" s="378">
        <v>0</v>
      </c>
      <c r="H2611" s="378">
        <v>0</v>
      </c>
      <c r="I2611" s="378">
        <v>9900</v>
      </c>
      <c r="J2611" s="384">
        <f t="shared" si="46"/>
        <v>8</v>
      </c>
    </row>
    <row r="2612" spans="1:10" ht="15" customHeight="1" x14ac:dyDescent="0.25">
      <c r="A2612" s="380">
        <v>52959601</v>
      </c>
      <c r="B2612" s="381" t="s">
        <v>315</v>
      </c>
      <c r="C2612" s="381" t="s">
        <v>1397</v>
      </c>
      <c r="D2612" s="381" t="s">
        <v>422</v>
      </c>
      <c r="E2612" s="381" t="s">
        <v>1073</v>
      </c>
      <c r="F2612" s="378">
        <v>1966</v>
      </c>
      <c r="G2612" s="378">
        <v>0</v>
      </c>
      <c r="H2612" s="378">
        <v>0</v>
      </c>
      <c r="I2612" s="378">
        <v>1966</v>
      </c>
      <c r="J2612" s="384">
        <f t="shared" si="46"/>
        <v>8</v>
      </c>
    </row>
    <row r="2613" spans="1:10" ht="15" customHeight="1" x14ac:dyDescent="0.25">
      <c r="A2613" s="380">
        <v>52959601</v>
      </c>
      <c r="B2613" s="381" t="s">
        <v>315</v>
      </c>
      <c r="C2613" s="381" t="s">
        <v>1397</v>
      </c>
      <c r="D2613" s="381" t="s">
        <v>1127</v>
      </c>
      <c r="E2613" s="381" t="s">
        <v>1128</v>
      </c>
      <c r="F2613" s="378">
        <v>36800</v>
      </c>
      <c r="G2613" s="378">
        <v>0</v>
      </c>
      <c r="H2613" s="378">
        <v>0</v>
      </c>
      <c r="I2613" s="378">
        <v>36800</v>
      </c>
      <c r="J2613" s="384">
        <f t="shared" si="46"/>
        <v>8</v>
      </c>
    </row>
    <row r="2614" spans="1:10" ht="15" customHeight="1" x14ac:dyDescent="0.25">
      <c r="A2614" s="380">
        <v>52959601</v>
      </c>
      <c r="B2614" s="381" t="s">
        <v>315</v>
      </c>
      <c r="C2614" s="381" t="s">
        <v>1397</v>
      </c>
      <c r="D2614" s="381" t="s">
        <v>684</v>
      </c>
      <c r="E2614" s="381" t="s">
        <v>1129</v>
      </c>
      <c r="F2614" s="378">
        <v>11500</v>
      </c>
      <c r="G2614" s="378">
        <v>11530</v>
      </c>
      <c r="H2614" s="378">
        <v>0</v>
      </c>
      <c r="I2614" s="378">
        <v>23030</v>
      </c>
      <c r="J2614" s="384">
        <f t="shared" si="46"/>
        <v>8</v>
      </c>
    </row>
    <row r="2615" spans="1:10" ht="15" customHeight="1" x14ac:dyDescent="0.25">
      <c r="A2615" s="380">
        <v>52959601</v>
      </c>
      <c r="B2615" s="381" t="s">
        <v>315</v>
      </c>
      <c r="C2615" s="381" t="s">
        <v>1397</v>
      </c>
      <c r="D2615" s="381" t="s">
        <v>1398</v>
      </c>
      <c r="E2615" s="381" t="s">
        <v>1399</v>
      </c>
      <c r="F2615" s="378">
        <v>105720</v>
      </c>
      <c r="G2615" s="378">
        <v>0</v>
      </c>
      <c r="H2615" s="378">
        <v>0</v>
      </c>
      <c r="I2615" s="378">
        <v>105720</v>
      </c>
      <c r="J2615" s="384">
        <f t="shared" si="46"/>
        <v>8</v>
      </c>
    </row>
    <row r="2616" spans="1:10" ht="15" customHeight="1" x14ac:dyDescent="0.25">
      <c r="A2616" s="380">
        <v>52959601</v>
      </c>
      <c r="B2616" s="381" t="s">
        <v>315</v>
      </c>
      <c r="C2616" s="381" t="s">
        <v>1397</v>
      </c>
      <c r="D2616" s="381" t="s">
        <v>365</v>
      </c>
      <c r="E2616" s="381" t="s">
        <v>366</v>
      </c>
      <c r="F2616" s="378">
        <v>49630</v>
      </c>
      <c r="G2616" s="378">
        <v>1105</v>
      </c>
      <c r="H2616" s="378">
        <v>0</v>
      </c>
      <c r="I2616" s="378">
        <v>50735</v>
      </c>
      <c r="J2616" s="384">
        <f t="shared" si="46"/>
        <v>8</v>
      </c>
    </row>
    <row r="2617" spans="1:10" ht="15" customHeight="1" x14ac:dyDescent="0.25">
      <c r="A2617" s="380">
        <v>52959601</v>
      </c>
      <c r="B2617" s="381" t="s">
        <v>315</v>
      </c>
      <c r="C2617" s="381" t="s">
        <v>1397</v>
      </c>
      <c r="D2617" s="381" t="s">
        <v>746</v>
      </c>
      <c r="E2617" s="381" t="s">
        <v>1478</v>
      </c>
      <c r="F2617" s="378">
        <v>39000</v>
      </c>
      <c r="G2617" s="378">
        <v>0</v>
      </c>
      <c r="H2617" s="378">
        <v>0</v>
      </c>
      <c r="I2617" s="378">
        <v>39000</v>
      </c>
      <c r="J2617" s="384">
        <f t="shared" si="46"/>
        <v>8</v>
      </c>
    </row>
    <row r="2618" spans="1:10" ht="15" customHeight="1" x14ac:dyDescent="0.25">
      <c r="A2618" s="380">
        <v>52959601</v>
      </c>
      <c r="B2618" s="381" t="s">
        <v>315</v>
      </c>
      <c r="C2618" s="381" t="s">
        <v>1397</v>
      </c>
      <c r="D2618" s="381" t="s">
        <v>669</v>
      </c>
      <c r="E2618" s="381" t="s">
        <v>1143</v>
      </c>
      <c r="F2618" s="378">
        <v>16872</v>
      </c>
      <c r="G2618" s="378">
        <v>0</v>
      </c>
      <c r="H2618" s="378">
        <v>0</v>
      </c>
      <c r="I2618" s="378">
        <v>16872</v>
      </c>
      <c r="J2618" s="384">
        <f t="shared" si="46"/>
        <v>8</v>
      </c>
    </row>
    <row r="2619" spans="1:10" ht="15" customHeight="1" x14ac:dyDescent="0.25">
      <c r="A2619" s="380">
        <v>52959601</v>
      </c>
      <c r="B2619" s="381" t="s">
        <v>315</v>
      </c>
      <c r="C2619" s="381" t="s">
        <v>1397</v>
      </c>
      <c r="D2619" s="381" t="s">
        <v>1400</v>
      </c>
      <c r="E2619" s="381" t="s">
        <v>1401</v>
      </c>
      <c r="F2619" s="378">
        <v>21900</v>
      </c>
      <c r="G2619" s="378">
        <v>0</v>
      </c>
      <c r="H2619" s="378">
        <v>0</v>
      </c>
      <c r="I2619" s="378">
        <v>21900</v>
      </c>
      <c r="J2619" s="384">
        <f t="shared" si="46"/>
        <v>8</v>
      </c>
    </row>
    <row r="2620" spans="1:10" ht="15" customHeight="1" x14ac:dyDescent="0.25">
      <c r="A2620" s="380">
        <v>52959601</v>
      </c>
      <c r="B2620" s="381" t="s">
        <v>315</v>
      </c>
      <c r="C2620" s="381" t="s">
        <v>1397</v>
      </c>
      <c r="D2620" s="381" t="s">
        <v>685</v>
      </c>
      <c r="E2620" s="381" t="s">
        <v>1144</v>
      </c>
      <c r="F2620" s="378">
        <v>14900</v>
      </c>
      <c r="G2620" s="378">
        <v>0</v>
      </c>
      <c r="H2620" s="378">
        <v>0</v>
      </c>
      <c r="I2620" s="378">
        <v>14900</v>
      </c>
      <c r="J2620" s="384">
        <f t="shared" si="46"/>
        <v>8</v>
      </c>
    </row>
    <row r="2621" spans="1:10" ht="15" customHeight="1" x14ac:dyDescent="0.25">
      <c r="A2621" s="380">
        <v>52959601</v>
      </c>
      <c r="B2621" s="381" t="s">
        <v>315</v>
      </c>
      <c r="C2621" s="381" t="s">
        <v>1397</v>
      </c>
      <c r="D2621" s="381" t="s">
        <v>1402</v>
      </c>
      <c r="E2621" s="381" t="s">
        <v>1403</v>
      </c>
      <c r="F2621" s="378">
        <v>47200</v>
      </c>
      <c r="G2621" s="378">
        <v>0</v>
      </c>
      <c r="H2621" s="378">
        <v>0</v>
      </c>
      <c r="I2621" s="378">
        <v>47200</v>
      </c>
      <c r="J2621" s="384">
        <f t="shared" si="46"/>
        <v>8</v>
      </c>
    </row>
    <row r="2622" spans="1:10" ht="15" customHeight="1" x14ac:dyDescent="0.25">
      <c r="A2622" s="380">
        <v>52959601</v>
      </c>
      <c r="B2622" s="381" t="s">
        <v>315</v>
      </c>
      <c r="C2622" s="381" t="s">
        <v>1397</v>
      </c>
      <c r="D2622" s="381" t="s">
        <v>1156</v>
      </c>
      <c r="E2622" s="381" t="s">
        <v>1157</v>
      </c>
      <c r="F2622" s="378">
        <v>82000</v>
      </c>
      <c r="G2622" s="378">
        <v>0</v>
      </c>
      <c r="H2622" s="378">
        <v>0</v>
      </c>
      <c r="I2622" s="378">
        <v>82000</v>
      </c>
      <c r="J2622" s="384">
        <f t="shared" si="46"/>
        <v>8</v>
      </c>
    </row>
    <row r="2623" spans="1:10" ht="15" customHeight="1" x14ac:dyDescent="0.25">
      <c r="A2623" s="380">
        <v>52959601</v>
      </c>
      <c r="B2623" s="381" t="s">
        <v>315</v>
      </c>
      <c r="C2623" s="381" t="s">
        <v>1397</v>
      </c>
      <c r="D2623" s="381" t="s">
        <v>1404</v>
      </c>
      <c r="E2623" s="381" t="s">
        <v>1405</v>
      </c>
      <c r="F2623" s="378">
        <v>6500</v>
      </c>
      <c r="G2623" s="378">
        <v>0</v>
      </c>
      <c r="H2623" s="378">
        <v>0</v>
      </c>
      <c r="I2623" s="378">
        <v>6500</v>
      </c>
      <c r="J2623" s="384">
        <f t="shared" si="46"/>
        <v>8</v>
      </c>
    </row>
    <row r="2624" spans="1:10" ht="15" customHeight="1" x14ac:dyDescent="0.25">
      <c r="A2624" s="380">
        <v>52959601</v>
      </c>
      <c r="B2624" s="381" t="s">
        <v>315</v>
      </c>
      <c r="C2624" s="381" t="s">
        <v>1397</v>
      </c>
      <c r="D2624" s="381" t="s">
        <v>389</v>
      </c>
      <c r="E2624" s="381" t="s">
        <v>821</v>
      </c>
      <c r="F2624" s="378">
        <v>10000</v>
      </c>
      <c r="G2624" s="378">
        <v>0</v>
      </c>
      <c r="H2624" s="378">
        <v>0</v>
      </c>
      <c r="I2624" s="378">
        <v>10000</v>
      </c>
      <c r="J2624" s="384">
        <f t="shared" si="46"/>
        <v>8</v>
      </c>
    </row>
    <row r="2625" spans="1:10" ht="15" customHeight="1" x14ac:dyDescent="0.25">
      <c r="A2625" s="380">
        <v>52959601</v>
      </c>
      <c r="B2625" s="381" t="s">
        <v>315</v>
      </c>
      <c r="C2625" s="381" t="s">
        <v>1397</v>
      </c>
      <c r="D2625" s="381" t="s">
        <v>1006</v>
      </c>
      <c r="E2625" s="381" t="s">
        <v>1007</v>
      </c>
      <c r="F2625" s="378">
        <v>11000</v>
      </c>
      <c r="G2625" s="378">
        <v>0</v>
      </c>
      <c r="H2625" s="378">
        <v>0</v>
      </c>
      <c r="I2625" s="378">
        <v>11000</v>
      </c>
      <c r="J2625" s="384">
        <f t="shared" si="46"/>
        <v>8</v>
      </c>
    </row>
    <row r="2626" spans="1:10" ht="15" customHeight="1" x14ac:dyDescent="0.25">
      <c r="A2626" s="380">
        <v>52959601</v>
      </c>
      <c r="B2626" s="381" t="s">
        <v>315</v>
      </c>
      <c r="C2626" s="381" t="s">
        <v>1397</v>
      </c>
      <c r="D2626" s="381" t="s">
        <v>918</v>
      </c>
      <c r="E2626" s="381" t="s">
        <v>919</v>
      </c>
      <c r="F2626" s="378">
        <v>4000</v>
      </c>
      <c r="G2626" s="378">
        <v>0</v>
      </c>
      <c r="H2626" s="378">
        <v>0</v>
      </c>
      <c r="I2626" s="378">
        <v>4000</v>
      </c>
      <c r="J2626" s="384">
        <f t="shared" si="46"/>
        <v>8</v>
      </c>
    </row>
    <row r="2627" spans="1:10" ht="15" customHeight="1" x14ac:dyDescent="0.25">
      <c r="A2627" s="380">
        <v>52959601</v>
      </c>
      <c r="B2627" s="381" t="s">
        <v>315</v>
      </c>
      <c r="C2627" s="381" t="s">
        <v>1397</v>
      </c>
      <c r="D2627" s="381" t="s">
        <v>1013</v>
      </c>
      <c r="E2627" s="381" t="s">
        <v>1014</v>
      </c>
      <c r="F2627" s="378">
        <v>39000</v>
      </c>
      <c r="G2627" s="378">
        <v>0</v>
      </c>
      <c r="H2627" s="378">
        <v>0</v>
      </c>
      <c r="I2627" s="378">
        <v>39000</v>
      </c>
      <c r="J2627" s="384">
        <f t="shared" si="46"/>
        <v>8</v>
      </c>
    </row>
    <row r="2628" spans="1:10" ht="15" customHeight="1" x14ac:dyDescent="0.25">
      <c r="A2628" s="380">
        <v>52959601</v>
      </c>
      <c r="B2628" s="381" t="s">
        <v>315</v>
      </c>
      <c r="C2628" s="381" t="s">
        <v>1397</v>
      </c>
      <c r="D2628" s="381" t="s">
        <v>1406</v>
      </c>
      <c r="E2628" s="381" t="s">
        <v>1407</v>
      </c>
      <c r="F2628" s="378">
        <v>8300</v>
      </c>
      <c r="G2628" s="378">
        <v>0</v>
      </c>
      <c r="H2628" s="378">
        <v>0</v>
      </c>
      <c r="I2628" s="378">
        <v>8300</v>
      </c>
      <c r="J2628" s="384">
        <f t="shared" si="46"/>
        <v>8</v>
      </c>
    </row>
    <row r="2629" spans="1:10" ht="15" customHeight="1" x14ac:dyDescent="0.25">
      <c r="A2629" s="380">
        <v>52959601</v>
      </c>
      <c r="B2629" s="381" t="s">
        <v>315</v>
      </c>
      <c r="C2629" s="381" t="s">
        <v>1397</v>
      </c>
      <c r="D2629" s="381" t="s">
        <v>1176</v>
      </c>
      <c r="E2629" s="381" t="s">
        <v>1177</v>
      </c>
      <c r="F2629" s="378">
        <v>16000</v>
      </c>
      <c r="G2629" s="378">
        <v>0</v>
      </c>
      <c r="H2629" s="378">
        <v>0</v>
      </c>
      <c r="I2629" s="378">
        <v>16000</v>
      </c>
      <c r="J2629" s="384">
        <f t="shared" si="46"/>
        <v>8</v>
      </c>
    </row>
    <row r="2630" spans="1:10" ht="15" customHeight="1" x14ac:dyDescent="0.25">
      <c r="A2630" s="380">
        <v>52959601</v>
      </c>
      <c r="B2630" s="381" t="s">
        <v>315</v>
      </c>
      <c r="C2630" s="381" t="s">
        <v>1397</v>
      </c>
      <c r="D2630" s="381" t="s">
        <v>1180</v>
      </c>
      <c r="E2630" s="381" t="s">
        <v>1181</v>
      </c>
      <c r="F2630" s="378">
        <v>49750</v>
      </c>
      <c r="G2630" s="378">
        <v>21700</v>
      </c>
      <c r="H2630" s="378">
        <v>0</v>
      </c>
      <c r="I2630" s="378">
        <v>71450</v>
      </c>
      <c r="J2630" s="384">
        <f t="shared" si="46"/>
        <v>8</v>
      </c>
    </row>
    <row r="2631" spans="1:10" ht="15" customHeight="1" x14ac:dyDescent="0.25">
      <c r="A2631" s="380">
        <v>52959601</v>
      </c>
      <c r="B2631" s="381" t="s">
        <v>315</v>
      </c>
      <c r="C2631" s="381" t="s">
        <v>1397</v>
      </c>
      <c r="D2631" s="381" t="s">
        <v>1408</v>
      </c>
      <c r="E2631" s="381" t="s">
        <v>1409</v>
      </c>
      <c r="F2631" s="378">
        <v>8000</v>
      </c>
      <c r="G2631" s="378">
        <v>0</v>
      </c>
      <c r="H2631" s="378">
        <v>0</v>
      </c>
      <c r="I2631" s="378">
        <v>8000</v>
      </c>
      <c r="J2631" s="384">
        <f t="shared" si="46"/>
        <v>8</v>
      </c>
    </row>
    <row r="2632" spans="1:10" ht="15" customHeight="1" x14ac:dyDescent="0.25">
      <c r="A2632" s="380">
        <v>52959601</v>
      </c>
      <c r="B2632" s="381" t="s">
        <v>315</v>
      </c>
      <c r="C2632" s="381" t="s">
        <v>1397</v>
      </c>
      <c r="D2632" s="381" t="s">
        <v>1410</v>
      </c>
      <c r="E2632" s="381" t="s">
        <v>1411</v>
      </c>
      <c r="F2632" s="378">
        <v>44000</v>
      </c>
      <c r="G2632" s="378">
        <v>4800</v>
      </c>
      <c r="H2632" s="378">
        <v>0</v>
      </c>
      <c r="I2632" s="378">
        <v>48800</v>
      </c>
      <c r="J2632" s="384">
        <f t="shared" si="46"/>
        <v>8</v>
      </c>
    </row>
    <row r="2633" spans="1:10" ht="15" customHeight="1" x14ac:dyDescent="0.25">
      <c r="A2633" s="380">
        <v>52959601</v>
      </c>
      <c r="B2633" s="381" t="s">
        <v>315</v>
      </c>
      <c r="C2633" s="381" t="s">
        <v>1397</v>
      </c>
      <c r="D2633" s="381" t="s">
        <v>1365</v>
      </c>
      <c r="E2633" s="381" t="s">
        <v>1366</v>
      </c>
      <c r="F2633" s="378">
        <v>0</v>
      </c>
      <c r="G2633" s="378">
        <v>80000</v>
      </c>
      <c r="H2633" s="378">
        <v>0</v>
      </c>
      <c r="I2633" s="378">
        <v>80000</v>
      </c>
      <c r="J2633" s="384">
        <f t="shared" si="46"/>
        <v>8</v>
      </c>
    </row>
    <row r="2634" spans="1:10" ht="15" customHeight="1" x14ac:dyDescent="0.25">
      <c r="A2634" s="380">
        <v>52959601</v>
      </c>
      <c r="B2634" s="381" t="s">
        <v>315</v>
      </c>
      <c r="C2634" s="381" t="s">
        <v>1397</v>
      </c>
      <c r="D2634" s="381" t="s">
        <v>638</v>
      </c>
      <c r="E2634" s="381" t="s">
        <v>1317</v>
      </c>
      <c r="F2634" s="378">
        <v>456209</v>
      </c>
      <c r="G2634" s="378">
        <v>105227</v>
      </c>
      <c r="H2634" s="378">
        <v>0</v>
      </c>
      <c r="I2634" s="378">
        <v>561436</v>
      </c>
      <c r="J2634" s="384">
        <f t="shared" si="46"/>
        <v>8</v>
      </c>
    </row>
    <row r="2635" spans="1:10" ht="15" customHeight="1" x14ac:dyDescent="0.25">
      <c r="A2635" s="380">
        <v>52959606</v>
      </c>
      <c r="B2635" s="381" t="s">
        <v>315</v>
      </c>
      <c r="C2635" s="381" t="s">
        <v>677</v>
      </c>
      <c r="D2635" s="381" t="s">
        <v>315</v>
      </c>
      <c r="E2635" s="381" t="s">
        <v>315</v>
      </c>
      <c r="F2635" s="378">
        <v>41900</v>
      </c>
      <c r="G2635" s="378">
        <v>0</v>
      </c>
      <c r="H2635" s="378">
        <v>0</v>
      </c>
      <c r="I2635" s="378">
        <v>41900</v>
      </c>
      <c r="J2635" s="384">
        <f t="shared" si="46"/>
        <v>8</v>
      </c>
    </row>
    <row r="2636" spans="1:10" ht="15" customHeight="1" x14ac:dyDescent="0.25">
      <c r="A2636" s="380">
        <v>52959606</v>
      </c>
      <c r="B2636" s="381" t="s">
        <v>315</v>
      </c>
      <c r="C2636" s="381" t="s">
        <v>677</v>
      </c>
      <c r="D2636" s="381" t="s">
        <v>740</v>
      </c>
      <c r="E2636" s="381" t="s">
        <v>741</v>
      </c>
      <c r="F2636" s="378">
        <v>41900</v>
      </c>
      <c r="G2636" s="378">
        <v>0</v>
      </c>
      <c r="H2636" s="378">
        <v>0</v>
      </c>
      <c r="I2636" s="378">
        <v>41900</v>
      </c>
      <c r="J2636" s="384">
        <f t="shared" si="46"/>
        <v>8</v>
      </c>
    </row>
    <row r="2637" spans="1:10" ht="15" customHeight="1" x14ac:dyDescent="0.25">
      <c r="A2637" s="380">
        <v>52959612</v>
      </c>
      <c r="B2637" s="381" t="s">
        <v>315</v>
      </c>
      <c r="C2637" s="381" t="s">
        <v>1414</v>
      </c>
      <c r="D2637" s="381" t="s">
        <v>315</v>
      </c>
      <c r="E2637" s="381" t="s">
        <v>315</v>
      </c>
      <c r="F2637" s="378">
        <v>1379310</v>
      </c>
      <c r="G2637" s="378">
        <v>0</v>
      </c>
      <c r="H2637" s="378">
        <v>0</v>
      </c>
      <c r="I2637" s="378">
        <v>1379310</v>
      </c>
      <c r="J2637" s="384">
        <f t="shared" si="46"/>
        <v>8</v>
      </c>
    </row>
    <row r="2638" spans="1:10" ht="15" customHeight="1" x14ac:dyDescent="0.25">
      <c r="A2638" s="380">
        <v>52959612</v>
      </c>
      <c r="B2638" s="381" t="s">
        <v>315</v>
      </c>
      <c r="C2638" s="381" t="s">
        <v>1414</v>
      </c>
      <c r="D2638" s="381" t="s">
        <v>493</v>
      </c>
      <c r="E2638" s="381" t="s">
        <v>494</v>
      </c>
      <c r="F2638" s="378">
        <v>1379310</v>
      </c>
      <c r="G2638" s="378">
        <v>0</v>
      </c>
      <c r="H2638" s="378">
        <v>0</v>
      </c>
      <c r="I2638" s="378">
        <v>1379310</v>
      </c>
      <c r="J2638" s="384">
        <f t="shared" si="46"/>
        <v>8</v>
      </c>
    </row>
    <row r="2639" spans="1:10" ht="15" customHeight="1" x14ac:dyDescent="0.25">
      <c r="A2639" s="380">
        <v>5297</v>
      </c>
      <c r="B2639" s="381" t="s">
        <v>321</v>
      </c>
      <c r="C2639" s="381" t="s">
        <v>1415</v>
      </c>
      <c r="D2639" s="381" t="s">
        <v>315</v>
      </c>
      <c r="E2639" s="381" t="s">
        <v>315</v>
      </c>
      <c r="F2639" s="378">
        <v>5430716</v>
      </c>
      <c r="G2639" s="378">
        <v>456141</v>
      </c>
      <c r="H2639" s="378">
        <v>0</v>
      </c>
      <c r="I2639" s="378">
        <v>5886857</v>
      </c>
      <c r="J2639" s="384">
        <f t="shared" si="46"/>
        <v>4</v>
      </c>
    </row>
    <row r="2640" spans="1:10" ht="15" customHeight="1" x14ac:dyDescent="0.25">
      <c r="A2640" s="380">
        <v>529705</v>
      </c>
      <c r="B2640" s="381" t="s">
        <v>321</v>
      </c>
      <c r="C2640" s="381" t="s">
        <v>1416</v>
      </c>
      <c r="D2640" s="381" t="s">
        <v>315</v>
      </c>
      <c r="E2640" s="381" t="s">
        <v>315</v>
      </c>
      <c r="F2640" s="378">
        <v>5430716</v>
      </c>
      <c r="G2640" s="378">
        <v>456141</v>
      </c>
      <c r="H2640" s="378">
        <v>0</v>
      </c>
      <c r="I2640" s="378">
        <v>5886857</v>
      </c>
      <c r="J2640" s="384">
        <f t="shared" si="46"/>
        <v>6</v>
      </c>
    </row>
    <row r="2641" spans="1:10" ht="15" customHeight="1" x14ac:dyDescent="0.25">
      <c r="A2641" s="380">
        <v>52970501</v>
      </c>
      <c r="B2641" s="381" t="s">
        <v>321</v>
      </c>
      <c r="C2641" s="381" t="s">
        <v>1416</v>
      </c>
      <c r="D2641" s="381" t="s">
        <v>315</v>
      </c>
      <c r="E2641" s="381" t="s">
        <v>315</v>
      </c>
      <c r="F2641" s="378">
        <v>1942565</v>
      </c>
      <c r="G2641" s="378">
        <v>456141</v>
      </c>
      <c r="H2641" s="378">
        <v>0</v>
      </c>
      <c r="I2641" s="378">
        <v>2398706</v>
      </c>
      <c r="J2641" s="384">
        <f t="shared" si="46"/>
        <v>8</v>
      </c>
    </row>
    <row r="2642" spans="1:10" ht="15" customHeight="1" x14ac:dyDescent="0.25">
      <c r="A2642" s="380">
        <v>52970501</v>
      </c>
      <c r="B2642" s="381" t="s">
        <v>321</v>
      </c>
      <c r="C2642" s="381" t="s">
        <v>1416</v>
      </c>
      <c r="D2642" s="381" t="s">
        <v>361</v>
      </c>
      <c r="E2642" s="381" t="s">
        <v>1123</v>
      </c>
      <c r="F2642" s="378">
        <v>489579</v>
      </c>
      <c r="G2642" s="378">
        <v>0</v>
      </c>
      <c r="H2642" s="378">
        <v>0</v>
      </c>
      <c r="I2642" s="378">
        <v>489579</v>
      </c>
      <c r="J2642" s="384">
        <f t="shared" si="46"/>
        <v>8</v>
      </c>
    </row>
    <row r="2643" spans="1:10" ht="15" customHeight="1" x14ac:dyDescent="0.25">
      <c r="A2643" s="380">
        <v>52970501</v>
      </c>
      <c r="B2643" s="381" t="s">
        <v>321</v>
      </c>
      <c r="C2643" s="381" t="s">
        <v>1416</v>
      </c>
      <c r="D2643" s="381" t="s">
        <v>1133</v>
      </c>
      <c r="E2643" s="381" t="s">
        <v>1134</v>
      </c>
      <c r="F2643" s="378">
        <v>151218</v>
      </c>
      <c r="G2643" s="378">
        <v>0</v>
      </c>
      <c r="H2643" s="378">
        <v>0</v>
      </c>
      <c r="I2643" s="378">
        <v>151218</v>
      </c>
      <c r="J2643" s="384">
        <f t="shared" si="46"/>
        <v>8</v>
      </c>
    </row>
    <row r="2644" spans="1:10" ht="15" customHeight="1" x14ac:dyDescent="0.25">
      <c r="A2644" s="380">
        <v>52970501</v>
      </c>
      <c r="B2644" s="381" t="s">
        <v>321</v>
      </c>
      <c r="C2644" s="381" t="s">
        <v>1416</v>
      </c>
      <c r="D2644" s="381" t="s">
        <v>495</v>
      </c>
      <c r="E2644" s="381" t="s">
        <v>925</v>
      </c>
      <c r="F2644" s="378">
        <v>322776</v>
      </c>
      <c r="G2644" s="378">
        <v>0</v>
      </c>
      <c r="H2644" s="378">
        <v>0</v>
      </c>
      <c r="I2644" s="378">
        <v>322776</v>
      </c>
      <c r="J2644" s="384">
        <f t="shared" si="46"/>
        <v>8</v>
      </c>
    </row>
    <row r="2645" spans="1:10" ht="15" customHeight="1" x14ac:dyDescent="0.25">
      <c r="A2645" s="380">
        <v>52970501</v>
      </c>
      <c r="B2645" s="381" t="s">
        <v>321</v>
      </c>
      <c r="C2645" s="381" t="s">
        <v>1416</v>
      </c>
      <c r="D2645" s="381" t="s">
        <v>1015</v>
      </c>
      <c r="E2645" s="381" t="s">
        <v>1016</v>
      </c>
      <c r="F2645" s="378">
        <v>978992</v>
      </c>
      <c r="G2645" s="378">
        <v>0</v>
      </c>
      <c r="H2645" s="378">
        <v>0</v>
      </c>
      <c r="I2645" s="378">
        <v>978992</v>
      </c>
      <c r="J2645" s="384">
        <f t="shared" si="46"/>
        <v>8</v>
      </c>
    </row>
    <row r="2646" spans="1:10" ht="15" customHeight="1" x14ac:dyDescent="0.25">
      <c r="A2646" s="380">
        <v>52970501</v>
      </c>
      <c r="B2646" s="381" t="s">
        <v>321</v>
      </c>
      <c r="C2646" s="381" t="s">
        <v>1416</v>
      </c>
      <c r="D2646" s="381" t="s">
        <v>1036</v>
      </c>
      <c r="E2646" s="381" t="s">
        <v>1037</v>
      </c>
      <c r="F2646" s="378">
        <v>0</v>
      </c>
      <c r="G2646" s="378">
        <v>456141</v>
      </c>
      <c r="H2646" s="378">
        <v>0</v>
      </c>
      <c r="I2646" s="378">
        <v>456141</v>
      </c>
      <c r="J2646" s="384">
        <f t="shared" si="46"/>
        <v>8</v>
      </c>
    </row>
    <row r="2647" spans="1:10" ht="15" customHeight="1" x14ac:dyDescent="0.25">
      <c r="A2647" s="380">
        <v>52970502</v>
      </c>
      <c r="B2647" s="381" t="s">
        <v>321</v>
      </c>
      <c r="C2647" s="381" t="s">
        <v>1416</v>
      </c>
      <c r="D2647" s="381" t="s">
        <v>315</v>
      </c>
      <c r="E2647" s="381" t="s">
        <v>315</v>
      </c>
      <c r="F2647" s="378">
        <v>3488151</v>
      </c>
      <c r="G2647" s="378">
        <v>0</v>
      </c>
      <c r="H2647" s="378">
        <v>0</v>
      </c>
      <c r="I2647" s="378">
        <v>3488151</v>
      </c>
      <c r="J2647" s="384">
        <f t="shared" si="46"/>
        <v>8</v>
      </c>
    </row>
    <row r="2648" spans="1:10" ht="15" customHeight="1" x14ac:dyDescent="0.25">
      <c r="A2648" s="380">
        <v>52970502</v>
      </c>
      <c r="B2648" s="381" t="s">
        <v>321</v>
      </c>
      <c r="C2648" s="381" t="s">
        <v>1416</v>
      </c>
      <c r="D2648" s="381" t="s">
        <v>1125</v>
      </c>
      <c r="E2648" s="381" t="s">
        <v>1126</v>
      </c>
      <c r="F2648" s="378">
        <v>25168</v>
      </c>
      <c r="G2648" s="378">
        <v>0</v>
      </c>
      <c r="H2648" s="378">
        <v>0</v>
      </c>
      <c r="I2648" s="378">
        <v>25168</v>
      </c>
      <c r="J2648" s="384">
        <f t="shared" si="46"/>
        <v>8</v>
      </c>
    </row>
    <row r="2649" spans="1:10" ht="15" customHeight="1" x14ac:dyDescent="0.25">
      <c r="A2649" s="380">
        <v>52970502</v>
      </c>
      <c r="B2649" s="381" t="s">
        <v>321</v>
      </c>
      <c r="C2649" s="381" t="s">
        <v>1416</v>
      </c>
      <c r="D2649" s="381" t="s">
        <v>1133</v>
      </c>
      <c r="E2649" s="381" t="s">
        <v>1134</v>
      </c>
      <c r="F2649" s="378">
        <v>39454</v>
      </c>
      <c r="G2649" s="378">
        <v>0</v>
      </c>
      <c r="H2649" s="378">
        <v>0</v>
      </c>
      <c r="I2649" s="378">
        <v>39454</v>
      </c>
      <c r="J2649" s="384">
        <f t="shared" si="46"/>
        <v>8</v>
      </c>
    </row>
    <row r="2650" spans="1:10" ht="15" customHeight="1" x14ac:dyDescent="0.25">
      <c r="A2650" s="380">
        <v>52970502</v>
      </c>
      <c r="B2650" s="381" t="s">
        <v>321</v>
      </c>
      <c r="C2650" s="381" t="s">
        <v>1416</v>
      </c>
      <c r="D2650" s="381" t="s">
        <v>1137</v>
      </c>
      <c r="E2650" s="381" t="s">
        <v>1138</v>
      </c>
      <c r="F2650" s="378">
        <v>3423529</v>
      </c>
      <c r="G2650" s="378">
        <v>0</v>
      </c>
      <c r="H2650" s="378">
        <v>0</v>
      </c>
      <c r="I2650" s="378">
        <v>3423529</v>
      </c>
      <c r="J2650" s="384">
        <f t="shared" si="46"/>
        <v>8</v>
      </c>
    </row>
    <row r="2651" spans="1:10" ht="15" customHeight="1" x14ac:dyDescent="0.25">
      <c r="A2651" s="380">
        <v>53</v>
      </c>
      <c r="B2651" s="381" t="s">
        <v>315</v>
      </c>
      <c r="C2651" s="381" t="s">
        <v>470</v>
      </c>
      <c r="D2651" s="381" t="s">
        <v>315</v>
      </c>
      <c r="E2651" s="381" t="s">
        <v>315</v>
      </c>
      <c r="F2651" s="378">
        <v>66228754.079999998</v>
      </c>
      <c r="G2651" s="378">
        <v>19486845.510000002</v>
      </c>
      <c r="H2651" s="378">
        <v>6297280</v>
      </c>
      <c r="I2651" s="378">
        <v>79418319.590000004</v>
      </c>
      <c r="J2651" s="384">
        <f t="shared" si="46"/>
        <v>2</v>
      </c>
    </row>
    <row r="2652" spans="1:10" ht="15" customHeight="1" x14ac:dyDescent="0.25">
      <c r="A2652" s="380">
        <v>5305</v>
      </c>
      <c r="B2652" s="381" t="s">
        <v>315</v>
      </c>
      <c r="C2652" s="381" t="s">
        <v>490</v>
      </c>
      <c r="D2652" s="381" t="s">
        <v>315</v>
      </c>
      <c r="E2652" s="381" t="s">
        <v>315</v>
      </c>
      <c r="F2652" s="378">
        <v>66182119.079999998</v>
      </c>
      <c r="G2652" s="378">
        <v>13189564.51</v>
      </c>
      <c r="H2652" s="378">
        <v>0</v>
      </c>
      <c r="I2652" s="378">
        <v>79371683.590000004</v>
      </c>
      <c r="J2652" s="384">
        <f t="shared" si="46"/>
        <v>4</v>
      </c>
    </row>
    <row r="2653" spans="1:10" ht="15" customHeight="1" x14ac:dyDescent="0.25">
      <c r="A2653" s="380">
        <v>530505</v>
      </c>
      <c r="B2653" s="381" t="s">
        <v>315</v>
      </c>
      <c r="C2653" s="381" t="s">
        <v>210</v>
      </c>
      <c r="D2653" s="381" t="s">
        <v>315</v>
      </c>
      <c r="E2653" s="381" t="s">
        <v>315</v>
      </c>
      <c r="F2653" s="378">
        <v>2255266.88</v>
      </c>
      <c r="G2653" s="378">
        <v>242164</v>
      </c>
      <c r="H2653" s="378">
        <v>0</v>
      </c>
      <c r="I2653" s="378">
        <v>2497430.88</v>
      </c>
      <c r="J2653" s="384">
        <f t="shared" si="46"/>
        <v>6</v>
      </c>
    </row>
    <row r="2654" spans="1:10" ht="15" customHeight="1" x14ac:dyDescent="0.25">
      <c r="A2654" s="380">
        <v>53050501</v>
      </c>
      <c r="B2654" s="381" t="s">
        <v>315</v>
      </c>
      <c r="C2654" s="381" t="s">
        <v>210</v>
      </c>
      <c r="D2654" s="381" t="s">
        <v>315</v>
      </c>
      <c r="E2654" s="381" t="s">
        <v>315</v>
      </c>
      <c r="F2654" s="378">
        <v>2255266.88</v>
      </c>
      <c r="G2654" s="378">
        <v>242164</v>
      </c>
      <c r="H2654" s="378">
        <v>0</v>
      </c>
      <c r="I2654" s="378">
        <v>2497430.88</v>
      </c>
      <c r="J2654" s="384">
        <f t="shared" si="46"/>
        <v>8</v>
      </c>
    </row>
    <row r="2655" spans="1:10" ht="15" customHeight="1" x14ac:dyDescent="0.25">
      <c r="A2655" s="380">
        <v>53050501</v>
      </c>
      <c r="B2655" s="381" t="s">
        <v>315</v>
      </c>
      <c r="C2655" s="381" t="s">
        <v>210</v>
      </c>
      <c r="D2655" s="381" t="s">
        <v>419</v>
      </c>
      <c r="E2655" s="381" t="s">
        <v>420</v>
      </c>
      <c r="F2655" s="378">
        <v>292209.7</v>
      </c>
      <c r="G2655" s="378">
        <v>0</v>
      </c>
      <c r="H2655" s="378">
        <v>0</v>
      </c>
      <c r="I2655" s="378">
        <v>292209.7</v>
      </c>
      <c r="J2655" s="384">
        <f t="shared" si="46"/>
        <v>8</v>
      </c>
    </row>
    <row r="2656" spans="1:10" ht="15" customHeight="1" x14ac:dyDescent="0.25">
      <c r="A2656" s="380">
        <v>53050501</v>
      </c>
      <c r="B2656" s="381" t="s">
        <v>315</v>
      </c>
      <c r="C2656" s="381" t="s">
        <v>210</v>
      </c>
      <c r="D2656" s="381" t="s">
        <v>856</v>
      </c>
      <c r="E2656" s="381" t="s">
        <v>857</v>
      </c>
      <c r="F2656" s="378">
        <v>146239</v>
      </c>
      <c r="G2656" s="378">
        <v>0</v>
      </c>
      <c r="H2656" s="378">
        <v>0</v>
      </c>
      <c r="I2656" s="378">
        <v>146239</v>
      </c>
      <c r="J2656" s="384">
        <f t="shared" si="46"/>
        <v>8</v>
      </c>
    </row>
    <row r="2657" spans="1:10" ht="15" customHeight="1" x14ac:dyDescent="0.25">
      <c r="A2657" s="380">
        <v>53050501</v>
      </c>
      <c r="B2657" s="381" t="s">
        <v>315</v>
      </c>
      <c r="C2657" s="381" t="s">
        <v>210</v>
      </c>
      <c r="D2657" s="381" t="s">
        <v>440</v>
      </c>
      <c r="E2657" s="381" t="s">
        <v>441</v>
      </c>
      <c r="F2657" s="378">
        <v>872378.04</v>
      </c>
      <c r="G2657" s="378">
        <v>59900</v>
      </c>
      <c r="H2657" s="378">
        <v>0</v>
      </c>
      <c r="I2657" s="378">
        <v>932278.04</v>
      </c>
      <c r="J2657" s="384">
        <f t="shared" si="46"/>
        <v>8</v>
      </c>
    </row>
    <row r="2658" spans="1:10" ht="15" customHeight="1" x14ac:dyDescent="0.25">
      <c r="A2658" s="380">
        <v>53050501</v>
      </c>
      <c r="B2658" s="381" t="s">
        <v>315</v>
      </c>
      <c r="C2658" s="381" t="s">
        <v>210</v>
      </c>
      <c r="D2658" s="381" t="s">
        <v>329</v>
      </c>
      <c r="E2658" s="381" t="s">
        <v>330</v>
      </c>
      <c r="F2658" s="378">
        <v>721559.14</v>
      </c>
      <c r="G2658" s="378">
        <v>87190</v>
      </c>
      <c r="H2658" s="378">
        <v>0</v>
      </c>
      <c r="I2658" s="378">
        <v>808749.14</v>
      </c>
      <c r="J2658" s="384">
        <f t="shared" si="46"/>
        <v>8</v>
      </c>
    </row>
    <row r="2659" spans="1:10" ht="15" customHeight="1" x14ac:dyDescent="0.25">
      <c r="A2659" s="380">
        <v>53050501</v>
      </c>
      <c r="B2659" s="381" t="s">
        <v>315</v>
      </c>
      <c r="C2659" s="381" t="s">
        <v>210</v>
      </c>
      <c r="D2659" s="381" t="s">
        <v>717</v>
      </c>
      <c r="E2659" s="381" t="s">
        <v>718</v>
      </c>
      <c r="F2659" s="378">
        <v>222881</v>
      </c>
      <c r="G2659" s="378">
        <v>95074</v>
      </c>
      <c r="H2659" s="378">
        <v>0</v>
      </c>
      <c r="I2659" s="378">
        <v>317955</v>
      </c>
      <c r="J2659" s="384">
        <f t="shared" si="46"/>
        <v>8</v>
      </c>
    </row>
    <row r="2660" spans="1:10" ht="15" customHeight="1" x14ac:dyDescent="0.25">
      <c r="A2660" s="380">
        <v>530506</v>
      </c>
      <c r="B2660" s="381" t="s">
        <v>315</v>
      </c>
      <c r="C2660" s="381" t="s">
        <v>1417</v>
      </c>
      <c r="D2660" s="381" t="s">
        <v>315</v>
      </c>
      <c r="E2660" s="381" t="s">
        <v>315</v>
      </c>
      <c r="F2660" s="378">
        <v>12146333.75</v>
      </c>
      <c r="G2660" s="378">
        <v>2456864.71</v>
      </c>
      <c r="H2660" s="378">
        <v>0</v>
      </c>
      <c r="I2660" s="378">
        <v>14603198.460000001</v>
      </c>
      <c r="J2660" s="384">
        <f t="shared" si="46"/>
        <v>6</v>
      </c>
    </row>
    <row r="2661" spans="1:10" ht="15" customHeight="1" x14ac:dyDescent="0.25">
      <c r="A2661" s="380">
        <v>53050601</v>
      </c>
      <c r="B2661" s="381" t="s">
        <v>315</v>
      </c>
      <c r="C2661" s="381" t="s">
        <v>1417</v>
      </c>
      <c r="D2661" s="381" t="s">
        <v>315</v>
      </c>
      <c r="E2661" s="381" t="s">
        <v>315</v>
      </c>
      <c r="F2661" s="378">
        <v>12146333.75</v>
      </c>
      <c r="G2661" s="378">
        <v>2456864.71</v>
      </c>
      <c r="H2661" s="378">
        <v>0</v>
      </c>
      <c r="I2661" s="378">
        <v>14603198.460000001</v>
      </c>
      <c r="J2661" s="384">
        <f t="shared" si="46"/>
        <v>8</v>
      </c>
    </row>
    <row r="2662" spans="1:10" ht="15" customHeight="1" x14ac:dyDescent="0.25">
      <c r="A2662" s="380">
        <v>53050601</v>
      </c>
      <c r="B2662" s="381" t="s">
        <v>315</v>
      </c>
      <c r="C2662" s="381" t="s">
        <v>1417</v>
      </c>
      <c r="D2662" s="381" t="s">
        <v>419</v>
      </c>
      <c r="E2662" s="381" t="s">
        <v>420</v>
      </c>
      <c r="F2662" s="378">
        <v>731699.7</v>
      </c>
      <c r="G2662" s="378">
        <v>135246.75</v>
      </c>
      <c r="H2662" s="378">
        <v>0</v>
      </c>
      <c r="I2662" s="378">
        <v>866946.45</v>
      </c>
      <c r="J2662" s="384">
        <f t="shared" si="46"/>
        <v>8</v>
      </c>
    </row>
    <row r="2663" spans="1:10" ht="15" customHeight="1" x14ac:dyDescent="0.25">
      <c r="A2663" s="380">
        <v>53050601</v>
      </c>
      <c r="B2663" s="381" t="s">
        <v>315</v>
      </c>
      <c r="C2663" s="381" t="s">
        <v>1417</v>
      </c>
      <c r="D2663" s="381" t="s">
        <v>440</v>
      </c>
      <c r="E2663" s="381" t="s">
        <v>441</v>
      </c>
      <c r="F2663" s="378">
        <v>820024.93</v>
      </c>
      <c r="G2663" s="378">
        <v>103746.03</v>
      </c>
      <c r="H2663" s="378">
        <v>0</v>
      </c>
      <c r="I2663" s="378">
        <v>923770.96</v>
      </c>
      <c r="J2663" s="384">
        <f t="shared" si="46"/>
        <v>8</v>
      </c>
    </row>
    <row r="2664" spans="1:10" ht="15" customHeight="1" x14ac:dyDescent="0.25">
      <c r="A2664" s="380">
        <v>53050601</v>
      </c>
      <c r="B2664" s="381" t="s">
        <v>315</v>
      </c>
      <c r="C2664" s="381" t="s">
        <v>1417</v>
      </c>
      <c r="D2664" s="381" t="s">
        <v>329</v>
      </c>
      <c r="E2664" s="381" t="s">
        <v>330</v>
      </c>
      <c r="F2664" s="378">
        <v>10594609.119999999</v>
      </c>
      <c r="G2664" s="378">
        <v>2217871.9300000002</v>
      </c>
      <c r="H2664" s="378">
        <v>0</v>
      </c>
      <c r="I2664" s="378">
        <v>12812481.050000001</v>
      </c>
      <c r="J2664" s="384">
        <f t="shared" ref="J2664:J2727" si="47">+LEN(A2664)</f>
        <v>8</v>
      </c>
    </row>
    <row r="2665" spans="1:10" ht="15" customHeight="1" x14ac:dyDescent="0.25">
      <c r="A2665" s="380">
        <v>530515</v>
      </c>
      <c r="B2665" s="381" t="s">
        <v>315</v>
      </c>
      <c r="C2665" s="381" t="s">
        <v>489</v>
      </c>
      <c r="D2665" s="381" t="s">
        <v>315</v>
      </c>
      <c r="E2665" s="381" t="s">
        <v>315</v>
      </c>
      <c r="F2665" s="378">
        <v>31963532.579999998</v>
      </c>
      <c r="G2665" s="378">
        <v>6018061.7999999998</v>
      </c>
      <c r="H2665" s="378">
        <v>0</v>
      </c>
      <c r="I2665" s="378">
        <v>37981594.380000003</v>
      </c>
      <c r="J2665" s="384">
        <f t="shared" si="47"/>
        <v>6</v>
      </c>
    </row>
    <row r="2666" spans="1:10" ht="15" customHeight="1" x14ac:dyDescent="0.25">
      <c r="A2666" s="380">
        <v>53051501</v>
      </c>
      <c r="B2666" s="381" t="s">
        <v>315</v>
      </c>
      <c r="C2666" s="381" t="s">
        <v>489</v>
      </c>
      <c r="D2666" s="381" t="s">
        <v>315</v>
      </c>
      <c r="E2666" s="381" t="s">
        <v>315</v>
      </c>
      <c r="F2666" s="378">
        <v>31963532.579999998</v>
      </c>
      <c r="G2666" s="378">
        <v>6018061.7999999998</v>
      </c>
      <c r="H2666" s="378">
        <v>0</v>
      </c>
      <c r="I2666" s="378">
        <v>37981594.380000003</v>
      </c>
      <c r="J2666" s="384">
        <f t="shared" si="47"/>
        <v>8</v>
      </c>
    </row>
    <row r="2667" spans="1:10" ht="15" customHeight="1" x14ac:dyDescent="0.25">
      <c r="A2667" s="380">
        <v>53051501</v>
      </c>
      <c r="B2667" s="381" t="s">
        <v>315</v>
      </c>
      <c r="C2667" s="381" t="s">
        <v>489</v>
      </c>
      <c r="D2667" s="381" t="s">
        <v>493</v>
      </c>
      <c r="E2667" s="381" t="s">
        <v>494</v>
      </c>
      <c r="F2667" s="378">
        <v>26400</v>
      </c>
      <c r="G2667" s="378">
        <v>0</v>
      </c>
      <c r="H2667" s="378">
        <v>0</v>
      </c>
      <c r="I2667" s="378">
        <v>26400</v>
      </c>
      <c r="J2667" s="384">
        <f t="shared" si="47"/>
        <v>8</v>
      </c>
    </row>
    <row r="2668" spans="1:10" ht="15" customHeight="1" x14ac:dyDescent="0.25">
      <c r="A2668" s="380">
        <v>53051501</v>
      </c>
      <c r="B2668" s="381" t="s">
        <v>315</v>
      </c>
      <c r="C2668" s="381" t="s">
        <v>489</v>
      </c>
      <c r="D2668" s="381" t="s">
        <v>1340</v>
      </c>
      <c r="E2668" s="381" t="s">
        <v>1341</v>
      </c>
      <c r="F2668" s="378">
        <v>3410337</v>
      </c>
      <c r="G2668" s="378">
        <v>0</v>
      </c>
      <c r="H2668" s="378">
        <v>0</v>
      </c>
      <c r="I2668" s="378">
        <v>3410337</v>
      </c>
      <c r="J2668" s="384">
        <f t="shared" si="47"/>
        <v>8</v>
      </c>
    </row>
    <row r="2669" spans="1:10" ht="15" customHeight="1" x14ac:dyDescent="0.25">
      <c r="A2669" s="380">
        <v>53051501</v>
      </c>
      <c r="B2669" s="381" t="s">
        <v>315</v>
      </c>
      <c r="C2669" s="381" t="s">
        <v>489</v>
      </c>
      <c r="D2669" s="381" t="s">
        <v>419</v>
      </c>
      <c r="E2669" s="381" t="s">
        <v>420</v>
      </c>
      <c r="F2669" s="378">
        <v>0</v>
      </c>
      <c r="G2669" s="378">
        <v>55250.1</v>
      </c>
      <c r="H2669" s="378">
        <v>0</v>
      </c>
      <c r="I2669" s="378">
        <v>55250.1</v>
      </c>
      <c r="J2669" s="384">
        <f t="shared" si="47"/>
        <v>8</v>
      </c>
    </row>
    <row r="2670" spans="1:10" ht="15" customHeight="1" x14ac:dyDescent="0.25">
      <c r="A2670" s="380">
        <v>53051501</v>
      </c>
      <c r="B2670" s="381" t="s">
        <v>315</v>
      </c>
      <c r="C2670" s="381" t="s">
        <v>489</v>
      </c>
      <c r="D2670" s="381" t="s">
        <v>856</v>
      </c>
      <c r="E2670" s="381" t="s">
        <v>857</v>
      </c>
      <c r="F2670" s="378">
        <v>292478</v>
      </c>
      <c r="G2670" s="378">
        <v>0</v>
      </c>
      <c r="H2670" s="378">
        <v>0</v>
      </c>
      <c r="I2670" s="378">
        <v>292478</v>
      </c>
      <c r="J2670" s="384">
        <f t="shared" si="47"/>
        <v>8</v>
      </c>
    </row>
    <row r="2671" spans="1:10" ht="15" customHeight="1" x14ac:dyDescent="0.25">
      <c r="A2671" s="380">
        <v>53051501</v>
      </c>
      <c r="B2671" s="381" t="s">
        <v>315</v>
      </c>
      <c r="C2671" s="381" t="s">
        <v>489</v>
      </c>
      <c r="D2671" s="381" t="s">
        <v>329</v>
      </c>
      <c r="E2671" s="381" t="s">
        <v>330</v>
      </c>
      <c r="F2671" s="378">
        <v>28234317.579999998</v>
      </c>
      <c r="G2671" s="378">
        <v>5962811.7000000002</v>
      </c>
      <c r="H2671" s="378">
        <v>0</v>
      </c>
      <c r="I2671" s="378">
        <v>34197129.280000001</v>
      </c>
      <c r="J2671" s="384">
        <f t="shared" si="47"/>
        <v>8</v>
      </c>
    </row>
    <row r="2672" spans="1:10" ht="15" customHeight="1" x14ac:dyDescent="0.25">
      <c r="A2672" s="380">
        <v>530516</v>
      </c>
      <c r="B2672" s="381" t="s">
        <v>315</v>
      </c>
      <c r="C2672" s="381" t="s">
        <v>1418</v>
      </c>
      <c r="D2672" s="381" t="s">
        <v>315</v>
      </c>
      <c r="E2672" s="381" t="s">
        <v>315</v>
      </c>
      <c r="F2672" s="378">
        <v>1200000</v>
      </c>
      <c r="G2672" s="378">
        <v>0</v>
      </c>
      <c r="H2672" s="378">
        <v>0</v>
      </c>
      <c r="I2672" s="378">
        <v>1200000</v>
      </c>
      <c r="J2672" s="384">
        <f t="shared" si="47"/>
        <v>6</v>
      </c>
    </row>
    <row r="2673" spans="1:10" ht="15" customHeight="1" x14ac:dyDescent="0.25">
      <c r="A2673" s="380">
        <v>53051601</v>
      </c>
      <c r="B2673" s="381" t="s">
        <v>315</v>
      </c>
      <c r="C2673" s="381" t="s">
        <v>1418</v>
      </c>
      <c r="D2673" s="381" t="s">
        <v>315</v>
      </c>
      <c r="E2673" s="381" t="s">
        <v>315</v>
      </c>
      <c r="F2673" s="378">
        <v>1200000</v>
      </c>
      <c r="G2673" s="378">
        <v>0</v>
      </c>
      <c r="H2673" s="378">
        <v>0</v>
      </c>
      <c r="I2673" s="378">
        <v>1200000</v>
      </c>
      <c r="J2673" s="384">
        <f t="shared" si="47"/>
        <v>8</v>
      </c>
    </row>
    <row r="2674" spans="1:10" ht="15" customHeight="1" x14ac:dyDescent="0.25">
      <c r="A2674" s="380">
        <v>53051601</v>
      </c>
      <c r="B2674" s="381" t="s">
        <v>315</v>
      </c>
      <c r="C2674" s="381" t="s">
        <v>1418</v>
      </c>
      <c r="D2674" s="381" t="s">
        <v>440</v>
      </c>
      <c r="E2674" s="381" t="s">
        <v>441</v>
      </c>
      <c r="F2674" s="378">
        <v>1200000</v>
      </c>
      <c r="G2674" s="378">
        <v>0</v>
      </c>
      <c r="H2674" s="378">
        <v>0</v>
      </c>
      <c r="I2674" s="378">
        <v>1200000</v>
      </c>
      <c r="J2674" s="384">
        <f t="shared" si="47"/>
        <v>8</v>
      </c>
    </row>
    <row r="2675" spans="1:10" ht="15" customHeight="1" x14ac:dyDescent="0.25">
      <c r="A2675" s="380">
        <v>530520</v>
      </c>
      <c r="B2675" s="381" t="s">
        <v>315</v>
      </c>
      <c r="C2675" s="381" t="s">
        <v>176</v>
      </c>
      <c r="D2675" s="381" t="s">
        <v>315</v>
      </c>
      <c r="E2675" s="381" t="s">
        <v>315</v>
      </c>
      <c r="F2675" s="378">
        <v>18579415.079999998</v>
      </c>
      <c r="G2675" s="378">
        <v>4321000</v>
      </c>
      <c r="H2675" s="378">
        <v>0</v>
      </c>
      <c r="I2675" s="378">
        <v>22900415.079999998</v>
      </c>
      <c r="J2675" s="384">
        <f t="shared" si="47"/>
        <v>6</v>
      </c>
    </row>
    <row r="2676" spans="1:10" ht="15" customHeight="1" x14ac:dyDescent="0.25">
      <c r="A2676" s="380">
        <v>53052001</v>
      </c>
      <c r="B2676" s="381" t="s">
        <v>315</v>
      </c>
      <c r="C2676" s="381" t="s">
        <v>176</v>
      </c>
      <c r="D2676" s="381" t="s">
        <v>315</v>
      </c>
      <c r="E2676" s="381" t="s">
        <v>315</v>
      </c>
      <c r="F2676" s="378">
        <v>18579415.079999998</v>
      </c>
      <c r="G2676" s="378">
        <v>4321000</v>
      </c>
      <c r="H2676" s="378">
        <v>0</v>
      </c>
      <c r="I2676" s="378">
        <v>22900415.079999998</v>
      </c>
      <c r="J2676" s="384">
        <f t="shared" si="47"/>
        <v>8</v>
      </c>
    </row>
    <row r="2677" spans="1:10" ht="15" customHeight="1" x14ac:dyDescent="0.25">
      <c r="A2677" s="380">
        <v>53052001</v>
      </c>
      <c r="B2677" s="381" t="s">
        <v>315</v>
      </c>
      <c r="C2677" s="381" t="s">
        <v>176</v>
      </c>
      <c r="D2677" s="381" t="s">
        <v>953</v>
      </c>
      <c r="E2677" s="381" t="s">
        <v>954</v>
      </c>
      <c r="F2677" s="378">
        <v>1478494</v>
      </c>
      <c r="G2677" s="378">
        <v>295698</v>
      </c>
      <c r="H2677" s="378">
        <v>0</v>
      </c>
      <c r="I2677" s="378">
        <v>1774192</v>
      </c>
      <c r="J2677" s="384">
        <f t="shared" si="47"/>
        <v>8</v>
      </c>
    </row>
    <row r="2678" spans="1:10" ht="15" customHeight="1" x14ac:dyDescent="0.25">
      <c r="A2678" s="380">
        <v>53052001</v>
      </c>
      <c r="B2678" s="381" t="s">
        <v>315</v>
      </c>
      <c r="C2678" s="381" t="s">
        <v>176</v>
      </c>
      <c r="D2678" s="381" t="s">
        <v>955</v>
      </c>
      <c r="E2678" s="381" t="s">
        <v>956</v>
      </c>
      <c r="F2678" s="378">
        <v>3225850</v>
      </c>
      <c r="G2678" s="378">
        <v>645170</v>
      </c>
      <c r="H2678" s="378">
        <v>0</v>
      </c>
      <c r="I2678" s="378">
        <v>3871020</v>
      </c>
      <c r="J2678" s="384">
        <f t="shared" si="47"/>
        <v>8</v>
      </c>
    </row>
    <row r="2679" spans="1:10" ht="15" customHeight="1" x14ac:dyDescent="0.25">
      <c r="A2679" s="380">
        <v>53052001</v>
      </c>
      <c r="B2679" s="381" t="s">
        <v>315</v>
      </c>
      <c r="C2679" s="381" t="s">
        <v>176</v>
      </c>
      <c r="D2679" s="381" t="s">
        <v>419</v>
      </c>
      <c r="E2679" s="381" t="s">
        <v>420</v>
      </c>
      <c r="F2679" s="378">
        <v>9510589.0800000001</v>
      </c>
      <c r="G2679" s="378">
        <v>1686260</v>
      </c>
      <c r="H2679" s="378">
        <v>0</v>
      </c>
      <c r="I2679" s="378">
        <v>11196849.08</v>
      </c>
      <c r="J2679" s="384">
        <f t="shared" si="47"/>
        <v>8</v>
      </c>
    </row>
    <row r="2680" spans="1:10" ht="15" customHeight="1" x14ac:dyDescent="0.25">
      <c r="A2680" s="380">
        <v>53052001</v>
      </c>
      <c r="B2680" s="381" t="s">
        <v>315</v>
      </c>
      <c r="C2680" s="381" t="s">
        <v>176</v>
      </c>
      <c r="D2680" s="381" t="s">
        <v>856</v>
      </c>
      <c r="E2680" s="381" t="s">
        <v>857</v>
      </c>
      <c r="F2680" s="378">
        <v>450474</v>
      </c>
      <c r="G2680" s="378">
        <v>0</v>
      </c>
      <c r="H2680" s="378">
        <v>0</v>
      </c>
      <c r="I2680" s="378">
        <v>450474</v>
      </c>
      <c r="J2680" s="384">
        <f t="shared" si="47"/>
        <v>8</v>
      </c>
    </row>
    <row r="2681" spans="1:10" ht="15" customHeight="1" x14ac:dyDescent="0.25">
      <c r="A2681" s="380">
        <v>53052001</v>
      </c>
      <c r="B2681" s="381" t="s">
        <v>315</v>
      </c>
      <c r="C2681" s="381" t="s">
        <v>176</v>
      </c>
      <c r="D2681" s="381" t="s">
        <v>440</v>
      </c>
      <c r="E2681" s="381" t="s">
        <v>441</v>
      </c>
      <c r="F2681" s="378">
        <v>2813101</v>
      </c>
      <c r="G2681" s="378">
        <v>1693872</v>
      </c>
      <c r="H2681" s="378">
        <v>0</v>
      </c>
      <c r="I2681" s="378">
        <v>4506973</v>
      </c>
      <c r="J2681" s="384">
        <f t="shared" si="47"/>
        <v>8</v>
      </c>
    </row>
    <row r="2682" spans="1:10" ht="15" customHeight="1" x14ac:dyDescent="0.25">
      <c r="A2682" s="380">
        <v>53052001</v>
      </c>
      <c r="B2682" s="381" t="s">
        <v>315</v>
      </c>
      <c r="C2682" s="381" t="s">
        <v>176</v>
      </c>
      <c r="D2682" s="381" t="s">
        <v>329</v>
      </c>
      <c r="E2682" s="381" t="s">
        <v>330</v>
      </c>
      <c r="F2682" s="378">
        <v>1100907</v>
      </c>
      <c r="G2682" s="378">
        <v>0</v>
      </c>
      <c r="H2682" s="378">
        <v>0</v>
      </c>
      <c r="I2682" s="378">
        <v>1100907</v>
      </c>
      <c r="J2682" s="384">
        <f t="shared" si="47"/>
        <v>8</v>
      </c>
    </row>
    <row r="2683" spans="1:10" ht="15" customHeight="1" x14ac:dyDescent="0.25">
      <c r="A2683" s="380">
        <v>530521</v>
      </c>
      <c r="B2683" s="381" t="s">
        <v>315</v>
      </c>
      <c r="C2683" s="381" t="s">
        <v>1419</v>
      </c>
      <c r="D2683" s="381" t="s">
        <v>315</v>
      </c>
      <c r="E2683" s="381" t="s">
        <v>315</v>
      </c>
      <c r="F2683" s="378">
        <v>37570.79</v>
      </c>
      <c r="G2683" s="378">
        <v>102633</v>
      </c>
      <c r="H2683" s="378">
        <v>0</v>
      </c>
      <c r="I2683" s="378">
        <v>140203.79</v>
      </c>
      <c r="J2683" s="384">
        <f t="shared" si="47"/>
        <v>6</v>
      </c>
    </row>
    <row r="2684" spans="1:10" ht="15" customHeight="1" x14ac:dyDescent="0.25">
      <c r="A2684" s="380">
        <v>53052101</v>
      </c>
      <c r="B2684" s="381" t="s">
        <v>315</v>
      </c>
      <c r="C2684" s="381" t="s">
        <v>1419</v>
      </c>
      <c r="D2684" s="381" t="s">
        <v>315</v>
      </c>
      <c r="E2684" s="381" t="s">
        <v>315</v>
      </c>
      <c r="F2684" s="378">
        <v>37570.79</v>
      </c>
      <c r="G2684" s="378">
        <v>102633</v>
      </c>
      <c r="H2684" s="378">
        <v>0</v>
      </c>
      <c r="I2684" s="378">
        <v>140203.79</v>
      </c>
      <c r="J2684" s="384">
        <f t="shared" si="47"/>
        <v>8</v>
      </c>
    </row>
    <row r="2685" spans="1:10" ht="15" customHeight="1" x14ac:dyDescent="0.25">
      <c r="A2685" s="380">
        <v>53052101</v>
      </c>
      <c r="B2685" s="381" t="s">
        <v>315</v>
      </c>
      <c r="C2685" s="381" t="s">
        <v>1419</v>
      </c>
      <c r="D2685" s="381" t="s">
        <v>972</v>
      </c>
      <c r="E2685" s="381" t="s">
        <v>973</v>
      </c>
      <c r="F2685" s="378">
        <v>12196</v>
      </c>
      <c r="G2685" s="378">
        <v>0</v>
      </c>
      <c r="H2685" s="378">
        <v>0</v>
      </c>
      <c r="I2685" s="378">
        <v>12196</v>
      </c>
      <c r="J2685" s="384">
        <f t="shared" si="47"/>
        <v>8</v>
      </c>
    </row>
    <row r="2686" spans="1:10" ht="15" customHeight="1" x14ac:dyDescent="0.25">
      <c r="A2686" s="380">
        <v>53052101</v>
      </c>
      <c r="B2686" s="381" t="s">
        <v>315</v>
      </c>
      <c r="C2686" s="381" t="s">
        <v>1419</v>
      </c>
      <c r="D2686" s="381" t="s">
        <v>976</v>
      </c>
      <c r="E2686" s="381" t="s">
        <v>977</v>
      </c>
      <c r="F2686" s="378">
        <v>21477</v>
      </c>
      <c r="G2686" s="378">
        <v>0</v>
      </c>
      <c r="H2686" s="378">
        <v>0</v>
      </c>
      <c r="I2686" s="378">
        <v>21477</v>
      </c>
      <c r="J2686" s="384">
        <f t="shared" si="47"/>
        <v>8</v>
      </c>
    </row>
    <row r="2687" spans="1:10" ht="15" customHeight="1" x14ac:dyDescent="0.25">
      <c r="A2687" s="380">
        <v>53052101</v>
      </c>
      <c r="B2687" s="381" t="s">
        <v>315</v>
      </c>
      <c r="C2687" s="381" t="s">
        <v>1419</v>
      </c>
      <c r="D2687" s="381" t="s">
        <v>419</v>
      </c>
      <c r="E2687" s="381" t="s">
        <v>420</v>
      </c>
      <c r="F2687" s="378">
        <v>955.79</v>
      </c>
      <c r="G2687" s="378">
        <v>0</v>
      </c>
      <c r="H2687" s="378">
        <v>0</v>
      </c>
      <c r="I2687" s="378">
        <v>955.79</v>
      </c>
      <c r="J2687" s="384">
        <f t="shared" si="47"/>
        <v>8</v>
      </c>
    </row>
    <row r="2688" spans="1:10" ht="15" customHeight="1" x14ac:dyDescent="0.25">
      <c r="A2688" s="380">
        <v>53052101</v>
      </c>
      <c r="B2688" s="381" t="s">
        <v>315</v>
      </c>
      <c r="C2688" s="381" t="s">
        <v>1419</v>
      </c>
      <c r="D2688" s="381" t="s">
        <v>985</v>
      </c>
      <c r="E2688" s="381" t="s">
        <v>986</v>
      </c>
      <c r="F2688" s="378">
        <v>0</v>
      </c>
      <c r="G2688" s="378">
        <v>102633</v>
      </c>
      <c r="H2688" s="378">
        <v>0</v>
      </c>
      <c r="I2688" s="378">
        <v>102633</v>
      </c>
      <c r="J2688" s="384">
        <f t="shared" si="47"/>
        <v>8</v>
      </c>
    </row>
    <row r="2689" spans="1:10" ht="15" customHeight="1" x14ac:dyDescent="0.25">
      <c r="A2689" s="380">
        <v>53052101</v>
      </c>
      <c r="B2689" s="381" t="s">
        <v>315</v>
      </c>
      <c r="C2689" s="381" t="s">
        <v>1419</v>
      </c>
      <c r="D2689" s="381" t="s">
        <v>918</v>
      </c>
      <c r="E2689" s="381" t="s">
        <v>919</v>
      </c>
      <c r="F2689" s="378">
        <v>2942</v>
      </c>
      <c r="G2689" s="378">
        <v>0</v>
      </c>
      <c r="H2689" s="378">
        <v>0</v>
      </c>
      <c r="I2689" s="378">
        <v>2942</v>
      </c>
      <c r="J2689" s="384">
        <f t="shared" si="47"/>
        <v>8</v>
      </c>
    </row>
    <row r="2690" spans="1:10" ht="15" customHeight="1" x14ac:dyDescent="0.25">
      <c r="A2690" s="380">
        <v>530535</v>
      </c>
      <c r="B2690" s="381" t="s">
        <v>315</v>
      </c>
      <c r="C2690" s="381" t="s">
        <v>471</v>
      </c>
      <c r="D2690" s="381" t="s">
        <v>315</v>
      </c>
      <c r="E2690" s="381" t="s">
        <v>315</v>
      </c>
      <c r="F2690" s="378">
        <v>0</v>
      </c>
      <c r="G2690" s="378">
        <v>48841</v>
      </c>
      <c r="H2690" s="378">
        <v>0</v>
      </c>
      <c r="I2690" s="378">
        <v>48841</v>
      </c>
      <c r="J2690" s="384">
        <f t="shared" si="47"/>
        <v>6</v>
      </c>
    </row>
    <row r="2691" spans="1:10" ht="15" customHeight="1" x14ac:dyDescent="0.25">
      <c r="A2691" s="380">
        <v>53053501</v>
      </c>
      <c r="B2691" s="381" t="s">
        <v>315</v>
      </c>
      <c r="C2691" s="381" t="s">
        <v>471</v>
      </c>
      <c r="D2691" s="381" t="s">
        <v>315</v>
      </c>
      <c r="E2691" s="381" t="s">
        <v>315</v>
      </c>
      <c r="F2691" s="378">
        <v>0</v>
      </c>
      <c r="G2691" s="378">
        <v>48841</v>
      </c>
      <c r="H2691" s="378">
        <v>0</v>
      </c>
      <c r="I2691" s="378">
        <v>48841</v>
      </c>
      <c r="J2691" s="384">
        <f t="shared" si="47"/>
        <v>8</v>
      </c>
    </row>
    <row r="2692" spans="1:10" ht="15" customHeight="1" x14ac:dyDescent="0.25">
      <c r="A2692" s="380">
        <v>53053501</v>
      </c>
      <c r="B2692" s="381" t="s">
        <v>315</v>
      </c>
      <c r="C2692" s="381" t="s">
        <v>471</v>
      </c>
      <c r="D2692" s="381" t="s">
        <v>717</v>
      </c>
      <c r="E2692" s="381" t="s">
        <v>718</v>
      </c>
      <c r="F2692" s="378">
        <v>0</v>
      </c>
      <c r="G2692" s="378">
        <v>48841</v>
      </c>
      <c r="H2692" s="378">
        <v>0</v>
      </c>
      <c r="I2692" s="378">
        <v>48841</v>
      </c>
      <c r="J2692" s="384">
        <f t="shared" si="47"/>
        <v>8</v>
      </c>
    </row>
    <row r="2693" spans="1:10" ht="15" customHeight="1" x14ac:dyDescent="0.25">
      <c r="A2693" s="380">
        <v>5395</v>
      </c>
      <c r="B2693" s="381" t="s">
        <v>321</v>
      </c>
      <c r="C2693" s="381" t="s">
        <v>199</v>
      </c>
      <c r="D2693" s="381" t="s">
        <v>315</v>
      </c>
      <c r="E2693" s="381" t="s">
        <v>315</v>
      </c>
      <c r="F2693" s="378">
        <v>46635</v>
      </c>
      <c r="G2693" s="378">
        <v>6297281</v>
      </c>
      <c r="H2693" s="378">
        <v>6297280</v>
      </c>
      <c r="I2693" s="378">
        <v>46636</v>
      </c>
      <c r="J2693" s="384">
        <f t="shared" si="47"/>
        <v>4</v>
      </c>
    </row>
    <row r="2694" spans="1:10" ht="15" customHeight="1" x14ac:dyDescent="0.25">
      <c r="A2694" s="380">
        <v>539580</v>
      </c>
      <c r="B2694" s="381" t="s">
        <v>315</v>
      </c>
      <c r="C2694" s="381" t="s">
        <v>644</v>
      </c>
      <c r="D2694" s="381" t="s">
        <v>315</v>
      </c>
      <c r="E2694" s="381" t="s">
        <v>315</v>
      </c>
      <c r="F2694" s="378">
        <v>46535</v>
      </c>
      <c r="G2694" s="378">
        <v>1</v>
      </c>
      <c r="H2694" s="378">
        <v>0</v>
      </c>
      <c r="I2694" s="378">
        <v>46536</v>
      </c>
      <c r="J2694" s="384">
        <f t="shared" si="47"/>
        <v>6</v>
      </c>
    </row>
    <row r="2695" spans="1:10" ht="15" customHeight="1" x14ac:dyDescent="0.25">
      <c r="A2695" s="380">
        <v>53958001</v>
      </c>
      <c r="B2695" s="381" t="s">
        <v>315</v>
      </c>
      <c r="C2695" s="381" t="s">
        <v>644</v>
      </c>
      <c r="D2695" s="381" t="s">
        <v>315</v>
      </c>
      <c r="E2695" s="381" t="s">
        <v>315</v>
      </c>
      <c r="F2695" s="378">
        <v>46535</v>
      </c>
      <c r="G2695" s="378">
        <v>1</v>
      </c>
      <c r="H2695" s="378">
        <v>0</v>
      </c>
      <c r="I2695" s="378">
        <v>46536</v>
      </c>
      <c r="J2695" s="384">
        <f t="shared" si="47"/>
        <v>8</v>
      </c>
    </row>
    <row r="2696" spans="1:10" ht="15" customHeight="1" x14ac:dyDescent="0.25">
      <c r="A2696" s="380">
        <v>53958001</v>
      </c>
      <c r="B2696" s="381" t="s">
        <v>315</v>
      </c>
      <c r="C2696" s="381" t="s">
        <v>644</v>
      </c>
      <c r="D2696" s="381" t="s">
        <v>779</v>
      </c>
      <c r="E2696" s="381" t="s">
        <v>780</v>
      </c>
      <c r="F2696" s="378">
        <v>50</v>
      </c>
      <c r="G2696" s="378">
        <v>0</v>
      </c>
      <c r="H2696" s="378">
        <v>0</v>
      </c>
      <c r="I2696" s="378">
        <v>50</v>
      </c>
      <c r="J2696" s="384">
        <f t="shared" si="47"/>
        <v>8</v>
      </c>
    </row>
    <row r="2697" spans="1:10" ht="15" customHeight="1" x14ac:dyDescent="0.25">
      <c r="A2697" s="380">
        <v>53958001</v>
      </c>
      <c r="B2697" s="381" t="s">
        <v>315</v>
      </c>
      <c r="C2697" s="381" t="s">
        <v>644</v>
      </c>
      <c r="D2697" s="381" t="s">
        <v>781</v>
      </c>
      <c r="E2697" s="381" t="s">
        <v>782</v>
      </c>
      <c r="F2697" s="378">
        <v>6846</v>
      </c>
      <c r="G2697" s="378">
        <v>0</v>
      </c>
      <c r="H2697" s="378">
        <v>0</v>
      </c>
      <c r="I2697" s="378">
        <v>6846</v>
      </c>
      <c r="J2697" s="384">
        <f t="shared" si="47"/>
        <v>8</v>
      </c>
    </row>
    <row r="2698" spans="1:10" ht="15" customHeight="1" x14ac:dyDescent="0.25">
      <c r="A2698" s="380">
        <v>53958001</v>
      </c>
      <c r="B2698" s="381" t="s">
        <v>315</v>
      </c>
      <c r="C2698" s="381" t="s">
        <v>644</v>
      </c>
      <c r="D2698" s="381" t="s">
        <v>785</v>
      </c>
      <c r="E2698" s="381" t="s">
        <v>1469</v>
      </c>
      <c r="F2698" s="378">
        <v>3920</v>
      </c>
      <c r="G2698" s="378">
        <v>0</v>
      </c>
      <c r="H2698" s="378">
        <v>0</v>
      </c>
      <c r="I2698" s="378">
        <v>3920</v>
      </c>
      <c r="J2698" s="384">
        <f t="shared" si="47"/>
        <v>8</v>
      </c>
    </row>
    <row r="2699" spans="1:10" ht="15" customHeight="1" x14ac:dyDescent="0.25">
      <c r="A2699" s="380">
        <v>53958001</v>
      </c>
      <c r="B2699" s="381" t="s">
        <v>315</v>
      </c>
      <c r="C2699" s="381" t="s">
        <v>644</v>
      </c>
      <c r="D2699" s="381" t="s">
        <v>786</v>
      </c>
      <c r="E2699" s="381" t="s">
        <v>787</v>
      </c>
      <c r="F2699" s="378">
        <v>6000</v>
      </c>
      <c r="G2699" s="378">
        <v>0</v>
      </c>
      <c r="H2699" s="378">
        <v>0</v>
      </c>
      <c r="I2699" s="378">
        <v>6000</v>
      </c>
      <c r="J2699" s="384">
        <f t="shared" si="47"/>
        <v>8</v>
      </c>
    </row>
    <row r="2700" spans="1:10" ht="15" customHeight="1" x14ac:dyDescent="0.25">
      <c r="A2700" s="380">
        <v>53958001</v>
      </c>
      <c r="B2700" s="381" t="s">
        <v>315</v>
      </c>
      <c r="C2700" s="381" t="s">
        <v>644</v>
      </c>
      <c r="D2700" s="381" t="s">
        <v>1354</v>
      </c>
      <c r="E2700" s="381" t="s">
        <v>1355</v>
      </c>
      <c r="F2700" s="378">
        <v>1</v>
      </c>
      <c r="G2700" s="378">
        <v>0</v>
      </c>
      <c r="H2700" s="378">
        <v>0</v>
      </c>
      <c r="I2700" s="378">
        <v>1</v>
      </c>
      <c r="J2700" s="384">
        <f t="shared" si="47"/>
        <v>8</v>
      </c>
    </row>
    <row r="2701" spans="1:10" ht="15" customHeight="1" x14ac:dyDescent="0.25">
      <c r="A2701" s="380">
        <v>53958001</v>
      </c>
      <c r="B2701" s="381" t="s">
        <v>315</v>
      </c>
      <c r="C2701" s="381" t="s">
        <v>644</v>
      </c>
      <c r="D2701" s="381" t="s">
        <v>403</v>
      </c>
      <c r="E2701" s="381" t="s">
        <v>1080</v>
      </c>
      <c r="F2701" s="378">
        <v>1</v>
      </c>
      <c r="G2701" s="378">
        <v>0</v>
      </c>
      <c r="H2701" s="378">
        <v>0</v>
      </c>
      <c r="I2701" s="378">
        <v>1</v>
      </c>
      <c r="J2701" s="384">
        <f t="shared" si="47"/>
        <v>8</v>
      </c>
    </row>
    <row r="2702" spans="1:10" ht="15" customHeight="1" x14ac:dyDescent="0.25">
      <c r="A2702" s="380">
        <v>53958001</v>
      </c>
      <c r="B2702" s="381" t="s">
        <v>315</v>
      </c>
      <c r="C2702" s="381" t="s">
        <v>644</v>
      </c>
      <c r="D2702" s="381" t="s">
        <v>493</v>
      </c>
      <c r="E2702" s="381" t="s">
        <v>494</v>
      </c>
      <c r="F2702" s="378">
        <v>3727</v>
      </c>
      <c r="G2702" s="378">
        <v>0</v>
      </c>
      <c r="H2702" s="378">
        <v>0</v>
      </c>
      <c r="I2702" s="378">
        <v>3727</v>
      </c>
      <c r="J2702" s="384">
        <f t="shared" si="47"/>
        <v>8</v>
      </c>
    </row>
    <row r="2703" spans="1:10" ht="15" customHeight="1" x14ac:dyDescent="0.25">
      <c r="A2703" s="380">
        <v>53958001</v>
      </c>
      <c r="B2703" s="381" t="s">
        <v>315</v>
      </c>
      <c r="C2703" s="381" t="s">
        <v>644</v>
      </c>
      <c r="D2703" s="381" t="s">
        <v>419</v>
      </c>
      <c r="E2703" s="381" t="s">
        <v>420</v>
      </c>
      <c r="F2703" s="378">
        <v>164</v>
      </c>
      <c r="G2703" s="378">
        <v>0</v>
      </c>
      <c r="H2703" s="378">
        <v>0</v>
      </c>
      <c r="I2703" s="378">
        <v>164</v>
      </c>
      <c r="J2703" s="384">
        <f t="shared" si="47"/>
        <v>8</v>
      </c>
    </row>
    <row r="2704" spans="1:10" ht="15" customHeight="1" x14ac:dyDescent="0.25">
      <c r="A2704" s="380">
        <v>53958001</v>
      </c>
      <c r="B2704" s="381" t="s">
        <v>315</v>
      </c>
      <c r="C2704" s="381" t="s">
        <v>644</v>
      </c>
      <c r="D2704" s="381" t="s">
        <v>1156</v>
      </c>
      <c r="E2704" s="381" t="s">
        <v>1157</v>
      </c>
      <c r="F2704" s="378">
        <v>1</v>
      </c>
      <c r="G2704" s="378">
        <v>0</v>
      </c>
      <c r="H2704" s="378">
        <v>0</v>
      </c>
      <c r="I2704" s="378">
        <v>1</v>
      </c>
      <c r="J2704" s="384">
        <f t="shared" si="47"/>
        <v>8</v>
      </c>
    </row>
    <row r="2705" spans="1:10" ht="15" customHeight="1" x14ac:dyDescent="0.25">
      <c r="A2705" s="380">
        <v>53958001</v>
      </c>
      <c r="B2705" s="381" t="s">
        <v>315</v>
      </c>
      <c r="C2705" s="381" t="s">
        <v>644</v>
      </c>
      <c r="D2705" s="381" t="s">
        <v>717</v>
      </c>
      <c r="E2705" s="381" t="s">
        <v>718</v>
      </c>
      <c r="F2705" s="378">
        <v>720</v>
      </c>
      <c r="G2705" s="378">
        <v>0</v>
      </c>
      <c r="H2705" s="378">
        <v>0</v>
      </c>
      <c r="I2705" s="378">
        <v>720</v>
      </c>
      <c r="J2705" s="384">
        <f t="shared" si="47"/>
        <v>8</v>
      </c>
    </row>
    <row r="2706" spans="1:10" ht="15" customHeight="1" x14ac:dyDescent="0.25">
      <c r="A2706" s="380">
        <v>53958001</v>
      </c>
      <c r="B2706" s="381" t="s">
        <v>315</v>
      </c>
      <c r="C2706" s="381" t="s">
        <v>644</v>
      </c>
      <c r="D2706" s="381" t="s">
        <v>1013</v>
      </c>
      <c r="E2706" s="381" t="s">
        <v>1014</v>
      </c>
      <c r="F2706" s="378">
        <v>3</v>
      </c>
      <c r="G2706" s="378">
        <v>0</v>
      </c>
      <c r="H2706" s="378">
        <v>0</v>
      </c>
      <c r="I2706" s="378">
        <v>3</v>
      </c>
      <c r="J2706" s="384">
        <f t="shared" si="47"/>
        <v>8</v>
      </c>
    </row>
    <row r="2707" spans="1:10" ht="15" customHeight="1" x14ac:dyDescent="0.25">
      <c r="A2707" s="380">
        <v>53958001</v>
      </c>
      <c r="B2707" s="381" t="s">
        <v>315</v>
      </c>
      <c r="C2707" s="381" t="s">
        <v>644</v>
      </c>
      <c r="D2707" s="381" t="s">
        <v>668</v>
      </c>
      <c r="E2707" s="381" t="s">
        <v>1028</v>
      </c>
      <c r="F2707" s="378">
        <v>0</v>
      </c>
      <c r="G2707" s="378">
        <v>1</v>
      </c>
      <c r="H2707" s="378">
        <v>0</v>
      </c>
      <c r="I2707" s="378">
        <v>1</v>
      </c>
      <c r="J2707" s="384">
        <f t="shared" si="47"/>
        <v>8</v>
      </c>
    </row>
    <row r="2708" spans="1:10" ht="15" customHeight="1" x14ac:dyDescent="0.25">
      <c r="A2708" s="380">
        <v>53958001</v>
      </c>
      <c r="B2708" s="381" t="s">
        <v>315</v>
      </c>
      <c r="C2708" s="381" t="s">
        <v>644</v>
      </c>
      <c r="D2708" s="381" t="s">
        <v>788</v>
      </c>
      <c r="E2708" s="381" t="s">
        <v>789</v>
      </c>
      <c r="F2708" s="378">
        <v>4718</v>
      </c>
      <c r="G2708" s="378">
        <v>0</v>
      </c>
      <c r="H2708" s="378">
        <v>0</v>
      </c>
      <c r="I2708" s="378">
        <v>4718</v>
      </c>
      <c r="J2708" s="384">
        <f t="shared" si="47"/>
        <v>8</v>
      </c>
    </row>
    <row r="2709" spans="1:10" ht="15" customHeight="1" x14ac:dyDescent="0.25">
      <c r="A2709" s="380">
        <v>53958001</v>
      </c>
      <c r="B2709" s="381" t="s">
        <v>315</v>
      </c>
      <c r="C2709" s="381" t="s">
        <v>644</v>
      </c>
      <c r="D2709" s="381" t="s">
        <v>776</v>
      </c>
      <c r="E2709" s="381" t="s">
        <v>777</v>
      </c>
      <c r="F2709" s="378">
        <v>1150</v>
      </c>
      <c r="G2709" s="378">
        <v>0</v>
      </c>
      <c r="H2709" s="378">
        <v>0</v>
      </c>
      <c r="I2709" s="378">
        <v>1150</v>
      </c>
      <c r="J2709" s="384">
        <f t="shared" si="47"/>
        <v>8</v>
      </c>
    </row>
    <row r="2710" spans="1:10" ht="15" customHeight="1" x14ac:dyDescent="0.25">
      <c r="A2710" s="380">
        <v>53958001</v>
      </c>
      <c r="B2710" s="381" t="s">
        <v>315</v>
      </c>
      <c r="C2710" s="381" t="s">
        <v>644</v>
      </c>
      <c r="D2710" s="381" t="s">
        <v>1090</v>
      </c>
      <c r="E2710" s="381" t="s">
        <v>1091</v>
      </c>
      <c r="F2710" s="378">
        <v>4632</v>
      </c>
      <c r="G2710" s="378">
        <v>0</v>
      </c>
      <c r="H2710" s="378">
        <v>0</v>
      </c>
      <c r="I2710" s="378">
        <v>4632</v>
      </c>
      <c r="J2710" s="384">
        <f t="shared" si="47"/>
        <v>8</v>
      </c>
    </row>
    <row r="2711" spans="1:10" ht="15" customHeight="1" x14ac:dyDescent="0.25">
      <c r="A2711" s="380">
        <v>53958001</v>
      </c>
      <c r="B2711" s="381" t="s">
        <v>315</v>
      </c>
      <c r="C2711" s="381" t="s">
        <v>644</v>
      </c>
      <c r="D2711" s="381" t="s">
        <v>792</v>
      </c>
      <c r="E2711" s="381" t="s">
        <v>793</v>
      </c>
      <c r="F2711" s="378">
        <v>10071</v>
      </c>
      <c r="G2711" s="378">
        <v>0</v>
      </c>
      <c r="H2711" s="378">
        <v>0</v>
      </c>
      <c r="I2711" s="378">
        <v>10071</v>
      </c>
      <c r="J2711" s="384">
        <f t="shared" si="47"/>
        <v>8</v>
      </c>
    </row>
    <row r="2712" spans="1:10" ht="15" customHeight="1" x14ac:dyDescent="0.25">
      <c r="A2712" s="380">
        <v>53958001</v>
      </c>
      <c r="B2712" s="381" t="s">
        <v>315</v>
      </c>
      <c r="C2712" s="381" t="s">
        <v>644</v>
      </c>
      <c r="D2712" s="381" t="s">
        <v>794</v>
      </c>
      <c r="E2712" s="381" t="s">
        <v>795</v>
      </c>
      <c r="F2712" s="378">
        <v>4531</v>
      </c>
      <c r="G2712" s="378">
        <v>0</v>
      </c>
      <c r="H2712" s="378">
        <v>0</v>
      </c>
      <c r="I2712" s="378">
        <v>4531</v>
      </c>
      <c r="J2712" s="384">
        <f t="shared" si="47"/>
        <v>8</v>
      </c>
    </row>
    <row r="2713" spans="1:10" ht="15" customHeight="1" x14ac:dyDescent="0.25">
      <c r="A2713" s="380">
        <v>539581</v>
      </c>
      <c r="B2713" s="381" t="s">
        <v>321</v>
      </c>
      <c r="C2713" s="381" t="s">
        <v>644</v>
      </c>
      <c r="D2713" s="381" t="s">
        <v>315</v>
      </c>
      <c r="E2713" s="381" t="s">
        <v>315</v>
      </c>
      <c r="F2713" s="378">
        <v>100</v>
      </c>
      <c r="G2713" s="378">
        <v>0</v>
      </c>
      <c r="H2713" s="378">
        <v>0</v>
      </c>
      <c r="I2713" s="378">
        <v>100</v>
      </c>
      <c r="J2713" s="384">
        <f t="shared" si="47"/>
        <v>6</v>
      </c>
    </row>
    <row r="2714" spans="1:10" ht="15" customHeight="1" x14ac:dyDescent="0.25">
      <c r="A2714" s="380">
        <v>53958101</v>
      </c>
      <c r="B2714" s="381" t="s">
        <v>321</v>
      </c>
      <c r="C2714" s="381" t="s">
        <v>644</v>
      </c>
      <c r="D2714" s="381" t="s">
        <v>315</v>
      </c>
      <c r="E2714" s="381" t="s">
        <v>315</v>
      </c>
      <c r="F2714" s="378">
        <v>100</v>
      </c>
      <c r="G2714" s="378">
        <v>0</v>
      </c>
      <c r="H2714" s="378">
        <v>0</v>
      </c>
      <c r="I2714" s="378">
        <v>100</v>
      </c>
      <c r="J2714" s="384">
        <f t="shared" si="47"/>
        <v>8</v>
      </c>
    </row>
    <row r="2715" spans="1:10" ht="15" customHeight="1" x14ac:dyDescent="0.25">
      <c r="A2715" s="380">
        <v>53958101</v>
      </c>
      <c r="B2715" s="381" t="s">
        <v>321</v>
      </c>
      <c r="C2715" s="381" t="s">
        <v>644</v>
      </c>
      <c r="D2715" s="381" t="s">
        <v>1090</v>
      </c>
      <c r="E2715" s="381" t="s">
        <v>1091</v>
      </c>
      <c r="F2715" s="378">
        <v>100</v>
      </c>
      <c r="G2715" s="378">
        <v>0</v>
      </c>
      <c r="H2715" s="378">
        <v>0</v>
      </c>
      <c r="I2715" s="378">
        <v>100</v>
      </c>
      <c r="J2715" s="384">
        <f t="shared" si="47"/>
        <v>8</v>
      </c>
    </row>
    <row r="2716" spans="1:10" ht="15" customHeight="1" x14ac:dyDescent="0.25">
      <c r="A2716" s="380">
        <v>539595</v>
      </c>
      <c r="B2716" s="381" t="s">
        <v>315</v>
      </c>
      <c r="C2716" s="381" t="s">
        <v>238</v>
      </c>
      <c r="D2716" s="381" t="s">
        <v>315</v>
      </c>
      <c r="E2716" s="381" t="s">
        <v>315</v>
      </c>
      <c r="F2716" s="378">
        <v>0</v>
      </c>
      <c r="G2716" s="378">
        <v>6297280</v>
      </c>
      <c r="H2716" s="378">
        <v>6297280</v>
      </c>
      <c r="I2716" s="378">
        <v>0</v>
      </c>
      <c r="J2716" s="384">
        <f t="shared" si="47"/>
        <v>6</v>
      </c>
    </row>
    <row r="2717" spans="1:10" ht="15" customHeight="1" x14ac:dyDescent="0.25">
      <c r="A2717" s="380">
        <v>53959505</v>
      </c>
      <c r="B2717" s="381" t="s">
        <v>321</v>
      </c>
      <c r="C2717" s="381" t="s">
        <v>1450</v>
      </c>
      <c r="D2717" s="381" t="s">
        <v>315</v>
      </c>
      <c r="E2717" s="381" t="s">
        <v>315</v>
      </c>
      <c r="F2717" s="378">
        <v>0</v>
      </c>
      <c r="G2717" s="378">
        <v>6297280</v>
      </c>
      <c r="H2717" s="378">
        <v>6297280</v>
      </c>
      <c r="I2717" s="378">
        <v>0</v>
      </c>
      <c r="J2717" s="384">
        <f t="shared" si="47"/>
        <v>8</v>
      </c>
    </row>
    <row r="2718" spans="1:10" ht="15" customHeight="1" x14ac:dyDescent="0.25">
      <c r="A2718" s="380">
        <v>53959505</v>
      </c>
      <c r="B2718" s="381" t="s">
        <v>321</v>
      </c>
      <c r="C2718" s="381" t="s">
        <v>1450</v>
      </c>
      <c r="D2718" s="381" t="s">
        <v>715</v>
      </c>
      <c r="E2718" s="381" t="s">
        <v>716</v>
      </c>
      <c r="F2718" s="378">
        <v>0</v>
      </c>
      <c r="G2718" s="378">
        <v>62100</v>
      </c>
      <c r="H2718" s="378">
        <v>62100</v>
      </c>
      <c r="I2718" s="378">
        <v>0</v>
      </c>
      <c r="J2718" s="384">
        <f t="shared" si="47"/>
        <v>8</v>
      </c>
    </row>
    <row r="2719" spans="1:10" ht="15" customHeight="1" x14ac:dyDescent="0.25">
      <c r="A2719" s="380">
        <v>53959505</v>
      </c>
      <c r="B2719" s="381" t="s">
        <v>321</v>
      </c>
      <c r="C2719" s="381" t="s">
        <v>1450</v>
      </c>
      <c r="D2719" s="381" t="s">
        <v>717</v>
      </c>
      <c r="E2719" s="381" t="s">
        <v>718</v>
      </c>
      <c r="F2719" s="378">
        <v>0</v>
      </c>
      <c r="G2719" s="378">
        <v>5859280</v>
      </c>
      <c r="H2719" s="378">
        <v>5859280</v>
      </c>
      <c r="I2719" s="378">
        <v>0</v>
      </c>
      <c r="J2719" s="384">
        <f t="shared" si="47"/>
        <v>8</v>
      </c>
    </row>
    <row r="2720" spans="1:10" ht="15" customHeight="1" x14ac:dyDescent="0.25">
      <c r="A2720" s="380">
        <v>53959505</v>
      </c>
      <c r="B2720" s="381" t="s">
        <v>321</v>
      </c>
      <c r="C2720" s="381" t="s">
        <v>1450</v>
      </c>
      <c r="D2720" s="381" t="s">
        <v>719</v>
      </c>
      <c r="E2720" s="381" t="s">
        <v>720</v>
      </c>
      <c r="F2720" s="378">
        <v>0</v>
      </c>
      <c r="G2720" s="378">
        <v>39900</v>
      </c>
      <c r="H2720" s="378">
        <v>39900</v>
      </c>
      <c r="I2720" s="378">
        <v>0</v>
      </c>
      <c r="J2720" s="384">
        <f t="shared" si="47"/>
        <v>8</v>
      </c>
    </row>
    <row r="2721" spans="1:10" ht="15" customHeight="1" x14ac:dyDescent="0.25">
      <c r="A2721" s="380">
        <v>53959505</v>
      </c>
      <c r="B2721" s="381" t="s">
        <v>321</v>
      </c>
      <c r="C2721" s="381" t="s">
        <v>1450</v>
      </c>
      <c r="D2721" s="381" t="s">
        <v>918</v>
      </c>
      <c r="E2721" s="381" t="s">
        <v>919</v>
      </c>
      <c r="F2721" s="378">
        <v>0</v>
      </c>
      <c r="G2721" s="378">
        <v>336000</v>
      </c>
      <c r="H2721" s="378">
        <v>336000</v>
      </c>
      <c r="I2721" s="378">
        <v>0</v>
      </c>
      <c r="J2721" s="384">
        <f t="shared" si="47"/>
        <v>8</v>
      </c>
    </row>
    <row r="2722" spans="1:10" ht="15" customHeight="1" x14ac:dyDescent="0.25">
      <c r="A2722" s="380">
        <v>54</v>
      </c>
      <c r="B2722" s="381" t="s">
        <v>315</v>
      </c>
      <c r="C2722" s="381" t="s">
        <v>1420</v>
      </c>
      <c r="D2722" s="381" t="s">
        <v>315</v>
      </c>
      <c r="E2722" s="381" t="s">
        <v>315</v>
      </c>
      <c r="F2722" s="378">
        <v>26309000</v>
      </c>
      <c r="G2722" s="378">
        <v>362196</v>
      </c>
      <c r="H2722" s="378">
        <v>0</v>
      </c>
      <c r="I2722" s="378">
        <v>26671196</v>
      </c>
      <c r="J2722" s="384">
        <f t="shared" si="47"/>
        <v>2</v>
      </c>
    </row>
    <row r="2723" spans="1:10" ht="15" customHeight="1" x14ac:dyDescent="0.25">
      <c r="A2723" s="380">
        <v>5405</v>
      </c>
      <c r="B2723" s="381" t="s">
        <v>315</v>
      </c>
      <c r="C2723" s="381" t="s">
        <v>1420</v>
      </c>
      <c r="D2723" s="381" t="s">
        <v>315</v>
      </c>
      <c r="E2723" s="381" t="s">
        <v>315</v>
      </c>
      <c r="F2723" s="378">
        <v>26309000</v>
      </c>
      <c r="G2723" s="378">
        <v>362196</v>
      </c>
      <c r="H2723" s="378">
        <v>0</v>
      </c>
      <c r="I2723" s="378">
        <v>26671196</v>
      </c>
      <c r="J2723" s="384">
        <f t="shared" si="47"/>
        <v>4</v>
      </c>
    </row>
    <row r="2724" spans="1:10" ht="15" customHeight="1" x14ac:dyDescent="0.25">
      <c r="A2724" s="380">
        <v>540505</v>
      </c>
      <c r="B2724" s="381" t="s">
        <v>315</v>
      </c>
      <c r="C2724" s="381" t="s">
        <v>1420</v>
      </c>
      <c r="D2724" s="381" t="s">
        <v>315</v>
      </c>
      <c r="E2724" s="381" t="s">
        <v>315</v>
      </c>
      <c r="F2724" s="378">
        <v>26309000</v>
      </c>
      <c r="G2724" s="378">
        <v>362196</v>
      </c>
      <c r="H2724" s="378">
        <v>0</v>
      </c>
      <c r="I2724" s="378">
        <v>26671196</v>
      </c>
      <c r="J2724" s="384">
        <f t="shared" si="47"/>
        <v>6</v>
      </c>
    </row>
    <row r="2725" spans="1:10" ht="15" customHeight="1" x14ac:dyDescent="0.25">
      <c r="A2725" s="380">
        <v>54050501</v>
      </c>
      <c r="B2725" s="381" t="s">
        <v>315</v>
      </c>
      <c r="C2725" s="381" t="s">
        <v>1420</v>
      </c>
      <c r="D2725" s="381" t="s">
        <v>315</v>
      </c>
      <c r="E2725" s="381" t="s">
        <v>315</v>
      </c>
      <c r="F2725" s="378">
        <v>26309000</v>
      </c>
      <c r="G2725" s="378">
        <v>362196</v>
      </c>
      <c r="H2725" s="378">
        <v>0</v>
      </c>
      <c r="I2725" s="378">
        <v>26671196</v>
      </c>
      <c r="J2725" s="384">
        <f t="shared" si="47"/>
        <v>8</v>
      </c>
    </row>
    <row r="2726" spans="1:10" ht="15" customHeight="1" x14ac:dyDescent="0.25">
      <c r="A2726" s="380">
        <v>55</v>
      </c>
      <c r="B2726" s="381" t="s">
        <v>315</v>
      </c>
      <c r="C2726" s="381" t="s">
        <v>217</v>
      </c>
      <c r="D2726" s="381" t="s">
        <v>315</v>
      </c>
      <c r="E2726" s="381" t="s">
        <v>315</v>
      </c>
      <c r="F2726" s="378">
        <v>473556.44</v>
      </c>
      <c r="G2726" s="378">
        <v>108190</v>
      </c>
      <c r="H2726" s="378">
        <v>0</v>
      </c>
      <c r="I2726" s="378">
        <v>581746.43999999994</v>
      </c>
      <c r="J2726" s="384">
        <f t="shared" si="47"/>
        <v>2</v>
      </c>
    </row>
    <row r="2727" spans="1:10" ht="15" customHeight="1" x14ac:dyDescent="0.25">
      <c r="A2727" s="380">
        <v>5515</v>
      </c>
      <c r="B2727" s="381" t="s">
        <v>315</v>
      </c>
      <c r="C2727" s="381" t="s">
        <v>218</v>
      </c>
      <c r="D2727" s="381" t="s">
        <v>315</v>
      </c>
      <c r="E2727" s="381" t="s">
        <v>315</v>
      </c>
      <c r="F2727" s="378">
        <v>336738</v>
      </c>
      <c r="G2727" s="378">
        <v>33000</v>
      </c>
      <c r="H2727" s="378">
        <v>0</v>
      </c>
      <c r="I2727" s="378">
        <v>369738</v>
      </c>
      <c r="J2727" s="384">
        <f t="shared" si="47"/>
        <v>4</v>
      </c>
    </row>
    <row r="2728" spans="1:10" ht="15" customHeight="1" x14ac:dyDescent="0.25">
      <c r="A2728" s="380">
        <v>551515</v>
      </c>
      <c r="B2728" s="381" t="s">
        <v>315</v>
      </c>
      <c r="C2728" s="381" t="s">
        <v>1421</v>
      </c>
      <c r="D2728" s="381" t="s">
        <v>315</v>
      </c>
      <c r="E2728" s="381" t="s">
        <v>315</v>
      </c>
      <c r="F2728" s="378">
        <v>336738</v>
      </c>
      <c r="G2728" s="378">
        <v>0</v>
      </c>
      <c r="H2728" s="378">
        <v>0</v>
      </c>
      <c r="I2728" s="378">
        <v>336738</v>
      </c>
      <c r="J2728" s="384">
        <f t="shared" ref="J2728:J2791" si="48">+LEN(A2728)</f>
        <v>6</v>
      </c>
    </row>
    <row r="2729" spans="1:10" ht="15" customHeight="1" x14ac:dyDescent="0.25">
      <c r="A2729" s="380">
        <v>55151501</v>
      </c>
      <c r="B2729" s="381" t="s">
        <v>315</v>
      </c>
      <c r="C2729" s="381" t="s">
        <v>1421</v>
      </c>
      <c r="D2729" s="381" t="s">
        <v>315</v>
      </c>
      <c r="E2729" s="381" t="s">
        <v>315</v>
      </c>
      <c r="F2729" s="378">
        <v>336738</v>
      </c>
      <c r="G2729" s="378">
        <v>0</v>
      </c>
      <c r="H2729" s="378">
        <v>0</v>
      </c>
      <c r="I2729" s="378">
        <v>336738</v>
      </c>
      <c r="J2729" s="384">
        <f t="shared" si="48"/>
        <v>8</v>
      </c>
    </row>
    <row r="2730" spans="1:10" ht="15" customHeight="1" x14ac:dyDescent="0.25">
      <c r="A2730" s="380">
        <v>55151501</v>
      </c>
      <c r="B2730" s="381" t="s">
        <v>315</v>
      </c>
      <c r="C2730" s="381" t="s">
        <v>1421</v>
      </c>
      <c r="D2730" s="381" t="s">
        <v>391</v>
      </c>
      <c r="E2730" s="381" t="s">
        <v>392</v>
      </c>
      <c r="F2730" s="378">
        <v>336738</v>
      </c>
      <c r="G2730" s="378">
        <v>0</v>
      </c>
      <c r="H2730" s="378">
        <v>0</v>
      </c>
      <c r="I2730" s="378">
        <v>336738</v>
      </c>
      <c r="J2730" s="384">
        <f t="shared" si="48"/>
        <v>8</v>
      </c>
    </row>
    <row r="2731" spans="1:10" ht="15" customHeight="1" x14ac:dyDescent="0.25">
      <c r="A2731" s="380">
        <v>551520</v>
      </c>
      <c r="B2731" s="381" t="s">
        <v>315</v>
      </c>
      <c r="C2731" s="381" t="s">
        <v>1422</v>
      </c>
      <c r="D2731" s="381" t="s">
        <v>315</v>
      </c>
      <c r="E2731" s="381" t="s">
        <v>315</v>
      </c>
      <c r="F2731" s="378">
        <v>0</v>
      </c>
      <c r="G2731" s="378">
        <v>33000</v>
      </c>
      <c r="H2731" s="378">
        <v>0</v>
      </c>
      <c r="I2731" s="378">
        <v>33000</v>
      </c>
      <c r="J2731" s="384">
        <f t="shared" si="48"/>
        <v>6</v>
      </c>
    </row>
    <row r="2732" spans="1:10" ht="15" customHeight="1" x14ac:dyDescent="0.25">
      <c r="A2732" s="380">
        <v>55152001</v>
      </c>
      <c r="B2732" s="381" t="s">
        <v>315</v>
      </c>
      <c r="C2732" s="381" t="s">
        <v>1422</v>
      </c>
      <c r="D2732" s="381" t="s">
        <v>315</v>
      </c>
      <c r="E2732" s="381" t="s">
        <v>315</v>
      </c>
      <c r="F2732" s="378">
        <v>0</v>
      </c>
      <c r="G2732" s="378">
        <v>33000</v>
      </c>
      <c r="H2732" s="378">
        <v>0</v>
      </c>
      <c r="I2732" s="378">
        <v>33000</v>
      </c>
      <c r="J2732" s="384">
        <f t="shared" si="48"/>
        <v>8</v>
      </c>
    </row>
    <row r="2733" spans="1:10" ht="15" customHeight="1" x14ac:dyDescent="0.25">
      <c r="A2733" s="380">
        <v>55152001</v>
      </c>
      <c r="B2733" s="381" t="s">
        <v>315</v>
      </c>
      <c r="C2733" s="381" t="s">
        <v>1422</v>
      </c>
      <c r="D2733" s="381" t="s">
        <v>1365</v>
      </c>
      <c r="E2733" s="381" t="s">
        <v>1366</v>
      </c>
      <c r="F2733" s="378">
        <v>0</v>
      </c>
      <c r="G2733" s="378">
        <v>33000</v>
      </c>
      <c r="H2733" s="378">
        <v>0</v>
      </c>
      <c r="I2733" s="378">
        <v>33000</v>
      </c>
      <c r="J2733" s="384">
        <f t="shared" si="48"/>
        <v>8</v>
      </c>
    </row>
    <row r="2734" spans="1:10" ht="15" customHeight="1" x14ac:dyDescent="0.25">
      <c r="A2734" s="380">
        <v>5595</v>
      </c>
      <c r="B2734" s="381" t="s">
        <v>315</v>
      </c>
      <c r="C2734" s="381" t="s">
        <v>199</v>
      </c>
      <c r="D2734" s="381" t="s">
        <v>315</v>
      </c>
      <c r="E2734" s="381" t="s">
        <v>315</v>
      </c>
      <c r="F2734" s="378">
        <v>136818.44</v>
      </c>
      <c r="G2734" s="378">
        <v>75190</v>
      </c>
      <c r="H2734" s="378">
        <v>0</v>
      </c>
      <c r="I2734" s="378">
        <v>212008.44</v>
      </c>
      <c r="J2734" s="384">
        <f t="shared" si="48"/>
        <v>4</v>
      </c>
    </row>
    <row r="2735" spans="1:10" ht="15" customHeight="1" x14ac:dyDescent="0.25">
      <c r="A2735" s="380">
        <v>559520</v>
      </c>
      <c r="B2735" s="381" t="s">
        <v>315</v>
      </c>
      <c r="C2735" s="381" t="s">
        <v>1423</v>
      </c>
      <c r="D2735" s="381" t="s">
        <v>315</v>
      </c>
      <c r="E2735" s="381" t="s">
        <v>315</v>
      </c>
      <c r="F2735" s="378">
        <v>0</v>
      </c>
      <c r="G2735" s="378">
        <v>39180</v>
      </c>
      <c r="H2735" s="378">
        <v>0</v>
      </c>
      <c r="I2735" s="378">
        <v>39180</v>
      </c>
      <c r="J2735" s="384">
        <f t="shared" si="48"/>
        <v>6</v>
      </c>
    </row>
    <row r="2736" spans="1:10" ht="15" customHeight="1" x14ac:dyDescent="0.25">
      <c r="A2736" s="380">
        <v>55952001</v>
      </c>
      <c r="B2736" s="381" t="s">
        <v>315</v>
      </c>
      <c r="C2736" s="381" t="s">
        <v>1423</v>
      </c>
      <c r="D2736" s="381" t="s">
        <v>315</v>
      </c>
      <c r="E2736" s="381" t="s">
        <v>315</v>
      </c>
      <c r="F2736" s="378">
        <v>0</v>
      </c>
      <c r="G2736" s="378">
        <v>39180</v>
      </c>
      <c r="H2736" s="378">
        <v>0</v>
      </c>
      <c r="I2736" s="378">
        <v>39180</v>
      </c>
      <c r="J2736" s="384">
        <f t="shared" si="48"/>
        <v>8</v>
      </c>
    </row>
    <row r="2737" spans="1:10" ht="15" customHeight="1" x14ac:dyDescent="0.25">
      <c r="A2737" s="380">
        <v>55952001</v>
      </c>
      <c r="B2737" s="381" t="s">
        <v>315</v>
      </c>
      <c r="C2737" s="381" t="s">
        <v>1423</v>
      </c>
      <c r="D2737" s="381" t="s">
        <v>717</v>
      </c>
      <c r="E2737" s="381" t="s">
        <v>718</v>
      </c>
      <c r="F2737" s="378">
        <v>0</v>
      </c>
      <c r="G2737" s="378">
        <v>39180</v>
      </c>
      <c r="H2737" s="378">
        <v>0</v>
      </c>
      <c r="I2737" s="378">
        <v>39180</v>
      </c>
      <c r="J2737" s="384">
        <f t="shared" si="48"/>
        <v>8</v>
      </c>
    </row>
    <row r="2738" spans="1:10" ht="15" customHeight="1" x14ac:dyDescent="0.25">
      <c r="A2738" s="380">
        <v>559581</v>
      </c>
      <c r="B2738" s="381" t="s">
        <v>315</v>
      </c>
      <c r="C2738" s="381" t="s">
        <v>644</v>
      </c>
      <c r="D2738" s="381" t="s">
        <v>315</v>
      </c>
      <c r="E2738" s="381" t="s">
        <v>315</v>
      </c>
      <c r="F2738" s="378">
        <v>136818.44</v>
      </c>
      <c r="G2738" s="378">
        <v>36010</v>
      </c>
      <c r="H2738" s="378">
        <v>0</v>
      </c>
      <c r="I2738" s="378">
        <v>172828.44</v>
      </c>
      <c r="J2738" s="384">
        <f t="shared" si="48"/>
        <v>6</v>
      </c>
    </row>
    <row r="2739" spans="1:10" ht="15" customHeight="1" x14ac:dyDescent="0.25">
      <c r="A2739" s="380">
        <v>55958101</v>
      </c>
      <c r="B2739" s="381" t="s">
        <v>315</v>
      </c>
      <c r="C2739" s="381" t="s">
        <v>644</v>
      </c>
      <c r="D2739" s="381" t="s">
        <v>315</v>
      </c>
      <c r="E2739" s="381" t="s">
        <v>315</v>
      </c>
      <c r="F2739" s="378">
        <v>136818.44</v>
      </c>
      <c r="G2739" s="378">
        <v>36010</v>
      </c>
      <c r="H2739" s="378">
        <v>0</v>
      </c>
      <c r="I2739" s="378">
        <v>172828.44</v>
      </c>
      <c r="J2739" s="384">
        <f t="shared" si="48"/>
        <v>8</v>
      </c>
    </row>
    <row r="2740" spans="1:10" ht="15" customHeight="1" x14ac:dyDescent="0.25">
      <c r="A2740" s="380">
        <v>55958101</v>
      </c>
      <c r="B2740" s="381" t="s">
        <v>315</v>
      </c>
      <c r="C2740" s="381" t="s">
        <v>644</v>
      </c>
      <c r="D2740" s="381" t="s">
        <v>1194</v>
      </c>
      <c r="E2740" s="381" t="s">
        <v>1195</v>
      </c>
      <c r="F2740" s="378">
        <v>235</v>
      </c>
      <c r="G2740" s="378">
        <v>30</v>
      </c>
      <c r="H2740" s="378">
        <v>0</v>
      </c>
      <c r="I2740" s="378">
        <v>265</v>
      </c>
      <c r="J2740" s="384">
        <f t="shared" si="48"/>
        <v>8</v>
      </c>
    </row>
    <row r="2741" spans="1:10" ht="15" customHeight="1" x14ac:dyDescent="0.25">
      <c r="A2741" s="380">
        <v>55958101</v>
      </c>
      <c r="B2741" s="381" t="s">
        <v>315</v>
      </c>
      <c r="C2741" s="381" t="s">
        <v>644</v>
      </c>
      <c r="D2741" s="381" t="s">
        <v>779</v>
      </c>
      <c r="E2741" s="381" t="s">
        <v>780</v>
      </c>
      <c r="F2741" s="378">
        <v>5282</v>
      </c>
      <c r="G2741" s="378">
        <v>3425</v>
      </c>
      <c r="H2741" s="378">
        <v>0</v>
      </c>
      <c r="I2741" s="378">
        <v>8707</v>
      </c>
      <c r="J2741" s="384">
        <f t="shared" si="48"/>
        <v>8</v>
      </c>
    </row>
    <row r="2742" spans="1:10" ht="15" customHeight="1" x14ac:dyDescent="0.25">
      <c r="A2742" s="380">
        <v>55958101</v>
      </c>
      <c r="B2742" s="381" t="s">
        <v>315</v>
      </c>
      <c r="C2742" s="381" t="s">
        <v>644</v>
      </c>
      <c r="D2742" s="381" t="s">
        <v>774</v>
      </c>
      <c r="E2742" s="381" t="s">
        <v>775</v>
      </c>
      <c r="F2742" s="378">
        <v>280</v>
      </c>
      <c r="G2742" s="378">
        <v>17</v>
      </c>
      <c r="H2742" s="378">
        <v>0</v>
      </c>
      <c r="I2742" s="378">
        <v>297</v>
      </c>
      <c r="J2742" s="384">
        <f t="shared" si="48"/>
        <v>8</v>
      </c>
    </row>
    <row r="2743" spans="1:10" ht="15" customHeight="1" x14ac:dyDescent="0.25">
      <c r="A2743" s="380">
        <v>55958101</v>
      </c>
      <c r="B2743" s="381" t="s">
        <v>315</v>
      </c>
      <c r="C2743" s="381" t="s">
        <v>644</v>
      </c>
      <c r="D2743" s="381" t="s">
        <v>1196</v>
      </c>
      <c r="E2743" s="381" t="s">
        <v>1197</v>
      </c>
      <c r="F2743" s="378">
        <v>194</v>
      </c>
      <c r="G2743" s="378">
        <v>46</v>
      </c>
      <c r="H2743" s="378">
        <v>0</v>
      </c>
      <c r="I2743" s="378">
        <v>240</v>
      </c>
      <c r="J2743" s="384">
        <f t="shared" si="48"/>
        <v>8</v>
      </c>
    </row>
    <row r="2744" spans="1:10" ht="15" customHeight="1" x14ac:dyDescent="0.25">
      <c r="A2744" s="380">
        <v>55958101</v>
      </c>
      <c r="B2744" s="381" t="s">
        <v>315</v>
      </c>
      <c r="C2744" s="381" t="s">
        <v>644</v>
      </c>
      <c r="D2744" s="381" t="s">
        <v>953</v>
      </c>
      <c r="E2744" s="381" t="s">
        <v>954</v>
      </c>
      <c r="F2744" s="378">
        <v>2</v>
      </c>
      <c r="G2744" s="378">
        <v>0</v>
      </c>
      <c r="H2744" s="378">
        <v>0</v>
      </c>
      <c r="I2744" s="378">
        <v>2</v>
      </c>
      <c r="J2744" s="384">
        <f t="shared" si="48"/>
        <v>8</v>
      </c>
    </row>
    <row r="2745" spans="1:10" ht="15" customHeight="1" x14ac:dyDescent="0.25">
      <c r="A2745" s="380">
        <v>55958101</v>
      </c>
      <c r="B2745" s="381" t="s">
        <v>315</v>
      </c>
      <c r="C2745" s="381" t="s">
        <v>644</v>
      </c>
      <c r="D2745" s="381" t="s">
        <v>781</v>
      </c>
      <c r="E2745" s="381" t="s">
        <v>782</v>
      </c>
      <c r="F2745" s="378">
        <v>16003</v>
      </c>
      <c r="G2745" s="378">
        <v>1829</v>
      </c>
      <c r="H2745" s="378">
        <v>0</v>
      </c>
      <c r="I2745" s="378">
        <v>17832</v>
      </c>
      <c r="J2745" s="384">
        <f t="shared" si="48"/>
        <v>8</v>
      </c>
    </row>
    <row r="2746" spans="1:10" ht="15" customHeight="1" x14ac:dyDescent="0.25">
      <c r="A2746" s="380">
        <v>55958101</v>
      </c>
      <c r="B2746" s="381" t="s">
        <v>315</v>
      </c>
      <c r="C2746" s="381" t="s">
        <v>644</v>
      </c>
      <c r="D2746" s="381" t="s">
        <v>728</v>
      </c>
      <c r="E2746" s="381" t="s">
        <v>729</v>
      </c>
      <c r="F2746" s="378">
        <v>293</v>
      </c>
      <c r="G2746" s="378">
        <v>81</v>
      </c>
      <c r="H2746" s="378">
        <v>0</v>
      </c>
      <c r="I2746" s="378">
        <v>374</v>
      </c>
      <c r="J2746" s="384">
        <f t="shared" si="48"/>
        <v>8</v>
      </c>
    </row>
    <row r="2747" spans="1:10" ht="15" customHeight="1" x14ac:dyDescent="0.25">
      <c r="A2747" s="380">
        <v>55958101</v>
      </c>
      <c r="B2747" s="381" t="s">
        <v>315</v>
      </c>
      <c r="C2747" s="381" t="s">
        <v>644</v>
      </c>
      <c r="D2747" s="381" t="s">
        <v>783</v>
      </c>
      <c r="E2747" s="381" t="s">
        <v>784</v>
      </c>
      <c r="F2747" s="378">
        <v>166</v>
      </c>
      <c r="G2747" s="378">
        <v>90</v>
      </c>
      <c r="H2747" s="378">
        <v>0</v>
      </c>
      <c r="I2747" s="378">
        <v>256</v>
      </c>
      <c r="J2747" s="384">
        <f t="shared" si="48"/>
        <v>8</v>
      </c>
    </row>
    <row r="2748" spans="1:10" ht="15" customHeight="1" x14ac:dyDescent="0.25">
      <c r="A2748" s="380">
        <v>55958101</v>
      </c>
      <c r="B2748" s="381" t="s">
        <v>315</v>
      </c>
      <c r="C2748" s="381" t="s">
        <v>644</v>
      </c>
      <c r="D2748" s="381" t="s">
        <v>797</v>
      </c>
      <c r="E2748" s="381" t="s">
        <v>798</v>
      </c>
      <c r="F2748" s="378">
        <v>181</v>
      </c>
      <c r="G2748" s="378">
        <v>79</v>
      </c>
      <c r="H2748" s="378">
        <v>0</v>
      </c>
      <c r="I2748" s="378">
        <v>260</v>
      </c>
      <c r="J2748" s="384">
        <f t="shared" si="48"/>
        <v>8</v>
      </c>
    </row>
    <row r="2749" spans="1:10" ht="15" customHeight="1" x14ac:dyDescent="0.25">
      <c r="A2749" s="380">
        <v>55958101</v>
      </c>
      <c r="B2749" s="381" t="s">
        <v>315</v>
      </c>
      <c r="C2749" s="381" t="s">
        <v>644</v>
      </c>
      <c r="D2749" s="381" t="s">
        <v>1221</v>
      </c>
      <c r="E2749" s="381" t="s">
        <v>1494</v>
      </c>
      <c r="F2749" s="378">
        <v>245</v>
      </c>
      <c r="G2749" s="378">
        <v>0</v>
      </c>
      <c r="H2749" s="378">
        <v>0</v>
      </c>
      <c r="I2749" s="378">
        <v>245</v>
      </c>
      <c r="J2749" s="384">
        <f t="shared" si="48"/>
        <v>8</v>
      </c>
    </row>
    <row r="2750" spans="1:10" ht="15" customHeight="1" x14ac:dyDescent="0.25">
      <c r="A2750" s="380">
        <v>55958101</v>
      </c>
      <c r="B2750" s="381" t="s">
        <v>315</v>
      </c>
      <c r="C2750" s="381" t="s">
        <v>644</v>
      </c>
      <c r="D2750" s="381" t="s">
        <v>1222</v>
      </c>
      <c r="E2750" s="381" t="s">
        <v>1223</v>
      </c>
      <c r="F2750" s="378">
        <v>134</v>
      </c>
      <c r="G2750" s="378">
        <v>0</v>
      </c>
      <c r="H2750" s="378">
        <v>0</v>
      </c>
      <c r="I2750" s="378">
        <v>134</v>
      </c>
      <c r="J2750" s="384">
        <f t="shared" si="48"/>
        <v>8</v>
      </c>
    </row>
    <row r="2751" spans="1:10" ht="15" customHeight="1" x14ac:dyDescent="0.25">
      <c r="A2751" s="380">
        <v>55958101</v>
      </c>
      <c r="B2751" s="381" t="s">
        <v>315</v>
      </c>
      <c r="C2751" s="381" t="s">
        <v>644</v>
      </c>
      <c r="D2751" s="381" t="s">
        <v>1198</v>
      </c>
      <c r="E2751" s="381" t="s">
        <v>1199</v>
      </c>
      <c r="F2751" s="378">
        <v>25</v>
      </c>
      <c r="G2751" s="378">
        <v>96</v>
      </c>
      <c r="H2751" s="378">
        <v>0</v>
      </c>
      <c r="I2751" s="378">
        <v>121</v>
      </c>
      <c r="J2751" s="384">
        <f t="shared" si="48"/>
        <v>8</v>
      </c>
    </row>
    <row r="2752" spans="1:10" ht="15" customHeight="1" x14ac:dyDescent="0.25">
      <c r="A2752" s="380">
        <v>55958101</v>
      </c>
      <c r="B2752" s="381" t="s">
        <v>315</v>
      </c>
      <c r="C2752" s="381" t="s">
        <v>644</v>
      </c>
      <c r="D2752" s="381" t="s">
        <v>753</v>
      </c>
      <c r="E2752" s="381" t="s">
        <v>754</v>
      </c>
      <c r="F2752" s="378">
        <v>1</v>
      </c>
      <c r="G2752" s="378">
        <v>0</v>
      </c>
      <c r="H2752" s="378">
        <v>0</v>
      </c>
      <c r="I2752" s="378">
        <v>1</v>
      </c>
      <c r="J2752" s="384">
        <f t="shared" si="48"/>
        <v>8</v>
      </c>
    </row>
    <row r="2753" spans="1:10" ht="15" customHeight="1" x14ac:dyDescent="0.25">
      <c r="A2753" s="380">
        <v>55958101</v>
      </c>
      <c r="B2753" s="381" t="s">
        <v>315</v>
      </c>
      <c r="C2753" s="381" t="s">
        <v>644</v>
      </c>
      <c r="D2753" s="381" t="s">
        <v>785</v>
      </c>
      <c r="E2753" s="381" t="s">
        <v>1469</v>
      </c>
      <c r="F2753" s="378">
        <v>14993</v>
      </c>
      <c r="G2753" s="378">
        <v>3710</v>
      </c>
      <c r="H2753" s="378">
        <v>0</v>
      </c>
      <c r="I2753" s="378">
        <v>18703</v>
      </c>
      <c r="J2753" s="384">
        <f t="shared" si="48"/>
        <v>8</v>
      </c>
    </row>
    <row r="2754" spans="1:10" ht="15" customHeight="1" x14ac:dyDescent="0.25">
      <c r="A2754" s="380">
        <v>55958101</v>
      </c>
      <c r="B2754" s="381" t="s">
        <v>315</v>
      </c>
      <c r="C2754" s="381" t="s">
        <v>644</v>
      </c>
      <c r="D2754" s="381" t="s">
        <v>1200</v>
      </c>
      <c r="E2754" s="381" t="s">
        <v>1201</v>
      </c>
      <c r="F2754" s="378">
        <v>2030</v>
      </c>
      <c r="G2754" s="378">
        <v>37</v>
      </c>
      <c r="H2754" s="378">
        <v>0</v>
      </c>
      <c r="I2754" s="378">
        <v>2067</v>
      </c>
      <c r="J2754" s="384">
        <f t="shared" si="48"/>
        <v>8</v>
      </c>
    </row>
    <row r="2755" spans="1:10" ht="15" customHeight="1" x14ac:dyDescent="0.25">
      <c r="A2755" s="380">
        <v>55958101</v>
      </c>
      <c r="B2755" s="381" t="s">
        <v>315</v>
      </c>
      <c r="C2755" s="381" t="s">
        <v>644</v>
      </c>
      <c r="D2755" s="381" t="s">
        <v>786</v>
      </c>
      <c r="E2755" s="381" t="s">
        <v>787</v>
      </c>
      <c r="F2755" s="378">
        <v>14870</v>
      </c>
      <c r="G2755" s="378">
        <v>5166</v>
      </c>
      <c r="H2755" s="378">
        <v>0</v>
      </c>
      <c r="I2755" s="378">
        <v>20036</v>
      </c>
      <c r="J2755" s="384">
        <f t="shared" si="48"/>
        <v>8</v>
      </c>
    </row>
    <row r="2756" spans="1:10" ht="15" customHeight="1" x14ac:dyDescent="0.25">
      <c r="A2756" s="380">
        <v>55958101</v>
      </c>
      <c r="B2756" s="381" t="s">
        <v>315</v>
      </c>
      <c r="C2756" s="381" t="s">
        <v>644</v>
      </c>
      <c r="D2756" s="381" t="s">
        <v>1224</v>
      </c>
      <c r="E2756" s="381" t="s">
        <v>1225</v>
      </c>
      <c r="F2756" s="378">
        <v>228</v>
      </c>
      <c r="G2756" s="378">
        <v>93</v>
      </c>
      <c r="H2756" s="378">
        <v>0</v>
      </c>
      <c r="I2756" s="378">
        <v>321</v>
      </c>
      <c r="J2756" s="384">
        <f t="shared" si="48"/>
        <v>8</v>
      </c>
    </row>
    <row r="2757" spans="1:10" ht="15" customHeight="1" x14ac:dyDescent="0.25">
      <c r="A2757" s="380">
        <v>55958101</v>
      </c>
      <c r="B2757" s="381" t="s">
        <v>315</v>
      </c>
      <c r="C2757" s="381" t="s">
        <v>644</v>
      </c>
      <c r="D2757" s="381" t="s">
        <v>1038</v>
      </c>
      <c r="E2757" s="381" t="s">
        <v>1039</v>
      </c>
      <c r="F2757" s="378">
        <v>1</v>
      </c>
      <c r="G2757" s="378">
        <v>0</v>
      </c>
      <c r="H2757" s="378">
        <v>0</v>
      </c>
      <c r="I2757" s="378">
        <v>1</v>
      </c>
      <c r="J2757" s="384">
        <f t="shared" si="48"/>
        <v>8</v>
      </c>
    </row>
    <row r="2758" spans="1:10" ht="15" customHeight="1" x14ac:dyDescent="0.25">
      <c r="A2758" s="380">
        <v>55958101</v>
      </c>
      <c r="B2758" s="381" t="s">
        <v>315</v>
      </c>
      <c r="C2758" s="381" t="s">
        <v>644</v>
      </c>
      <c r="D2758" s="381" t="s">
        <v>1202</v>
      </c>
      <c r="E2758" s="381" t="s">
        <v>1203</v>
      </c>
      <c r="F2758" s="378">
        <v>85</v>
      </c>
      <c r="G2758" s="378">
        <v>47</v>
      </c>
      <c r="H2758" s="378">
        <v>0</v>
      </c>
      <c r="I2758" s="378">
        <v>132</v>
      </c>
      <c r="J2758" s="384">
        <f t="shared" si="48"/>
        <v>8</v>
      </c>
    </row>
    <row r="2759" spans="1:10" ht="15" customHeight="1" x14ac:dyDescent="0.25">
      <c r="A2759" s="380">
        <v>55958101</v>
      </c>
      <c r="B2759" s="381" t="s">
        <v>315</v>
      </c>
      <c r="C2759" s="381" t="s">
        <v>644</v>
      </c>
      <c r="D2759" s="381" t="s">
        <v>403</v>
      </c>
      <c r="E2759" s="381" t="s">
        <v>1080</v>
      </c>
      <c r="F2759" s="378">
        <v>2.44</v>
      </c>
      <c r="G2759" s="378">
        <v>0</v>
      </c>
      <c r="H2759" s="378">
        <v>0</v>
      </c>
      <c r="I2759" s="378">
        <v>2.44</v>
      </c>
      <c r="J2759" s="384">
        <f t="shared" si="48"/>
        <v>8</v>
      </c>
    </row>
    <row r="2760" spans="1:10" ht="15" customHeight="1" x14ac:dyDescent="0.25">
      <c r="A2760" s="380">
        <v>55958101</v>
      </c>
      <c r="B2760" s="381" t="s">
        <v>315</v>
      </c>
      <c r="C2760" s="381" t="s">
        <v>644</v>
      </c>
      <c r="D2760" s="381" t="s">
        <v>493</v>
      </c>
      <c r="E2760" s="381" t="s">
        <v>494</v>
      </c>
      <c r="F2760" s="378">
        <v>3966</v>
      </c>
      <c r="G2760" s="378">
        <v>0</v>
      </c>
      <c r="H2760" s="378">
        <v>0</v>
      </c>
      <c r="I2760" s="378">
        <v>3966</v>
      </c>
      <c r="J2760" s="384">
        <f t="shared" si="48"/>
        <v>8</v>
      </c>
    </row>
    <row r="2761" spans="1:10" ht="15" customHeight="1" x14ac:dyDescent="0.25">
      <c r="A2761" s="380">
        <v>55958101</v>
      </c>
      <c r="B2761" s="381" t="s">
        <v>315</v>
      </c>
      <c r="C2761" s="381" t="s">
        <v>644</v>
      </c>
      <c r="D2761" s="381" t="s">
        <v>978</v>
      </c>
      <c r="E2761" s="381" t="s">
        <v>979</v>
      </c>
      <c r="F2761" s="378">
        <v>4</v>
      </c>
      <c r="G2761" s="378">
        <v>0</v>
      </c>
      <c r="H2761" s="378">
        <v>0</v>
      </c>
      <c r="I2761" s="378">
        <v>4</v>
      </c>
      <c r="J2761" s="384">
        <f t="shared" si="48"/>
        <v>8</v>
      </c>
    </row>
    <row r="2762" spans="1:10" ht="15" customHeight="1" x14ac:dyDescent="0.25">
      <c r="A2762" s="380">
        <v>55958101</v>
      </c>
      <c r="B2762" s="381" t="s">
        <v>315</v>
      </c>
      <c r="C2762" s="381" t="s">
        <v>644</v>
      </c>
      <c r="D2762" s="381" t="s">
        <v>419</v>
      </c>
      <c r="E2762" s="381" t="s">
        <v>420</v>
      </c>
      <c r="F2762" s="378">
        <v>987</v>
      </c>
      <c r="G2762" s="378">
        <v>185</v>
      </c>
      <c r="H2762" s="378">
        <v>0</v>
      </c>
      <c r="I2762" s="378">
        <v>1172</v>
      </c>
      <c r="J2762" s="384">
        <f t="shared" si="48"/>
        <v>8</v>
      </c>
    </row>
    <row r="2763" spans="1:10" ht="15" customHeight="1" x14ac:dyDescent="0.25">
      <c r="A2763" s="380">
        <v>55958101</v>
      </c>
      <c r="B2763" s="381" t="s">
        <v>315</v>
      </c>
      <c r="C2763" s="381" t="s">
        <v>644</v>
      </c>
      <c r="D2763" s="381" t="s">
        <v>340</v>
      </c>
      <c r="E2763" s="381" t="s">
        <v>341</v>
      </c>
      <c r="F2763" s="378">
        <v>3</v>
      </c>
      <c r="G2763" s="378">
        <v>0</v>
      </c>
      <c r="H2763" s="378">
        <v>0</v>
      </c>
      <c r="I2763" s="378">
        <v>3</v>
      </c>
      <c r="J2763" s="384">
        <f t="shared" si="48"/>
        <v>8</v>
      </c>
    </row>
    <row r="2764" spans="1:10" ht="15" customHeight="1" x14ac:dyDescent="0.25">
      <c r="A2764" s="380">
        <v>55958101</v>
      </c>
      <c r="B2764" s="381" t="s">
        <v>315</v>
      </c>
      <c r="C2764" s="381" t="s">
        <v>644</v>
      </c>
      <c r="D2764" s="381" t="s">
        <v>983</v>
      </c>
      <c r="E2764" s="381" t="s">
        <v>984</v>
      </c>
      <c r="F2764" s="378">
        <v>0</v>
      </c>
      <c r="G2764" s="378">
        <v>1</v>
      </c>
      <c r="H2764" s="378">
        <v>0</v>
      </c>
      <c r="I2764" s="378">
        <v>1</v>
      </c>
      <c r="J2764" s="384">
        <f t="shared" si="48"/>
        <v>8</v>
      </c>
    </row>
    <row r="2765" spans="1:10" ht="15" customHeight="1" x14ac:dyDescent="0.25">
      <c r="A2765" s="380">
        <v>55958101</v>
      </c>
      <c r="B2765" s="381" t="s">
        <v>315</v>
      </c>
      <c r="C2765" s="381" t="s">
        <v>644</v>
      </c>
      <c r="D2765" s="381" t="s">
        <v>995</v>
      </c>
      <c r="E2765" s="381" t="s">
        <v>996</v>
      </c>
      <c r="F2765" s="378">
        <v>1</v>
      </c>
      <c r="G2765" s="378">
        <v>0</v>
      </c>
      <c r="H2765" s="378">
        <v>0</v>
      </c>
      <c r="I2765" s="378">
        <v>1</v>
      </c>
      <c r="J2765" s="384">
        <f t="shared" si="48"/>
        <v>8</v>
      </c>
    </row>
    <row r="2766" spans="1:10" ht="15" customHeight="1" x14ac:dyDescent="0.25">
      <c r="A2766" s="380">
        <v>55958101</v>
      </c>
      <c r="B2766" s="381" t="s">
        <v>315</v>
      </c>
      <c r="C2766" s="381" t="s">
        <v>644</v>
      </c>
      <c r="D2766" s="381" t="s">
        <v>377</v>
      </c>
      <c r="E2766" s="381" t="s">
        <v>378</v>
      </c>
      <c r="F2766" s="378">
        <v>2</v>
      </c>
      <c r="G2766" s="378">
        <v>0</v>
      </c>
      <c r="H2766" s="378">
        <v>0</v>
      </c>
      <c r="I2766" s="378">
        <v>2</v>
      </c>
      <c r="J2766" s="384">
        <f t="shared" si="48"/>
        <v>8</v>
      </c>
    </row>
    <row r="2767" spans="1:10" ht="15" customHeight="1" x14ac:dyDescent="0.25">
      <c r="A2767" s="380">
        <v>55958101</v>
      </c>
      <c r="B2767" s="381" t="s">
        <v>315</v>
      </c>
      <c r="C2767" s="381" t="s">
        <v>644</v>
      </c>
      <c r="D2767" s="381" t="s">
        <v>1156</v>
      </c>
      <c r="E2767" s="381" t="s">
        <v>1157</v>
      </c>
      <c r="F2767" s="378">
        <v>10</v>
      </c>
      <c r="G2767" s="378">
        <v>0</v>
      </c>
      <c r="H2767" s="378">
        <v>0</v>
      </c>
      <c r="I2767" s="378">
        <v>10</v>
      </c>
      <c r="J2767" s="384">
        <f t="shared" si="48"/>
        <v>8</v>
      </c>
    </row>
    <row r="2768" spans="1:10" ht="15" customHeight="1" x14ac:dyDescent="0.25">
      <c r="A2768" s="380">
        <v>55958101</v>
      </c>
      <c r="B2768" s="381" t="s">
        <v>315</v>
      </c>
      <c r="C2768" s="381" t="s">
        <v>644</v>
      </c>
      <c r="D2768" s="381" t="s">
        <v>717</v>
      </c>
      <c r="E2768" s="381" t="s">
        <v>718</v>
      </c>
      <c r="F2768" s="378">
        <v>300</v>
      </c>
      <c r="G2768" s="378">
        <v>0</v>
      </c>
      <c r="H2768" s="378">
        <v>0</v>
      </c>
      <c r="I2768" s="378">
        <v>300</v>
      </c>
      <c r="J2768" s="384">
        <f t="shared" si="48"/>
        <v>8</v>
      </c>
    </row>
    <row r="2769" spans="1:10" ht="15" customHeight="1" x14ac:dyDescent="0.25">
      <c r="A2769" s="380">
        <v>55958101</v>
      </c>
      <c r="B2769" s="381" t="s">
        <v>315</v>
      </c>
      <c r="C2769" s="381" t="s">
        <v>644</v>
      </c>
      <c r="D2769" s="381" t="s">
        <v>918</v>
      </c>
      <c r="E2769" s="381" t="s">
        <v>919</v>
      </c>
      <c r="F2769" s="378">
        <v>255</v>
      </c>
      <c r="G2769" s="378">
        <v>0</v>
      </c>
      <c r="H2769" s="378">
        <v>0</v>
      </c>
      <c r="I2769" s="378">
        <v>255</v>
      </c>
      <c r="J2769" s="384">
        <f t="shared" si="48"/>
        <v>8</v>
      </c>
    </row>
    <row r="2770" spans="1:10" ht="15" customHeight="1" x14ac:dyDescent="0.25">
      <c r="A2770" s="380">
        <v>55958101</v>
      </c>
      <c r="B2770" s="381" t="s">
        <v>315</v>
      </c>
      <c r="C2770" s="381" t="s">
        <v>644</v>
      </c>
      <c r="D2770" s="381" t="s">
        <v>1049</v>
      </c>
      <c r="E2770" s="381" t="s">
        <v>1050</v>
      </c>
      <c r="F2770" s="378">
        <v>3</v>
      </c>
      <c r="G2770" s="378">
        <v>0</v>
      </c>
      <c r="H2770" s="378">
        <v>0</v>
      </c>
      <c r="I2770" s="378">
        <v>3</v>
      </c>
      <c r="J2770" s="384">
        <f t="shared" si="48"/>
        <v>8</v>
      </c>
    </row>
    <row r="2771" spans="1:10" ht="15" customHeight="1" x14ac:dyDescent="0.25">
      <c r="A2771" s="380">
        <v>55958101</v>
      </c>
      <c r="B2771" s="381" t="s">
        <v>315</v>
      </c>
      <c r="C2771" s="381" t="s">
        <v>644</v>
      </c>
      <c r="D2771" s="381" t="s">
        <v>761</v>
      </c>
      <c r="E2771" s="381" t="s">
        <v>762</v>
      </c>
      <c r="F2771" s="378">
        <v>1</v>
      </c>
      <c r="G2771" s="378">
        <v>0</v>
      </c>
      <c r="H2771" s="378">
        <v>0</v>
      </c>
      <c r="I2771" s="378">
        <v>1</v>
      </c>
      <c r="J2771" s="384">
        <f t="shared" si="48"/>
        <v>8</v>
      </c>
    </row>
    <row r="2772" spans="1:10" ht="15" customHeight="1" x14ac:dyDescent="0.25">
      <c r="A2772" s="380">
        <v>55958101</v>
      </c>
      <c r="B2772" s="381" t="s">
        <v>315</v>
      </c>
      <c r="C2772" s="381" t="s">
        <v>644</v>
      </c>
      <c r="D2772" s="381" t="s">
        <v>1013</v>
      </c>
      <c r="E2772" s="381" t="s">
        <v>1014</v>
      </c>
      <c r="F2772" s="378">
        <v>420</v>
      </c>
      <c r="G2772" s="378">
        <v>0</v>
      </c>
      <c r="H2772" s="378">
        <v>0</v>
      </c>
      <c r="I2772" s="378">
        <v>420</v>
      </c>
      <c r="J2772" s="384">
        <f t="shared" si="48"/>
        <v>8</v>
      </c>
    </row>
    <row r="2773" spans="1:10" ht="15" customHeight="1" x14ac:dyDescent="0.25">
      <c r="A2773" s="380">
        <v>55958101</v>
      </c>
      <c r="B2773" s="381" t="s">
        <v>315</v>
      </c>
      <c r="C2773" s="381" t="s">
        <v>644</v>
      </c>
      <c r="D2773" s="381" t="s">
        <v>1228</v>
      </c>
      <c r="E2773" s="381" t="s">
        <v>1229</v>
      </c>
      <c r="F2773" s="378">
        <v>52</v>
      </c>
      <c r="G2773" s="378">
        <v>0</v>
      </c>
      <c r="H2773" s="378">
        <v>0</v>
      </c>
      <c r="I2773" s="378">
        <v>52</v>
      </c>
      <c r="J2773" s="384">
        <f t="shared" si="48"/>
        <v>8</v>
      </c>
    </row>
    <row r="2774" spans="1:10" ht="15" customHeight="1" x14ac:dyDescent="0.25">
      <c r="A2774" s="380">
        <v>55958101</v>
      </c>
      <c r="B2774" s="381" t="s">
        <v>315</v>
      </c>
      <c r="C2774" s="381" t="s">
        <v>644</v>
      </c>
      <c r="D2774" s="381" t="s">
        <v>1086</v>
      </c>
      <c r="E2774" s="381" t="s">
        <v>1087</v>
      </c>
      <c r="F2774" s="378">
        <v>0</v>
      </c>
      <c r="G2774" s="378">
        <v>45</v>
      </c>
      <c r="H2774" s="378">
        <v>0</v>
      </c>
      <c r="I2774" s="378">
        <v>45</v>
      </c>
      <c r="J2774" s="384">
        <f t="shared" si="48"/>
        <v>8</v>
      </c>
    </row>
    <row r="2775" spans="1:10" ht="15" customHeight="1" x14ac:dyDescent="0.25">
      <c r="A2775" s="380">
        <v>55958101</v>
      </c>
      <c r="B2775" s="381" t="s">
        <v>315</v>
      </c>
      <c r="C2775" s="381" t="s">
        <v>644</v>
      </c>
      <c r="D2775" s="381" t="s">
        <v>404</v>
      </c>
      <c r="E2775" s="381" t="s">
        <v>1230</v>
      </c>
      <c r="F2775" s="378">
        <v>168</v>
      </c>
      <c r="G2775" s="378">
        <v>1312</v>
      </c>
      <c r="H2775" s="378">
        <v>0</v>
      </c>
      <c r="I2775" s="378">
        <v>1480</v>
      </c>
      <c r="J2775" s="384">
        <f t="shared" si="48"/>
        <v>8</v>
      </c>
    </row>
    <row r="2776" spans="1:10" ht="15" customHeight="1" x14ac:dyDescent="0.25">
      <c r="A2776" s="380">
        <v>55958101</v>
      </c>
      <c r="B2776" s="381" t="s">
        <v>315</v>
      </c>
      <c r="C2776" s="381" t="s">
        <v>644</v>
      </c>
      <c r="D2776" s="381" t="s">
        <v>1204</v>
      </c>
      <c r="E2776" s="381" t="s">
        <v>1205</v>
      </c>
      <c r="F2776" s="378">
        <v>57</v>
      </c>
      <c r="G2776" s="378">
        <v>77</v>
      </c>
      <c r="H2776" s="378">
        <v>0</v>
      </c>
      <c r="I2776" s="378">
        <v>134</v>
      </c>
      <c r="J2776" s="384">
        <f t="shared" si="48"/>
        <v>8</v>
      </c>
    </row>
    <row r="2777" spans="1:10" ht="15" customHeight="1" x14ac:dyDescent="0.25">
      <c r="A2777" s="380">
        <v>55958101</v>
      </c>
      <c r="B2777" s="381" t="s">
        <v>315</v>
      </c>
      <c r="C2777" s="381" t="s">
        <v>644</v>
      </c>
      <c r="D2777" s="381" t="s">
        <v>788</v>
      </c>
      <c r="E2777" s="381" t="s">
        <v>789</v>
      </c>
      <c r="F2777" s="378">
        <v>2880</v>
      </c>
      <c r="G2777" s="378">
        <v>3676</v>
      </c>
      <c r="H2777" s="378">
        <v>0</v>
      </c>
      <c r="I2777" s="378">
        <v>6556</v>
      </c>
      <c r="J2777" s="384">
        <f t="shared" si="48"/>
        <v>8</v>
      </c>
    </row>
    <row r="2778" spans="1:10" ht="15" customHeight="1" x14ac:dyDescent="0.25">
      <c r="A2778" s="380">
        <v>55958101</v>
      </c>
      <c r="B2778" s="381" t="s">
        <v>315</v>
      </c>
      <c r="C2778" s="381" t="s">
        <v>644</v>
      </c>
      <c r="D2778" s="381" t="s">
        <v>1206</v>
      </c>
      <c r="E2778" s="381" t="s">
        <v>1207</v>
      </c>
      <c r="F2778" s="378">
        <v>262</v>
      </c>
      <c r="G2778" s="378">
        <v>53</v>
      </c>
      <c r="H2778" s="378">
        <v>0</v>
      </c>
      <c r="I2778" s="378">
        <v>315</v>
      </c>
      <c r="J2778" s="384">
        <f t="shared" si="48"/>
        <v>8</v>
      </c>
    </row>
    <row r="2779" spans="1:10" ht="15" customHeight="1" x14ac:dyDescent="0.25">
      <c r="A2779" s="380">
        <v>55958101</v>
      </c>
      <c r="B2779" s="381" t="s">
        <v>315</v>
      </c>
      <c r="C2779" s="381" t="s">
        <v>644</v>
      </c>
      <c r="D2779" s="381" t="s">
        <v>1088</v>
      </c>
      <c r="E2779" s="381" t="s">
        <v>1089</v>
      </c>
      <c r="F2779" s="378">
        <v>157</v>
      </c>
      <c r="G2779" s="378">
        <v>71</v>
      </c>
      <c r="H2779" s="378">
        <v>0</v>
      </c>
      <c r="I2779" s="378">
        <v>228</v>
      </c>
      <c r="J2779" s="384">
        <f t="shared" si="48"/>
        <v>8</v>
      </c>
    </row>
    <row r="2780" spans="1:10" ht="15" customHeight="1" x14ac:dyDescent="0.25">
      <c r="A2780" s="380">
        <v>55958101</v>
      </c>
      <c r="B2780" s="381" t="s">
        <v>315</v>
      </c>
      <c r="C2780" s="381" t="s">
        <v>644</v>
      </c>
      <c r="D2780" s="381" t="s">
        <v>776</v>
      </c>
      <c r="E2780" s="381" t="s">
        <v>777</v>
      </c>
      <c r="F2780" s="378">
        <v>9796</v>
      </c>
      <c r="G2780" s="378">
        <v>2770</v>
      </c>
      <c r="H2780" s="378">
        <v>0</v>
      </c>
      <c r="I2780" s="378">
        <v>12566</v>
      </c>
      <c r="J2780" s="384">
        <f t="shared" si="48"/>
        <v>8</v>
      </c>
    </row>
    <row r="2781" spans="1:10" ht="15" customHeight="1" x14ac:dyDescent="0.25">
      <c r="A2781" s="380">
        <v>55958101</v>
      </c>
      <c r="B2781" s="381" t="s">
        <v>315</v>
      </c>
      <c r="C2781" s="381" t="s">
        <v>644</v>
      </c>
      <c r="D2781" s="381" t="s">
        <v>790</v>
      </c>
      <c r="E2781" s="381" t="s">
        <v>791</v>
      </c>
      <c r="F2781" s="378">
        <v>252</v>
      </c>
      <c r="G2781" s="378">
        <v>26</v>
      </c>
      <c r="H2781" s="378">
        <v>0</v>
      </c>
      <c r="I2781" s="378">
        <v>278</v>
      </c>
      <c r="J2781" s="384">
        <f t="shared" si="48"/>
        <v>8</v>
      </c>
    </row>
    <row r="2782" spans="1:10" ht="15" customHeight="1" x14ac:dyDescent="0.25">
      <c r="A2782" s="380">
        <v>55958101</v>
      </c>
      <c r="B2782" s="381" t="s">
        <v>315</v>
      </c>
      <c r="C2782" s="381" t="s">
        <v>644</v>
      </c>
      <c r="D2782" s="381" t="s">
        <v>1208</v>
      </c>
      <c r="E2782" s="381" t="s">
        <v>1209</v>
      </c>
      <c r="F2782" s="378">
        <v>220</v>
      </c>
      <c r="G2782" s="378">
        <v>86</v>
      </c>
      <c r="H2782" s="378">
        <v>0</v>
      </c>
      <c r="I2782" s="378">
        <v>306</v>
      </c>
      <c r="J2782" s="384">
        <f t="shared" si="48"/>
        <v>8</v>
      </c>
    </row>
    <row r="2783" spans="1:10" ht="15" customHeight="1" x14ac:dyDescent="0.25">
      <c r="A2783" s="380">
        <v>55958101</v>
      </c>
      <c r="B2783" s="381" t="s">
        <v>315</v>
      </c>
      <c r="C2783" s="381" t="s">
        <v>644</v>
      </c>
      <c r="D2783" s="381" t="s">
        <v>1237</v>
      </c>
      <c r="E2783" s="381" t="s">
        <v>1238</v>
      </c>
      <c r="F2783" s="378">
        <v>98</v>
      </c>
      <c r="G2783" s="378">
        <v>6</v>
      </c>
      <c r="H2783" s="378">
        <v>0</v>
      </c>
      <c r="I2783" s="378">
        <v>104</v>
      </c>
      <c r="J2783" s="384">
        <f t="shared" si="48"/>
        <v>8</v>
      </c>
    </row>
    <row r="2784" spans="1:10" ht="15" customHeight="1" x14ac:dyDescent="0.25">
      <c r="A2784" s="380">
        <v>55958101</v>
      </c>
      <c r="B2784" s="381" t="s">
        <v>315</v>
      </c>
      <c r="C2784" s="381" t="s">
        <v>644</v>
      </c>
      <c r="D2784" s="381" t="s">
        <v>1239</v>
      </c>
      <c r="E2784" s="381" t="s">
        <v>1240</v>
      </c>
      <c r="F2784" s="378">
        <v>239</v>
      </c>
      <c r="G2784" s="378">
        <v>0</v>
      </c>
      <c r="H2784" s="378">
        <v>0</v>
      </c>
      <c r="I2784" s="378">
        <v>239</v>
      </c>
      <c r="J2784" s="384">
        <f t="shared" si="48"/>
        <v>8</v>
      </c>
    </row>
    <row r="2785" spans="1:10" ht="15" customHeight="1" x14ac:dyDescent="0.25">
      <c r="A2785" s="380">
        <v>55958101</v>
      </c>
      <c r="B2785" s="381" t="s">
        <v>315</v>
      </c>
      <c r="C2785" s="381" t="s">
        <v>644</v>
      </c>
      <c r="D2785" s="381" t="s">
        <v>1210</v>
      </c>
      <c r="E2785" s="381" t="s">
        <v>1211</v>
      </c>
      <c r="F2785" s="378">
        <v>178</v>
      </c>
      <c r="G2785" s="378">
        <v>83</v>
      </c>
      <c r="H2785" s="378">
        <v>0</v>
      </c>
      <c r="I2785" s="378">
        <v>261</v>
      </c>
      <c r="J2785" s="384">
        <f t="shared" si="48"/>
        <v>8</v>
      </c>
    </row>
    <row r="2786" spans="1:10" ht="15" customHeight="1" x14ac:dyDescent="0.25">
      <c r="A2786" s="380">
        <v>55958101</v>
      </c>
      <c r="B2786" s="381" t="s">
        <v>315</v>
      </c>
      <c r="C2786" s="381" t="s">
        <v>644</v>
      </c>
      <c r="D2786" s="381" t="s">
        <v>1090</v>
      </c>
      <c r="E2786" s="381" t="s">
        <v>1091</v>
      </c>
      <c r="F2786" s="378">
        <v>15270</v>
      </c>
      <c r="G2786" s="378">
        <v>3169</v>
      </c>
      <c r="H2786" s="378">
        <v>0</v>
      </c>
      <c r="I2786" s="378">
        <v>18439</v>
      </c>
      <c r="J2786" s="384">
        <f t="shared" si="48"/>
        <v>8</v>
      </c>
    </row>
    <row r="2787" spans="1:10" ht="15" customHeight="1" x14ac:dyDescent="0.25">
      <c r="A2787" s="380">
        <v>55958101</v>
      </c>
      <c r="B2787" s="381" t="s">
        <v>315</v>
      </c>
      <c r="C2787" s="381" t="s">
        <v>644</v>
      </c>
      <c r="D2787" s="381" t="s">
        <v>1241</v>
      </c>
      <c r="E2787" s="381" t="s">
        <v>1242</v>
      </c>
      <c r="F2787" s="378">
        <v>1292</v>
      </c>
      <c r="G2787" s="378">
        <v>89</v>
      </c>
      <c r="H2787" s="378">
        <v>0</v>
      </c>
      <c r="I2787" s="378">
        <v>1381</v>
      </c>
      <c r="J2787" s="384">
        <f t="shared" si="48"/>
        <v>8</v>
      </c>
    </row>
    <row r="2788" spans="1:10" ht="15" customHeight="1" x14ac:dyDescent="0.25">
      <c r="A2788" s="380">
        <v>55958101</v>
      </c>
      <c r="B2788" s="381" t="s">
        <v>315</v>
      </c>
      <c r="C2788" s="381" t="s">
        <v>644</v>
      </c>
      <c r="D2788" s="381" t="s">
        <v>792</v>
      </c>
      <c r="E2788" s="381" t="s">
        <v>793</v>
      </c>
      <c r="F2788" s="378">
        <v>27962</v>
      </c>
      <c r="G2788" s="378">
        <v>6062</v>
      </c>
      <c r="H2788" s="378">
        <v>0</v>
      </c>
      <c r="I2788" s="378">
        <v>34024</v>
      </c>
      <c r="J2788" s="384">
        <f t="shared" si="48"/>
        <v>8</v>
      </c>
    </row>
    <row r="2789" spans="1:10" ht="15" customHeight="1" x14ac:dyDescent="0.25">
      <c r="A2789" s="380">
        <v>55958101</v>
      </c>
      <c r="B2789" s="381" t="s">
        <v>315</v>
      </c>
      <c r="C2789" s="381" t="s">
        <v>644</v>
      </c>
      <c r="D2789" s="381" t="s">
        <v>794</v>
      </c>
      <c r="E2789" s="381" t="s">
        <v>795</v>
      </c>
      <c r="F2789" s="378">
        <v>11373</v>
      </c>
      <c r="G2789" s="378">
        <v>3283</v>
      </c>
      <c r="H2789" s="378">
        <v>0</v>
      </c>
      <c r="I2789" s="378">
        <v>14656</v>
      </c>
      <c r="J2789" s="384">
        <f t="shared" si="48"/>
        <v>8</v>
      </c>
    </row>
    <row r="2790" spans="1:10" ht="15" customHeight="1" x14ac:dyDescent="0.25">
      <c r="A2790" s="380">
        <v>55958101</v>
      </c>
      <c r="B2790" s="381" t="s">
        <v>315</v>
      </c>
      <c r="C2790" s="381" t="s">
        <v>644</v>
      </c>
      <c r="D2790" s="381" t="s">
        <v>1212</v>
      </c>
      <c r="E2790" s="381" t="s">
        <v>1213</v>
      </c>
      <c r="F2790" s="378">
        <v>0</v>
      </c>
      <c r="G2790" s="378">
        <v>44</v>
      </c>
      <c r="H2790" s="378">
        <v>0</v>
      </c>
      <c r="I2790" s="378">
        <v>44</v>
      </c>
      <c r="J2790" s="384">
        <f t="shared" si="48"/>
        <v>8</v>
      </c>
    </row>
    <row r="2791" spans="1:10" ht="15" customHeight="1" x14ac:dyDescent="0.25">
      <c r="A2791" s="380">
        <v>55958101</v>
      </c>
      <c r="B2791" s="381" t="s">
        <v>315</v>
      </c>
      <c r="C2791" s="381" t="s">
        <v>644</v>
      </c>
      <c r="D2791" s="381" t="s">
        <v>1092</v>
      </c>
      <c r="E2791" s="381" t="s">
        <v>1093</v>
      </c>
      <c r="F2791" s="378">
        <v>224</v>
      </c>
      <c r="G2791" s="378">
        <v>99</v>
      </c>
      <c r="H2791" s="378">
        <v>0</v>
      </c>
      <c r="I2791" s="378">
        <v>323</v>
      </c>
      <c r="J2791" s="384">
        <f t="shared" si="48"/>
        <v>8</v>
      </c>
    </row>
    <row r="2792" spans="1:10" ht="15" customHeight="1" x14ac:dyDescent="0.25">
      <c r="A2792" s="380">
        <v>55958101</v>
      </c>
      <c r="B2792" s="381" t="s">
        <v>315</v>
      </c>
      <c r="C2792" s="381" t="s">
        <v>644</v>
      </c>
      <c r="D2792" s="381" t="s">
        <v>1243</v>
      </c>
      <c r="E2792" s="381" t="s">
        <v>1244</v>
      </c>
      <c r="F2792" s="378">
        <v>3457</v>
      </c>
      <c r="G2792" s="378">
        <v>0</v>
      </c>
      <c r="H2792" s="378">
        <v>0</v>
      </c>
      <c r="I2792" s="378">
        <v>3457</v>
      </c>
      <c r="J2792" s="384">
        <f t="shared" ref="J2792:J2799" si="49">+LEN(A2792)</f>
        <v>8</v>
      </c>
    </row>
    <row r="2793" spans="1:10" ht="15" customHeight="1" x14ac:dyDescent="0.25">
      <c r="A2793" s="380">
        <v>55958101</v>
      </c>
      <c r="B2793" s="381" t="s">
        <v>315</v>
      </c>
      <c r="C2793" s="381" t="s">
        <v>644</v>
      </c>
      <c r="D2793" s="381" t="s">
        <v>1214</v>
      </c>
      <c r="E2793" s="381" t="s">
        <v>1489</v>
      </c>
      <c r="F2793" s="378">
        <v>343</v>
      </c>
      <c r="G2793" s="378">
        <v>89</v>
      </c>
      <c r="H2793" s="378">
        <v>0</v>
      </c>
      <c r="I2793" s="378">
        <v>432</v>
      </c>
      <c r="J2793" s="384">
        <f t="shared" si="49"/>
        <v>8</v>
      </c>
    </row>
    <row r="2794" spans="1:10" ht="15" customHeight="1" x14ac:dyDescent="0.25">
      <c r="A2794" s="380">
        <v>55958101</v>
      </c>
      <c r="B2794" s="381" t="s">
        <v>315</v>
      </c>
      <c r="C2794" s="381" t="s">
        <v>644</v>
      </c>
      <c r="D2794" s="381" t="s">
        <v>1094</v>
      </c>
      <c r="E2794" s="381" t="s">
        <v>1095</v>
      </c>
      <c r="F2794" s="378">
        <v>1336</v>
      </c>
      <c r="G2794" s="378">
        <v>38</v>
      </c>
      <c r="H2794" s="378">
        <v>0</v>
      </c>
      <c r="I2794" s="378">
        <v>1374</v>
      </c>
      <c r="J2794" s="384">
        <f t="shared" si="49"/>
        <v>8</v>
      </c>
    </row>
    <row r="2795" spans="1:10" ht="15" customHeight="1" x14ac:dyDescent="0.25">
      <c r="A2795" s="380">
        <v>6</v>
      </c>
      <c r="B2795" s="381" t="s">
        <v>315</v>
      </c>
      <c r="C2795" s="381" t="s">
        <v>219</v>
      </c>
      <c r="D2795" s="381" t="s">
        <v>315</v>
      </c>
      <c r="E2795" s="381" t="s">
        <v>315</v>
      </c>
      <c r="F2795" s="378">
        <v>1019247941</v>
      </c>
      <c r="G2795" s="378">
        <v>221817002</v>
      </c>
      <c r="H2795" s="378">
        <v>0</v>
      </c>
      <c r="I2795" s="378">
        <v>1241064943</v>
      </c>
      <c r="J2795" s="384">
        <f t="shared" si="49"/>
        <v>1</v>
      </c>
    </row>
    <row r="2796" spans="1:10" ht="15" customHeight="1" x14ac:dyDescent="0.25">
      <c r="A2796" s="380">
        <v>61</v>
      </c>
      <c r="B2796" s="381" t="s">
        <v>315</v>
      </c>
      <c r="C2796" s="381" t="s">
        <v>1424</v>
      </c>
      <c r="D2796" s="381" t="s">
        <v>315</v>
      </c>
      <c r="E2796" s="381" t="s">
        <v>315</v>
      </c>
      <c r="F2796" s="378">
        <v>1019247941</v>
      </c>
      <c r="G2796" s="378">
        <v>221817002</v>
      </c>
      <c r="H2796" s="378">
        <v>0</v>
      </c>
      <c r="I2796" s="378">
        <v>1241064943</v>
      </c>
      <c r="J2796" s="384">
        <f t="shared" si="49"/>
        <v>2</v>
      </c>
    </row>
    <row r="2797" spans="1:10" ht="15" customHeight="1" x14ac:dyDescent="0.25">
      <c r="A2797" s="380">
        <v>6135</v>
      </c>
      <c r="B2797" s="381" t="s">
        <v>315</v>
      </c>
      <c r="C2797" s="381" t="s">
        <v>1425</v>
      </c>
      <c r="D2797" s="381" t="s">
        <v>315</v>
      </c>
      <c r="E2797" s="381" t="s">
        <v>315</v>
      </c>
      <c r="F2797" s="378">
        <v>1019247941</v>
      </c>
      <c r="G2797" s="378">
        <v>221817002</v>
      </c>
      <c r="H2797" s="378">
        <v>0</v>
      </c>
      <c r="I2797" s="378">
        <v>1241064943</v>
      </c>
      <c r="J2797" s="384">
        <f t="shared" si="49"/>
        <v>4</v>
      </c>
    </row>
    <row r="2798" spans="1:10" ht="15" customHeight="1" x14ac:dyDescent="0.25">
      <c r="A2798" s="380">
        <v>613599</v>
      </c>
      <c r="B2798" s="381" t="s">
        <v>321</v>
      </c>
      <c r="C2798" s="381" t="s">
        <v>393</v>
      </c>
      <c r="D2798" s="381" t="s">
        <v>315</v>
      </c>
      <c r="E2798" s="381" t="s">
        <v>315</v>
      </c>
      <c r="F2798" s="378">
        <v>1019247941</v>
      </c>
      <c r="G2798" s="378">
        <v>221817002</v>
      </c>
      <c r="H2798" s="378">
        <v>0</v>
      </c>
      <c r="I2798" s="378">
        <v>1241064943</v>
      </c>
      <c r="J2798" s="384">
        <f t="shared" si="49"/>
        <v>6</v>
      </c>
    </row>
    <row r="2799" spans="1:10" ht="15" customHeight="1" x14ac:dyDescent="0.25">
      <c r="A2799" s="380">
        <v>613599</v>
      </c>
      <c r="B2799" s="381" t="s">
        <v>321</v>
      </c>
      <c r="C2799" s="381" t="s">
        <v>393</v>
      </c>
      <c r="D2799" s="381" t="s">
        <v>837</v>
      </c>
      <c r="E2799" s="381" t="s">
        <v>838</v>
      </c>
      <c r="F2799" s="378">
        <v>1019247941</v>
      </c>
      <c r="G2799" s="378">
        <v>221817002</v>
      </c>
      <c r="H2799" s="378">
        <v>0</v>
      </c>
      <c r="I2799" s="378">
        <v>1241064943</v>
      </c>
      <c r="J2799" s="384">
        <f t="shared" si="49"/>
        <v>6</v>
      </c>
    </row>
    <row r="2800" spans="1:10" ht="15" customHeight="1" x14ac:dyDescent="0.25">
      <c r="A2800" s="381"/>
      <c r="B2800" s="381"/>
      <c r="C2800" s="381"/>
      <c r="D2800" s="381"/>
      <c r="E2800" s="381"/>
      <c r="F2800" s="378"/>
      <c r="G2800" s="378"/>
      <c r="H2800" s="378"/>
      <c r="I2800" s="378"/>
      <c r="J2800" s="384"/>
    </row>
    <row r="2801" spans="1:10" ht="15" customHeight="1" x14ac:dyDescent="0.25">
      <c r="A2801" s="381"/>
      <c r="B2801" s="381"/>
      <c r="C2801" s="381"/>
      <c r="D2801" s="381"/>
      <c r="E2801" s="381"/>
      <c r="F2801" s="378"/>
      <c r="G2801" s="378"/>
      <c r="H2801" s="378"/>
      <c r="I2801" s="378"/>
      <c r="J2801" s="384"/>
    </row>
    <row r="2802" spans="1:10" ht="15" customHeight="1" x14ac:dyDescent="0.25">
      <c r="A2802" s="381"/>
      <c r="B2802" s="381"/>
      <c r="C2802" s="381"/>
      <c r="D2802" s="381"/>
      <c r="E2802" s="381"/>
      <c r="F2802" s="378"/>
      <c r="G2802" s="378"/>
      <c r="H2802" s="378"/>
      <c r="I2802" s="378"/>
      <c r="J2802" s="384"/>
    </row>
    <row r="2803" spans="1:10" ht="15" customHeight="1" x14ac:dyDescent="0.25">
      <c r="A2803" s="381"/>
      <c r="B2803" s="381"/>
      <c r="C2803" s="381"/>
      <c r="D2803" s="381"/>
      <c r="E2803" s="381"/>
      <c r="F2803" s="378"/>
      <c r="G2803" s="378"/>
      <c r="H2803" s="378"/>
      <c r="I2803" s="378"/>
      <c r="J2803" s="384"/>
    </row>
    <row r="2804" spans="1:10" ht="15" customHeight="1" x14ac:dyDescent="0.25">
      <c r="A2804" s="381"/>
      <c r="B2804" s="381"/>
      <c r="C2804" s="381"/>
      <c r="D2804" s="381"/>
      <c r="E2804" s="381"/>
      <c r="F2804" s="378"/>
      <c r="G2804" s="378"/>
      <c r="H2804" s="378"/>
      <c r="I2804" s="378"/>
      <c r="J2804" s="384"/>
    </row>
    <row r="2805" spans="1:10" ht="15" customHeight="1" x14ac:dyDescent="0.25">
      <c r="A2805" s="381"/>
      <c r="B2805" s="381"/>
      <c r="C2805" s="381"/>
      <c r="D2805" s="381"/>
      <c r="E2805" s="381"/>
      <c r="F2805" s="378"/>
      <c r="G2805" s="378"/>
      <c r="H2805" s="378"/>
      <c r="I2805" s="378"/>
      <c r="J2805" s="384"/>
    </row>
    <row r="2806" spans="1:10" ht="15" customHeight="1" x14ac:dyDescent="0.25">
      <c r="A2806" s="381"/>
      <c r="B2806" s="381"/>
      <c r="C2806" s="381"/>
      <c r="D2806" s="381"/>
      <c r="E2806" s="381"/>
      <c r="F2806" s="378"/>
      <c r="G2806" s="378"/>
      <c r="H2806" s="378"/>
      <c r="I2806" s="378"/>
      <c r="J2806" s="384"/>
    </row>
    <row r="2807" spans="1:10" ht="15" customHeight="1" x14ac:dyDescent="0.25">
      <c r="A2807" s="381"/>
      <c r="B2807" s="381"/>
      <c r="C2807" s="381"/>
      <c r="D2807" s="381"/>
      <c r="E2807" s="381"/>
      <c r="F2807" s="378"/>
      <c r="G2807" s="378"/>
      <c r="H2807" s="378"/>
      <c r="I2807" s="378"/>
      <c r="J2807" s="384"/>
    </row>
    <row r="2808" spans="1:10" ht="15" customHeight="1" x14ac:dyDescent="0.25">
      <c r="A2808" s="381"/>
      <c r="B2808" s="381"/>
      <c r="C2808" s="381"/>
      <c r="D2808" s="381"/>
      <c r="E2808" s="381"/>
      <c r="F2808" s="378"/>
      <c r="G2808" s="378"/>
      <c r="H2808" s="378"/>
      <c r="I2808" s="378"/>
      <c r="J2808" s="384"/>
    </row>
    <row r="2809" spans="1:10" ht="15" customHeight="1" x14ac:dyDescent="0.25">
      <c r="A2809" s="381"/>
      <c r="B2809" s="381"/>
      <c r="C2809" s="381"/>
      <c r="D2809" s="381"/>
      <c r="E2809" s="381"/>
      <c r="F2809" s="378"/>
      <c r="G2809" s="378"/>
      <c r="H2809" s="378"/>
      <c r="I2809" s="378"/>
      <c r="J2809" s="384"/>
    </row>
    <row r="2810" spans="1:10" ht="15" customHeight="1" x14ac:dyDescent="0.25">
      <c r="A2810" s="381"/>
      <c r="B2810" s="381"/>
      <c r="C2810" s="381"/>
      <c r="D2810" s="381"/>
      <c r="E2810" s="381"/>
      <c r="F2810" s="378"/>
      <c r="G2810" s="378"/>
      <c r="H2810" s="378"/>
      <c r="I2810" s="378"/>
      <c r="J2810" s="384"/>
    </row>
    <row r="2811" spans="1:10" ht="15" customHeight="1" x14ac:dyDescent="0.25">
      <c r="A2811" s="381"/>
      <c r="B2811" s="381"/>
      <c r="C2811" s="381"/>
      <c r="D2811" s="381"/>
      <c r="E2811" s="381"/>
      <c r="F2811" s="378"/>
      <c r="G2811" s="378"/>
      <c r="H2811" s="378"/>
      <c r="I2811" s="378"/>
      <c r="J2811" s="384"/>
    </row>
    <row r="2812" spans="1:10" ht="15" customHeight="1" x14ac:dyDescent="0.25">
      <c r="A2812" s="381"/>
      <c r="B2812" s="381"/>
      <c r="C2812" s="381"/>
      <c r="D2812" s="381"/>
      <c r="E2812" s="381"/>
      <c r="F2812" s="378"/>
      <c r="G2812" s="378"/>
      <c r="H2812" s="378"/>
      <c r="I2812" s="378"/>
      <c r="J2812" s="384"/>
    </row>
    <row r="2813" spans="1:10" ht="15" customHeight="1" x14ac:dyDescent="0.25">
      <c r="A2813" s="381"/>
      <c r="B2813" s="381"/>
      <c r="C2813" s="381"/>
      <c r="D2813" s="381"/>
      <c r="E2813" s="381"/>
      <c r="F2813" s="378"/>
      <c r="G2813" s="378"/>
      <c r="H2813" s="378"/>
      <c r="I2813" s="378"/>
      <c r="J2813" s="384"/>
    </row>
    <row r="2814" spans="1:10" ht="15" customHeight="1" x14ac:dyDescent="0.25">
      <c r="A2814" s="381"/>
      <c r="B2814" s="381"/>
      <c r="C2814" s="381"/>
      <c r="D2814" s="381"/>
      <c r="E2814" s="381"/>
      <c r="F2814" s="378"/>
      <c r="G2814" s="378"/>
      <c r="H2814" s="378"/>
      <c r="I2814" s="378"/>
      <c r="J2814" s="384"/>
    </row>
    <row r="2815" spans="1:10" ht="15" customHeight="1" x14ac:dyDescent="0.25">
      <c r="A2815" s="381"/>
      <c r="B2815" s="381"/>
      <c r="C2815" s="381"/>
      <c r="D2815" s="381"/>
      <c r="E2815" s="381"/>
      <c r="F2815" s="378"/>
      <c r="G2815" s="378"/>
      <c r="H2815" s="378"/>
      <c r="I2815" s="378"/>
      <c r="J2815" s="384"/>
    </row>
    <row r="2816" spans="1:10" ht="15" customHeight="1" x14ac:dyDescent="0.25">
      <c r="A2816" s="381"/>
      <c r="B2816" s="381"/>
      <c r="C2816" s="381"/>
      <c r="D2816" s="381"/>
      <c r="E2816" s="381"/>
      <c r="F2816" s="378"/>
      <c r="G2816" s="378"/>
      <c r="H2816" s="378"/>
      <c r="I2816" s="378"/>
      <c r="J2816" s="384"/>
    </row>
    <row r="2817" spans="1:10" ht="15" customHeight="1" x14ac:dyDescent="0.25">
      <c r="A2817" s="381"/>
      <c r="B2817" s="381"/>
      <c r="C2817" s="381"/>
      <c r="D2817" s="381"/>
      <c r="E2817" s="381"/>
      <c r="F2817" s="378"/>
      <c r="G2817" s="378"/>
      <c r="H2817" s="378"/>
      <c r="I2817" s="378"/>
      <c r="J2817" s="384"/>
    </row>
    <row r="2818" spans="1:10" ht="15" customHeight="1" x14ac:dyDescent="0.25">
      <c r="A2818" s="381"/>
      <c r="B2818" s="381"/>
      <c r="C2818" s="381"/>
      <c r="D2818" s="381"/>
      <c r="E2818" s="381"/>
      <c r="F2818" s="378"/>
      <c r="G2818" s="378"/>
      <c r="H2818" s="378"/>
      <c r="I2818" s="378"/>
      <c r="J2818" s="384"/>
    </row>
    <row r="2819" spans="1:10" ht="15" customHeight="1" x14ac:dyDescent="0.25">
      <c r="A2819" s="381"/>
      <c r="B2819" s="381"/>
      <c r="C2819" s="381"/>
      <c r="D2819" s="381"/>
      <c r="E2819" s="381"/>
      <c r="F2819" s="378"/>
      <c r="G2819" s="378"/>
      <c r="H2819" s="378"/>
      <c r="I2819" s="378"/>
      <c r="J2819" s="384"/>
    </row>
    <row r="2820" spans="1:10" ht="15" customHeight="1" x14ac:dyDescent="0.25">
      <c r="A2820" s="381"/>
      <c r="B2820" s="381"/>
      <c r="C2820" s="381"/>
      <c r="D2820" s="381"/>
      <c r="E2820" s="381"/>
      <c r="F2820" s="378"/>
      <c r="G2820" s="378"/>
      <c r="H2820" s="378"/>
      <c r="I2820" s="378"/>
      <c r="J2820" s="384"/>
    </row>
    <row r="2821" spans="1:10" ht="15" customHeight="1" x14ac:dyDescent="0.25">
      <c r="A2821" s="381"/>
      <c r="B2821" s="381"/>
      <c r="C2821" s="381"/>
      <c r="D2821" s="381"/>
      <c r="E2821" s="381"/>
      <c r="F2821" s="378"/>
      <c r="G2821" s="378"/>
      <c r="H2821" s="378"/>
      <c r="I2821" s="378"/>
      <c r="J2821" s="384"/>
    </row>
    <row r="2822" spans="1:10" ht="15" customHeight="1" x14ac:dyDescent="0.25">
      <c r="A2822" s="381"/>
      <c r="B2822" s="381"/>
      <c r="C2822" s="381"/>
      <c r="D2822" s="381"/>
      <c r="E2822" s="381"/>
      <c r="F2822" s="378"/>
      <c r="G2822" s="378"/>
      <c r="H2822" s="378"/>
      <c r="I2822" s="378"/>
      <c r="J2822" s="384"/>
    </row>
    <row r="2823" spans="1:10" ht="15" customHeight="1" x14ac:dyDescent="0.25">
      <c r="A2823" s="381"/>
      <c r="B2823" s="381"/>
      <c r="C2823" s="381"/>
      <c r="D2823" s="381"/>
      <c r="E2823" s="381"/>
      <c r="F2823" s="378"/>
      <c r="G2823" s="378"/>
      <c r="H2823" s="378"/>
      <c r="I2823" s="378"/>
      <c r="J2823" s="384"/>
    </row>
    <row r="2824" spans="1:10" ht="15" customHeight="1" x14ac:dyDescent="0.25">
      <c r="A2824" s="381"/>
      <c r="B2824" s="381"/>
      <c r="C2824" s="381"/>
      <c r="D2824" s="381"/>
      <c r="E2824" s="381"/>
      <c r="F2824" s="378"/>
      <c r="G2824" s="378"/>
      <c r="H2824" s="378"/>
      <c r="I2824" s="378"/>
      <c r="J2824" s="384"/>
    </row>
    <row r="2825" spans="1:10" ht="15" customHeight="1" x14ac:dyDescent="0.25">
      <c r="A2825" s="381"/>
      <c r="B2825" s="381"/>
      <c r="C2825" s="381"/>
      <c r="D2825" s="381"/>
      <c r="E2825" s="381"/>
      <c r="F2825" s="378"/>
      <c r="G2825" s="378"/>
      <c r="H2825" s="378"/>
      <c r="I2825" s="378"/>
      <c r="J2825" s="384"/>
    </row>
    <row r="2826" spans="1:10" ht="15" customHeight="1" x14ac:dyDescent="0.25">
      <c r="A2826" s="381"/>
      <c r="B2826" s="381"/>
      <c r="C2826" s="381"/>
      <c r="D2826" s="381"/>
      <c r="E2826" s="381"/>
      <c r="F2826" s="378"/>
      <c r="G2826" s="378"/>
      <c r="H2826" s="378"/>
      <c r="I2826" s="378"/>
      <c r="J2826" s="384"/>
    </row>
    <row r="2827" spans="1:10" ht="15" customHeight="1" x14ac:dyDescent="0.25">
      <c r="A2827" s="381"/>
      <c r="B2827" s="381"/>
      <c r="C2827" s="381"/>
      <c r="D2827" s="381"/>
      <c r="E2827" s="381"/>
      <c r="F2827" s="378"/>
      <c r="G2827" s="378"/>
      <c r="H2827" s="378"/>
      <c r="I2827" s="378"/>
      <c r="J2827" s="384"/>
    </row>
    <row r="2828" spans="1:10" ht="15" customHeight="1" x14ac:dyDescent="0.25">
      <c r="A2828" s="381"/>
      <c r="B2828" s="381"/>
      <c r="C2828" s="381"/>
      <c r="D2828" s="381"/>
      <c r="E2828" s="381"/>
      <c r="F2828" s="378"/>
      <c r="G2828" s="378"/>
      <c r="H2828" s="378"/>
      <c r="I2828" s="378"/>
      <c r="J2828" s="384"/>
    </row>
    <row r="2829" spans="1:10" ht="15" customHeight="1" x14ac:dyDescent="0.25">
      <c r="A2829" s="381"/>
      <c r="B2829" s="381"/>
      <c r="C2829" s="381"/>
      <c r="D2829" s="381"/>
      <c r="E2829" s="381"/>
      <c r="F2829" s="378"/>
      <c r="G2829" s="378"/>
      <c r="H2829" s="378"/>
      <c r="I2829" s="378"/>
      <c r="J2829" s="384"/>
    </row>
    <row r="2830" spans="1:10" ht="15" customHeight="1" x14ac:dyDescent="0.25">
      <c r="A2830" s="381"/>
      <c r="B2830" s="381"/>
      <c r="C2830" s="381"/>
      <c r="D2830" s="381"/>
      <c r="E2830" s="381"/>
      <c r="F2830" s="378"/>
      <c r="G2830" s="378"/>
      <c r="H2830" s="378"/>
      <c r="I2830" s="378"/>
      <c r="J2830" s="384"/>
    </row>
    <row r="2831" spans="1:10" ht="15" customHeight="1" x14ac:dyDescent="0.25">
      <c r="A2831" s="381"/>
      <c r="B2831" s="381"/>
      <c r="C2831" s="381"/>
      <c r="D2831" s="381"/>
      <c r="E2831" s="381"/>
      <c r="F2831" s="378"/>
      <c r="G2831" s="378"/>
      <c r="H2831" s="378"/>
      <c r="I2831" s="378"/>
      <c r="J2831" s="384"/>
    </row>
    <row r="2832" spans="1:10" ht="15" customHeight="1" x14ac:dyDescent="0.25">
      <c r="A2832" s="381"/>
      <c r="B2832" s="381"/>
      <c r="C2832" s="381"/>
      <c r="D2832" s="381"/>
      <c r="E2832" s="381"/>
      <c r="F2832" s="378"/>
      <c r="G2832" s="378"/>
      <c r="H2832" s="378"/>
      <c r="I2832" s="378"/>
      <c r="J2832" s="384"/>
    </row>
    <row r="2833" spans="1:10" ht="15" customHeight="1" x14ac:dyDescent="0.25">
      <c r="A2833" s="381"/>
      <c r="B2833" s="381"/>
      <c r="C2833" s="381"/>
      <c r="D2833" s="381"/>
      <c r="E2833" s="381"/>
      <c r="F2833" s="378"/>
      <c r="G2833" s="378"/>
      <c r="H2833" s="378"/>
      <c r="I2833" s="378"/>
      <c r="J2833" s="384"/>
    </row>
    <row r="2834" spans="1:10" ht="15" customHeight="1" x14ac:dyDescent="0.25">
      <c r="A2834" s="381"/>
      <c r="B2834" s="381"/>
      <c r="C2834" s="381"/>
      <c r="D2834" s="381"/>
      <c r="E2834" s="381"/>
      <c r="F2834" s="378"/>
      <c r="G2834" s="378"/>
      <c r="H2834" s="378"/>
      <c r="I2834" s="378"/>
      <c r="J2834" s="384"/>
    </row>
    <row r="2835" spans="1:10" ht="15" customHeight="1" x14ac:dyDescent="0.25">
      <c r="A2835" s="381"/>
      <c r="B2835" s="381"/>
      <c r="C2835" s="381"/>
      <c r="D2835" s="381"/>
      <c r="E2835" s="381"/>
      <c r="F2835" s="378"/>
      <c r="G2835" s="378"/>
      <c r="H2835" s="378"/>
      <c r="I2835" s="378"/>
      <c r="J2835" s="384"/>
    </row>
    <row r="2836" spans="1:10" ht="15" customHeight="1" x14ac:dyDescent="0.25">
      <c r="A2836" s="381"/>
      <c r="B2836" s="381"/>
      <c r="C2836" s="381"/>
      <c r="D2836" s="381"/>
      <c r="E2836" s="381"/>
      <c r="F2836" s="378"/>
      <c r="G2836" s="378"/>
      <c r="H2836" s="378"/>
      <c r="I2836" s="378"/>
      <c r="J2836" s="384"/>
    </row>
    <row r="2837" spans="1:10" ht="15" customHeight="1" x14ac:dyDescent="0.25">
      <c r="A2837" s="381"/>
      <c r="B2837" s="381"/>
      <c r="C2837" s="381"/>
      <c r="D2837" s="381"/>
      <c r="E2837" s="381"/>
      <c r="F2837" s="378"/>
      <c r="G2837" s="378"/>
      <c r="H2837" s="378"/>
      <c r="I2837" s="378"/>
      <c r="J2837" s="384"/>
    </row>
    <row r="2838" spans="1:10" ht="15" customHeight="1" x14ac:dyDescent="0.25">
      <c r="A2838" s="381"/>
      <c r="B2838" s="381"/>
      <c r="C2838" s="381"/>
      <c r="D2838" s="381"/>
      <c r="E2838" s="381"/>
      <c r="F2838" s="378"/>
      <c r="G2838" s="378"/>
      <c r="H2838" s="378"/>
      <c r="I2838" s="378"/>
      <c r="J2838" s="384"/>
    </row>
    <row r="2839" spans="1:10" ht="15" customHeight="1" x14ac:dyDescent="0.25">
      <c r="A2839" s="381"/>
      <c r="B2839" s="381"/>
      <c r="C2839" s="381"/>
      <c r="D2839" s="381"/>
      <c r="E2839" s="381"/>
      <c r="F2839" s="378"/>
      <c r="G2839" s="378"/>
      <c r="H2839" s="378"/>
      <c r="I2839" s="378"/>
      <c r="J2839" s="384"/>
    </row>
    <row r="2840" spans="1:10" ht="15" customHeight="1" x14ac:dyDescent="0.25">
      <c r="A2840" s="381"/>
      <c r="B2840" s="381"/>
      <c r="C2840" s="381"/>
      <c r="D2840" s="381"/>
      <c r="E2840" s="381"/>
      <c r="F2840" s="378"/>
      <c r="G2840" s="378"/>
      <c r="H2840" s="378"/>
      <c r="I2840" s="378"/>
      <c r="J2840" s="384"/>
    </row>
    <row r="2841" spans="1:10" ht="15" customHeight="1" x14ac:dyDescent="0.25">
      <c r="A2841" s="381"/>
      <c r="B2841" s="381"/>
      <c r="C2841" s="381"/>
      <c r="D2841" s="381"/>
      <c r="E2841" s="381"/>
      <c r="F2841" s="378"/>
      <c r="G2841" s="378"/>
      <c r="H2841" s="378"/>
      <c r="I2841" s="378"/>
      <c r="J2841" s="384"/>
    </row>
    <row r="2842" spans="1:10" ht="15" customHeight="1" x14ac:dyDescent="0.25">
      <c r="A2842" s="381"/>
      <c r="B2842" s="381"/>
      <c r="C2842" s="381"/>
      <c r="D2842" s="381"/>
      <c r="E2842" s="381"/>
      <c r="F2842" s="378"/>
      <c r="G2842" s="378"/>
      <c r="H2842" s="378"/>
      <c r="I2842" s="378"/>
      <c r="J2842" s="384"/>
    </row>
    <row r="2843" spans="1:10" ht="15" customHeight="1" x14ac:dyDescent="0.25">
      <c r="A2843" s="381"/>
      <c r="B2843" s="381"/>
      <c r="C2843" s="381"/>
      <c r="D2843" s="381"/>
      <c r="E2843" s="381"/>
      <c r="F2843" s="378"/>
      <c r="G2843" s="378"/>
      <c r="H2843" s="378"/>
      <c r="I2843" s="378"/>
      <c r="J2843" s="384"/>
    </row>
    <row r="2844" spans="1:10" ht="15" customHeight="1" x14ac:dyDescent="0.25">
      <c r="A2844" s="381"/>
      <c r="B2844" s="381"/>
      <c r="C2844" s="381"/>
      <c r="D2844" s="381"/>
      <c r="E2844" s="381"/>
      <c r="F2844" s="378"/>
      <c r="G2844" s="378"/>
      <c r="H2844" s="378"/>
      <c r="I2844" s="378"/>
      <c r="J2844" s="384"/>
    </row>
    <row r="2845" spans="1:10" ht="15" customHeight="1" x14ac:dyDescent="0.25">
      <c r="A2845" s="381"/>
      <c r="B2845" s="381"/>
      <c r="C2845" s="381"/>
      <c r="D2845" s="381"/>
      <c r="E2845" s="381"/>
      <c r="F2845" s="378"/>
      <c r="G2845" s="378"/>
      <c r="H2845" s="378"/>
      <c r="I2845" s="378"/>
      <c r="J2845" s="384"/>
    </row>
    <row r="2846" spans="1:10" ht="15" customHeight="1" x14ac:dyDescent="0.25">
      <c r="A2846" s="381"/>
      <c r="B2846" s="381"/>
      <c r="C2846" s="381"/>
      <c r="D2846" s="381"/>
      <c r="E2846" s="381"/>
      <c r="F2846" s="378"/>
      <c r="G2846" s="378"/>
      <c r="H2846" s="378"/>
      <c r="I2846" s="378"/>
      <c r="J2846" s="384"/>
    </row>
    <row r="2847" spans="1:10" ht="15" customHeight="1" x14ac:dyDescent="0.25">
      <c r="A2847" s="381"/>
      <c r="B2847" s="381"/>
      <c r="C2847" s="381"/>
      <c r="D2847" s="381"/>
      <c r="E2847" s="381"/>
      <c r="F2847" s="378"/>
      <c r="G2847" s="378"/>
      <c r="H2847" s="378"/>
      <c r="I2847" s="378"/>
      <c r="J2847" s="384"/>
    </row>
    <row r="2848" spans="1:10" ht="15" customHeight="1" x14ac:dyDescent="0.25">
      <c r="A2848" s="381"/>
      <c r="B2848" s="381"/>
      <c r="C2848" s="381"/>
      <c r="D2848" s="381"/>
      <c r="E2848" s="381"/>
      <c r="F2848" s="378"/>
      <c r="G2848" s="378"/>
      <c r="H2848" s="378"/>
      <c r="I2848" s="378"/>
      <c r="J2848" s="384"/>
    </row>
    <row r="2849" spans="1:10" ht="15" customHeight="1" x14ac:dyDescent="0.25">
      <c r="A2849" s="381"/>
      <c r="B2849" s="381"/>
      <c r="C2849" s="381"/>
      <c r="D2849" s="381"/>
      <c r="E2849" s="381"/>
      <c r="F2849" s="378"/>
      <c r="G2849" s="378"/>
      <c r="H2849" s="378"/>
      <c r="I2849" s="378"/>
      <c r="J2849" s="384"/>
    </row>
    <row r="2850" spans="1:10" ht="15" customHeight="1" x14ac:dyDescent="0.25">
      <c r="A2850" s="381"/>
      <c r="B2850" s="381"/>
      <c r="C2850" s="381"/>
      <c r="D2850" s="381"/>
      <c r="E2850" s="381"/>
      <c r="F2850" s="378"/>
      <c r="G2850" s="378"/>
      <c r="H2850" s="378"/>
      <c r="I2850" s="378"/>
      <c r="J2850" s="384"/>
    </row>
    <row r="2851" spans="1:10" ht="15" customHeight="1" x14ac:dyDescent="0.25">
      <c r="A2851" s="381"/>
      <c r="B2851" s="381"/>
      <c r="C2851" s="381"/>
      <c r="D2851" s="381"/>
      <c r="E2851" s="381"/>
      <c r="F2851" s="378"/>
      <c r="G2851" s="378"/>
      <c r="H2851" s="378"/>
      <c r="I2851" s="378"/>
      <c r="J2851" s="384"/>
    </row>
    <row r="2852" spans="1:10" ht="15" customHeight="1" x14ac:dyDescent="0.25">
      <c r="A2852" s="381"/>
      <c r="B2852" s="381"/>
      <c r="C2852" s="381"/>
      <c r="D2852" s="381"/>
      <c r="E2852" s="381"/>
      <c r="F2852" s="378"/>
      <c r="G2852" s="378"/>
      <c r="H2852" s="378"/>
      <c r="I2852" s="378"/>
      <c r="J2852" s="384"/>
    </row>
    <row r="2853" spans="1:10" ht="15" customHeight="1" x14ac:dyDescent="0.25">
      <c r="A2853" s="381"/>
      <c r="B2853" s="381"/>
      <c r="C2853" s="381"/>
      <c r="D2853" s="381"/>
      <c r="E2853" s="381"/>
      <c r="F2853" s="378"/>
      <c r="G2853" s="378"/>
      <c r="H2853" s="378"/>
      <c r="I2853" s="378"/>
      <c r="J2853" s="384"/>
    </row>
    <row r="2854" spans="1:10" ht="15" customHeight="1" x14ac:dyDescent="0.25">
      <c r="A2854" s="381"/>
      <c r="B2854" s="381"/>
      <c r="C2854" s="381"/>
      <c r="D2854" s="381"/>
      <c r="E2854" s="381"/>
      <c r="F2854" s="378"/>
      <c r="G2854" s="378"/>
      <c r="H2854" s="378"/>
      <c r="I2854" s="378"/>
      <c r="J2854" s="384"/>
    </row>
    <row r="2855" spans="1:10" ht="15" customHeight="1" x14ac:dyDescent="0.25">
      <c r="A2855" s="381"/>
      <c r="B2855" s="381"/>
      <c r="C2855" s="381"/>
      <c r="D2855" s="381"/>
      <c r="E2855" s="381"/>
      <c r="F2855" s="378"/>
      <c r="G2855" s="378"/>
      <c r="H2855" s="378"/>
      <c r="I2855" s="378"/>
      <c r="J2855" s="384"/>
    </row>
    <row r="2856" spans="1:10" ht="15" customHeight="1" x14ac:dyDescent="0.25">
      <c r="A2856" s="381"/>
      <c r="B2856" s="381"/>
      <c r="C2856" s="381"/>
      <c r="D2856" s="381"/>
      <c r="E2856" s="381"/>
      <c r="F2856" s="378"/>
      <c r="G2856" s="378"/>
      <c r="H2856" s="378"/>
      <c r="I2856" s="378"/>
      <c r="J2856" s="384"/>
    </row>
    <row r="2857" spans="1:10" ht="15" customHeight="1" x14ac:dyDescent="0.25">
      <c r="A2857" s="381"/>
      <c r="B2857" s="381"/>
      <c r="C2857" s="381"/>
      <c r="D2857" s="381"/>
      <c r="E2857" s="381"/>
      <c r="F2857" s="378"/>
      <c r="G2857" s="378"/>
      <c r="H2857" s="378"/>
      <c r="I2857" s="378"/>
      <c r="J2857" s="384"/>
    </row>
    <row r="2858" spans="1:10" ht="15" customHeight="1" x14ac:dyDescent="0.25">
      <c r="A2858" s="381"/>
      <c r="B2858" s="381"/>
      <c r="C2858" s="381"/>
      <c r="D2858" s="381"/>
      <c r="E2858" s="381"/>
      <c r="F2858" s="378"/>
      <c r="G2858" s="378"/>
      <c r="H2858" s="378"/>
      <c r="I2858" s="378"/>
      <c r="J2858" s="384"/>
    </row>
    <row r="2859" spans="1:10" ht="15" customHeight="1" x14ac:dyDescent="0.25">
      <c r="A2859" s="381"/>
      <c r="B2859" s="381"/>
      <c r="C2859" s="381"/>
      <c r="D2859" s="381"/>
      <c r="E2859" s="381"/>
      <c r="F2859" s="378"/>
      <c r="G2859" s="378"/>
      <c r="H2859" s="378"/>
      <c r="I2859" s="378"/>
      <c r="J2859" s="384"/>
    </row>
    <row r="2860" spans="1:10" ht="15" customHeight="1" x14ac:dyDescent="0.25">
      <c r="A2860" s="381"/>
      <c r="B2860" s="381"/>
      <c r="C2860" s="381"/>
      <c r="D2860" s="381"/>
      <c r="E2860" s="381"/>
      <c r="F2860" s="378"/>
      <c r="G2860" s="378"/>
      <c r="H2860" s="378"/>
      <c r="I2860" s="378"/>
      <c r="J2860" s="384"/>
    </row>
    <row r="2861" spans="1:10" ht="15" customHeight="1" x14ac:dyDescent="0.25">
      <c r="A2861" s="381"/>
      <c r="B2861" s="381"/>
      <c r="C2861" s="381"/>
      <c r="D2861" s="381"/>
      <c r="E2861" s="381"/>
      <c r="F2861" s="378"/>
      <c r="G2861" s="378"/>
      <c r="H2861" s="378"/>
      <c r="I2861" s="378"/>
      <c r="J2861" s="384"/>
    </row>
    <row r="2862" spans="1:10" ht="15" customHeight="1" x14ac:dyDescent="0.25">
      <c r="A2862" s="381"/>
      <c r="B2862" s="381"/>
      <c r="C2862" s="381"/>
      <c r="D2862" s="381"/>
      <c r="E2862" s="381"/>
      <c r="F2862" s="378"/>
      <c r="G2862" s="378"/>
      <c r="H2862" s="378"/>
      <c r="I2862" s="378"/>
      <c r="J2862" s="384"/>
    </row>
    <row r="2863" spans="1:10" ht="15" customHeight="1" x14ac:dyDescent="0.25">
      <c r="A2863" s="381"/>
      <c r="B2863" s="381"/>
      <c r="C2863" s="381"/>
      <c r="D2863" s="381"/>
      <c r="E2863" s="381"/>
      <c r="F2863" s="378"/>
      <c r="G2863" s="378"/>
      <c r="H2863" s="378"/>
      <c r="I2863" s="378"/>
      <c r="J2863" s="384"/>
    </row>
    <row r="2864" spans="1:10" ht="15" customHeight="1" x14ac:dyDescent="0.25">
      <c r="A2864" s="381"/>
      <c r="B2864" s="381"/>
      <c r="C2864" s="381"/>
      <c r="D2864" s="381"/>
      <c r="E2864" s="381"/>
      <c r="F2864" s="378"/>
      <c r="G2864" s="378"/>
      <c r="H2864" s="378"/>
      <c r="I2864" s="378"/>
      <c r="J2864" s="384"/>
    </row>
    <row r="2865" spans="1:10" ht="15" customHeight="1" x14ac:dyDescent="0.25">
      <c r="A2865" s="381"/>
      <c r="B2865" s="381"/>
      <c r="C2865" s="381"/>
      <c r="D2865" s="381"/>
      <c r="E2865" s="381"/>
      <c r="F2865" s="378"/>
      <c r="G2865" s="378"/>
      <c r="H2865" s="378"/>
      <c r="I2865" s="378"/>
      <c r="J2865" s="384"/>
    </row>
    <row r="2866" spans="1:10" ht="15" customHeight="1" x14ac:dyDescent="0.25">
      <c r="A2866" s="381"/>
      <c r="B2866" s="381"/>
      <c r="C2866" s="381"/>
      <c r="D2866" s="381"/>
      <c r="E2866" s="381"/>
      <c r="F2866" s="378"/>
      <c r="G2866" s="378"/>
      <c r="H2866" s="378"/>
      <c r="I2866" s="378"/>
      <c r="J2866" s="384"/>
    </row>
    <row r="2867" spans="1:10" ht="15" customHeight="1" x14ac:dyDescent="0.25">
      <c r="A2867" s="381"/>
      <c r="B2867" s="381"/>
      <c r="C2867" s="381"/>
      <c r="D2867" s="381"/>
      <c r="E2867" s="381"/>
      <c r="F2867" s="378"/>
      <c r="G2867" s="378"/>
      <c r="H2867" s="378"/>
      <c r="I2867" s="378"/>
      <c r="J2867" s="384"/>
    </row>
    <row r="2868" spans="1:10" ht="15" customHeight="1" x14ac:dyDescent="0.25">
      <c r="A2868" s="381"/>
      <c r="B2868" s="381"/>
      <c r="C2868" s="381"/>
      <c r="D2868" s="381"/>
      <c r="E2868" s="381"/>
      <c r="F2868" s="378"/>
      <c r="G2868" s="378"/>
      <c r="H2868" s="378"/>
      <c r="I2868" s="378"/>
      <c r="J2868" s="384"/>
    </row>
    <row r="2869" spans="1:10" ht="15" customHeight="1" x14ac:dyDescent="0.25">
      <c r="A2869" s="381"/>
      <c r="B2869" s="381"/>
      <c r="C2869" s="381"/>
      <c r="D2869" s="381"/>
      <c r="E2869" s="381"/>
      <c r="F2869" s="378"/>
      <c r="G2869" s="378"/>
      <c r="H2869" s="378"/>
      <c r="I2869" s="378"/>
      <c r="J2869" s="384"/>
    </row>
    <row r="2870" spans="1:10" ht="15" customHeight="1" x14ac:dyDescent="0.25">
      <c r="A2870" s="381"/>
      <c r="B2870" s="381"/>
      <c r="C2870" s="381"/>
      <c r="D2870" s="381"/>
      <c r="E2870" s="381"/>
      <c r="F2870" s="378"/>
      <c r="G2870" s="378"/>
      <c r="H2870" s="378"/>
      <c r="I2870" s="378"/>
      <c r="J2870" s="384"/>
    </row>
    <row r="2871" spans="1:10" ht="15" customHeight="1" x14ac:dyDescent="0.25">
      <c r="A2871" s="381"/>
      <c r="B2871" s="381"/>
      <c r="C2871" s="381"/>
      <c r="D2871" s="381"/>
      <c r="E2871" s="381"/>
      <c r="F2871" s="378"/>
      <c r="G2871" s="378"/>
      <c r="H2871" s="378"/>
      <c r="I2871" s="378"/>
      <c r="J2871" s="384"/>
    </row>
    <row r="2872" spans="1:10" ht="15" customHeight="1" x14ac:dyDescent="0.25">
      <c r="A2872" s="381"/>
      <c r="B2872" s="381"/>
      <c r="C2872" s="381"/>
      <c r="D2872" s="381"/>
      <c r="E2872" s="381"/>
      <c r="F2872" s="378"/>
      <c r="G2872" s="378"/>
      <c r="H2872" s="378"/>
      <c r="I2872" s="378"/>
      <c r="J2872" s="384"/>
    </row>
    <row r="2873" spans="1:10" ht="15" customHeight="1" x14ac:dyDescent="0.25">
      <c r="A2873" s="381"/>
      <c r="B2873" s="381"/>
      <c r="C2873" s="381"/>
      <c r="D2873" s="381"/>
      <c r="E2873" s="381"/>
      <c r="F2873" s="378"/>
      <c r="G2873" s="378"/>
      <c r="H2873" s="378"/>
      <c r="I2873" s="378"/>
      <c r="J2873" s="384"/>
    </row>
    <row r="2874" spans="1:10" ht="15" customHeight="1" x14ac:dyDescent="0.25">
      <c r="A2874" s="381"/>
      <c r="B2874" s="381"/>
      <c r="C2874" s="381"/>
      <c r="D2874" s="381"/>
      <c r="E2874" s="381"/>
      <c r="F2874" s="378"/>
      <c r="G2874" s="378"/>
      <c r="H2874" s="378"/>
      <c r="I2874" s="378"/>
      <c r="J2874" s="384"/>
    </row>
    <row r="2875" spans="1:10" ht="15" customHeight="1" x14ac:dyDescent="0.25">
      <c r="A2875" s="381"/>
      <c r="B2875" s="381"/>
      <c r="C2875" s="381"/>
      <c r="D2875" s="381"/>
      <c r="E2875" s="381"/>
      <c r="F2875" s="378"/>
      <c r="G2875" s="378"/>
      <c r="H2875" s="378"/>
      <c r="I2875" s="378"/>
      <c r="J2875" s="384"/>
    </row>
    <row r="2876" spans="1:10" ht="15" customHeight="1" x14ac:dyDescent="0.25">
      <c r="A2876" s="381"/>
      <c r="B2876" s="381"/>
      <c r="C2876" s="381"/>
      <c r="D2876" s="381"/>
      <c r="E2876" s="381"/>
      <c r="F2876" s="378"/>
      <c r="G2876" s="378"/>
      <c r="H2876" s="378"/>
      <c r="I2876" s="378"/>
      <c r="J2876" s="384"/>
    </row>
    <row r="2877" spans="1:10" ht="15" customHeight="1" x14ac:dyDescent="0.25">
      <c r="A2877" s="381"/>
      <c r="B2877" s="381"/>
      <c r="C2877" s="381"/>
      <c r="D2877" s="381"/>
      <c r="E2877" s="381"/>
      <c r="F2877" s="378"/>
      <c r="G2877" s="378"/>
      <c r="H2877" s="378"/>
      <c r="I2877" s="378"/>
      <c r="J2877" s="384"/>
    </row>
    <row r="2878" spans="1:10" ht="15" customHeight="1" x14ac:dyDescent="0.25">
      <c r="A2878" s="381"/>
      <c r="B2878" s="381"/>
      <c r="C2878" s="381"/>
      <c r="D2878" s="381"/>
      <c r="E2878" s="381"/>
      <c r="F2878" s="378"/>
      <c r="G2878" s="378"/>
      <c r="H2878" s="378"/>
      <c r="I2878" s="378"/>
      <c r="J2878" s="384"/>
    </row>
    <row r="2879" spans="1:10" ht="15" customHeight="1" x14ac:dyDescent="0.25">
      <c r="A2879" s="381"/>
      <c r="B2879" s="381"/>
      <c r="C2879" s="381"/>
      <c r="D2879" s="381"/>
      <c r="E2879" s="381"/>
      <c r="F2879" s="378"/>
      <c r="G2879" s="378"/>
      <c r="H2879" s="378"/>
      <c r="I2879" s="378"/>
      <c r="J2879" s="384"/>
    </row>
    <row r="2880" spans="1:10" ht="15" customHeight="1" x14ac:dyDescent="0.25">
      <c r="A2880" s="381"/>
      <c r="B2880" s="381"/>
      <c r="C2880" s="381"/>
      <c r="D2880" s="381"/>
      <c r="E2880" s="381"/>
      <c r="F2880" s="378"/>
      <c r="G2880" s="378"/>
      <c r="H2880" s="378"/>
      <c r="I2880" s="378"/>
      <c r="J2880" s="384"/>
    </row>
    <row r="2881" spans="1:10" ht="15" customHeight="1" x14ac:dyDescent="0.25">
      <c r="A2881" s="381"/>
      <c r="B2881" s="381"/>
      <c r="C2881" s="381"/>
      <c r="D2881" s="381"/>
      <c r="E2881" s="381"/>
      <c r="F2881" s="378"/>
      <c r="G2881" s="378"/>
      <c r="H2881" s="378"/>
      <c r="I2881" s="378"/>
      <c r="J2881" s="384"/>
    </row>
    <row r="2882" spans="1:10" ht="15" customHeight="1" x14ac:dyDescent="0.25">
      <c r="A2882" s="381"/>
      <c r="B2882" s="381"/>
      <c r="C2882" s="381"/>
      <c r="D2882" s="381"/>
      <c r="E2882" s="381"/>
      <c r="F2882" s="378"/>
      <c r="G2882" s="378"/>
      <c r="H2882" s="378"/>
      <c r="I2882" s="378"/>
      <c r="J2882" s="384"/>
    </row>
    <row r="2883" spans="1:10" ht="15" customHeight="1" x14ac:dyDescent="0.25">
      <c r="A2883" s="381"/>
      <c r="B2883" s="381"/>
      <c r="C2883" s="381"/>
      <c r="D2883" s="381"/>
      <c r="E2883" s="381"/>
      <c r="F2883" s="378"/>
      <c r="G2883" s="378"/>
      <c r="H2883" s="378"/>
      <c r="I2883" s="378"/>
      <c r="J2883" s="384"/>
    </row>
    <row r="2884" spans="1:10" ht="15" customHeight="1" x14ac:dyDescent="0.25">
      <c r="A2884" s="381"/>
      <c r="B2884" s="381"/>
      <c r="C2884" s="381"/>
      <c r="D2884" s="381"/>
      <c r="E2884" s="381"/>
      <c r="F2884" s="378"/>
      <c r="G2884" s="378"/>
      <c r="H2884" s="378"/>
      <c r="I2884" s="378"/>
      <c r="J2884" s="384"/>
    </row>
    <row r="2885" spans="1:10" ht="15" customHeight="1" x14ac:dyDescent="0.25">
      <c r="A2885" s="381"/>
      <c r="B2885" s="381"/>
      <c r="C2885" s="381"/>
      <c r="D2885" s="381"/>
      <c r="E2885" s="381"/>
      <c r="F2885" s="378"/>
      <c r="G2885" s="378"/>
      <c r="H2885" s="378"/>
      <c r="I2885" s="378"/>
      <c r="J2885" s="384"/>
    </row>
    <row r="2886" spans="1:10" ht="15" customHeight="1" x14ac:dyDescent="0.25">
      <c r="A2886" s="381"/>
      <c r="B2886" s="381"/>
      <c r="C2886" s="381"/>
      <c r="D2886" s="381"/>
      <c r="E2886" s="381"/>
      <c r="F2886" s="378"/>
      <c r="G2886" s="378"/>
      <c r="H2886" s="378"/>
      <c r="I2886" s="378"/>
      <c r="J2886" s="384"/>
    </row>
    <row r="2887" spans="1:10" ht="15" customHeight="1" x14ac:dyDescent="0.25">
      <c r="A2887" s="381"/>
      <c r="B2887" s="381"/>
      <c r="C2887" s="381"/>
      <c r="D2887" s="381"/>
      <c r="E2887" s="381"/>
      <c r="F2887" s="378"/>
      <c r="G2887" s="378"/>
      <c r="H2887" s="378"/>
      <c r="I2887" s="378"/>
      <c r="J2887" s="384"/>
    </row>
    <row r="2888" spans="1:10" ht="15" customHeight="1" x14ac:dyDescent="0.25">
      <c r="A2888" s="381"/>
      <c r="B2888" s="381"/>
      <c r="C2888" s="381"/>
      <c r="D2888" s="381"/>
      <c r="E2888" s="381"/>
      <c r="F2888" s="378"/>
      <c r="G2888" s="378"/>
      <c r="H2888" s="378"/>
      <c r="I2888" s="378"/>
      <c r="J2888" s="384"/>
    </row>
    <row r="2889" spans="1:10" ht="15" customHeight="1" x14ac:dyDescent="0.25">
      <c r="A2889" s="381"/>
      <c r="B2889" s="381"/>
      <c r="C2889" s="381"/>
      <c r="D2889" s="381"/>
      <c r="E2889" s="381"/>
      <c r="F2889" s="378"/>
      <c r="G2889" s="378"/>
      <c r="H2889" s="378"/>
      <c r="I2889" s="378"/>
      <c r="J2889" s="384"/>
    </row>
    <row r="2890" spans="1:10" ht="15" customHeight="1" x14ac:dyDescent="0.25">
      <c r="A2890" s="381" t="e">
        <v>#N/A</v>
      </c>
      <c r="B2890" s="381" t="e">
        <v>#N/A</v>
      </c>
      <c r="C2890" s="381" t="e">
        <v>#N/A</v>
      </c>
      <c r="D2890" s="381" t="e">
        <v>#N/A</v>
      </c>
      <c r="E2890" s="381" t="e">
        <v>#N/A</v>
      </c>
      <c r="F2890" s="378" t="e">
        <v>#N/A</v>
      </c>
      <c r="G2890" s="378" t="e">
        <v>#N/A</v>
      </c>
      <c r="H2890" s="378" t="e">
        <v>#N/A</v>
      </c>
      <c r="I2890" s="378" t="e">
        <v>#N/A</v>
      </c>
      <c r="J2890" s="384"/>
    </row>
  </sheetData>
  <autoFilter ref="A3:J1780" xr:uid="{00000000-0009-0000-0000-000008000000}"/>
  <mergeCells count="2">
    <mergeCell ref="A2:I2"/>
    <mergeCell ref="A1:I1"/>
  </mergeCells>
  <pageMargins left="0.7" right="0.7" top="0.75" bottom="0.75" header="0" footer="0"/>
  <pageSetup orientation="landscap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39997558519241921"/>
  </sheetPr>
  <dimension ref="A1:L42"/>
  <sheetViews>
    <sheetView topLeftCell="A16" workbookViewId="0">
      <selection activeCell="B23" sqref="B23"/>
    </sheetView>
  </sheetViews>
  <sheetFormatPr baseColWidth="10" defaultColWidth="11.42578125" defaultRowHeight="15" x14ac:dyDescent="0.25"/>
  <cols>
    <col min="1" max="1" width="54" style="269" customWidth="1"/>
    <col min="2" max="7" width="11.42578125" style="269"/>
    <col min="8" max="8" width="12.7109375" style="269" bestFit="1" customWidth="1"/>
    <col min="9" max="11" width="11.42578125" style="269"/>
    <col min="12" max="12" width="12.7109375" style="269" bestFit="1" customWidth="1"/>
    <col min="13" max="16384" width="11.42578125" style="269"/>
  </cols>
  <sheetData>
    <row r="1" spans="1:10" ht="15.75" x14ac:dyDescent="0.25">
      <c r="A1" s="440" t="s">
        <v>502</v>
      </c>
      <c r="B1" s="440"/>
      <c r="C1" s="440"/>
      <c r="D1" s="440"/>
      <c r="E1" s="440"/>
      <c r="F1" s="440"/>
      <c r="G1" s="440"/>
      <c r="H1" s="440"/>
      <c r="I1" s="440"/>
      <c r="J1" s="440"/>
    </row>
    <row r="2" spans="1:10" ht="15.75" x14ac:dyDescent="0.25">
      <c r="A2" s="440" t="str">
        <f>+'E.R.I.ACUMULADO'!A2</f>
        <v>GRUPO DE LOLITA S.A.S</v>
      </c>
      <c r="B2" s="440"/>
      <c r="C2" s="440"/>
      <c r="D2" s="440"/>
      <c r="E2" s="440"/>
      <c r="F2" s="270"/>
      <c r="G2" s="270"/>
      <c r="H2" s="270"/>
      <c r="I2" s="270"/>
      <c r="J2" s="270"/>
    </row>
    <row r="3" spans="1:10" ht="15.75" x14ac:dyDescent="0.25">
      <c r="A3" s="441" t="str">
        <f>"CALCULO DE IMPUESTO CORRIENTE AÑO " &amp;DATOS!C3</f>
        <v>CALCULO DE IMPUESTO CORRIENTE AÑO 2025</v>
      </c>
      <c r="B3" s="441"/>
      <c r="C3" s="441"/>
      <c r="D3" s="441"/>
      <c r="E3" s="441"/>
      <c r="F3" s="271"/>
      <c r="G3" s="271"/>
      <c r="H3" s="271"/>
      <c r="I3" s="271"/>
      <c r="J3" s="271"/>
    </row>
    <row r="4" spans="1:10" ht="15.75" x14ac:dyDescent="0.25">
      <c r="A4" s="441"/>
      <c r="B4" s="441"/>
      <c r="C4" s="441"/>
      <c r="D4" s="441"/>
      <c r="E4" s="441"/>
      <c r="F4" s="271"/>
      <c r="G4" s="271"/>
      <c r="H4" s="271"/>
      <c r="I4" s="271"/>
      <c r="J4" s="271"/>
    </row>
    <row r="5" spans="1:10" ht="15.75" x14ac:dyDescent="0.25">
      <c r="A5" s="441" t="s">
        <v>5</v>
      </c>
      <c r="B5" s="441"/>
      <c r="C5" s="441"/>
      <c r="D5" s="441"/>
      <c r="E5" s="441"/>
      <c r="F5" s="271" t="s">
        <v>503</v>
      </c>
      <c r="G5" s="271"/>
      <c r="H5" s="271"/>
      <c r="I5" s="271"/>
      <c r="J5" s="271"/>
    </row>
    <row r="8" spans="1:10" x14ac:dyDescent="0.25">
      <c r="A8" s="272" t="s">
        <v>504</v>
      </c>
      <c r="B8" s="273">
        <f>+'E.R.I.ACUMULADO'!D89</f>
        <v>91324.014119999731</v>
      </c>
      <c r="C8" s="274" t="s">
        <v>505</v>
      </c>
    </row>
    <row r="10" spans="1:10" x14ac:dyDescent="0.25">
      <c r="A10" s="275" t="s">
        <v>506</v>
      </c>
      <c r="B10" s="276">
        <v>0</v>
      </c>
      <c r="C10" s="277"/>
      <c r="D10" s="269" t="s">
        <v>507</v>
      </c>
    </row>
    <row r="11" spans="1:10" x14ac:dyDescent="0.25">
      <c r="A11" s="275" t="s">
        <v>508</v>
      </c>
      <c r="B11" s="276">
        <v>0</v>
      </c>
      <c r="C11" s="278"/>
      <c r="D11" s="269" t="s">
        <v>509</v>
      </c>
    </row>
    <row r="12" spans="1:10" x14ac:dyDescent="0.25">
      <c r="A12" s="275" t="s">
        <v>510</v>
      </c>
      <c r="B12" s="276">
        <v>0</v>
      </c>
      <c r="C12" s="279"/>
      <c r="D12" s="269" t="s">
        <v>511</v>
      </c>
    </row>
    <row r="13" spans="1:10" x14ac:dyDescent="0.25">
      <c r="A13" s="275" t="s">
        <v>512</v>
      </c>
      <c r="B13" s="276">
        <v>0</v>
      </c>
      <c r="C13" s="279"/>
      <c r="D13" s="269" t="s">
        <v>513</v>
      </c>
    </row>
    <row r="14" spans="1:10" x14ac:dyDescent="0.25">
      <c r="A14" s="275" t="s">
        <v>514</v>
      </c>
      <c r="B14" s="276">
        <v>9949.5</v>
      </c>
      <c r="C14" s="279"/>
      <c r="D14" s="269" t="s">
        <v>515</v>
      </c>
    </row>
    <row r="15" spans="1:10" x14ac:dyDescent="0.25">
      <c r="A15" s="275" t="s">
        <v>516</v>
      </c>
      <c r="B15" s="276">
        <v>0</v>
      </c>
      <c r="C15" s="279"/>
    </row>
    <row r="16" spans="1:10" ht="15.75" thickBot="1" x14ac:dyDescent="0.3">
      <c r="A16" s="275" t="s">
        <v>517</v>
      </c>
      <c r="B16" s="276">
        <v>0</v>
      </c>
      <c r="C16" s="279"/>
    </row>
    <row r="17" spans="1:12" ht="15.75" thickBot="1" x14ac:dyDescent="0.3">
      <c r="A17" s="280" t="s">
        <v>518</v>
      </c>
      <c r="B17" s="281">
        <f>SUM(B8:B16)</f>
        <v>101273.51411999973</v>
      </c>
      <c r="C17" s="282"/>
    </row>
    <row r="18" spans="1:12" x14ac:dyDescent="0.25">
      <c r="A18" s="275"/>
      <c r="B18" s="283"/>
      <c r="C18" s="279"/>
    </row>
    <row r="19" spans="1:12" ht="15.75" thickBot="1" x14ac:dyDescent="0.3">
      <c r="A19" s="275"/>
      <c r="B19" s="283"/>
      <c r="C19" s="279"/>
    </row>
    <row r="20" spans="1:12" x14ac:dyDescent="0.25">
      <c r="A20" s="442" t="s">
        <v>519</v>
      </c>
      <c r="B20" s="443"/>
      <c r="C20" s="444"/>
    </row>
    <row r="21" spans="1:12" x14ac:dyDescent="0.25">
      <c r="A21" s="284" t="s">
        <v>654</v>
      </c>
      <c r="B21" s="276">
        <v>154335</v>
      </c>
      <c r="C21" s="285"/>
    </row>
    <row r="22" spans="1:12" x14ac:dyDescent="0.25">
      <c r="A22" s="284" t="s">
        <v>520</v>
      </c>
      <c r="B22" s="283">
        <f>IF((B17*0.35)&gt;=0,(B17*0.35),B26)</f>
        <v>35445.729941999904</v>
      </c>
      <c r="C22" s="285"/>
    </row>
    <row r="23" spans="1:12" x14ac:dyDescent="0.25">
      <c r="A23" s="286" t="s">
        <v>521</v>
      </c>
      <c r="B23" s="273">
        <f>+IF(((B21+B22)/2)&gt;+B22,B22,(B21+B22)/2)</f>
        <v>35445.729941999904</v>
      </c>
      <c r="C23" s="287"/>
      <c r="D23" s="272"/>
      <c r="E23" s="272"/>
      <c r="F23" s="272"/>
      <c r="G23" s="272"/>
      <c r="H23" s="272"/>
      <c r="I23" s="272"/>
      <c r="J23" s="272"/>
    </row>
    <row r="24" spans="1:12" x14ac:dyDescent="0.25">
      <c r="A24" s="286"/>
      <c r="B24" s="273"/>
      <c r="C24" s="287"/>
      <c r="D24" s="272"/>
      <c r="E24" s="272"/>
      <c r="F24" s="272"/>
      <c r="G24" s="272"/>
      <c r="H24" s="272"/>
      <c r="I24" s="272"/>
      <c r="J24" s="272"/>
    </row>
    <row r="25" spans="1:12" x14ac:dyDescent="0.25">
      <c r="A25" s="286" t="s">
        <v>522</v>
      </c>
      <c r="B25" s="273">
        <f>+(L25*0.5%/1000)</f>
        <v>6868.5050000000001</v>
      </c>
      <c r="C25" s="287"/>
      <c r="D25" s="272"/>
      <c r="E25" s="272" t="s">
        <v>655</v>
      </c>
      <c r="F25" s="272"/>
      <c r="G25" s="272"/>
      <c r="H25" s="276">
        <v>1373701000</v>
      </c>
      <c r="I25" s="272" t="s">
        <v>523</v>
      </c>
      <c r="J25" s="272"/>
      <c r="K25" s="283">
        <v>0</v>
      </c>
      <c r="L25" s="283">
        <f>+H25-K25</f>
        <v>1373701000</v>
      </c>
    </row>
    <row r="26" spans="1:12" x14ac:dyDescent="0.25">
      <c r="A26" s="286" t="s">
        <v>524</v>
      </c>
      <c r="B26" s="273">
        <f>+B25*0.35</f>
        <v>2403.9767499999998</v>
      </c>
      <c r="C26" s="287"/>
      <c r="D26" s="272"/>
      <c r="E26" s="272"/>
      <c r="F26" s="272"/>
      <c r="G26" s="272"/>
      <c r="H26" s="272"/>
      <c r="I26" s="272"/>
      <c r="J26" s="272"/>
    </row>
    <row r="27" spans="1:12" x14ac:dyDescent="0.25">
      <c r="A27" s="284"/>
      <c r="B27" s="283"/>
      <c r="C27" s="285"/>
    </row>
    <row r="28" spans="1:12" x14ac:dyDescent="0.25">
      <c r="A28" s="284" t="s">
        <v>525</v>
      </c>
      <c r="B28" s="283">
        <f>+B23*0.75</f>
        <v>26584.297456499928</v>
      </c>
      <c r="C28" s="285"/>
      <c r="E28" s="274"/>
    </row>
    <row r="29" spans="1:12" x14ac:dyDescent="0.25">
      <c r="A29" s="284" t="s">
        <v>634</v>
      </c>
      <c r="B29" s="276">
        <v>70105</v>
      </c>
      <c r="C29" s="285"/>
      <c r="F29" s="274"/>
    </row>
    <row r="30" spans="1:12" x14ac:dyDescent="0.25">
      <c r="A30" s="284" t="s">
        <v>526</v>
      </c>
      <c r="B30" s="276">
        <v>76466</v>
      </c>
      <c r="C30" s="285"/>
      <c r="D30" s="269" t="s">
        <v>527</v>
      </c>
    </row>
    <row r="31" spans="1:12" ht="15.75" thickBot="1" x14ac:dyDescent="0.3">
      <c r="A31" s="288" t="s">
        <v>528</v>
      </c>
      <c r="B31" s="289">
        <f>+IF((B28-B29-B30)&gt;0,(B28-B29-B30),0)</f>
        <v>0</v>
      </c>
      <c r="C31" s="290"/>
      <c r="D31" s="272"/>
      <c r="E31" s="272"/>
      <c r="F31" s="272"/>
      <c r="G31" s="272"/>
      <c r="H31" s="272"/>
      <c r="I31" s="272"/>
      <c r="J31" s="272"/>
    </row>
    <row r="32" spans="1:12" x14ac:dyDescent="0.25">
      <c r="A32" s="275"/>
      <c r="B32" s="283"/>
      <c r="C32" s="279"/>
    </row>
    <row r="33" spans="1:5" x14ac:dyDescent="0.25">
      <c r="A33" s="275" t="s">
        <v>529</v>
      </c>
      <c r="B33" s="291">
        <f>+IF(B22&gt;B26,B22,B26)</f>
        <v>35445.729941999904</v>
      </c>
      <c r="C33" s="279"/>
      <c r="D33" s="292" t="s">
        <v>530</v>
      </c>
    </row>
    <row r="34" spans="1:5" x14ac:dyDescent="0.25">
      <c r="A34" s="275" t="s">
        <v>531</v>
      </c>
      <c r="B34" s="276">
        <v>904</v>
      </c>
      <c r="C34" s="279"/>
    </row>
    <row r="35" spans="1:5" ht="15.75" thickBot="1" x14ac:dyDescent="0.3">
      <c r="A35" s="275" t="s">
        <v>532</v>
      </c>
      <c r="B35" s="276">
        <v>0</v>
      </c>
      <c r="C35" s="279"/>
    </row>
    <row r="36" spans="1:5" ht="15.75" thickBot="1" x14ac:dyDescent="0.3">
      <c r="A36" s="293" t="s">
        <v>533</v>
      </c>
      <c r="B36" s="281">
        <f>+B33-B34-B35-B29-B30+B31</f>
        <v>-112029.2700580001</v>
      </c>
      <c r="C36" s="294" t="str">
        <f>+IF(B36&gt;=0,"A PAGAR","A FAVOR")</f>
        <v>A FAVOR</v>
      </c>
      <c r="E36" s="274"/>
    </row>
    <row r="37" spans="1:5" ht="15.75" thickBot="1" x14ac:dyDescent="0.3">
      <c r="E37" s="274"/>
    </row>
    <row r="38" spans="1:5" ht="15.75" thickBot="1" x14ac:dyDescent="0.3">
      <c r="A38" s="438" t="s">
        <v>534</v>
      </c>
      <c r="B38" s="439"/>
      <c r="C38" s="295" t="str">
        <f>+IF(B36&gt;0,"SI","NO")</f>
        <v>NO</v>
      </c>
    </row>
    <row r="40" spans="1:5" x14ac:dyDescent="0.25">
      <c r="C40" s="274"/>
    </row>
    <row r="42" spans="1:5" x14ac:dyDescent="0.25">
      <c r="B42" s="274"/>
    </row>
  </sheetData>
  <mergeCells count="7">
    <mergeCell ref="A38:B38"/>
    <mergeCell ref="A1:J1"/>
    <mergeCell ref="A2:E2"/>
    <mergeCell ref="A3:E3"/>
    <mergeCell ref="A4:E4"/>
    <mergeCell ref="A5:E5"/>
    <mergeCell ref="A20:C20"/>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69"/>
  <sheetViews>
    <sheetView showGridLines="0" topLeftCell="A40" workbookViewId="0">
      <selection activeCell="E69" sqref="E69"/>
    </sheetView>
  </sheetViews>
  <sheetFormatPr baseColWidth="10" defaultColWidth="11.42578125" defaultRowHeight="15" x14ac:dyDescent="0.2"/>
  <cols>
    <col min="1" max="1" width="40.140625" style="296" bestFit="1" customWidth="1"/>
    <col min="2" max="2" width="13" style="296" bestFit="1" customWidth="1"/>
    <col min="3" max="3" width="12.85546875" style="296" bestFit="1" customWidth="1"/>
    <col min="4" max="4" width="11.42578125" style="296"/>
    <col min="5" max="5" width="43.5703125" style="296" customWidth="1"/>
    <col min="6" max="7" width="12.85546875" style="296" bestFit="1" customWidth="1"/>
    <col min="8" max="8" width="11.42578125" style="296"/>
    <col min="9" max="9" width="33.28515625" style="296" bestFit="1" customWidth="1"/>
    <col min="10" max="11" width="12.85546875" style="296" bestFit="1" customWidth="1"/>
    <col min="12" max="12" width="11.42578125" style="296"/>
    <col min="13" max="13" width="27.85546875" style="296" bestFit="1" customWidth="1"/>
    <col min="14" max="14" width="17.85546875" style="296" bestFit="1" customWidth="1"/>
    <col min="15" max="15" width="8.85546875" style="296" bestFit="1" customWidth="1"/>
    <col min="16" max="16" width="10" style="296" bestFit="1" customWidth="1"/>
    <col min="17" max="17" width="15.7109375" style="296" bestFit="1" customWidth="1"/>
    <col min="18" max="16384" width="11.42578125" style="296"/>
  </cols>
  <sheetData>
    <row r="1" spans="1:11" ht="15.75" x14ac:dyDescent="0.25">
      <c r="B1" s="297" t="str">
        <f>+DATOS!$H$10</f>
        <v>2026-06</v>
      </c>
      <c r="C1" s="297" t="str">
        <f>+DATOS!$H$11</f>
        <v>2025-06</v>
      </c>
      <c r="F1" s="297" t="str">
        <f>+DATOS!$H$10</f>
        <v>2026-06</v>
      </c>
      <c r="G1" s="297" t="str">
        <f>+DATOS!$H$11</f>
        <v>2025-06</v>
      </c>
      <c r="J1" s="297" t="str">
        <f>+DATOS!$H$10</f>
        <v>2026-06</v>
      </c>
      <c r="K1" s="297" t="str">
        <f>+DATOS!$H$11</f>
        <v>2025-06</v>
      </c>
    </row>
    <row r="2" spans="1:11" ht="15.75" x14ac:dyDescent="0.25">
      <c r="A2" s="298" t="s">
        <v>230</v>
      </c>
      <c r="B2" s="299">
        <f t="shared" ref="B2:C2" si="0">SUM(B3:B6)</f>
        <v>139451.12803999989</v>
      </c>
      <c r="C2" s="299">
        <f t="shared" si="0"/>
        <v>316343.35664000025</v>
      </c>
      <c r="E2" s="298" t="s">
        <v>257</v>
      </c>
      <c r="F2" s="299">
        <f>+F3</f>
        <v>137480.75741999998</v>
      </c>
      <c r="G2" s="299">
        <f>+G3</f>
        <v>67881.50086</v>
      </c>
      <c r="I2" s="298" t="s">
        <v>264</v>
      </c>
      <c r="J2" s="299">
        <f>SUM(J3:J6)</f>
        <v>764459.77497000003</v>
      </c>
      <c r="K2" s="299">
        <f>SUM(K3:K6)</f>
        <v>232927.86465000038</v>
      </c>
    </row>
    <row r="3" spans="1:11" x14ac:dyDescent="0.2">
      <c r="A3" s="296" t="s">
        <v>241</v>
      </c>
      <c r="B3" s="300">
        <f>+'ESF=BALANCE'!D13</f>
        <v>65577.05640999999</v>
      </c>
      <c r="C3" s="300">
        <f>+'ESF=BALANCE'!G13</f>
        <v>214238.89168999999</v>
      </c>
      <c r="E3" s="296" t="s">
        <v>260</v>
      </c>
      <c r="F3" s="301">
        <f>+'ESF=BALANCE'!D19</f>
        <v>137480.75741999998</v>
      </c>
      <c r="G3" s="301">
        <f>+'ESF=BALANCE'!G19</f>
        <v>67881.50086</v>
      </c>
      <c r="I3" s="296" t="s">
        <v>269</v>
      </c>
      <c r="J3" s="300">
        <f>+'ESF=BALANCE'!D22</f>
        <v>6216.17065</v>
      </c>
      <c r="K3" s="300">
        <f>+'ESF=BALANCE'!G22</f>
        <v>6031.8756000003705</v>
      </c>
    </row>
    <row r="4" spans="1:11" x14ac:dyDescent="0.2">
      <c r="A4" s="296" t="s">
        <v>245</v>
      </c>
      <c r="B4" s="300">
        <f>+'ESF=BALANCE'!D14</f>
        <v>40333.952459999899</v>
      </c>
      <c r="C4" s="300">
        <f>+'ESF=BALANCE'!G14</f>
        <v>81215.598660000207</v>
      </c>
      <c r="I4" s="296" t="s">
        <v>272</v>
      </c>
      <c r="J4" s="300">
        <f>+'ESF=BALANCE'!D23</f>
        <v>648905.39532000001</v>
      </c>
      <c r="K4" s="300">
        <f>+'ESF=BALANCE'!G23</f>
        <v>184646.96405000001</v>
      </c>
    </row>
    <row r="5" spans="1:11" x14ac:dyDescent="0.2">
      <c r="A5" s="296" t="s">
        <v>246</v>
      </c>
      <c r="B5" s="300">
        <f>+'ESF=BALANCE'!D15</f>
        <v>0</v>
      </c>
      <c r="C5" s="300">
        <f>+'ESF=BALANCE'!G15</f>
        <v>18936.424070000001</v>
      </c>
      <c r="I5" s="395" t="s">
        <v>1459</v>
      </c>
      <c r="J5" s="396">
        <f>+'ESF=BALANCE'!D24</f>
        <v>852.79399999999998</v>
      </c>
      <c r="K5" s="396">
        <f>+'ESF=BALANCE'!G24</f>
        <v>1997.585</v>
      </c>
    </row>
    <row r="6" spans="1:11" x14ac:dyDescent="0.2">
      <c r="A6" s="296" t="s">
        <v>250</v>
      </c>
      <c r="B6" s="301">
        <f>+'ESF=BALANCE'!D16</f>
        <v>33540.119170000005</v>
      </c>
      <c r="C6" s="301">
        <f>+'ESF=BALANCE'!G16</f>
        <v>1952.4422199999999</v>
      </c>
      <c r="I6" s="296" t="s">
        <v>277</v>
      </c>
      <c r="J6" s="301">
        <f>+'ESF=BALANCE'!D25</f>
        <v>108485.41499999999</v>
      </c>
      <c r="K6" s="301">
        <f>+'ESF=BALANCE'!G25</f>
        <v>40251.440000000002</v>
      </c>
    </row>
    <row r="7" spans="1:11" x14ac:dyDescent="0.2">
      <c r="J7" s="300"/>
      <c r="K7" s="300"/>
    </row>
    <row r="8" spans="1:11" x14ac:dyDescent="0.2">
      <c r="J8" s="300"/>
      <c r="K8" s="300"/>
    </row>
    <row r="9" spans="1:11" ht="15.75" x14ac:dyDescent="0.25">
      <c r="J9" s="297" t="str">
        <f>+DATOS!$H$10</f>
        <v>2026-06</v>
      </c>
      <c r="K9" s="297" t="str">
        <f>+DATOS!$H$11</f>
        <v>2025-06</v>
      </c>
    </row>
    <row r="10" spans="1:11" ht="15.75" x14ac:dyDescent="0.25">
      <c r="F10" s="297" t="str">
        <f>+DATOS!$H$10</f>
        <v>2026-06</v>
      </c>
      <c r="G10" s="297" t="str">
        <f>+DATOS!$H$11</f>
        <v>2025-06</v>
      </c>
      <c r="I10" s="298" t="s">
        <v>351</v>
      </c>
      <c r="J10" s="299">
        <f>+J11</f>
        <v>764766.80299999996</v>
      </c>
      <c r="K10" s="299">
        <f>+K11</f>
        <v>220000</v>
      </c>
    </row>
    <row r="11" spans="1:11" ht="15.75" x14ac:dyDescent="0.25">
      <c r="B11" s="297" t="str">
        <f>+DATOS!$H$10</f>
        <v>2026-06</v>
      </c>
      <c r="C11" s="297" t="str">
        <f>+DATOS!$H$11</f>
        <v>2025-06</v>
      </c>
      <c r="E11" s="298" t="s">
        <v>326</v>
      </c>
      <c r="F11" s="299">
        <f t="shared" ref="F11:G11" si="1">SUM(F12:F18)</f>
        <v>538379.64800000004</v>
      </c>
      <c r="G11" s="299">
        <f t="shared" si="1"/>
        <v>2028379.9459000002</v>
      </c>
      <c r="I11" s="296" t="s">
        <v>535</v>
      </c>
      <c r="J11" s="301">
        <f>+'ESF=BALANCE'!D60</f>
        <v>764766.80299999996</v>
      </c>
      <c r="K11" s="301">
        <f>+'ESF=BALANCE'!G60</f>
        <v>220000</v>
      </c>
    </row>
    <row r="12" spans="1:11" ht="15.75" x14ac:dyDescent="0.25">
      <c r="A12" s="298" t="s">
        <v>292</v>
      </c>
      <c r="B12" s="299">
        <f>SUM(B13:B13)</f>
        <v>9295.3250199999202</v>
      </c>
      <c r="C12" s="299">
        <f>+C13</f>
        <v>81849.588000000003</v>
      </c>
      <c r="E12" s="296" t="s">
        <v>1427</v>
      </c>
      <c r="F12" s="300">
        <f>+'ESF=BALANCE'!D51</f>
        <v>0</v>
      </c>
      <c r="G12" s="300">
        <f>+'ESF=BALANCE'!G51</f>
        <v>355856.13361999998</v>
      </c>
    </row>
    <row r="13" spans="1:11" x14ac:dyDescent="0.2">
      <c r="A13" s="296" t="s">
        <v>299</v>
      </c>
      <c r="B13" s="300">
        <f>+'ESF=BALANCE'!D30</f>
        <v>9295.3250199999202</v>
      </c>
      <c r="C13" s="300">
        <f>+'ESF=BALANCE'!G34</f>
        <v>81849.588000000003</v>
      </c>
      <c r="E13" s="296" t="s">
        <v>333</v>
      </c>
      <c r="F13" s="300">
        <f>+'ESF=BALANCE'!D52</f>
        <v>0</v>
      </c>
      <c r="G13" s="300">
        <f>+'ESF=BALANCE'!G52</f>
        <v>1286225.2250000001</v>
      </c>
    </row>
    <row r="14" spans="1:11" x14ac:dyDescent="0.2">
      <c r="E14" s="296" t="s">
        <v>335</v>
      </c>
      <c r="F14" s="300">
        <f>+'ESF=BALANCE'!D53</f>
        <v>534086.14500000002</v>
      </c>
      <c r="G14" s="300">
        <f>+'ESF=BALANCE'!G53</f>
        <v>455026.462</v>
      </c>
    </row>
    <row r="15" spans="1:11" x14ac:dyDescent="0.2">
      <c r="E15" s="296" t="s">
        <v>337</v>
      </c>
      <c r="F15" s="300">
        <f>+'ESF=BALANCE'!D54</f>
        <v>0</v>
      </c>
      <c r="G15" s="300">
        <f>+'ESF=BALANCE'!G54</f>
        <v>210990.462</v>
      </c>
    </row>
    <row r="16" spans="1:11" x14ac:dyDescent="0.2">
      <c r="E16" s="296" t="s">
        <v>339</v>
      </c>
      <c r="F16" s="300">
        <f>+'ESF=BALANCE'!D55</f>
        <v>4293.5029999999997</v>
      </c>
      <c r="G16" s="300">
        <f>+'ESF=BALANCE'!G55</f>
        <v>42702.049000000006</v>
      </c>
    </row>
    <row r="17" spans="1:17" x14ac:dyDescent="0.2">
      <c r="E17" s="296" t="s">
        <v>343</v>
      </c>
      <c r="F17" s="300">
        <f>+'ESF=BALANCE'!D56</f>
        <v>0</v>
      </c>
      <c r="G17" s="300">
        <f>+'ESF=BALANCE'!G56</f>
        <v>0</v>
      </c>
    </row>
    <row r="18" spans="1:17" x14ac:dyDescent="0.2">
      <c r="E18" s="296" t="s">
        <v>345</v>
      </c>
      <c r="F18" s="302">
        <f>+'ESF=BALANCE'!D57</f>
        <v>0</v>
      </c>
      <c r="G18" s="302">
        <f>+'ESF=BALANCE'!G57</f>
        <v>-322420.38572000002</v>
      </c>
    </row>
    <row r="19" spans="1:17" ht="15.75" x14ac:dyDescent="0.25">
      <c r="J19" s="297" t="str">
        <f>+DATOS!$H$10</f>
        <v>2026-06</v>
      </c>
      <c r="K19" s="297" t="str">
        <f>+DATOS!$H$11</f>
        <v>2025-06</v>
      </c>
    </row>
    <row r="20" spans="1:17" ht="15.75" x14ac:dyDescent="0.25">
      <c r="B20" s="297" t="str">
        <f>+DATOS!$H$10</f>
        <v>2026-06</v>
      </c>
      <c r="C20" s="297" t="str">
        <f>+DATOS!$H$11</f>
        <v>2025-06</v>
      </c>
      <c r="I20" s="298" t="s">
        <v>261</v>
      </c>
      <c r="J20" s="299">
        <f t="shared" ref="J20:K20" si="2">SUM(J21:J23)</f>
        <v>177433.75195000009</v>
      </c>
      <c r="K20" s="299">
        <f t="shared" si="2"/>
        <v>126229.06888000002</v>
      </c>
    </row>
    <row r="21" spans="1:17" ht="15.75" x14ac:dyDescent="0.25">
      <c r="A21" s="298" t="s">
        <v>368</v>
      </c>
      <c r="B21" s="299">
        <f t="shared" ref="B21:C21" si="3">+B22</f>
        <v>0</v>
      </c>
      <c r="C21" s="299">
        <f t="shared" si="3"/>
        <v>0</v>
      </c>
      <c r="F21" s="297" t="str">
        <f>+DATOS!$H$10</f>
        <v>2026-06</v>
      </c>
      <c r="G21" s="297" t="str">
        <f>+DATOS!$H$11</f>
        <v>2025-06</v>
      </c>
      <c r="I21" s="296" t="s">
        <v>263</v>
      </c>
      <c r="J21" s="300">
        <f>+'ESF=BALANCE'!L20</f>
        <v>133798.75195000009</v>
      </c>
      <c r="K21" s="300">
        <f>+'ESF=BALANCE'!O20</f>
        <v>73042.872880000024</v>
      </c>
    </row>
    <row r="22" spans="1:17" ht="15.75" x14ac:dyDescent="0.25">
      <c r="A22" s="296" t="s">
        <v>370</v>
      </c>
      <c r="B22" s="301">
        <f>+DATOS!C42</f>
        <v>0</v>
      </c>
      <c r="C22" s="301">
        <f>+'ESF=BALANCE'!G66</f>
        <v>0</v>
      </c>
      <c r="E22" s="298" t="s">
        <v>247</v>
      </c>
      <c r="F22" s="299">
        <f t="shared" ref="F22:G22" si="4">SUM(F23:F24)</f>
        <v>134879.89074</v>
      </c>
      <c r="G22" s="299">
        <f t="shared" si="4"/>
        <v>204376.71504000001</v>
      </c>
      <c r="I22" s="296" t="s">
        <v>267</v>
      </c>
      <c r="J22" s="300">
        <f>+'ESF=BALANCE'!L21</f>
        <v>9299</v>
      </c>
      <c r="K22" s="300">
        <f>+'ESF=BALANCE'!O21</f>
        <v>26515</v>
      </c>
    </row>
    <row r="23" spans="1:17" x14ac:dyDescent="0.2">
      <c r="E23" s="296" t="s">
        <v>252</v>
      </c>
      <c r="F23" s="396">
        <f>+'ESF=BALANCE'!L16</f>
        <v>113653.709</v>
      </c>
      <c r="G23" s="396">
        <f>+'ESF=BALANCE'!O16</f>
        <v>198797.21</v>
      </c>
      <c r="I23" s="296" t="s">
        <v>274</v>
      </c>
      <c r="J23" s="301">
        <f>+'ESF=BALANCE'!L23</f>
        <v>34336</v>
      </c>
      <c r="K23" s="301">
        <f>+'ESF=BALANCE'!O23</f>
        <v>26671.196</v>
      </c>
    </row>
    <row r="24" spans="1:17" x14ac:dyDescent="0.2">
      <c r="E24" s="296" t="s">
        <v>255</v>
      </c>
      <c r="F24" s="301">
        <f>+'ESF=BALANCE'!L17</f>
        <v>21226.18174</v>
      </c>
      <c r="G24" s="301">
        <f>+'ESF=BALANCE'!O17</f>
        <v>5579.5050400000291</v>
      </c>
    </row>
    <row r="26" spans="1:17" ht="15.75" x14ac:dyDescent="0.25">
      <c r="J26" s="297" t="str">
        <f>+DATOS!$H$10</f>
        <v>2026-06</v>
      </c>
      <c r="K26" s="297" t="str">
        <f>+DATOS!$H$11</f>
        <v>2025-06</v>
      </c>
      <c r="M26" s="445" t="s">
        <v>1460</v>
      </c>
      <c r="N26" s="445" t="s">
        <v>1461</v>
      </c>
      <c r="O26" s="445" t="s">
        <v>1462</v>
      </c>
      <c r="P26" s="445"/>
      <c r="Q26" s="397" t="s">
        <v>1463</v>
      </c>
    </row>
    <row r="27" spans="1:17" ht="15.75" x14ac:dyDescent="0.25">
      <c r="B27" s="297" t="str">
        <f>+DATOS!$H$10</f>
        <v>2026-06</v>
      </c>
      <c r="C27" s="297" t="str">
        <f>+DATOS!$H$11</f>
        <v>2025-06</v>
      </c>
      <c r="I27" s="298" t="s">
        <v>261</v>
      </c>
      <c r="J27" s="299">
        <f t="shared" ref="J27:K27" si="5">+J28</f>
        <v>0</v>
      </c>
      <c r="K27" s="299">
        <f t="shared" si="5"/>
        <v>4118.2280000000001</v>
      </c>
      <c r="M27" s="445"/>
      <c r="N27" s="445"/>
      <c r="O27" s="397" t="s">
        <v>1464</v>
      </c>
      <c r="P27" s="397" t="s">
        <v>1465</v>
      </c>
      <c r="Q27" s="397"/>
    </row>
    <row r="28" spans="1:17" ht="15.75" x14ac:dyDescent="0.25">
      <c r="A28" s="298" t="s">
        <v>278</v>
      </c>
      <c r="B28" s="299">
        <f>SUM(B29:B32)</f>
        <v>34899.752</v>
      </c>
      <c r="C28" s="299">
        <f>SUM(C29:C32)</f>
        <v>79410.754000000001</v>
      </c>
      <c r="F28" s="297" t="str">
        <f>+DATOS!$H$10</f>
        <v>2026-06</v>
      </c>
      <c r="G28" s="297" t="str">
        <f>+DATOS!$H$11</f>
        <v>2025-06</v>
      </c>
      <c r="I28" s="296" t="s">
        <v>320</v>
      </c>
      <c r="J28" s="301">
        <f>+'ESF=BALANCE'!L47</f>
        <v>0</v>
      </c>
      <c r="K28" s="301">
        <f>+'ESF=BALANCE'!O47</f>
        <v>4118.2280000000001</v>
      </c>
      <c r="M28" s="398" t="s">
        <v>1466</v>
      </c>
      <c r="N28" s="398">
        <v>6335.38</v>
      </c>
      <c r="O28" s="398">
        <f>+N28*0.35</f>
        <v>2217.3829999999998</v>
      </c>
      <c r="P28" s="398"/>
      <c r="Q28" s="398">
        <f>+N28-O28</f>
        <v>4117.9970000000003</v>
      </c>
    </row>
    <row r="29" spans="1:17" ht="15.75" x14ac:dyDescent="0.25">
      <c r="A29" s="296" t="s">
        <v>285</v>
      </c>
      <c r="B29" s="300">
        <f>+DATOS!C68</f>
        <v>27389.114000000001</v>
      </c>
      <c r="C29" s="300">
        <f>+'ESF=BALANCE'!O27</f>
        <v>28954.985000000001</v>
      </c>
      <c r="E29" s="298" t="s">
        <v>240</v>
      </c>
      <c r="F29" s="299">
        <f>SUM(F30:F32)</f>
        <v>792798.79200000002</v>
      </c>
      <c r="G29" s="299">
        <f>SUM(G30:G32)</f>
        <v>330619.19507000013</v>
      </c>
      <c r="J29" s="300"/>
      <c r="M29" s="398" t="s">
        <v>60</v>
      </c>
      <c r="N29" s="398"/>
      <c r="O29" s="398"/>
      <c r="P29" s="398">
        <f>+O28</f>
        <v>2217.3829999999998</v>
      </c>
      <c r="Q29" s="398"/>
    </row>
    <row r="30" spans="1:17" x14ac:dyDescent="0.2">
      <c r="A30" s="296" t="s">
        <v>290</v>
      </c>
      <c r="B30" s="300">
        <f>+DATOS!C69</f>
        <v>1547.99</v>
      </c>
      <c r="C30" s="300">
        <f>+'ESF=BALANCE'!O28</f>
        <v>1946.0139999999999</v>
      </c>
      <c r="E30" s="296" t="s">
        <v>305</v>
      </c>
      <c r="F30" s="300">
        <f>+'ESF=BALANCE'!L42</f>
        <v>54203.786999999997</v>
      </c>
      <c r="G30" s="300">
        <f>+'ESF=BALANCE'!O42</f>
        <v>302913.66697000002</v>
      </c>
    </row>
    <row r="31" spans="1:17" x14ac:dyDescent="0.2">
      <c r="A31" s="296" t="s">
        <v>293</v>
      </c>
      <c r="B31" s="300">
        <f>+DATOS!C67</f>
        <v>5962.6480000000001</v>
      </c>
      <c r="C31" s="300">
        <f>+'ESF=BALANCE'!O30</f>
        <v>27113.621999999999</v>
      </c>
      <c r="E31" s="296" t="s">
        <v>314</v>
      </c>
      <c r="F31" s="300">
        <f>+'ESF=BALANCE'!L43</f>
        <v>738595.005</v>
      </c>
      <c r="G31" s="300">
        <f>+'ESF=BALANCE'!O43</f>
        <v>3419.9981000000002</v>
      </c>
    </row>
    <row r="32" spans="1:17" x14ac:dyDescent="0.2">
      <c r="A32" s="296" t="s">
        <v>295</v>
      </c>
      <c r="B32" s="301">
        <f>+DATOS!C72</f>
        <v>0</v>
      </c>
      <c r="C32" s="301">
        <f>+'ESF=BALANCE'!O31</f>
        <v>21396.133000000002</v>
      </c>
      <c r="E32" s="296" t="s">
        <v>316</v>
      </c>
      <c r="F32" s="301">
        <f>+'ESF=BALANCE'!L44</f>
        <v>0</v>
      </c>
      <c r="G32" s="301">
        <f>+'ESF=BALANCE'!O44</f>
        <v>24285.530000000101</v>
      </c>
      <c r="I32" s="296" t="s">
        <v>563</v>
      </c>
    </row>
    <row r="34" spans="1:11" ht="15.75" x14ac:dyDescent="0.25">
      <c r="I34" s="304" t="s">
        <v>536</v>
      </c>
      <c r="J34" s="297" t="str">
        <f>+DATOS!$H$10</f>
        <v>2026-06</v>
      </c>
      <c r="K34" s="297" t="str">
        <f>+DATOS!$H$11</f>
        <v>2025-06</v>
      </c>
    </row>
    <row r="35" spans="1:11" ht="16.5" thickBot="1" x14ac:dyDescent="0.3">
      <c r="A35" s="303" t="s">
        <v>336</v>
      </c>
      <c r="B35" s="303" t="str">
        <f>+DATOS!$H$10</f>
        <v>2026-06</v>
      </c>
      <c r="C35" s="303" t="str">
        <f>+DATOS!$H$11</f>
        <v>2025-06</v>
      </c>
      <c r="I35" s="296" t="s">
        <v>538</v>
      </c>
      <c r="J35" s="300">
        <f>-'E.R.I.ACUMULADO'!D31</f>
        <v>63233.053</v>
      </c>
      <c r="K35" s="300">
        <f>-'E.R.I.ACUMULADO'!G31</f>
        <v>66610.884000000005</v>
      </c>
    </row>
    <row r="36" spans="1:11" ht="16.5" thickTop="1" x14ac:dyDescent="0.25">
      <c r="A36" s="298" t="s">
        <v>338</v>
      </c>
      <c r="B36" s="374">
        <f t="shared" ref="B36:C36" si="6">SUM(B37)</f>
        <v>500000</v>
      </c>
      <c r="C36" s="374">
        <f t="shared" si="6"/>
        <v>1737000</v>
      </c>
      <c r="E36" s="304" t="s">
        <v>536</v>
      </c>
      <c r="F36" s="297" t="str">
        <f>+DATOS!$H$10</f>
        <v>2026-06</v>
      </c>
      <c r="G36" s="297" t="str">
        <f>+DATOS!$H$11</f>
        <v>2025-06</v>
      </c>
      <c r="I36" s="296" t="s">
        <v>540</v>
      </c>
      <c r="J36" s="300">
        <f>-'E.R.I.ACUMULADO'!D32</f>
        <v>464409.85700000002</v>
      </c>
      <c r="K36" s="300">
        <f>-'E.R.I.ACUMULADO'!G32</f>
        <v>493062.06300000002</v>
      </c>
    </row>
    <row r="37" spans="1:11" x14ac:dyDescent="0.2">
      <c r="A37" s="296" t="s">
        <v>342</v>
      </c>
      <c r="B37" s="375">
        <f>+'ESF=BALANCE'!L55</f>
        <v>500000</v>
      </c>
      <c r="C37" s="375">
        <f>+'ESF=BALANCE'!O55</f>
        <v>1737000</v>
      </c>
      <c r="E37" s="296" t="s">
        <v>537</v>
      </c>
      <c r="F37" s="300">
        <f>+'E.R.I.ACUMULADO'!D11+'E.R.I.ACUMULADO'!D10</f>
        <v>2120978.2415999998</v>
      </c>
      <c r="G37" s="300">
        <f>+'E.R.I.ACUMULADO'!G11</f>
        <v>2943371.6668000002</v>
      </c>
      <c r="I37" s="296" t="s">
        <v>85</v>
      </c>
      <c r="J37" s="300">
        <f>-'E.R.I.ACUMULADO'!D33</f>
        <v>39255.786</v>
      </c>
      <c r="K37" s="300">
        <f>-'E.R.I.ACUMULADO'!G33</f>
        <v>121030.173</v>
      </c>
    </row>
    <row r="38" spans="1:11" x14ac:dyDescent="0.2">
      <c r="B38" s="375"/>
      <c r="C38" s="375"/>
      <c r="E38" s="296" t="s">
        <v>539</v>
      </c>
      <c r="F38" s="300">
        <f>+'E.R.I.ACUMULADO'!D12</f>
        <v>-4345.6040000000003</v>
      </c>
      <c r="G38" s="300">
        <f>+'E.R.I.ACUMULADO'!G12</f>
        <v>-4438.55872</v>
      </c>
      <c r="I38" s="296" t="s">
        <v>542</v>
      </c>
      <c r="J38" s="300">
        <f>-'E.R.I.ACUMULADO'!D34</f>
        <v>25132.839899999999</v>
      </c>
      <c r="K38" s="300">
        <f>-'E.R.I.ACUMULADO'!G34</f>
        <v>51562.600899999998</v>
      </c>
    </row>
    <row r="39" spans="1:11" ht="15.75" x14ac:dyDescent="0.25">
      <c r="A39" s="298" t="s">
        <v>349</v>
      </c>
      <c r="B39" s="374">
        <f t="shared" ref="B39:C39" si="7">+B40</f>
        <v>0</v>
      </c>
      <c r="C39" s="374">
        <f t="shared" si="7"/>
        <v>0</v>
      </c>
      <c r="E39" s="305" t="s">
        <v>541</v>
      </c>
      <c r="F39" s="306">
        <f t="shared" ref="F39:G39" si="8">SUM(F37:F38)</f>
        <v>2116632.6376</v>
      </c>
      <c r="G39" s="306">
        <f t="shared" si="8"/>
        <v>2938933.1080800002</v>
      </c>
      <c r="I39" s="296" t="s">
        <v>543</v>
      </c>
      <c r="J39" s="300">
        <f>-'E.R.I.ACUMULADO'!D35</f>
        <v>151823.94399999999</v>
      </c>
      <c r="K39" s="300">
        <f>-'E.R.I.ACUMULADO'!G35</f>
        <v>394048.55200000003</v>
      </c>
    </row>
    <row r="40" spans="1:11" x14ac:dyDescent="0.2">
      <c r="A40" s="296" t="s">
        <v>350</v>
      </c>
      <c r="B40" s="375">
        <f>+'ESF=BALANCE'!L58</f>
        <v>0</v>
      </c>
      <c r="C40" s="375">
        <f>+'ESF=BALANCE'!O58</f>
        <v>0</v>
      </c>
      <c r="F40" s="300"/>
      <c r="G40" s="300"/>
      <c r="I40" s="296" t="s">
        <v>545</v>
      </c>
      <c r="J40" s="300">
        <f>-'E.R.I.ACUMULADO'!D36</f>
        <v>12891.579</v>
      </c>
      <c r="K40" s="300">
        <f>-'E.R.I.ACUMULADO'!G36</f>
        <v>73967.343999999997</v>
      </c>
    </row>
    <row r="41" spans="1:11" ht="15.75" x14ac:dyDescent="0.25">
      <c r="B41" s="375"/>
      <c r="C41" s="375"/>
      <c r="E41" s="304" t="s">
        <v>536</v>
      </c>
      <c r="F41" s="297" t="str">
        <f>+DATOS!$H$10</f>
        <v>2026-06</v>
      </c>
      <c r="G41" s="297" t="str">
        <f>+DATOS!$H$11</f>
        <v>2025-06</v>
      </c>
      <c r="I41" s="296" t="s">
        <v>546</v>
      </c>
      <c r="J41" s="300">
        <f>-'E.R.I.ACUMULADO'!D37</f>
        <v>2014.3879999999999</v>
      </c>
      <c r="K41" s="300">
        <f>-'E.R.I.ACUMULADO'!G37</f>
        <v>10729.971</v>
      </c>
    </row>
    <row r="42" spans="1:11" ht="15.75" x14ac:dyDescent="0.25">
      <c r="A42" s="298" t="s">
        <v>354</v>
      </c>
      <c r="B42" s="374">
        <f t="shared" ref="B42:C42" si="9">+B43</f>
        <v>51649.917000000001</v>
      </c>
      <c r="C42" s="374">
        <f t="shared" si="9"/>
        <v>73934.517999999996</v>
      </c>
      <c r="E42" s="296" t="s">
        <v>544</v>
      </c>
      <c r="F42" s="300">
        <f>-'E.R.I.ACUMULADO'!D15</f>
        <v>956551.83900000004</v>
      </c>
      <c r="G42" s="300">
        <f>-'E.R.I.ACUMULADO'!G15</f>
        <v>1241064.943</v>
      </c>
      <c r="I42" s="296" t="s">
        <v>547</v>
      </c>
      <c r="J42" s="300">
        <f>-'E.R.I.ACUMULADO'!D38-'E.R.I.ACUMULADO'!D39-'E.R.I.ACUMULADO'!D40</f>
        <v>188519.64899999998</v>
      </c>
      <c r="K42" s="300">
        <f>-'E.R.I.ACUMULADO'!G38-'E.R.I.ACUMULADO'!G39-'E.R.I.ACUMULADO'!G40</f>
        <v>285519.33799999999</v>
      </c>
    </row>
    <row r="43" spans="1:11" ht="15.75" x14ac:dyDescent="0.25">
      <c r="A43" s="296" t="s">
        <v>355</v>
      </c>
      <c r="B43" s="375">
        <f>+'ESF=BALANCE'!L61</f>
        <v>51649.917000000001</v>
      </c>
      <c r="C43" s="375">
        <f>+'ESF=BALANCE'!O61</f>
        <v>73934.517999999996</v>
      </c>
      <c r="E43" s="305" t="s">
        <v>541</v>
      </c>
      <c r="F43" s="306">
        <f>+F42</f>
        <v>956551.83900000004</v>
      </c>
      <c r="G43" s="306">
        <f>+G42</f>
        <v>1241064.943</v>
      </c>
      <c r="I43" s="296" t="s">
        <v>134</v>
      </c>
      <c r="J43" s="300">
        <f>-'E.R.I.ACUMULADO'!D41</f>
        <v>4667.6000000000004</v>
      </c>
      <c r="K43" s="300">
        <f>-'E.R.I.ACUMULADO'!G41</f>
        <v>6130.1189999999997</v>
      </c>
    </row>
    <row r="44" spans="1:11" x14ac:dyDescent="0.2">
      <c r="B44" s="375"/>
      <c r="C44" s="375"/>
      <c r="I44" s="296" t="s">
        <v>548</v>
      </c>
      <c r="J44" s="300">
        <f>-'E.R.I.ACUMULADO'!D42</f>
        <v>8123.857</v>
      </c>
      <c r="K44" s="300">
        <f>-'E.R.I.ACUMULADO'!G42</f>
        <v>15052.446</v>
      </c>
    </row>
    <row r="45" spans="1:11" ht="15.75" x14ac:dyDescent="0.25">
      <c r="A45" s="298" t="s">
        <v>363</v>
      </c>
      <c r="B45" s="374">
        <f>+B46</f>
        <v>56988.014119999731</v>
      </c>
      <c r="C45" s="374">
        <f>SUM(C46:C47)</f>
        <v>32620.972100000272</v>
      </c>
      <c r="E45" s="304" t="s">
        <v>536</v>
      </c>
      <c r="F45" s="297" t="str">
        <f>+DATOS!$H$10</f>
        <v>2026-06</v>
      </c>
      <c r="G45" s="297" t="s">
        <v>501</v>
      </c>
      <c r="I45" s="296" t="s">
        <v>549</v>
      </c>
      <c r="J45" s="300">
        <f>-'E.R.I.ACUMULADO'!D43</f>
        <v>4786.8180000000002</v>
      </c>
      <c r="K45" s="300">
        <f>-'E.R.I.ACUMULADO'!G43</f>
        <v>13491.779</v>
      </c>
    </row>
    <row r="46" spans="1:11" x14ac:dyDescent="0.2">
      <c r="A46" s="296" t="s">
        <v>364</v>
      </c>
      <c r="B46" s="375">
        <f>+'ESF=BALANCE'!L64</f>
        <v>56988.014119999731</v>
      </c>
      <c r="C46" s="375">
        <f>+'ESF=BALANCE'!O64</f>
        <v>32620.972100000272</v>
      </c>
      <c r="E46" s="296" t="s">
        <v>80</v>
      </c>
      <c r="F46" s="300">
        <f>+'E.R.I.ACUMULADO'!D22</f>
        <v>0</v>
      </c>
      <c r="G46" s="300">
        <f>+'E.R.I.ACUMULADO'!G22</f>
        <v>0</v>
      </c>
      <c r="I46" s="296" t="s">
        <v>551</v>
      </c>
      <c r="J46" s="300">
        <f>-'E.R.I.ACUMULADO'!D44</f>
        <v>0</v>
      </c>
      <c r="K46" s="300">
        <f>-'E.R.I.ACUMULADO'!G44</f>
        <v>0</v>
      </c>
    </row>
    <row r="47" spans="1:11" x14ac:dyDescent="0.2">
      <c r="B47" s="375"/>
      <c r="C47" s="375"/>
      <c r="E47" s="296" t="s">
        <v>87</v>
      </c>
      <c r="F47" s="300">
        <f>+'E.R.I.ACUMULADO'!D26</f>
        <v>16.806720000000002</v>
      </c>
      <c r="G47" s="300">
        <f>+'E.R.I.ACUMULADO'!G26</f>
        <v>4160.5028199999997</v>
      </c>
      <c r="I47" s="296" t="s">
        <v>552</v>
      </c>
      <c r="J47" s="300">
        <f>-'E.R.I.ACUMULADO'!D45</f>
        <v>27469.890299999999</v>
      </c>
      <c r="K47" s="300">
        <f>-'E.R.I.ACUMULADO'!G45</f>
        <v>5480.6292999999996</v>
      </c>
    </row>
    <row r="48" spans="1:11" ht="15.75" x14ac:dyDescent="0.25">
      <c r="A48" s="298" t="s">
        <v>372</v>
      </c>
      <c r="B48" s="374">
        <f>+B49+B50</f>
        <v>366917.04697000002</v>
      </c>
      <c r="C48" s="374">
        <f>SUM(C49:C50)</f>
        <v>322473.65768999996</v>
      </c>
      <c r="E48" s="296" t="s">
        <v>550</v>
      </c>
      <c r="F48" s="300">
        <f>+'E.R.I.ACUMULADO'!D27</f>
        <v>13.847</v>
      </c>
      <c r="G48" s="300">
        <f>+'E.R.I.ACUMULADO'!G27</f>
        <v>19.562999999999999</v>
      </c>
      <c r="I48" s="296" t="s">
        <v>553</v>
      </c>
      <c r="J48" s="300">
        <f>-'E.R.I.ACUMULADO'!D47-'E.R.I.ACUMULADO'!D48-'E.R.I.ACUMULADO'!D49-'E.R.I.ACUMULADO'!D50</f>
        <v>15430.114</v>
      </c>
      <c r="K48" s="300">
        <f>-'E.R.I.ACUMULADO'!G47-'E.R.I.ACUMULADO'!G48-'E.R.I.ACUMULADO'!G49-'E.R.I.ACUMULADO'!G50</f>
        <v>27622.255000000001</v>
      </c>
    </row>
    <row r="49" spans="1:11" x14ac:dyDescent="0.2">
      <c r="A49" s="296" t="s">
        <v>376</v>
      </c>
      <c r="B49" s="375">
        <f>+'ESF=BALANCE'!L67</f>
        <v>366917.04697000002</v>
      </c>
      <c r="C49" s="375">
        <f>+'ESF=BALANCE'!O67</f>
        <v>339509.75068999996</v>
      </c>
      <c r="E49" s="296" t="s">
        <v>90</v>
      </c>
      <c r="F49" s="300">
        <f>+'E.R.I.ACUMULADO'!D28</f>
        <v>7831.45</v>
      </c>
      <c r="G49" s="300">
        <f>+'E.R.I.ACUMULADO'!G28</f>
        <v>1051.249</v>
      </c>
      <c r="I49" s="296" t="s">
        <v>124</v>
      </c>
      <c r="J49" s="300">
        <f>-'E.R.I.ACUMULADO'!D51</f>
        <v>1144.366</v>
      </c>
      <c r="K49" s="300">
        <f>-'E.R.I.ACUMULADO'!G51</f>
        <v>5886.857</v>
      </c>
    </row>
    <row r="50" spans="1:11" ht="16.5" thickBot="1" x14ac:dyDescent="0.3">
      <c r="A50" s="307" t="s">
        <v>379</v>
      </c>
      <c r="B50" s="376">
        <f>+'ESF=BALANCE'!L68</f>
        <v>0</v>
      </c>
      <c r="C50" s="376">
        <f>+'ESF=BALANCE'!O68</f>
        <v>-17036.093000000001</v>
      </c>
      <c r="E50" s="296" t="s">
        <v>92</v>
      </c>
      <c r="F50" s="300">
        <f>+'E.R.I.ACUMULADO'!D29</f>
        <v>3167.1129999999998</v>
      </c>
      <c r="G50" s="300">
        <f>+'E.R.I.ACUMULADO'!G29</f>
        <v>4726.7652500000004</v>
      </c>
      <c r="I50" s="305" t="s">
        <v>541</v>
      </c>
      <c r="J50" s="306">
        <f>SUM(J35:J49)</f>
        <v>1008903.7411999999</v>
      </c>
      <c r="K50" s="306">
        <f>SUM(K35:K49)</f>
        <v>1570195.0111999998</v>
      </c>
    </row>
    <row r="51" spans="1:11" ht="16.5" thickTop="1" x14ac:dyDescent="0.25">
      <c r="A51" s="308" t="s">
        <v>382</v>
      </c>
      <c r="B51" s="374">
        <f>+B36+B42+B45+B48+B39</f>
        <v>975554.97808999976</v>
      </c>
      <c r="C51" s="374">
        <f>+C36+C42+C45+C48+C39</f>
        <v>2166029.1477900003</v>
      </c>
      <c r="E51" s="305" t="s">
        <v>541</v>
      </c>
      <c r="F51" s="306">
        <f t="shared" ref="F51:G51" si="10">SUM(F46:F50)</f>
        <v>11029.21672</v>
      </c>
      <c r="G51" s="306">
        <f t="shared" si="10"/>
        <v>9958.08007</v>
      </c>
    </row>
    <row r="53" spans="1:11" x14ac:dyDescent="0.2">
      <c r="J53" s="300"/>
      <c r="K53" s="300"/>
    </row>
    <row r="55" spans="1:11" ht="15.75" x14ac:dyDescent="0.25">
      <c r="I55" s="298" t="s">
        <v>536</v>
      </c>
    </row>
    <row r="56" spans="1:11" ht="15.75" x14ac:dyDescent="0.25">
      <c r="I56" s="304" t="s">
        <v>554</v>
      </c>
      <c r="J56" s="297" t="str">
        <f>+DATOS!$H$10</f>
        <v>2026-06</v>
      </c>
      <c r="K56" s="297" t="str">
        <f>+DATOS!$H$11</f>
        <v>2025-06</v>
      </c>
    </row>
    <row r="57" spans="1:11" x14ac:dyDescent="0.2">
      <c r="I57" s="296" t="s">
        <v>151</v>
      </c>
      <c r="J57" s="300">
        <f>+'E.R.I.ACUMULADO'!D77</f>
        <v>1599.70615</v>
      </c>
      <c r="K57" s="300">
        <f>+'E.R.I.ACUMULADO'!G77</f>
        <v>1152.49218</v>
      </c>
    </row>
    <row r="58" spans="1:11" ht="15.75" x14ac:dyDescent="0.25">
      <c r="A58" s="296" t="s">
        <v>564</v>
      </c>
      <c r="E58" s="304" t="s">
        <v>536</v>
      </c>
      <c r="F58" s="297" t="str">
        <f>+DATOS!$H$10</f>
        <v>2026-06</v>
      </c>
      <c r="G58" s="297" t="str">
        <f>+DATOS!$H$11</f>
        <v>2025-06</v>
      </c>
      <c r="I58" s="296" t="s">
        <v>153</v>
      </c>
      <c r="J58" s="300">
        <f>+'E.R.I.ACUMULADO'!D78</f>
        <v>852.875</v>
      </c>
      <c r="K58" s="300">
        <f>+'E.R.I.ACUMULADO'!G78</f>
        <v>508.50799999999998</v>
      </c>
    </row>
    <row r="59" spans="1:11" x14ac:dyDescent="0.2">
      <c r="E59" s="296" t="s">
        <v>146</v>
      </c>
      <c r="F59" s="300">
        <f>-'E.R.I.ACUMULADO'!D72</f>
        <v>840.44598999999994</v>
      </c>
      <c r="G59" s="300">
        <f>-'E.R.I.ACUMULADO'!G72</f>
        <v>212.00844000000001</v>
      </c>
      <c r="I59" s="309" t="s">
        <v>555</v>
      </c>
      <c r="J59" s="301">
        <f>+'E.R.I.ACUMULADO'!D79</f>
        <v>0</v>
      </c>
      <c r="K59" s="301">
        <f>+'E.R.I.ACUMULADO'!G79</f>
        <v>0</v>
      </c>
    </row>
    <row r="60" spans="1:11" ht="15.75" x14ac:dyDescent="0.25">
      <c r="A60" s="304" t="s">
        <v>536</v>
      </c>
      <c r="B60" s="297" t="str">
        <f>+DATOS!$H$10</f>
        <v>2026-06</v>
      </c>
      <c r="C60" s="297" t="str">
        <f>+DATOS!$H$11</f>
        <v>2025-06</v>
      </c>
      <c r="E60" s="305" t="s">
        <v>541</v>
      </c>
      <c r="F60" s="306">
        <f>SUM(F59:F59)</f>
        <v>840.44598999999994</v>
      </c>
      <c r="G60" s="306">
        <f>SUM(G59:G59)</f>
        <v>212.00844000000001</v>
      </c>
      <c r="I60" s="298" t="s">
        <v>541</v>
      </c>
      <c r="J60" s="299">
        <f>SUM(J57:J59)</f>
        <v>2452.58115</v>
      </c>
      <c r="K60" s="299">
        <f>SUM(K57:K59)</f>
        <v>1661.00018</v>
      </c>
    </row>
    <row r="61" spans="1:11" x14ac:dyDescent="0.2">
      <c r="A61" s="296" t="s">
        <v>85</v>
      </c>
      <c r="B61" s="300">
        <f>-'E.R.I.ACUMULADO'!D55</f>
        <v>0</v>
      </c>
      <c r="C61" s="300">
        <f>-'E.R.I.ACUMULADO'!G55</f>
        <v>0</v>
      </c>
    </row>
    <row r="62" spans="1:11" ht="15.75" x14ac:dyDescent="0.25">
      <c r="A62" s="296" t="s">
        <v>100</v>
      </c>
      <c r="B62" s="300">
        <f>-'E.R.I.ACUMULADO'!D56</f>
        <v>0</v>
      </c>
      <c r="C62" s="300">
        <f>-'E.R.I.ACUMULADO'!G56</f>
        <v>0</v>
      </c>
      <c r="I62" s="304" t="s">
        <v>556</v>
      </c>
      <c r="J62" s="297" t="str">
        <f>+DATOS!$H$10</f>
        <v>2026-06</v>
      </c>
      <c r="K62" s="297" t="str">
        <f>+DATOS!$H$11</f>
        <v>2025-06</v>
      </c>
    </row>
    <row r="63" spans="1:11" ht="15.75" x14ac:dyDescent="0.25">
      <c r="A63" s="305" t="s">
        <v>541</v>
      </c>
      <c r="B63" s="306">
        <f>SUM(B61:B62)</f>
        <v>0</v>
      </c>
      <c r="C63" s="306">
        <f>SUM(C61:C62)</f>
        <v>0</v>
      </c>
      <c r="I63" s="296" t="s">
        <v>557</v>
      </c>
      <c r="J63" s="300">
        <f>-'E.R.I.ACUMULADO'!D81</f>
        <v>9928.1186300000008</v>
      </c>
      <c r="K63" s="300">
        <f>-'E.R.I.ACUMULADO'!G81</f>
        <v>2497.4308799999999</v>
      </c>
    </row>
    <row r="64" spans="1:11" x14ac:dyDescent="0.2">
      <c r="I64" s="296" t="s">
        <v>84</v>
      </c>
      <c r="J64" s="300">
        <f>-'E.R.I.ACUMULADO'!D82</f>
        <v>18281.941329999998</v>
      </c>
      <c r="K64" s="300">
        <f>-'E.R.I.ACUMULADO'!G82</f>
        <v>39181.594380000002</v>
      </c>
    </row>
    <row r="65" spans="2:11" x14ac:dyDescent="0.2">
      <c r="B65" s="300"/>
      <c r="C65" s="300"/>
      <c r="I65" s="296" t="s">
        <v>151</v>
      </c>
      <c r="J65" s="300">
        <f>-'E.R.I.ACUMULADO'!D83</f>
        <v>31993.781999999999</v>
      </c>
      <c r="K65" s="300">
        <f>-'E.R.I.ACUMULADO'!G83</f>
        <v>23040.618869999998</v>
      </c>
    </row>
    <row r="66" spans="2:11" x14ac:dyDescent="0.2">
      <c r="I66" s="296" t="s">
        <v>555</v>
      </c>
      <c r="J66" s="300">
        <f>-'E.R.I.ACUMULADO'!D85</f>
        <v>1851.43</v>
      </c>
      <c r="K66" s="300">
        <f>-'E.R.I.ACUMULADO'!G85</f>
        <v>48.841000000000001</v>
      </c>
    </row>
    <row r="67" spans="2:11" x14ac:dyDescent="0.2">
      <c r="I67" s="296" t="s">
        <v>558</v>
      </c>
      <c r="J67" s="300">
        <f>-'E.R.I.ACUMULADO'!D86</f>
        <v>10439.123300000001</v>
      </c>
      <c r="K67" s="300">
        <f>-'E.R.I.ACUMULADO'!G86</f>
        <v>14603.198460000001</v>
      </c>
    </row>
    <row r="68" spans="2:11" x14ac:dyDescent="0.2">
      <c r="I68" s="309" t="s">
        <v>122</v>
      </c>
      <c r="J68" s="301">
        <f>-'E.R.I.ACUMULADO'!D87</f>
        <v>-9.9999999976716899E-5</v>
      </c>
      <c r="K68" s="301">
        <f>-'E.R.I.ACUMULADO'!G87</f>
        <v>46.636000000000003</v>
      </c>
    </row>
    <row r="69" spans="2:11" ht="15.75" x14ac:dyDescent="0.25">
      <c r="I69" s="298" t="s">
        <v>541</v>
      </c>
      <c r="J69" s="299">
        <f t="shared" ref="J69:K69" si="11">SUM(J63:J68)</f>
        <v>72494.39516</v>
      </c>
      <c r="K69" s="299">
        <f t="shared" si="11"/>
        <v>79418.319589999999</v>
      </c>
    </row>
  </sheetData>
  <mergeCells count="3">
    <mergeCell ref="M26:M27"/>
    <mergeCell ref="N26:N27"/>
    <mergeCell ref="O26:P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4</vt:i4>
      </vt:variant>
    </vt:vector>
  </HeadingPairs>
  <TitlesOfParts>
    <vt:vector size="15" baseType="lpstr">
      <vt:lpstr>DATOS</vt:lpstr>
      <vt:lpstr>E.R.I.MES</vt:lpstr>
      <vt:lpstr>E.R.I.ACUMULADO</vt:lpstr>
      <vt:lpstr>ESF=BALANCE</vt:lpstr>
      <vt:lpstr>EFE</vt:lpstr>
      <vt:lpstr>ECP</vt:lpstr>
      <vt:lpstr>INDICADORES</vt:lpstr>
      <vt:lpstr>BCE 2026</vt:lpstr>
      <vt:lpstr>BCE 2025</vt:lpstr>
      <vt:lpstr>PROVISION RENTA</vt:lpstr>
      <vt:lpstr>NOTAS</vt:lpstr>
      <vt:lpstr>E.R.I.ACUMULADO!Área_de_impresión</vt:lpstr>
      <vt:lpstr>ECP!Área_de_impresión</vt:lpstr>
      <vt:lpstr>EFE!Área_de_impresión</vt:lpstr>
      <vt:lpstr>'ESF=BALANCE'!Área_de_impresión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Analistac1</dc:creator>
  <cp:lastModifiedBy>Remoto1</cp:lastModifiedBy>
  <cp:lastPrinted>2026-08-28T14:56:31Z</cp:lastPrinted>
  <dcterms:created xsi:type="dcterms:W3CDTF">2019-07-29T21:10:12Z</dcterms:created>
  <dcterms:modified xsi:type="dcterms:W3CDTF">2026-08-28T15:17:02Z</dcterms:modified>
</cp:coreProperties>
</file>